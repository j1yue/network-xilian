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250" yWindow="-120" windowWidth="15480" windowHeight="10830"/>
  </bookViews>
  <sheets>
    <sheet name="KuankhiunnFinal" sheetId="1" r:id="rId1"/>
    <sheet name="Sheet1" sheetId="2" r:id="rId2"/>
  </sheets>
  <definedNames>
    <definedName name="_xlnm._FilterDatabase" localSheetId="0" hidden="1">KuankhiunnFinal!$A$1:$V$3881</definedName>
    <definedName name="KuankhiunnFinal">KuankhiunnFinal!$A$1:$M$3881</definedName>
  </definedNames>
  <calcPr calcId="125725"/>
</workbook>
</file>

<file path=xl/calcChain.xml><?xml version="1.0" encoding="utf-8"?>
<calcChain xmlns="http://schemas.openxmlformats.org/spreadsheetml/2006/main">
  <c r="V3798" i="1"/>
  <c r="V3792"/>
  <c r="V3791"/>
  <c r="V3790"/>
  <c r="V3783"/>
  <c r="V3782"/>
  <c r="V3773"/>
  <c r="V3748"/>
  <c r="V3746"/>
  <c r="V3736"/>
  <c r="V3735"/>
  <c r="V3721"/>
  <c r="V3701"/>
  <c r="V3699"/>
  <c r="V3695"/>
  <c r="V3692"/>
  <c r="V3689"/>
  <c r="V3684"/>
  <c r="V3682"/>
  <c r="V3681"/>
  <c r="V3679"/>
  <c r="V3665"/>
  <c r="V3664"/>
  <c r="V3652"/>
  <c r="V3650"/>
  <c r="V3647"/>
  <c r="V3646"/>
  <c r="V3645"/>
  <c r="V3644"/>
  <c r="V3642"/>
  <c r="V3641"/>
  <c r="V3639"/>
  <c r="V3638"/>
  <c r="V3637"/>
  <c r="V3636"/>
  <c r="V3619"/>
  <c r="V3566"/>
  <c r="V3563"/>
  <c r="V3549"/>
  <c r="V3508"/>
  <c r="V3499"/>
  <c r="V3473"/>
  <c r="V3420"/>
  <c r="V3413"/>
  <c r="V3410"/>
  <c r="V3408"/>
  <c r="V3407"/>
  <c r="V3406"/>
  <c r="V3401"/>
  <c r="V3397"/>
  <c r="V3395"/>
  <c r="V3394"/>
  <c r="V3393"/>
  <c r="V3389"/>
  <c r="V3388"/>
  <c r="V3385"/>
  <c r="V3382"/>
  <c r="V3381"/>
  <c r="V3377"/>
  <c r="V3356"/>
  <c r="V3355"/>
  <c r="V3354"/>
  <c r="V3353"/>
  <c r="V3350"/>
  <c r="V3349"/>
  <c r="V3347"/>
  <c r="V3316"/>
  <c r="V3310"/>
  <c r="V3290"/>
  <c r="V3289"/>
  <c r="V3287"/>
  <c r="V3286"/>
  <c r="V3285"/>
  <c r="V3284"/>
  <c r="V3283"/>
  <c r="V3282"/>
  <c r="V3281"/>
  <c r="V3280"/>
  <c r="V3279"/>
  <c r="V3278"/>
  <c r="V3277"/>
  <c r="V3276"/>
  <c r="V3275"/>
  <c r="V3274"/>
  <c r="V3273"/>
  <c r="V3272"/>
  <c r="V3260"/>
  <c r="V3217"/>
  <c r="V3212"/>
  <c r="V3197"/>
  <c r="V3196"/>
  <c r="V3194"/>
  <c r="V3193"/>
  <c r="V3192"/>
  <c r="V3190"/>
  <c r="V3189"/>
  <c r="V3175"/>
  <c r="V3129"/>
  <c r="V3127"/>
  <c r="V3125"/>
  <c r="V3084"/>
  <c r="V3082"/>
  <c r="V3068"/>
  <c r="V3062"/>
  <c r="V3057"/>
  <c r="V3048"/>
  <c r="V3044"/>
  <c r="V3040"/>
  <c r="V3039"/>
  <c r="V3032"/>
  <c r="V3000"/>
  <c r="V2997"/>
  <c r="V2995"/>
  <c r="V2994"/>
  <c r="V2993"/>
  <c r="V2991"/>
  <c r="V2989"/>
  <c r="V2988"/>
  <c r="V2986"/>
  <c r="V2984"/>
  <c r="V2983"/>
  <c r="V2980"/>
  <c r="V2942"/>
  <c r="V2897"/>
  <c r="V2895"/>
  <c r="V2891"/>
  <c r="V2865"/>
  <c r="V2864"/>
  <c r="V2863"/>
  <c r="V2851"/>
  <c r="V2849"/>
  <c r="V2848"/>
  <c r="V2847"/>
  <c r="V2845"/>
  <c r="V2844"/>
  <c r="V2843"/>
  <c r="V2842"/>
  <c r="V2841"/>
  <c r="V2834"/>
  <c r="V2799"/>
  <c r="V2784"/>
  <c r="V2780"/>
  <c r="V2756"/>
  <c r="V2755"/>
  <c r="V2719"/>
  <c r="V2716"/>
  <c r="V2715"/>
  <c r="V2713"/>
  <c r="V2712"/>
  <c r="V2711"/>
  <c r="V2710"/>
  <c r="V2709"/>
  <c r="V2708"/>
  <c r="V2707"/>
  <c r="V2706"/>
  <c r="V2705"/>
  <c r="V2703"/>
  <c r="V2702"/>
  <c r="V2697"/>
  <c r="V2696"/>
  <c r="V2691"/>
  <c r="V2685"/>
  <c r="V2672"/>
  <c r="V2649"/>
  <c r="V2648"/>
  <c r="V2647"/>
  <c r="V2646"/>
  <c r="V2645"/>
  <c r="V2644"/>
  <c r="V2643"/>
  <c r="V2642"/>
  <c r="V2641"/>
  <c r="V2640"/>
  <c r="V2638"/>
  <c r="V2636"/>
  <c r="V2612"/>
  <c r="V2609"/>
  <c r="V2604"/>
  <c r="V2603"/>
  <c r="V2602"/>
  <c r="V2579"/>
  <c r="V2575"/>
  <c r="V2569"/>
  <c r="V2566"/>
  <c r="V2564"/>
  <c r="V2555"/>
  <c r="V2545"/>
  <c r="V2535"/>
  <c r="V2525"/>
  <c r="V2497"/>
  <c r="V2487"/>
  <c r="V2486"/>
  <c r="V2485"/>
  <c r="V2484"/>
  <c r="V2482"/>
  <c r="V2481"/>
  <c r="V2424"/>
  <c r="V2406"/>
  <c r="V2399"/>
  <c r="V2393"/>
  <c r="V2379"/>
  <c r="V2378"/>
  <c r="V2361"/>
  <c r="V2360"/>
  <c r="V2359"/>
  <c r="V2358"/>
  <c r="V2357"/>
  <c r="V2355"/>
  <c r="V2354"/>
  <c r="V2352"/>
  <c r="V2350"/>
  <c r="V2348"/>
  <c r="V2347"/>
  <c r="V2346"/>
  <c r="V2345"/>
  <c r="V2344"/>
  <c r="V2342"/>
  <c r="V2338"/>
  <c r="V2337"/>
  <c r="V2335"/>
  <c r="V2334"/>
  <c r="V2331"/>
  <c r="V2325"/>
  <c r="V2320"/>
  <c r="V2318"/>
  <c r="V2304"/>
  <c r="V2303"/>
  <c r="V2297"/>
  <c r="V2294"/>
  <c r="V2293"/>
  <c r="V2287"/>
  <c r="V2283"/>
  <c r="V2281"/>
  <c r="V2231"/>
  <c r="V2206"/>
  <c r="V2198"/>
  <c r="V2196"/>
  <c r="V2189"/>
  <c r="V2182"/>
  <c r="V2177"/>
  <c r="V2174"/>
  <c r="V2173"/>
  <c r="V2166"/>
  <c r="V2165"/>
  <c r="V2163"/>
  <c r="V2162"/>
  <c r="V2161"/>
  <c r="V2158"/>
  <c r="V2156"/>
  <c r="V2153"/>
  <c r="V2152"/>
  <c r="V2151"/>
  <c r="V2150"/>
  <c r="V2149"/>
  <c r="V2148"/>
  <c r="V2147"/>
  <c r="V2146"/>
  <c r="V2144"/>
  <c r="V2093"/>
  <c r="V2092"/>
  <c r="V2091"/>
  <c r="V2090"/>
  <c r="V2089"/>
  <c r="V2080"/>
  <c r="V2079"/>
  <c r="V2077"/>
  <c r="V2074"/>
  <c r="V2073"/>
  <c r="V2072"/>
  <c r="V2071"/>
  <c r="V2069"/>
  <c r="V2068"/>
  <c r="V2066"/>
  <c r="V2065"/>
  <c r="V2064"/>
  <c r="V2062"/>
  <c r="V2057"/>
  <c r="V2055"/>
  <c r="V2054"/>
  <c r="V2021"/>
  <c r="V2001"/>
  <c r="V1995"/>
  <c r="V1994"/>
  <c r="V1993"/>
  <c r="V1982"/>
  <c r="V1980"/>
  <c r="V1979"/>
  <c r="V1974"/>
  <c r="V1972"/>
  <c r="V1969"/>
  <c r="V1968"/>
  <c r="V1967"/>
  <c r="V1966"/>
  <c r="V1965"/>
  <c r="V1964"/>
  <c r="V1956"/>
  <c r="V1955"/>
  <c r="V1954"/>
  <c r="V1953"/>
  <c r="V1951"/>
  <c r="V1949"/>
  <c r="V1946"/>
  <c r="V1943"/>
  <c r="V1942"/>
  <c r="V1938"/>
  <c r="V1937"/>
  <c r="V1936"/>
  <c r="V1917"/>
  <c r="V1916"/>
  <c r="V1912"/>
  <c r="V1905"/>
  <c r="V1904"/>
  <c r="V1893"/>
  <c r="V1861"/>
  <c r="V1805"/>
  <c r="V1791"/>
  <c r="V1783"/>
  <c r="V1778"/>
  <c r="V1777"/>
  <c r="V1771"/>
  <c r="V1768"/>
  <c r="V1731"/>
  <c r="V1718"/>
  <c r="V1716"/>
  <c r="V1713"/>
  <c r="V1712"/>
  <c r="V1711"/>
  <c r="V1708"/>
  <c r="V1707"/>
  <c r="V1701"/>
  <c r="V1681"/>
  <c r="V1678"/>
  <c r="V1659"/>
  <c r="V1634"/>
  <c r="V1615"/>
  <c r="V1594"/>
  <c r="V1553"/>
  <c r="V1543"/>
  <c r="V1501"/>
  <c r="V1494"/>
  <c r="V1486"/>
  <c r="V1457"/>
  <c r="V1383"/>
  <c r="V1376"/>
  <c r="V1372"/>
  <c r="V1367"/>
  <c r="V1359"/>
  <c r="V1332"/>
  <c r="V1331"/>
  <c r="V1322"/>
  <c r="V1321"/>
  <c r="V1317"/>
  <c r="V1316"/>
  <c r="V1294"/>
  <c r="V1281"/>
  <c r="V1274"/>
  <c r="V1255"/>
  <c r="V1253"/>
  <c r="V1251"/>
  <c r="V1245"/>
  <c r="V1244"/>
  <c r="V1239"/>
  <c r="V1238"/>
  <c r="V1232"/>
  <c r="V1229"/>
  <c r="V1228"/>
  <c r="V1224"/>
  <c r="V1222"/>
  <c r="V1203"/>
  <c r="V1175"/>
  <c r="V1171"/>
  <c r="V1169"/>
  <c r="V1161"/>
  <c r="V1078"/>
  <c r="V1073"/>
  <c r="V1070"/>
  <c r="V1069"/>
  <c r="V1057"/>
  <c r="V1056"/>
  <c r="V1037"/>
  <c r="V1028"/>
  <c r="V1014"/>
  <c r="V1002"/>
  <c r="V1000"/>
  <c r="V999"/>
  <c r="V995"/>
  <c r="V974"/>
  <c r="V973"/>
  <c r="V970"/>
  <c r="V969"/>
  <c r="V965"/>
  <c r="V964"/>
  <c r="V952"/>
  <c r="V946"/>
  <c r="V937"/>
  <c r="V906"/>
  <c r="V903"/>
  <c r="V894"/>
  <c r="V887"/>
  <c r="V886"/>
  <c r="V884"/>
  <c r="V861"/>
  <c r="V858"/>
  <c r="V844"/>
  <c r="V841"/>
  <c r="V835"/>
  <c r="V830"/>
  <c r="V828"/>
  <c r="V827"/>
  <c r="V826"/>
  <c r="V825"/>
  <c r="V814"/>
  <c r="V810"/>
  <c r="V807"/>
  <c r="V805"/>
  <c r="V803"/>
  <c r="V802"/>
  <c r="V801"/>
  <c r="V800"/>
  <c r="V799"/>
  <c r="V798"/>
  <c r="V797"/>
  <c r="V796"/>
  <c r="V795"/>
  <c r="V788"/>
  <c r="V787"/>
  <c r="V786"/>
  <c r="V785"/>
  <c r="V784"/>
  <c r="V783"/>
  <c r="V782"/>
  <c r="V780"/>
  <c r="V778"/>
  <c r="V774"/>
  <c r="V772"/>
  <c r="V767"/>
  <c r="V766"/>
  <c r="V764"/>
  <c r="V756"/>
  <c r="V755"/>
  <c r="V753"/>
  <c r="V752"/>
  <c r="V751"/>
  <c r="V749"/>
  <c r="V748"/>
  <c r="V747"/>
  <c r="V743"/>
  <c r="V740"/>
  <c r="V730"/>
  <c r="V726"/>
  <c r="V714"/>
  <c r="V687"/>
  <c r="V685"/>
  <c r="V684"/>
  <c r="V683"/>
  <c r="V682"/>
  <c r="V680"/>
  <c r="V679"/>
  <c r="V678"/>
  <c r="V677"/>
  <c r="V676"/>
  <c r="V675"/>
  <c r="V674"/>
  <c r="V673"/>
  <c r="V672"/>
  <c r="V671"/>
  <c r="V668"/>
  <c r="V667"/>
  <c r="V663"/>
  <c r="V662"/>
  <c r="V661"/>
  <c r="V660"/>
  <c r="V659"/>
  <c r="V650"/>
  <c r="V649"/>
  <c r="V642"/>
  <c r="V636"/>
  <c r="V634"/>
  <c r="V632"/>
  <c r="V631"/>
  <c r="V630"/>
  <c r="V627"/>
  <c r="V626"/>
  <c r="V623"/>
  <c r="V622"/>
  <c r="V621"/>
  <c r="V620"/>
  <c r="V619"/>
  <c r="V618"/>
  <c r="V574"/>
  <c r="V571"/>
  <c r="V570"/>
  <c r="V569"/>
  <c r="V561"/>
  <c r="V558"/>
  <c r="V556"/>
  <c r="V555"/>
  <c r="V554"/>
  <c r="V553"/>
  <c r="V548"/>
  <c r="V539"/>
  <c r="V530"/>
  <c r="V529"/>
  <c r="V525"/>
  <c r="V523"/>
  <c r="V492"/>
  <c r="V487"/>
  <c r="V485"/>
  <c r="V484"/>
  <c r="V475"/>
  <c r="V462"/>
  <c r="V461"/>
  <c r="V460"/>
  <c r="V457"/>
  <c r="V452"/>
  <c r="V449"/>
  <c r="V446"/>
  <c r="V445"/>
  <c r="V444"/>
  <c r="V443"/>
  <c r="V442"/>
  <c r="V440"/>
  <c r="V439"/>
  <c r="V438"/>
  <c r="V437"/>
  <c r="V436"/>
  <c r="V434"/>
  <c r="V432"/>
  <c r="V428"/>
  <c r="V421"/>
  <c r="V419"/>
  <c r="V417"/>
  <c r="V415"/>
  <c r="V412"/>
  <c r="V411"/>
  <c r="V409"/>
  <c r="V408"/>
  <c r="V407"/>
  <c r="V406"/>
  <c r="V405"/>
  <c r="V403"/>
  <c r="V402"/>
  <c r="V401"/>
  <c r="V392"/>
  <c r="V391"/>
  <c r="V347"/>
  <c r="V329"/>
  <c r="V324"/>
  <c r="V320"/>
  <c r="V314"/>
  <c r="V313"/>
  <c r="V309"/>
  <c r="V307"/>
  <c r="V303"/>
  <c r="V300"/>
  <c r="V289"/>
  <c r="V286"/>
  <c r="V281"/>
  <c r="V276"/>
  <c r="V273"/>
  <c r="V269"/>
  <c r="V264"/>
  <c r="V263"/>
  <c r="V260"/>
  <c r="V258"/>
  <c r="V256"/>
  <c r="V254"/>
  <c r="V252"/>
  <c r="V251"/>
  <c r="V237"/>
  <c r="V226"/>
  <c r="V225"/>
  <c r="V224"/>
  <c r="V209"/>
  <c r="V200"/>
  <c r="V192"/>
  <c r="V186"/>
  <c r="V185"/>
  <c r="V183"/>
  <c r="V182"/>
  <c r="V180"/>
  <c r="V178"/>
  <c r="V174"/>
  <c r="V165"/>
  <c r="V163"/>
  <c r="V162"/>
  <c r="V157"/>
  <c r="V155"/>
  <c r="V150"/>
  <c r="V149"/>
  <c r="V147"/>
  <c r="V145"/>
  <c r="V135"/>
  <c r="V65"/>
  <c r="V59"/>
  <c r="V15"/>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U182"/>
  <c r="U183"/>
  <c r="U184"/>
  <c r="U185"/>
  <c r="U186"/>
  <c r="U187"/>
  <c r="U188"/>
  <c r="U189"/>
  <c r="U190"/>
  <c r="U191"/>
  <c r="U192"/>
  <c r="U193"/>
  <c r="U194"/>
  <c r="U195"/>
  <c r="U196"/>
  <c r="U197"/>
  <c r="U198"/>
  <c r="U199"/>
  <c r="U200"/>
  <c r="U201"/>
  <c r="U202"/>
  <c r="U203"/>
  <c r="U204"/>
  <c r="U205"/>
  <c r="U206"/>
  <c r="U207"/>
  <c r="U208"/>
  <c r="U209"/>
  <c r="U210"/>
  <c r="U211"/>
  <c r="U212"/>
  <c r="U213"/>
  <c r="U214"/>
  <c r="U215"/>
  <c r="U216"/>
  <c r="U217"/>
  <c r="U218"/>
  <c r="U219"/>
  <c r="U220"/>
  <c r="U221"/>
  <c r="U222"/>
  <c r="U223"/>
  <c r="U224"/>
  <c r="U225"/>
  <c r="U226"/>
  <c r="U227"/>
  <c r="U228"/>
  <c r="U229"/>
  <c r="U230"/>
  <c r="U231"/>
  <c r="U232"/>
  <c r="U233"/>
  <c r="U234"/>
  <c r="U235"/>
  <c r="U236"/>
  <c r="U237"/>
  <c r="U238"/>
  <c r="U239"/>
  <c r="U240"/>
  <c r="U241"/>
  <c r="U242"/>
  <c r="U243"/>
  <c r="U244"/>
  <c r="U245"/>
  <c r="U246"/>
  <c r="U247"/>
  <c r="U248"/>
  <c r="U249"/>
  <c r="U250"/>
  <c r="U251"/>
  <c r="U252"/>
  <c r="U253"/>
  <c r="U254"/>
  <c r="U255"/>
  <c r="U256"/>
  <c r="U257"/>
  <c r="U258"/>
  <c r="U259"/>
  <c r="U260"/>
  <c r="U261"/>
  <c r="U262"/>
  <c r="U263"/>
  <c r="U264"/>
  <c r="U265"/>
  <c r="U266"/>
  <c r="U267"/>
  <c r="U268"/>
  <c r="U269"/>
  <c r="U270"/>
  <c r="U271"/>
  <c r="U272"/>
  <c r="U273"/>
  <c r="U274"/>
  <c r="U275"/>
  <c r="U276"/>
  <c r="U277"/>
  <c r="U278"/>
  <c r="U279"/>
  <c r="U280"/>
  <c r="U281"/>
  <c r="U282"/>
  <c r="U283"/>
  <c r="U284"/>
  <c r="U285"/>
  <c r="U286"/>
  <c r="U287"/>
  <c r="U288"/>
  <c r="U289"/>
  <c r="U290"/>
  <c r="U291"/>
  <c r="U292"/>
  <c r="U293"/>
  <c r="U294"/>
  <c r="U295"/>
  <c r="U296"/>
  <c r="U297"/>
  <c r="U298"/>
  <c r="U299"/>
  <c r="U300"/>
  <c r="U301"/>
  <c r="U302"/>
  <c r="U303"/>
  <c r="U304"/>
  <c r="U305"/>
  <c r="U306"/>
  <c r="U307"/>
  <c r="U308"/>
  <c r="U309"/>
  <c r="U310"/>
  <c r="U311"/>
  <c r="U312"/>
  <c r="U313"/>
  <c r="U314"/>
  <c r="U315"/>
  <c r="U316"/>
  <c r="U317"/>
  <c r="U318"/>
  <c r="U319"/>
  <c r="U320"/>
  <c r="U321"/>
  <c r="U322"/>
  <c r="U323"/>
  <c r="U324"/>
  <c r="U325"/>
  <c r="U326"/>
  <c r="U327"/>
  <c r="U328"/>
  <c r="U329"/>
  <c r="U330"/>
  <c r="U331"/>
  <c r="U332"/>
  <c r="U333"/>
  <c r="U334"/>
  <c r="U335"/>
  <c r="U336"/>
  <c r="U337"/>
  <c r="U338"/>
  <c r="U339"/>
  <c r="U340"/>
  <c r="U341"/>
  <c r="U342"/>
  <c r="U343"/>
  <c r="U344"/>
  <c r="U345"/>
  <c r="U346"/>
  <c r="U347"/>
  <c r="U348"/>
  <c r="U349"/>
  <c r="U350"/>
  <c r="U351"/>
  <c r="U352"/>
  <c r="U353"/>
  <c r="U354"/>
  <c r="U355"/>
  <c r="U356"/>
  <c r="U357"/>
  <c r="U358"/>
  <c r="U359"/>
  <c r="U360"/>
  <c r="U361"/>
  <c r="U362"/>
  <c r="U363"/>
  <c r="U364"/>
  <c r="U365"/>
  <c r="U366"/>
  <c r="U367"/>
  <c r="U368"/>
  <c r="U369"/>
  <c r="U370"/>
  <c r="U371"/>
  <c r="U372"/>
  <c r="U373"/>
  <c r="U374"/>
  <c r="U375"/>
  <c r="U376"/>
  <c r="U377"/>
  <c r="U378"/>
  <c r="U379"/>
  <c r="U380"/>
  <c r="U381"/>
  <c r="U382"/>
  <c r="U383"/>
  <c r="U384"/>
  <c r="U385"/>
  <c r="U386"/>
  <c r="U387"/>
  <c r="U388"/>
  <c r="U389"/>
  <c r="U390"/>
  <c r="U391"/>
  <c r="U392"/>
  <c r="U393"/>
  <c r="U394"/>
  <c r="U395"/>
  <c r="U396"/>
  <c r="U397"/>
  <c r="U398"/>
  <c r="U399"/>
  <c r="U400"/>
  <c r="U401"/>
  <c r="U402"/>
  <c r="U403"/>
  <c r="U404"/>
  <c r="U405"/>
  <c r="U406"/>
  <c r="U407"/>
  <c r="U408"/>
  <c r="U409"/>
  <c r="U410"/>
  <c r="U411"/>
  <c r="U412"/>
  <c r="U413"/>
  <c r="U414"/>
  <c r="U415"/>
  <c r="U416"/>
  <c r="U417"/>
  <c r="U418"/>
  <c r="U419"/>
  <c r="U420"/>
  <c r="U421"/>
  <c r="U422"/>
  <c r="U423"/>
  <c r="U424"/>
  <c r="U425"/>
  <c r="U426"/>
  <c r="U427"/>
  <c r="U428"/>
  <c r="U429"/>
  <c r="U430"/>
  <c r="U431"/>
  <c r="U432"/>
  <c r="U433"/>
  <c r="U434"/>
  <c r="U435"/>
  <c r="U436"/>
  <c r="U437"/>
  <c r="U438"/>
  <c r="U439"/>
  <c r="U440"/>
  <c r="U441"/>
  <c r="U442"/>
  <c r="U443"/>
  <c r="U444"/>
  <c r="U445"/>
  <c r="U446"/>
  <c r="U447"/>
  <c r="U448"/>
  <c r="U449"/>
  <c r="U450"/>
  <c r="U451"/>
  <c r="U452"/>
  <c r="U453"/>
  <c r="U454"/>
  <c r="U455"/>
  <c r="U456"/>
  <c r="U457"/>
  <c r="U458"/>
  <c r="U459"/>
  <c r="U460"/>
  <c r="U461"/>
  <c r="U462"/>
  <c r="U463"/>
  <c r="U464"/>
  <c r="U465"/>
  <c r="U466"/>
  <c r="U467"/>
  <c r="U468"/>
  <c r="U469"/>
  <c r="U470"/>
  <c r="U471"/>
  <c r="U472"/>
  <c r="U473"/>
  <c r="U474"/>
  <c r="U475"/>
  <c r="U476"/>
  <c r="U477"/>
  <c r="U478"/>
  <c r="U479"/>
  <c r="U480"/>
  <c r="U481"/>
  <c r="U482"/>
  <c r="U483"/>
  <c r="U484"/>
  <c r="U485"/>
  <c r="U486"/>
  <c r="U487"/>
  <c r="U488"/>
  <c r="U489"/>
  <c r="U490"/>
  <c r="U491"/>
  <c r="U492"/>
  <c r="U493"/>
  <c r="U494"/>
  <c r="U495"/>
  <c r="U496"/>
  <c r="U497"/>
  <c r="U498"/>
  <c r="U499"/>
  <c r="U500"/>
  <c r="U501"/>
  <c r="U502"/>
  <c r="U503"/>
  <c r="U504"/>
  <c r="U505"/>
  <c r="U506"/>
  <c r="U507"/>
  <c r="U508"/>
  <c r="U509"/>
  <c r="U510"/>
  <c r="U511"/>
  <c r="U512"/>
  <c r="U513"/>
  <c r="U514"/>
  <c r="U515"/>
  <c r="U516"/>
  <c r="U517"/>
  <c r="U518"/>
  <c r="U519"/>
  <c r="U520"/>
  <c r="U521"/>
  <c r="U522"/>
  <c r="U523"/>
  <c r="U524"/>
  <c r="U525"/>
  <c r="U526"/>
  <c r="U527"/>
  <c r="U528"/>
  <c r="U529"/>
  <c r="U530"/>
  <c r="U531"/>
  <c r="U532"/>
  <c r="U533"/>
  <c r="U534"/>
  <c r="U535"/>
  <c r="U536"/>
  <c r="U537"/>
  <c r="U538"/>
  <c r="U539"/>
  <c r="U540"/>
  <c r="U541"/>
  <c r="U542"/>
  <c r="U543"/>
  <c r="U544"/>
  <c r="U545"/>
  <c r="U546"/>
  <c r="U547"/>
  <c r="U548"/>
  <c r="U549"/>
  <c r="U550"/>
  <c r="U551"/>
  <c r="U552"/>
  <c r="U553"/>
  <c r="U554"/>
  <c r="U555"/>
  <c r="U556"/>
  <c r="U557"/>
  <c r="U558"/>
  <c r="U559"/>
  <c r="U560"/>
  <c r="U561"/>
  <c r="U562"/>
  <c r="U563"/>
  <c r="U564"/>
  <c r="U565"/>
  <c r="U566"/>
  <c r="U567"/>
  <c r="U568"/>
  <c r="U569"/>
  <c r="U570"/>
  <c r="U571"/>
  <c r="U572"/>
  <c r="U573"/>
  <c r="U574"/>
  <c r="U575"/>
  <c r="U576"/>
  <c r="U577"/>
  <c r="U578"/>
  <c r="U579"/>
  <c r="U580"/>
  <c r="U581"/>
  <c r="U582"/>
  <c r="U583"/>
  <c r="U584"/>
  <c r="U585"/>
  <c r="U586"/>
  <c r="U587"/>
  <c r="U588"/>
  <c r="U589"/>
  <c r="U590"/>
  <c r="U591"/>
  <c r="U592"/>
  <c r="U593"/>
  <c r="U594"/>
  <c r="U595"/>
  <c r="U596"/>
  <c r="U597"/>
  <c r="U598"/>
  <c r="U599"/>
  <c r="U600"/>
  <c r="U601"/>
  <c r="U602"/>
  <c r="U603"/>
  <c r="U604"/>
  <c r="U605"/>
  <c r="U606"/>
  <c r="U607"/>
  <c r="U608"/>
  <c r="U609"/>
  <c r="U610"/>
  <c r="U611"/>
  <c r="U612"/>
  <c r="U613"/>
  <c r="U614"/>
  <c r="U615"/>
  <c r="U616"/>
  <c r="U617"/>
  <c r="U618"/>
  <c r="U619"/>
  <c r="U620"/>
  <c r="U621"/>
  <c r="U622"/>
  <c r="U623"/>
  <c r="U624"/>
  <c r="U625"/>
  <c r="U626"/>
  <c r="U627"/>
  <c r="U628"/>
  <c r="U629"/>
  <c r="U630"/>
  <c r="U631"/>
  <c r="U632"/>
  <c r="U633"/>
  <c r="U634"/>
  <c r="U635"/>
  <c r="U636"/>
  <c r="U637"/>
  <c r="U638"/>
  <c r="U639"/>
  <c r="U640"/>
  <c r="U641"/>
  <c r="U642"/>
  <c r="U643"/>
  <c r="U644"/>
  <c r="U645"/>
  <c r="U646"/>
  <c r="U647"/>
  <c r="U648"/>
  <c r="U649"/>
  <c r="U650"/>
  <c r="U651"/>
  <c r="U652"/>
  <c r="U653"/>
  <c r="U654"/>
  <c r="U655"/>
  <c r="U656"/>
  <c r="U657"/>
  <c r="U658"/>
  <c r="U659"/>
  <c r="U660"/>
  <c r="U661"/>
  <c r="U662"/>
  <c r="U663"/>
  <c r="U664"/>
  <c r="U665"/>
  <c r="U666"/>
  <c r="U667"/>
  <c r="U668"/>
  <c r="U669"/>
  <c r="U670"/>
  <c r="U671"/>
  <c r="U672"/>
  <c r="U673"/>
  <c r="U674"/>
  <c r="U675"/>
  <c r="U676"/>
  <c r="U677"/>
  <c r="U678"/>
  <c r="U679"/>
  <c r="U680"/>
  <c r="U681"/>
  <c r="U682"/>
  <c r="U683"/>
  <c r="U684"/>
  <c r="U685"/>
  <c r="U686"/>
  <c r="U687"/>
  <c r="U688"/>
  <c r="U689"/>
  <c r="U690"/>
  <c r="U691"/>
  <c r="U692"/>
  <c r="U693"/>
  <c r="U694"/>
  <c r="U695"/>
  <c r="U696"/>
  <c r="U697"/>
  <c r="U698"/>
  <c r="U699"/>
  <c r="U700"/>
  <c r="U701"/>
  <c r="U702"/>
  <c r="U703"/>
  <c r="U704"/>
  <c r="U705"/>
  <c r="U706"/>
  <c r="U707"/>
  <c r="U708"/>
  <c r="U709"/>
  <c r="U710"/>
  <c r="U711"/>
  <c r="U712"/>
  <c r="U713"/>
  <c r="U714"/>
  <c r="U715"/>
  <c r="U716"/>
  <c r="U717"/>
  <c r="U718"/>
  <c r="U719"/>
  <c r="U720"/>
  <c r="U721"/>
  <c r="U722"/>
  <c r="U723"/>
  <c r="U724"/>
  <c r="U725"/>
  <c r="U726"/>
  <c r="U727"/>
  <c r="U728"/>
  <c r="U729"/>
  <c r="U730"/>
  <c r="U731"/>
  <c r="U732"/>
  <c r="U733"/>
  <c r="U734"/>
  <c r="U735"/>
  <c r="U736"/>
  <c r="U737"/>
  <c r="U738"/>
  <c r="U739"/>
  <c r="U740"/>
  <c r="U741"/>
  <c r="U742"/>
  <c r="U743"/>
  <c r="U744"/>
  <c r="U745"/>
  <c r="U746"/>
  <c r="U747"/>
  <c r="U748"/>
  <c r="U749"/>
  <c r="U750"/>
  <c r="U751"/>
  <c r="U752"/>
  <c r="U753"/>
  <c r="U754"/>
  <c r="U755"/>
  <c r="U756"/>
  <c r="U757"/>
  <c r="U758"/>
  <c r="U759"/>
  <c r="U760"/>
  <c r="U761"/>
  <c r="U762"/>
  <c r="U763"/>
  <c r="U764"/>
  <c r="U765"/>
  <c r="U766"/>
  <c r="U767"/>
  <c r="U768"/>
  <c r="U769"/>
  <c r="U770"/>
  <c r="U771"/>
  <c r="U772"/>
  <c r="U773"/>
  <c r="U774"/>
  <c r="U775"/>
  <c r="U776"/>
  <c r="U777"/>
  <c r="U778"/>
  <c r="U779"/>
  <c r="U780"/>
  <c r="U781"/>
  <c r="U782"/>
  <c r="U783"/>
  <c r="U784"/>
  <c r="U785"/>
  <c r="U786"/>
  <c r="U787"/>
  <c r="U788"/>
  <c r="U789"/>
  <c r="U790"/>
  <c r="U791"/>
  <c r="U792"/>
  <c r="U793"/>
  <c r="U794"/>
  <c r="U795"/>
  <c r="U796"/>
  <c r="U797"/>
  <c r="U798"/>
  <c r="U799"/>
  <c r="U800"/>
  <c r="U801"/>
  <c r="U802"/>
  <c r="U803"/>
  <c r="U804"/>
  <c r="U805"/>
  <c r="U806"/>
  <c r="U807"/>
  <c r="U808"/>
  <c r="U809"/>
  <c r="U810"/>
  <c r="U811"/>
  <c r="U812"/>
  <c r="U813"/>
  <c r="U814"/>
  <c r="U815"/>
  <c r="U816"/>
  <c r="U817"/>
  <c r="U818"/>
  <c r="U819"/>
  <c r="U820"/>
  <c r="U821"/>
  <c r="U822"/>
  <c r="U823"/>
  <c r="U824"/>
  <c r="U825"/>
  <c r="U826"/>
  <c r="U827"/>
  <c r="U828"/>
  <c r="U829"/>
  <c r="U830"/>
  <c r="U831"/>
  <c r="U832"/>
  <c r="U833"/>
  <c r="U834"/>
  <c r="U835"/>
  <c r="U836"/>
  <c r="U837"/>
  <c r="U838"/>
  <c r="U839"/>
  <c r="U840"/>
  <c r="U841"/>
  <c r="U842"/>
  <c r="U843"/>
  <c r="U844"/>
  <c r="U845"/>
  <c r="U846"/>
  <c r="U847"/>
  <c r="U848"/>
  <c r="U849"/>
  <c r="U850"/>
  <c r="U851"/>
  <c r="U852"/>
  <c r="U853"/>
  <c r="U854"/>
  <c r="U855"/>
  <c r="U856"/>
  <c r="U857"/>
  <c r="U858"/>
  <c r="U859"/>
  <c r="U860"/>
  <c r="U861"/>
  <c r="U862"/>
  <c r="U863"/>
  <c r="U864"/>
  <c r="U865"/>
  <c r="U866"/>
  <c r="U867"/>
  <c r="U868"/>
  <c r="U869"/>
  <c r="U870"/>
  <c r="U871"/>
  <c r="U872"/>
  <c r="U873"/>
  <c r="U874"/>
  <c r="U875"/>
  <c r="U876"/>
  <c r="U877"/>
  <c r="U878"/>
  <c r="U879"/>
  <c r="U880"/>
  <c r="U881"/>
  <c r="U882"/>
  <c r="U883"/>
  <c r="U884"/>
  <c r="U885"/>
  <c r="U886"/>
  <c r="U887"/>
  <c r="U888"/>
  <c r="U889"/>
  <c r="U890"/>
  <c r="U891"/>
  <c r="U892"/>
  <c r="U893"/>
  <c r="U894"/>
  <c r="U895"/>
  <c r="U896"/>
  <c r="U897"/>
  <c r="U898"/>
  <c r="U899"/>
  <c r="U900"/>
  <c r="U901"/>
  <c r="U902"/>
  <c r="U903"/>
  <c r="U904"/>
  <c r="U905"/>
  <c r="U906"/>
  <c r="U907"/>
  <c r="U908"/>
  <c r="U909"/>
  <c r="U910"/>
  <c r="U911"/>
  <c r="U912"/>
  <c r="U913"/>
  <c r="U914"/>
  <c r="U915"/>
  <c r="U916"/>
  <c r="U917"/>
  <c r="U918"/>
  <c r="U919"/>
  <c r="U920"/>
  <c r="U921"/>
  <c r="U922"/>
  <c r="U923"/>
  <c r="U924"/>
  <c r="U925"/>
  <c r="U926"/>
  <c r="U927"/>
  <c r="U928"/>
  <c r="U929"/>
  <c r="U930"/>
  <c r="U931"/>
  <c r="U932"/>
  <c r="U933"/>
  <c r="U934"/>
  <c r="U935"/>
  <c r="U936"/>
  <c r="U937"/>
  <c r="U938"/>
  <c r="U939"/>
  <c r="U940"/>
  <c r="U941"/>
  <c r="U942"/>
  <c r="U943"/>
  <c r="U944"/>
  <c r="U945"/>
  <c r="U946"/>
  <c r="U947"/>
  <c r="U948"/>
  <c r="U949"/>
  <c r="U950"/>
  <c r="U951"/>
  <c r="U952"/>
  <c r="U953"/>
  <c r="U954"/>
  <c r="U955"/>
  <c r="U956"/>
  <c r="U957"/>
  <c r="U958"/>
  <c r="U959"/>
  <c r="U960"/>
  <c r="U961"/>
  <c r="U962"/>
  <c r="U963"/>
  <c r="U964"/>
  <c r="U965"/>
  <c r="U966"/>
  <c r="U967"/>
  <c r="U968"/>
  <c r="U969"/>
  <c r="U970"/>
  <c r="U971"/>
  <c r="U972"/>
  <c r="U973"/>
  <c r="U974"/>
  <c r="U975"/>
  <c r="U976"/>
  <c r="U977"/>
  <c r="U978"/>
  <c r="U979"/>
  <c r="U980"/>
  <c r="U981"/>
  <c r="U982"/>
  <c r="U983"/>
  <c r="U984"/>
  <c r="U985"/>
  <c r="U986"/>
  <c r="U987"/>
  <c r="U988"/>
  <c r="U989"/>
  <c r="U990"/>
  <c r="U991"/>
  <c r="U992"/>
  <c r="U993"/>
  <c r="U994"/>
  <c r="U995"/>
  <c r="U996"/>
  <c r="U997"/>
  <c r="U998"/>
  <c r="U999"/>
  <c r="U1000"/>
  <c r="U1001"/>
  <c r="U1002"/>
  <c r="U1003"/>
  <c r="U1004"/>
  <c r="U1005"/>
  <c r="U1006"/>
  <c r="U1007"/>
  <c r="U1008"/>
  <c r="U1009"/>
  <c r="U1010"/>
  <c r="U1011"/>
  <c r="U1012"/>
  <c r="U1013"/>
  <c r="U1014"/>
  <c r="U1015"/>
  <c r="U1016"/>
  <c r="U1017"/>
  <c r="U1018"/>
  <c r="U1019"/>
  <c r="U1020"/>
  <c r="U1021"/>
  <c r="U1022"/>
  <c r="U1023"/>
  <c r="U1024"/>
  <c r="U1025"/>
  <c r="U1026"/>
  <c r="U1027"/>
  <c r="U1028"/>
  <c r="U1029"/>
  <c r="U1030"/>
  <c r="U1031"/>
  <c r="U1032"/>
  <c r="U1033"/>
  <c r="U1034"/>
  <c r="U1035"/>
  <c r="U1036"/>
  <c r="U1037"/>
  <c r="U1038"/>
  <c r="U1039"/>
  <c r="U1040"/>
  <c r="U1041"/>
  <c r="U1042"/>
  <c r="U1043"/>
  <c r="U1044"/>
  <c r="U1045"/>
  <c r="U1046"/>
  <c r="U1047"/>
  <c r="U1048"/>
  <c r="U1049"/>
  <c r="U1050"/>
  <c r="U1051"/>
  <c r="U1052"/>
  <c r="U1053"/>
  <c r="U1054"/>
  <c r="U1055"/>
  <c r="U1056"/>
  <c r="U1057"/>
  <c r="U1058"/>
  <c r="U1059"/>
  <c r="U1060"/>
  <c r="U1061"/>
  <c r="U1062"/>
  <c r="U1063"/>
  <c r="U1064"/>
  <c r="U1065"/>
  <c r="U1066"/>
  <c r="U1067"/>
  <c r="U1068"/>
  <c r="U1069"/>
  <c r="U1070"/>
  <c r="U1071"/>
  <c r="U1072"/>
  <c r="U1073"/>
  <c r="U1074"/>
  <c r="U1075"/>
  <c r="U1076"/>
  <c r="U1077"/>
  <c r="U1078"/>
  <c r="U1079"/>
  <c r="U1080"/>
  <c r="U1081"/>
  <c r="U1082"/>
  <c r="U1083"/>
  <c r="U1084"/>
  <c r="U1085"/>
  <c r="U1086"/>
  <c r="U1087"/>
  <c r="U1088"/>
  <c r="U1089"/>
  <c r="U1090"/>
  <c r="U1091"/>
  <c r="U1092"/>
  <c r="U1093"/>
  <c r="U1094"/>
  <c r="U1095"/>
  <c r="U1096"/>
  <c r="U1097"/>
  <c r="U1098"/>
  <c r="U1099"/>
  <c r="U1100"/>
  <c r="U1101"/>
  <c r="U1102"/>
  <c r="U1103"/>
  <c r="U1104"/>
  <c r="U1105"/>
  <c r="U1106"/>
  <c r="U1107"/>
  <c r="U1108"/>
  <c r="U1109"/>
  <c r="U1110"/>
  <c r="U1111"/>
  <c r="U1112"/>
  <c r="U1113"/>
  <c r="U1114"/>
  <c r="U1115"/>
  <c r="U1116"/>
  <c r="U1117"/>
  <c r="U1118"/>
  <c r="U1119"/>
  <c r="U1120"/>
  <c r="U1121"/>
  <c r="U1122"/>
  <c r="U1123"/>
  <c r="U1124"/>
  <c r="U1125"/>
  <c r="U1126"/>
  <c r="U1127"/>
  <c r="U1128"/>
  <c r="U1129"/>
  <c r="U1130"/>
  <c r="U1131"/>
  <c r="U1132"/>
  <c r="U1133"/>
  <c r="U1134"/>
  <c r="U1135"/>
  <c r="U1136"/>
  <c r="U1137"/>
  <c r="U1138"/>
  <c r="U1139"/>
  <c r="U1140"/>
  <c r="U1141"/>
  <c r="U1142"/>
  <c r="U1143"/>
  <c r="U1144"/>
  <c r="U1145"/>
  <c r="U1146"/>
  <c r="U1147"/>
  <c r="U1148"/>
  <c r="U1149"/>
  <c r="U1150"/>
  <c r="U1151"/>
  <c r="U1152"/>
  <c r="U1153"/>
  <c r="U1154"/>
  <c r="U1155"/>
  <c r="U1156"/>
  <c r="U1157"/>
  <c r="U1158"/>
  <c r="U1159"/>
  <c r="U1160"/>
  <c r="U1161"/>
  <c r="U1162"/>
  <c r="U1163"/>
  <c r="U1164"/>
  <c r="U1165"/>
  <c r="U1166"/>
  <c r="U1167"/>
  <c r="U1168"/>
  <c r="U1169"/>
  <c r="U1170"/>
  <c r="U1171"/>
  <c r="U1172"/>
  <c r="U1173"/>
  <c r="U1174"/>
  <c r="U1175"/>
  <c r="U1176"/>
  <c r="U1177"/>
  <c r="U1178"/>
  <c r="U1179"/>
  <c r="U1180"/>
  <c r="U1181"/>
  <c r="U1182"/>
  <c r="U1183"/>
  <c r="U1184"/>
  <c r="U1185"/>
  <c r="U1186"/>
  <c r="U1187"/>
  <c r="U1188"/>
  <c r="U1189"/>
  <c r="U1190"/>
  <c r="U1191"/>
  <c r="U1192"/>
  <c r="U1193"/>
  <c r="U1194"/>
  <c r="U1195"/>
  <c r="U1196"/>
  <c r="U1197"/>
  <c r="U1198"/>
  <c r="U1199"/>
  <c r="U1200"/>
  <c r="U1201"/>
  <c r="U1202"/>
  <c r="U1203"/>
  <c r="U1204"/>
  <c r="U1205"/>
  <c r="U1206"/>
  <c r="U1207"/>
  <c r="U1208"/>
  <c r="U1209"/>
  <c r="U1210"/>
  <c r="U1211"/>
  <c r="U1212"/>
  <c r="U1213"/>
  <c r="U1214"/>
  <c r="U1215"/>
  <c r="U1216"/>
  <c r="U1217"/>
  <c r="U1218"/>
  <c r="U1219"/>
  <c r="U1220"/>
  <c r="U1221"/>
  <c r="U1222"/>
  <c r="U1223"/>
  <c r="U1224"/>
  <c r="U1225"/>
  <c r="U1226"/>
  <c r="U1227"/>
  <c r="U1228"/>
  <c r="U1229"/>
  <c r="U1230"/>
  <c r="U1231"/>
  <c r="U1232"/>
  <c r="U1233"/>
  <c r="U1234"/>
  <c r="U1235"/>
  <c r="U1236"/>
  <c r="U1237"/>
  <c r="U1238"/>
  <c r="U1239"/>
  <c r="U1240"/>
  <c r="U1241"/>
  <c r="U1242"/>
  <c r="U1243"/>
  <c r="U1244"/>
  <c r="U1245"/>
  <c r="U1246"/>
  <c r="U1247"/>
  <c r="U1248"/>
  <c r="U1249"/>
  <c r="U1250"/>
  <c r="U1251"/>
  <c r="U1252"/>
  <c r="U1253"/>
  <c r="U1254"/>
  <c r="U1255"/>
  <c r="U1256"/>
  <c r="U1257"/>
  <c r="U1258"/>
  <c r="U1259"/>
  <c r="U1260"/>
  <c r="U1261"/>
  <c r="U1262"/>
  <c r="U1263"/>
  <c r="U1264"/>
  <c r="U1265"/>
  <c r="U1266"/>
  <c r="U1267"/>
  <c r="U1268"/>
  <c r="U1269"/>
  <c r="U1270"/>
  <c r="U1271"/>
  <c r="U1272"/>
  <c r="U1273"/>
  <c r="U1274"/>
  <c r="U1275"/>
  <c r="U1276"/>
  <c r="U1277"/>
  <c r="U1278"/>
  <c r="U1279"/>
  <c r="U1280"/>
  <c r="U1281"/>
  <c r="U1282"/>
  <c r="U1283"/>
  <c r="U1284"/>
  <c r="U1285"/>
  <c r="U1286"/>
  <c r="U1287"/>
  <c r="U1288"/>
  <c r="U1289"/>
  <c r="U1290"/>
  <c r="U1291"/>
  <c r="U1292"/>
  <c r="U1293"/>
  <c r="U1294"/>
  <c r="U1295"/>
  <c r="U1296"/>
  <c r="U1297"/>
  <c r="U1298"/>
  <c r="U1299"/>
  <c r="U1300"/>
  <c r="U1301"/>
  <c r="U1302"/>
  <c r="U1303"/>
  <c r="U1304"/>
  <c r="U1305"/>
  <c r="U1306"/>
  <c r="U1307"/>
  <c r="U1308"/>
  <c r="U1309"/>
  <c r="U1310"/>
  <c r="U1311"/>
  <c r="U1312"/>
  <c r="U1313"/>
  <c r="U1314"/>
  <c r="U1315"/>
  <c r="U1316"/>
  <c r="U1317"/>
  <c r="U1318"/>
  <c r="U1319"/>
  <c r="U1320"/>
  <c r="U1321"/>
  <c r="U1322"/>
  <c r="U1323"/>
  <c r="U1324"/>
  <c r="U1325"/>
  <c r="U1326"/>
  <c r="U1327"/>
  <c r="U1328"/>
  <c r="U1329"/>
  <c r="U1330"/>
  <c r="U1331"/>
  <c r="U1332"/>
  <c r="U1333"/>
  <c r="U1334"/>
  <c r="U1335"/>
  <c r="U1336"/>
  <c r="U1337"/>
  <c r="U1338"/>
  <c r="U1339"/>
  <c r="U1340"/>
  <c r="U1341"/>
  <c r="U1342"/>
  <c r="U1343"/>
  <c r="U1344"/>
  <c r="U1345"/>
  <c r="U1346"/>
  <c r="U1347"/>
  <c r="U1348"/>
  <c r="U1349"/>
  <c r="U1350"/>
  <c r="U1351"/>
  <c r="U1352"/>
  <c r="U1353"/>
  <c r="U1354"/>
  <c r="U1355"/>
  <c r="U1356"/>
  <c r="U1357"/>
  <c r="U1358"/>
  <c r="U1359"/>
  <c r="U1360"/>
  <c r="U1361"/>
  <c r="U1362"/>
  <c r="U1363"/>
  <c r="U1364"/>
  <c r="U1365"/>
  <c r="U1366"/>
  <c r="U1367"/>
  <c r="U1368"/>
  <c r="U1369"/>
  <c r="U1370"/>
  <c r="U1371"/>
  <c r="U1372"/>
  <c r="U1373"/>
  <c r="U1374"/>
  <c r="U1375"/>
  <c r="U1376"/>
  <c r="U1377"/>
  <c r="U1378"/>
  <c r="U1379"/>
  <c r="U1380"/>
  <c r="U1381"/>
  <c r="U1382"/>
  <c r="U1383"/>
  <c r="U1384"/>
  <c r="U1385"/>
  <c r="U1386"/>
  <c r="U1387"/>
  <c r="U1388"/>
  <c r="U1389"/>
  <c r="U1390"/>
  <c r="U1391"/>
  <c r="U1392"/>
  <c r="U1393"/>
  <c r="U1394"/>
  <c r="U1395"/>
  <c r="U1396"/>
  <c r="U1397"/>
  <c r="U1398"/>
  <c r="U1399"/>
  <c r="U1400"/>
  <c r="U1401"/>
  <c r="U1402"/>
  <c r="U1403"/>
  <c r="U1404"/>
  <c r="U1405"/>
  <c r="U1406"/>
  <c r="U1407"/>
  <c r="U1408"/>
  <c r="U1409"/>
  <c r="U1410"/>
  <c r="U1411"/>
  <c r="U1412"/>
  <c r="U1413"/>
  <c r="U1414"/>
  <c r="U1415"/>
  <c r="U1416"/>
  <c r="U1417"/>
  <c r="U1418"/>
  <c r="U1419"/>
  <c r="U1420"/>
  <c r="U1421"/>
  <c r="U1422"/>
  <c r="U1423"/>
  <c r="U1424"/>
  <c r="U1425"/>
  <c r="U1426"/>
  <c r="U1427"/>
  <c r="U1428"/>
  <c r="U1429"/>
  <c r="U1430"/>
  <c r="U1431"/>
  <c r="U1432"/>
  <c r="U1433"/>
  <c r="U1434"/>
  <c r="U1435"/>
  <c r="U1436"/>
  <c r="U1437"/>
  <c r="U1438"/>
  <c r="U1439"/>
  <c r="U1440"/>
  <c r="U1441"/>
  <c r="U1442"/>
  <c r="U1443"/>
  <c r="U1444"/>
  <c r="U1445"/>
  <c r="U1446"/>
  <c r="U1447"/>
  <c r="U1448"/>
  <c r="U1449"/>
  <c r="U1450"/>
  <c r="U1451"/>
  <c r="U1452"/>
  <c r="U1453"/>
  <c r="U1454"/>
  <c r="U1455"/>
  <c r="U1456"/>
  <c r="U1457"/>
  <c r="U1458"/>
  <c r="U1459"/>
  <c r="U1460"/>
  <c r="U1461"/>
  <c r="U1462"/>
  <c r="U1463"/>
  <c r="U1464"/>
  <c r="U1465"/>
  <c r="U1466"/>
  <c r="U1467"/>
  <c r="U1468"/>
  <c r="U1469"/>
  <c r="U1470"/>
  <c r="U1471"/>
  <c r="U1472"/>
  <c r="U1473"/>
  <c r="U1474"/>
  <c r="U1475"/>
  <c r="U1476"/>
  <c r="U1477"/>
  <c r="U1478"/>
  <c r="U1479"/>
  <c r="U1480"/>
  <c r="U1481"/>
  <c r="U1482"/>
  <c r="U1483"/>
  <c r="U1484"/>
  <c r="U1485"/>
  <c r="U1486"/>
  <c r="U1487"/>
  <c r="U1488"/>
  <c r="U1489"/>
  <c r="U1490"/>
  <c r="U1491"/>
  <c r="U1492"/>
  <c r="U1493"/>
  <c r="U1494"/>
  <c r="U1495"/>
  <c r="U1496"/>
  <c r="U1497"/>
  <c r="U1498"/>
  <c r="U1499"/>
  <c r="U1500"/>
  <c r="U1501"/>
  <c r="U1502"/>
  <c r="U1503"/>
  <c r="U1504"/>
  <c r="U1505"/>
  <c r="U1506"/>
  <c r="U1507"/>
  <c r="U1508"/>
  <c r="U1509"/>
  <c r="U1510"/>
  <c r="U1511"/>
  <c r="U1512"/>
  <c r="U1513"/>
  <c r="U1514"/>
  <c r="U1515"/>
  <c r="U1516"/>
  <c r="U1517"/>
  <c r="U1518"/>
  <c r="U1519"/>
  <c r="U1520"/>
  <c r="U1521"/>
  <c r="U1522"/>
  <c r="U1523"/>
  <c r="U1524"/>
  <c r="U1525"/>
  <c r="U1526"/>
  <c r="U1527"/>
  <c r="U1528"/>
  <c r="U1529"/>
  <c r="U1530"/>
  <c r="U1531"/>
  <c r="U1532"/>
  <c r="U1533"/>
  <c r="U1534"/>
  <c r="U1535"/>
  <c r="U1536"/>
  <c r="U1537"/>
  <c r="U1538"/>
  <c r="U1539"/>
  <c r="U1540"/>
  <c r="U1541"/>
  <c r="U1542"/>
  <c r="U1543"/>
  <c r="U1544"/>
  <c r="U1545"/>
  <c r="U1546"/>
  <c r="U1547"/>
  <c r="U1548"/>
  <c r="U1549"/>
  <c r="U1550"/>
  <c r="U1551"/>
  <c r="U1552"/>
  <c r="U1553"/>
  <c r="U1554"/>
  <c r="U1555"/>
  <c r="U1556"/>
  <c r="U1557"/>
  <c r="U1558"/>
  <c r="U1559"/>
  <c r="U1560"/>
  <c r="U1561"/>
  <c r="U1562"/>
  <c r="U1563"/>
  <c r="U1564"/>
  <c r="U1565"/>
  <c r="U1566"/>
  <c r="U1567"/>
  <c r="U1568"/>
  <c r="U1569"/>
  <c r="U1570"/>
  <c r="U1571"/>
  <c r="U1572"/>
  <c r="U1573"/>
  <c r="U1574"/>
  <c r="U1575"/>
  <c r="U1576"/>
  <c r="U1577"/>
  <c r="U1578"/>
  <c r="U1579"/>
  <c r="U1580"/>
  <c r="U1581"/>
  <c r="U1582"/>
  <c r="U1583"/>
  <c r="U1584"/>
  <c r="U1585"/>
  <c r="U1586"/>
  <c r="U1587"/>
  <c r="U1588"/>
  <c r="U1589"/>
  <c r="U1590"/>
  <c r="U1591"/>
  <c r="U1592"/>
  <c r="U1593"/>
  <c r="U1594"/>
  <c r="U1595"/>
  <c r="U1596"/>
  <c r="U1597"/>
  <c r="U1598"/>
  <c r="U1599"/>
  <c r="U1600"/>
  <c r="U1601"/>
  <c r="U1602"/>
  <c r="U1603"/>
  <c r="U1604"/>
  <c r="U1605"/>
  <c r="U1606"/>
  <c r="U1607"/>
  <c r="U1608"/>
  <c r="U1609"/>
  <c r="U1610"/>
  <c r="U1611"/>
  <c r="U1612"/>
  <c r="U1613"/>
  <c r="U1614"/>
  <c r="U1615"/>
  <c r="U1616"/>
  <c r="U1617"/>
  <c r="U1618"/>
  <c r="U1619"/>
  <c r="U1620"/>
  <c r="U1621"/>
  <c r="U1622"/>
  <c r="U1623"/>
  <c r="U1624"/>
  <c r="U1625"/>
  <c r="U1626"/>
  <c r="U1627"/>
  <c r="U1628"/>
  <c r="U1629"/>
  <c r="U1630"/>
  <c r="U1631"/>
  <c r="U1632"/>
  <c r="U1633"/>
  <c r="U1634"/>
  <c r="U1635"/>
  <c r="U1636"/>
  <c r="U1637"/>
  <c r="U1638"/>
  <c r="U1639"/>
  <c r="U1640"/>
  <c r="U1641"/>
  <c r="U1642"/>
  <c r="U1643"/>
  <c r="U1644"/>
  <c r="U1645"/>
  <c r="U1646"/>
  <c r="U1647"/>
  <c r="U1648"/>
  <c r="U1649"/>
  <c r="U1650"/>
  <c r="U1651"/>
  <c r="U1652"/>
  <c r="U1653"/>
  <c r="U1654"/>
  <c r="U1655"/>
  <c r="U1656"/>
  <c r="U1657"/>
  <c r="U1658"/>
  <c r="U1659"/>
  <c r="U1660"/>
  <c r="U1661"/>
  <c r="U1662"/>
  <c r="U1663"/>
  <c r="U1664"/>
  <c r="U1665"/>
  <c r="U1666"/>
  <c r="U1667"/>
  <c r="U1668"/>
  <c r="U1669"/>
  <c r="U1670"/>
  <c r="U1671"/>
  <c r="U1672"/>
  <c r="U1673"/>
  <c r="U1674"/>
  <c r="U1675"/>
  <c r="U1676"/>
  <c r="U1677"/>
  <c r="U1678"/>
  <c r="U1679"/>
  <c r="U1680"/>
  <c r="U1681"/>
  <c r="U1682"/>
  <c r="U1683"/>
  <c r="U1684"/>
  <c r="U1685"/>
  <c r="U1686"/>
  <c r="U1687"/>
  <c r="U1688"/>
  <c r="U1689"/>
  <c r="U1690"/>
  <c r="U1691"/>
  <c r="U1692"/>
  <c r="U1693"/>
  <c r="U1694"/>
  <c r="U1695"/>
  <c r="U1696"/>
  <c r="U1697"/>
  <c r="U1698"/>
  <c r="U1699"/>
  <c r="U1700"/>
  <c r="U1701"/>
  <c r="U1702"/>
  <c r="U1703"/>
  <c r="U1704"/>
  <c r="U1705"/>
  <c r="U1706"/>
  <c r="U1707"/>
  <c r="U1708"/>
  <c r="U1709"/>
  <c r="U1710"/>
  <c r="U1711"/>
  <c r="U1712"/>
  <c r="U1713"/>
  <c r="U1714"/>
  <c r="U1715"/>
  <c r="U1716"/>
  <c r="U1717"/>
  <c r="U1718"/>
  <c r="U1719"/>
  <c r="U1720"/>
  <c r="U1721"/>
  <c r="U1722"/>
  <c r="U1723"/>
  <c r="U1724"/>
  <c r="U1725"/>
  <c r="U1726"/>
  <c r="U1727"/>
  <c r="U1728"/>
  <c r="U1729"/>
  <c r="U1730"/>
  <c r="U1731"/>
  <c r="U1732"/>
  <c r="U1733"/>
  <c r="U1734"/>
  <c r="U1735"/>
  <c r="U1736"/>
  <c r="U1737"/>
  <c r="U1738"/>
  <c r="U1739"/>
  <c r="U1740"/>
  <c r="U1741"/>
  <c r="U1742"/>
  <c r="U1743"/>
  <c r="U1744"/>
  <c r="U1745"/>
  <c r="U1746"/>
  <c r="U1747"/>
  <c r="U1748"/>
  <c r="U1749"/>
  <c r="U1750"/>
  <c r="U1751"/>
  <c r="U1752"/>
  <c r="U1753"/>
  <c r="U1754"/>
  <c r="U1755"/>
  <c r="U1756"/>
  <c r="U1757"/>
  <c r="U1758"/>
  <c r="U1759"/>
  <c r="U1760"/>
  <c r="U1761"/>
  <c r="U1762"/>
  <c r="U1763"/>
  <c r="U1764"/>
  <c r="U1765"/>
  <c r="U1766"/>
  <c r="U1767"/>
  <c r="U1768"/>
  <c r="U1769"/>
  <c r="U1770"/>
  <c r="U1771"/>
  <c r="U1772"/>
  <c r="U1773"/>
  <c r="U1774"/>
  <c r="U1775"/>
  <c r="U1776"/>
  <c r="U1777"/>
  <c r="U1778"/>
  <c r="U1779"/>
  <c r="U1780"/>
  <c r="U1781"/>
  <c r="U1782"/>
  <c r="U1783"/>
  <c r="U1784"/>
  <c r="U1785"/>
  <c r="U1786"/>
  <c r="U1787"/>
  <c r="U1788"/>
  <c r="U1789"/>
  <c r="U1790"/>
  <c r="U1791"/>
  <c r="U1792"/>
  <c r="U1793"/>
  <c r="U1794"/>
  <c r="U1795"/>
  <c r="U1796"/>
  <c r="U1797"/>
  <c r="U1798"/>
  <c r="U1799"/>
  <c r="U1800"/>
  <c r="U1801"/>
  <c r="U1802"/>
  <c r="U1803"/>
  <c r="U1804"/>
  <c r="U1805"/>
  <c r="U1806"/>
  <c r="U1807"/>
  <c r="U1808"/>
  <c r="U1809"/>
  <c r="U1810"/>
  <c r="U1811"/>
  <c r="U1812"/>
  <c r="U1813"/>
  <c r="U1814"/>
  <c r="U1815"/>
  <c r="U1816"/>
  <c r="U1817"/>
  <c r="U1818"/>
  <c r="U1819"/>
  <c r="U1820"/>
  <c r="U1821"/>
  <c r="U1822"/>
  <c r="U1823"/>
  <c r="U1824"/>
  <c r="U1825"/>
  <c r="U1826"/>
  <c r="U1827"/>
  <c r="U1828"/>
  <c r="U1829"/>
  <c r="U1830"/>
  <c r="U1831"/>
  <c r="U1832"/>
  <c r="U1833"/>
  <c r="U1834"/>
  <c r="U1835"/>
  <c r="U1836"/>
  <c r="U1837"/>
  <c r="U1838"/>
  <c r="U1839"/>
  <c r="U1840"/>
  <c r="U1841"/>
  <c r="U1842"/>
  <c r="U1843"/>
  <c r="U1844"/>
  <c r="U1845"/>
  <c r="U1846"/>
  <c r="U1847"/>
  <c r="U1848"/>
  <c r="U1849"/>
  <c r="U1850"/>
  <c r="U1851"/>
  <c r="U1852"/>
  <c r="U1853"/>
  <c r="U1854"/>
  <c r="U1855"/>
  <c r="U1856"/>
  <c r="U1857"/>
  <c r="U1858"/>
  <c r="U1859"/>
  <c r="U1860"/>
  <c r="U1861"/>
  <c r="U1862"/>
  <c r="U1863"/>
  <c r="U1864"/>
  <c r="U1865"/>
  <c r="U1866"/>
  <c r="U1867"/>
  <c r="U1868"/>
  <c r="U1869"/>
  <c r="U1870"/>
  <c r="U1871"/>
  <c r="U1872"/>
  <c r="U1873"/>
  <c r="U1874"/>
  <c r="U1875"/>
  <c r="U1876"/>
  <c r="U1877"/>
  <c r="U1878"/>
  <c r="U1879"/>
  <c r="U1880"/>
  <c r="U1881"/>
  <c r="U1882"/>
  <c r="U1883"/>
  <c r="U1884"/>
  <c r="U1885"/>
  <c r="U1886"/>
  <c r="U1887"/>
  <c r="U1888"/>
  <c r="U1889"/>
  <c r="U1890"/>
  <c r="U1891"/>
  <c r="U1892"/>
  <c r="U1893"/>
  <c r="U1894"/>
  <c r="U1895"/>
  <c r="U1896"/>
  <c r="U1897"/>
  <c r="U1898"/>
  <c r="U1899"/>
  <c r="U1900"/>
  <c r="U1901"/>
  <c r="U1902"/>
  <c r="U1903"/>
  <c r="U1904"/>
  <c r="U1905"/>
  <c r="U1906"/>
  <c r="U1907"/>
  <c r="U1908"/>
  <c r="U1909"/>
  <c r="U1910"/>
  <c r="U1911"/>
  <c r="U1912"/>
  <c r="U1913"/>
  <c r="U1914"/>
  <c r="U1915"/>
  <c r="U1916"/>
  <c r="U1917"/>
  <c r="U1918"/>
  <c r="U1919"/>
  <c r="U1920"/>
  <c r="U1921"/>
  <c r="U1922"/>
  <c r="U1923"/>
  <c r="U1924"/>
  <c r="U1925"/>
  <c r="U1926"/>
  <c r="U1927"/>
  <c r="U1928"/>
  <c r="U1929"/>
  <c r="U1930"/>
  <c r="U1931"/>
  <c r="U1932"/>
  <c r="U1933"/>
  <c r="U1934"/>
  <c r="U1935"/>
  <c r="U1936"/>
  <c r="U1937"/>
  <c r="U1938"/>
  <c r="U1939"/>
  <c r="U1940"/>
  <c r="U1941"/>
  <c r="U1942"/>
  <c r="U1943"/>
  <c r="U1944"/>
  <c r="U1945"/>
  <c r="U1946"/>
  <c r="U1947"/>
  <c r="U1948"/>
  <c r="U1949"/>
  <c r="U1950"/>
  <c r="U1951"/>
  <c r="U1952"/>
  <c r="U1953"/>
  <c r="U1954"/>
  <c r="U1955"/>
  <c r="U1956"/>
  <c r="U1957"/>
  <c r="U1958"/>
  <c r="U1959"/>
  <c r="U1960"/>
  <c r="U1961"/>
  <c r="U1962"/>
  <c r="U1963"/>
  <c r="U1964"/>
  <c r="U1965"/>
  <c r="U1966"/>
  <c r="U1967"/>
  <c r="U1968"/>
  <c r="U1969"/>
  <c r="U1970"/>
  <c r="U1971"/>
  <c r="U1972"/>
  <c r="U1973"/>
  <c r="U1974"/>
  <c r="U1975"/>
  <c r="U1976"/>
  <c r="U1977"/>
  <c r="U1978"/>
  <c r="U1979"/>
  <c r="U1980"/>
  <c r="U1981"/>
  <c r="U1982"/>
  <c r="U1983"/>
  <c r="U1984"/>
  <c r="U1985"/>
  <c r="U1986"/>
  <c r="U1987"/>
  <c r="U1988"/>
  <c r="U1989"/>
  <c r="U1990"/>
  <c r="U1991"/>
  <c r="U1992"/>
  <c r="U1993"/>
  <c r="U1994"/>
  <c r="U1995"/>
  <c r="U1996"/>
  <c r="U1997"/>
  <c r="U1998"/>
  <c r="U1999"/>
  <c r="U2000"/>
  <c r="U2001"/>
  <c r="U2002"/>
  <c r="U2003"/>
  <c r="U2004"/>
  <c r="U2005"/>
  <c r="U2006"/>
  <c r="U2007"/>
  <c r="U2008"/>
  <c r="U2009"/>
  <c r="U2010"/>
  <c r="U2011"/>
  <c r="U2012"/>
  <c r="U2013"/>
  <c r="U2014"/>
  <c r="U2015"/>
  <c r="U2016"/>
  <c r="U2017"/>
  <c r="U2018"/>
  <c r="U2019"/>
  <c r="U2020"/>
  <c r="U2021"/>
  <c r="U2022"/>
  <c r="U2023"/>
  <c r="U2024"/>
  <c r="U2025"/>
  <c r="U2026"/>
  <c r="U2027"/>
  <c r="U2028"/>
  <c r="U2029"/>
  <c r="U2030"/>
  <c r="U2031"/>
  <c r="U2032"/>
  <c r="U2033"/>
  <c r="U2034"/>
  <c r="U2035"/>
  <c r="U2036"/>
  <c r="U2037"/>
  <c r="U2038"/>
  <c r="U2039"/>
  <c r="U2040"/>
  <c r="U2041"/>
  <c r="U2042"/>
  <c r="U2043"/>
  <c r="U2044"/>
  <c r="U2045"/>
  <c r="U2046"/>
  <c r="U2047"/>
  <c r="U2048"/>
  <c r="U2049"/>
  <c r="U2050"/>
  <c r="U2051"/>
  <c r="U2052"/>
  <c r="U2053"/>
  <c r="U2054"/>
  <c r="U2055"/>
  <c r="U2056"/>
  <c r="U2057"/>
  <c r="U2058"/>
  <c r="U2059"/>
  <c r="U2060"/>
  <c r="U2061"/>
  <c r="U2062"/>
  <c r="U2063"/>
  <c r="U2064"/>
  <c r="U2065"/>
  <c r="U2066"/>
  <c r="U2067"/>
  <c r="U2068"/>
  <c r="U2069"/>
  <c r="U2070"/>
  <c r="U2071"/>
  <c r="U2072"/>
  <c r="U2073"/>
  <c r="U2074"/>
  <c r="U2075"/>
  <c r="U2076"/>
  <c r="U2077"/>
  <c r="U2078"/>
  <c r="U2079"/>
  <c r="U2080"/>
  <c r="U2081"/>
  <c r="U2082"/>
  <c r="U2083"/>
  <c r="U2084"/>
  <c r="U2085"/>
  <c r="U2086"/>
  <c r="U2087"/>
  <c r="U2088"/>
  <c r="U2089"/>
  <c r="U2090"/>
  <c r="U2091"/>
  <c r="U2092"/>
  <c r="U2093"/>
  <c r="U2094"/>
  <c r="U2095"/>
  <c r="U2096"/>
  <c r="U2097"/>
  <c r="U2098"/>
  <c r="U2099"/>
  <c r="U2100"/>
  <c r="U2101"/>
  <c r="U2102"/>
  <c r="U2103"/>
  <c r="U2104"/>
  <c r="U2105"/>
  <c r="U2106"/>
  <c r="U2107"/>
  <c r="U2108"/>
  <c r="U2109"/>
  <c r="U2110"/>
  <c r="U2111"/>
  <c r="U2112"/>
  <c r="U2113"/>
  <c r="U2114"/>
  <c r="U2115"/>
  <c r="U2116"/>
  <c r="U2117"/>
  <c r="U2118"/>
  <c r="U2119"/>
  <c r="U2120"/>
  <c r="U2121"/>
  <c r="U2122"/>
  <c r="U2123"/>
  <c r="U2124"/>
  <c r="U2125"/>
  <c r="U2126"/>
  <c r="U2127"/>
  <c r="U2128"/>
  <c r="U2129"/>
  <c r="U2130"/>
  <c r="U2131"/>
  <c r="U2132"/>
  <c r="U2133"/>
  <c r="U2134"/>
  <c r="U2135"/>
  <c r="U2136"/>
  <c r="U2137"/>
  <c r="U2138"/>
  <c r="U2139"/>
  <c r="U2140"/>
  <c r="U2141"/>
  <c r="U2142"/>
  <c r="U2143"/>
  <c r="U2144"/>
  <c r="U2145"/>
  <c r="U2146"/>
  <c r="U2147"/>
  <c r="U2148"/>
  <c r="U2149"/>
  <c r="U2150"/>
  <c r="U2151"/>
  <c r="U2152"/>
  <c r="U2153"/>
  <c r="U2154"/>
  <c r="U2155"/>
  <c r="U2156"/>
  <c r="U2157"/>
  <c r="U2158"/>
  <c r="U2159"/>
  <c r="U2160"/>
  <c r="U2161"/>
  <c r="U2162"/>
  <c r="U2163"/>
  <c r="U2164"/>
  <c r="U2165"/>
  <c r="U2166"/>
  <c r="U2167"/>
  <c r="U2168"/>
  <c r="U2169"/>
  <c r="U2170"/>
  <c r="U2171"/>
  <c r="U2172"/>
  <c r="U2173"/>
  <c r="U2174"/>
  <c r="U2175"/>
  <c r="U2176"/>
  <c r="U2177"/>
  <c r="U2178"/>
  <c r="U2179"/>
  <c r="U2180"/>
  <c r="U2181"/>
  <c r="U2182"/>
  <c r="U2183"/>
  <c r="U2184"/>
  <c r="U2185"/>
  <c r="U2186"/>
  <c r="U2187"/>
  <c r="U2188"/>
  <c r="U2189"/>
  <c r="U2190"/>
  <c r="U2191"/>
  <c r="U2192"/>
  <c r="U2193"/>
  <c r="U2194"/>
  <c r="U2195"/>
  <c r="U2196"/>
  <c r="U2197"/>
  <c r="U2198"/>
  <c r="U2199"/>
  <c r="U2200"/>
  <c r="U2201"/>
  <c r="U2202"/>
  <c r="U2203"/>
  <c r="U2204"/>
  <c r="U2205"/>
  <c r="U2206"/>
  <c r="U2207"/>
  <c r="U2208"/>
  <c r="U2209"/>
  <c r="U2210"/>
  <c r="U2211"/>
  <c r="U2212"/>
  <c r="U2213"/>
  <c r="U2214"/>
  <c r="U2215"/>
  <c r="U2216"/>
  <c r="U2217"/>
  <c r="U2218"/>
  <c r="U2219"/>
  <c r="U2220"/>
  <c r="U2221"/>
  <c r="U2222"/>
  <c r="U2223"/>
  <c r="U2224"/>
  <c r="U2225"/>
  <c r="U2226"/>
  <c r="U2227"/>
  <c r="U2228"/>
  <c r="U2229"/>
  <c r="U2230"/>
  <c r="U2231"/>
  <c r="U2232"/>
  <c r="U2233"/>
  <c r="U2234"/>
  <c r="U2235"/>
  <c r="U2236"/>
  <c r="U2237"/>
  <c r="U2238"/>
  <c r="U2239"/>
  <c r="U2240"/>
  <c r="U2241"/>
  <c r="U2242"/>
  <c r="U2243"/>
  <c r="U2244"/>
  <c r="U2245"/>
  <c r="U2246"/>
  <c r="U2247"/>
  <c r="U2248"/>
  <c r="U2249"/>
  <c r="U2250"/>
  <c r="U2251"/>
  <c r="U2252"/>
  <c r="U2253"/>
  <c r="U2254"/>
  <c r="U2255"/>
  <c r="U2256"/>
  <c r="U2257"/>
  <c r="U2258"/>
  <c r="U2259"/>
  <c r="U2260"/>
  <c r="U2261"/>
  <c r="U2262"/>
  <c r="U2263"/>
  <c r="U2264"/>
  <c r="U2265"/>
  <c r="U2266"/>
  <c r="U2267"/>
  <c r="U2268"/>
  <c r="U2269"/>
  <c r="U2270"/>
  <c r="U2271"/>
  <c r="U2272"/>
  <c r="U2273"/>
  <c r="U2274"/>
  <c r="U2275"/>
  <c r="U2276"/>
  <c r="U2277"/>
  <c r="U2278"/>
  <c r="U2279"/>
  <c r="U2280"/>
  <c r="U2281"/>
  <c r="U2282"/>
  <c r="U2283"/>
  <c r="U2284"/>
  <c r="U2285"/>
  <c r="U2286"/>
  <c r="U2287"/>
  <c r="U2288"/>
  <c r="U2289"/>
  <c r="U2290"/>
  <c r="U2291"/>
  <c r="U2292"/>
  <c r="U2293"/>
  <c r="U2294"/>
  <c r="U2295"/>
  <c r="U2296"/>
  <c r="U2297"/>
  <c r="U2298"/>
  <c r="U2299"/>
  <c r="U2300"/>
  <c r="U2301"/>
  <c r="U2302"/>
  <c r="U2303"/>
  <c r="U2304"/>
  <c r="U2305"/>
  <c r="U2306"/>
  <c r="U2307"/>
  <c r="U2308"/>
  <c r="U2309"/>
  <c r="U2310"/>
  <c r="U2311"/>
  <c r="U2312"/>
  <c r="U2313"/>
  <c r="U2314"/>
  <c r="U2315"/>
  <c r="U2316"/>
  <c r="U2317"/>
  <c r="U2318"/>
  <c r="U2319"/>
  <c r="U2320"/>
  <c r="U2321"/>
  <c r="U2322"/>
  <c r="U2323"/>
  <c r="U2324"/>
  <c r="U2325"/>
  <c r="U2326"/>
  <c r="U2327"/>
  <c r="U2328"/>
  <c r="U2329"/>
  <c r="U2330"/>
  <c r="U2331"/>
  <c r="U2332"/>
  <c r="U2333"/>
  <c r="U2334"/>
  <c r="U2335"/>
  <c r="U2336"/>
  <c r="U2337"/>
  <c r="U2338"/>
  <c r="U2339"/>
  <c r="U2340"/>
  <c r="U2341"/>
  <c r="U2342"/>
  <c r="U2343"/>
  <c r="U2344"/>
  <c r="U2345"/>
  <c r="U2346"/>
  <c r="U2347"/>
  <c r="U2348"/>
  <c r="U2349"/>
  <c r="U2350"/>
  <c r="U2351"/>
  <c r="U2352"/>
  <c r="U2353"/>
  <c r="U2354"/>
  <c r="U2355"/>
  <c r="U2356"/>
  <c r="U2357"/>
  <c r="U2358"/>
  <c r="U2359"/>
  <c r="U2360"/>
  <c r="U2361"/>
  <c r="U2362"/>
  <c r="U2363"/>
  <c r="U2364"/>
  <c r="U2365"/>
  <c r="U2366"/>
  <c r="U2367"/>
  <c r="U2368"/>
  <c r="U2369"/>
  <c r="U2370"/>
  <c r="U2371"/>
  <c r="U2372"/>
  <c r="U2373"/>
  <c r="U2374"/>
  <c r="U2375"/>
  <c r="U2376"/>
  <c r="U2377"/>
  <c r="U2378"/>
  <c r="U2379"/>
  <c r="U2380"/>
  <c r="U2381"/>
  <c r="U2382"/>
  <c r="U2383"/>
  <c r="U2384"/>
  <c r="U2385"/>
  <c r="U2386"/>
  <c r="U2387"/>
  <c r="U2388"/>
  <c r="U2389"/>
  <c r="U2390"/>
  <c r="U2391"/>
  <c r="U2392"/>
  <c r="U2393"/>
  <c r="U2394"/>
  <c r="U2395"/>
  <c r="U2396"/>
  <c r="U2397"/>
  <c r="U2398"/>
  <c r="U2399"/>
  <c r="U2400"/>
  <c r="U2401"/>
  <c r="U2402"/>
  <c r="U2403"/>
  <c r="U2404"/>
  <c r="U2405"/>
  <c r="U2406"/>
  <c r="U2407"/>
  <c r="U2408"/>
  <c r="U2409"/>
  <c r="U2410"/>
  <c r="U2411"/>
  <c r="U2412"/>
  <c r="U2413"/>
  <c r="U2414"/>
  <c r="U2415"/>
  <c r="U2416"/>
  <c r="U2417"/>
  <c r="U2418"/>
  <c r="U2419"/>
  <c r="U2420"/>
  <c r="U2421"/>
  <c r="U2422"/>
  <c r="U2423"/>
  <c r="U2424"/>
  <c r="U2425"/>
  <c r="U2426"/>
  <c r="U2427"/>
  <c r="U2428"/>
  <c r="U2429"/>
  <c r="U2430"/>
  <c r="U2431"/>
  <c r="U2432"/>
  <c r="U2433"/>
  <c r="U2434"/>
  <c r="U2435"/>
  <c r="U2436"/>
  <c r="U2437"/>
  <c r="U2438"/>
  <c r="U2439"/>
  <c r="U2440"/>
  <c r="U2441"/>
  <c r="U2442"/>
  <c r="U2443"/>
  <c r="U2444"/>
  <c r="U2445"/>
  <c r="U2446"/>
  <c r="U2447"/>
  <c r="U2448"/>
  <c r="U2449"/>
  <c r="U2450"/>
  <c r="U2451"/>
  <c r="U2452"/>
  <c r="U2453"/>
  <c r="U2454"/>
  <c r="U2455"/>
  <c r="U2456"/>
  <c r="U2457"/>
  <c r="U2458"/>
  <c r="U2459"/>
  <c r="U2460"/>
  <c r="U2461"/>
  <c r="U2462"/>
  <c r="U2463"/>
  <c r="U2464"/>
  <c r="U2465"/>
  <c r="U2466"/>
  <c r="U2467"/>
  <c r="U2468"/>
  <c r="U2469"/>
  <c r="U2470"/>
  <c r="U2471"/>
  <c r="U2472"/>
  <c r="U2473"/>
  <c r="U2474"/>
  <c r="U2475"/>
  <c r="U2476"/>
  <c r="U2477"/>
  <c r="U2478"/>
  <c r="U2479"/>
  <c r="U2480"/>
  <c r="U2481"/>
  <c r="U2482"/>
  <c r="U2483"/>
  <c r="U2484"/>
  <c r="U2485"/>
  <c r="U2486"/>
  <c r="U2487"/>
  <c r="U2488"/>
  <c r="U2489"/>
  <c r="U2490"/>
  <c r="U2491"/>
  <c r="U2492"/>
  <c r="U2493"/>
  <c r="U2494"/>
  <c r="U2495"/>
  <c r="U2496"/>
  <c r="U2497"/>
  <c r="U2498"/>
  <c r="U2499"/>
  <c r="U2500"/>
  <c r="U2501"/>
  <c r="U2502"/>
  <c r="U2503"/>
  <c r="U2504"/>
  <c r="U2505"/>
  <c r="U2506"/>
  <c r="U2507"/>
  <c r="U2508"/>
  <c r="U2509"/>
  <c r="U2510"/>
  <c r="U2511"/>
  <c r="U2512"/>
  <c r="U2513"/>
  <c r="U2514"/>
  <c r="U2515"/>
  <c r="U2516"/>
  <c r="U2517"/>
  <c r="U2518"/>
  <c r="U2519"/>
  <c r="U2520"/>
  <c r="U2521"/>
  <c r="U2522"/>
  <c r="U2523"/>
  <c r="U2524"/>
  <c r="U2525"/>
  <c r="U2526"/>
  <c r="U2527"/>
  <c r="U2528"/>
  <c r="U2529"/>
  <c r="U2530"/>
  <c r="U2531"/>
  <c r="U2532"/>
  <c r="U2533"/>
  <c r="U2534"/>
  <c r="U2535"/>
  <c r="U2536"/>
  <c r="U2537"/>
  <c r="U2538"/>
  <c r="U2539"/>
  <c r="U2540"/>
  <c r="U2541"/>
  <c r="U2542"/>
  <c r="U2543"/>
  <c r="U2544"/>
  <c r="U2545"/>
  <c r="U2546"/>
  <c r="U2547"/>
  <c r="U2548"/>
  <c r="U2549"/>
  <c r="U2550"/>
  <c r="U2551"/>
  <c r="U2552"/>
  <c r="U2553"/>
  <c r="U2554"/>
  <c r="U2555"/>
  <c r="U2556"/>
  <c r="U2557"/>
  <c r="U2558"/>
  <c r="U2559"/>
  <c r="U2560"/>
  <c r="U2561"/>
  <c r="U2562"/>
  <c r="U2563"/>
  <c r="U2564"/>
  <c r="U2565"/>
  <c r="U2566"/>
  <c r="U2567"/>
  <c r="U2568"/>
  <c r="U2569"/>
  <c r="U2570"/>
  <c r="U2571"/>
  <c r="U2572"/>
  <c r="U2573"/>
  <c r="U2574"/>
  <c r="U2575"/>
  <c r="U2576"/>
  <c r="U2577"/>
  <c r="U2578"/>
  <c r="U2579"/>
  <c r="U2580"/>
  <c r="U2581"/>
  <c r="U2582"/>
  <c r="U2583"/>
  <c r="U2584"/>
  <c r="U2585"/>
  <c r="U2586"/>
  <c r="U2587"/>
  <c r="U2588"/>
  <c r="U2589"/>
  <c r="U2590"/>
  <c r="U2591"/>
  <c r="U2592"/>
  <c r="U2593"/>
  <c r="U2594"/>
  <c r="U2595"/>
  <c r="U2596"/>
  <c r="U2597"/>
  <c r="U2598"/>
  <c r="U2599"/>
  <c r="U2600"/>
  <c r="U2601"/>
  <c r="U2602"/>
  <c r="U2603"/>
  <c r="U2604"/>
  <c r="U2605"/>
  <c r="U2606"/>
  <c r="U2607"/>
  <c r="U2608"/>
  <c r="U2609"/>
  <c r="U2610"/>
  <c r="U2611"/>
  <c r="U2612"/>
  <c r="U2613"/>
  <c r="U2614"/>
  <c r="U2615"/>
  <c r="U2616"/>
  <c r="U2617"/>
  <c r="U2618"/>
  <c r="U2619"/>
  <c r="U2620"/>
  <c r="U2621"/>
  <c r="U2622"/>
  <c r="U2623"/>
  <c r="U2624"/>
  <c r="U2625"/>
  <c r="U2626"/>
  <c r="U2627"/>
  <c r="U2628"/>
  <c r="U2629"/>
  <c r="U2630"/>
  <c r="U2631"/>
  <c r="U2632"/>
  <c r="U2633"/>
  <c r="U2634"/>
  <c r="U2635"/>
  <c r="U2636"/>
  <c r="U2637"/>
  <c r="U2638"/>
  <c r="U2639"/>
  <c r="U2640"/>
  <c r="U2641"/>
  <c r="U2642"/>
  <c r="U2643"/>
  <c r="U2644"/>
  <c r="U2645"/>
  <c r="U2646"/>
  <c r="U2647"/>
  <c r="U2648"/>
  <c r="U2649"/>
  <c r="U2650"/>
  <c r="U2651"/>
  <c r="U2652"/>
  <c r="U2653"/>
  <c r="U2654"/>
  <c r="U2655"/>
  <c r="U2656"/>
  <c r="U2657"/>
  <c r="U2658"/>
  <c r="U2659"/>
  <c r="U2660"/>
  <c r="U2661"/>
  <c r="U2662"/>
  <c r="U2663"/>
  <c r="U2664"/>
  <c r="U2665"/>
  <c r="U2666"/>
  <c r="U2667"/>
  <c r="U2668"/>
  <c r="U2669"/>
  <c r="U2670"/>
  <c r="U2671"/>
  <c r="U2672"/>
  <c r="U2673"/>
  <c r="U2674"/>
  <c r="U2675"/>
  <c r="U2676"/>
  <c r="U2677"/>
  <c r="U2678"/>
  <c r="U2679"/>
  <c r="U2680"/>
  <c r="U2681"/>
  <c r="U2682"/>
  <c r="U2683"/>
  <c r="U2684"/>
  <c r="U2685"/>
  <c r="U2686"/>
  <c r="U2687"/>
  <c r="U2688"/>
  <c r="U2689"/>
  <c r="U2690"/>
  <c r="U2691"/>
  <c r="U2692"/>
  <c r="U2693"/>
  <c r="U2694"/>
  <c r="U2695"/>
  <c r="U2696"/>
  <c r="U2697"/>
  <c r="U2698"/>
  <c r="U2699"/>
  <c r="U2700"/>
  <c r="U2701"/>
  <c r="U2702"/>
  <c r="U2703"/>
  <c r="U2704"/>
  <c r="U2705"/>
  <c r="U2706"/>
  <c r="U2707"/>
  <c r="U2708"/>
  <c r="U2709"/>
  <c r="U2710"/>
  <c r="U2711"/>
  <c r="U2712"/>
  <c r="U2713"/>
  <c r="U2714"/>
  <c r="U2715"/>
  <c r="U2716"/>
  <c r="U2717"/>
  <c r="U2718"/>
  <c r="U2719"/>
  <c r="U2720"/>
  <c r="U2721"/>
  <c r="U2722"/>
  <c r="U2723"/>
  <c r="U2724"/>
  <c r="U2725"/>
  <c r="U2726"/>
  <c r="U2727"/>
  <c r="U2728"/>
  <c r="U2729"/>
  <c r="U2730"/>
  <c r="U2731"/>
  <c r="U2732"/>
  <c r="U2733"/>
  <c r="U2734"/>
  <c r="U2735"/>
  <c r="U2736"/>
  <c r="U2737"/>
  <c r="U2738"/>
  <c r="U2739"/>
  <c r="U2740"/>
  <c r="U2741"/>
  <c r="U2742"/>
  <c r="U2743"/>
  <c r="U2744"/>
  <c r="U2745"/>
  <c r="U2746"/>
  <c r="U2747"/>
  <c r="U2748"/>
  <c r="U2749"/>
  <c r="U2750"/>
  <c r="U2751"/>
  <c r="U2752"/>
  <c r="U2753"/>
  <c r="U2754"/>
  <c r="U2755"/>
  <c r="U2756"/>
  <c r="U2757"/>
  <c r="U2758"/>
  <c r="U2759"/>
  <c r="U2760"/>
  <c r="U2761"/>
  <c r="U2762"/>
  <c r="U2763"/>
  <c r="U2764"/>
  <c r="U2765"/>
  <c r="U2766"/>
  <c r="U2767"/>
  <c r="U2768"/>
  <c r="U2769"/>
  <c r="U2770"/>
  <c r="U2771"/>
  <c r="U2772"/>
  <c r="U2773"/>
  <c r="U2774"/>
  <c r="U2775"/>
  <c r="U2776"/>
  <c r="U2777"/>
  <c r="U2778"/>
  <c r="U2779"/>
  <c r="U2780"/>
  <c r="U2781"/>
  <c r="U2782"/>
  <c r="U2783"/>
  <c r="U2784"/>
  <c r="U2785"/>
  <c r="U2786"/>
  <c r="U2787"/>
  <c r="U2788"/>
  <c r="U2789"/>
  <c r="U2790"/>
  <c r="U2791"/>
  <c r="U2792"/>
  <c r="U2793"/>
  <c r="U2794"/>
  <c r="U2795"/>
  <c r="U2796"/>
  <c r="U2797"/>
  <c r="U2798"/>
  <c r="U2799"/>
  <c r="U2800"/>
  <c r="U2801"/>
  <c r="U2802"/>
  <c r="U2803"/>
  <c r="U2804"/>
  <c r="U2805"/>
  <c r="U2806"/>
  <c r="U2807"/>
  <c r="U2808"/>
  <c r="U2809"/>
  <c r="U2810"/>
  <c r="U2811"/>
  <c r="U2812"/>
  <c r="U2813"/>
  <c r="U2814"/>
  <c r="U2815"/>
  <c r="U2816"/>
  <c r="U2817"/>
  <c r="U2818"/>
  <c r="U2819"/>
  <c r="U2820"/>
  <c r="U2821"/>
  <c r="U2822"/>
  <c r="U2823"/>
  <c r="U2824"/>
  <c r="U2825"/>
  <c r="U2826"/>
  <c r="U2827"/>
  <c r="U2828"/>
  <c r="U2829"/>
  <c r="U2830"/>
  <c r="U2831"/>
  <c r="U2832"/>
  <c r="U2833"/>
  <c r="U2834"/>
  <c r="U2835"/>
  <c r="U2836"/>
  <c r="U2837"/>
  <c r="U2838"/>
  <c r="U2839"/>
  <c r="U2840"/>
  <c r="U2841"/>
  <c r="U2842"/>
  <c r="U2843"/>
  <c r="U2844"/>
  <c r="U2845"/>
  <c r="U2846"/>
  <c r="U2847"/>
  <c r="U2848"/>
  <c r="U2849"/>
  <c r="U2850"/>
  <c r="U2851"/>
  <c r="U2852"/>
  <c r="U2853"/>
  <c r="U2854"/>
  <c r="U2855"/>
  <c r="U2856"/>
  <c r="U2857"/>
  <c r="U2858"/>
  <c r="U2859"/>
  <c r="U2860"/>
  <c r="U2861"/>
  <c r="U2862"/>
  <c r="U2863"/>
  <c r="U2864"/>
  <c r="U2865"/>
  <c r="U2866"/>
  <c r="U2867"/>
  <c r="U2868"/>
  <c r="U2869"/>
  <c r="U2870"/>
  <c r="U2871"/>
  <c r="U2872"/>
  <c r="U2873"/>
  <c r="U2874"/>
  <c r="U2875"/>
  <c r="U2876"/>
  <c r="U2877"/>
  <c r="U2878"/>
  <c r="U2879"/>
  <c r="U2880"/>
  <c r="U2881"/>
  <c r="U2882"/>
  <c r="U2883"/>
  <c r="U2884"/>
  <c r="U2885"/>
  <c r="U2886"/>
  <c r="U2887"/>
  <c r="U2888"/>
  <c r="U2889"/>
  <c r="U2890"/>
  <c r="U2891"/>
  <c r="U2892"/>
  <c r="U2893"/>
  <c r="U2894"/>
  <c r="U2895"/>
  <c r="U2896"/>
  <c r="U2897"/>
  <c r="U2898"/>
  <c r="U2899"/>
  <c r="U2900"/>
  <c r="U2901"/>
  <c r="U2902"/>
  <c r="U2903"/>
  <c r="U2904"/>
  <c r="U2905"/>
  <c r="U2906"/>
  <c r="U2907"/>
  <c r="U2908"/>
  <c r="U2909"/>
  <c r="U2910"/>
  <c r="U2911"/>
  <c r="U2912"/>
  <c r="U2913"/>
  <c r="U2914"/>
  <c r="U2915"/>
  <c r="U2916"/>
  <c r="U2917"/>
  <c r="U2918"/>
  <c r="U2919"/>
  <c r="U2920"/>
  <c r="U2921"/>
  <c r="U2922"/>
  <c r="U2923"/>
  <c r="U2924"/>
  <c r="U2925"/>
  <c r="U2926"/>
  <c r="U2927"/>
  <c r="U2928"/>
  <c r="U2929"/>
  <c r="U2930"/>
  <c r="U2931"/>
  <c r="U2932"/>
  <c r="U2933"/>
  <c r="U2934"/>
  <c r="U2935"/>
  <c r="U2936"/>
  <c r="U2937"/>
  <c r="U2938"/>
  <c r="U2939"/>
  <c r="U2940"/>
  <c r="U2941"/>
  <c r="U2942"/>
  <c r="U2943"/>
  <c r="U2944"/>
  <c r="U2945"/>
  <c r="U2946"/>
  <c r="U2947"/>
  <c r="U2948"/>
  <c r="U2949"/>
  <c r="U2950"/>
  <c r="U2951"/>
  <c r="U2952"/>
  <c r="U2953"/>
  <c r="U2954"/>
  <c r="U2955"/>
  <c r="U2956"/>
  <c r="U2957"/>
  <c r="U2958"/>
  <c r="U2959"/>
  <c r="U2960"/>
  <c r="U2961"/>
  <c r="U2962"/>
  <c r="U2963"/>
  <c r="U2964"/>
  <c r="U2965"/>
  <c r="U2966"/>
  <c r="U2967"/>
  <c r="U2968"/>
  <c r="U2969"/>
  <c r="U2970"/>
  <c r="U2971"/>
  <c r="U2972"/>
  <c r="U2973"/>
  <c r="U2974"/>
  <c r="U2975"/>
  <c r="U2976"/>
  <c r="U2977"/>
  <c r="U2978"/>
  <c r="U2979"/>
  <c r="U2980"/>
  <c r="U2981"/>
  <c r="U2982"/>
  <c r="U2983"/>
  <c r="U2984"/>
  <c r="U2985"/>
  <c r="U2986"/>
  <c r="U2987"/>
  <c r="U2988"/>
  <c r="U2989"/>
  <c r="U2990"/>
  <c r="U2991"/>
  <c r="U2992"/>
  <c r="U2993"/>
  <c r="U2994"/>
  <c r="U2995"/>
  <c r="U2996"/>
  <c r="U2997"/>
  <c r="U2998"/>
  <c r="U2999"/>
  <c r="U3000"/>
  <c r="U3001"/>
  <c r="U3002"/>
  <c r="U3003"/>
  <c r="U3004"/>
  <c r="U3005"/>
  <c r="U3006"/>
  <c r="U3007"/>
  <c r="U3008"/>
  <c r="U3009"/>
  <c r="U3010"/>
  <c r="U3011"/>
  <c r="U3012"/>
  <c r="U3013"/>
  <c r="U3014"/>
  <c r="U3015"/>
  <c r="U3016"/>
  <c r="U3017"/>
  <c r="U3018"/>
  <c r="U3019"/>
  <c r="U3020"/>
  <c r="U3021"/>
  <c r="U3022"/>
  <c r="U3023"/>
  <c r="U3024"/>
  <c r="U3025"/>
  <c r="U3026"/>
  <c r="U3027"/>
  <c r="U3028"/>
  <c r="U3029"/>
  <c r="U3030"/>
  <c r="U3031"/>
  <c r="U3032"/>
  <c r="U3033"/>
  <c r="U3034"/>
  <c r="U3035"/>
  <c r="U3036"/>
  <c r="U3037"/>
  <c r="U3038"/>
  <c r="U3039"/>
  <c r="U3040"/>
  <c r="U3041"/>
  <c r="U3042"/>
  <c r="U3043"/>
  <c r="U3044"/>
  <c r="U3045"/>
  <c r="U3046"/>
  <c r="U3047"/>
  <c r="U3048"/>
  <c r="U3049"/>
  <c r="U3050"/>
  <c r="U3051"/>
  <c r="U3052"/>
  <c r="U3053"/>
  <c r="U3054"/>
  <c r="U3055"/>
  <c r="U3056"/>
  <c r="U3057"/>
  <c r="U3058"/>
  <c r="U3059"/>
  <c r="U3060"/>
  <c r="U3061"/>
  <c r="U3062"/>
  <c r="U3063"/>
  <c r="U3064"/>
  <c r="U3065"/>
  <c r="U3066"/>
  <c r="U3067"/>
  <c r="U3068"/>
  <c r="U3069"/>
  <c r="U3070"/>
  <c r="U3071"/>
  <c r="U3072"/>
  <c r="U3073"/>
  <c r="U3074"/>
  <c r="U3075"/>
  <c r="U3076"/>
  <c r="U3077"/>
  <c r="U3078"/>
  <c r="U3079"/>
  <c r="U3080"/>
  <c r="U3081"/>
  <c r="U3082"/>
  <c r="U3083"/>
  <c r="U3084"/>
  <c r="U3085"/>
  <c r="U3086"/>
  <c r="U3087"/>
  <c r="U3088"/>
  <c r="U3089"/>
  <c r="U3090"/>
  <c r="U3091"/>
  <c r="U3092"/>
  <c r="U3093"/>
  <c r="U3094"/>
  <c r="U3095"/>
  <c r="U3096"/>
  <c r="U3097"/>
  <c r="U3098"/>
  <c r="U3099"/>
  <c r="U3100"/>
  <c r="U3101"/>
  <c r="U3102"/>
  <c r="U3103"/>
  <c r="U3104"/>
  <c r="U3105"/>
  <c r="U3106"/>
  <c r="U3107"/>
  <c r="U3108"/>
  <c r="U3109"/>
  <c r="U3110"/>
  <c r="U3111"/>
  <c r="U3112"/>
  <c r="U3113"/>
  <c r="U3114"/>
  <c r="U3115"/>
  <c r="U3116"/>
  <c r="U3117"/>
  <c r="U3118"/>
  <c r="U3119"/>
  <c r="U3120"/>
  <c r="U3121"/>
  <c r="U3122"/>
  <c r="U3123"/>
  <c r="U3124"/>
  <c r="U3125"/>
  <c r="U3126"/>
  <c r="U3127"/>
  <c r="U3128"/>
  <c r="U3129"/>
  <c r="U3130"/>
  <c r="U3131"/>
  <c r="U3132"/>
  <c r="U3133"/>
  <c r="U3134"/>
  <c r="U3135"/>
  <c r="U3136"/>
  <c r="U3137"/>
  <c r="U3138"/>
  <c r="U3139"/>
  <c r="U3140"/>
  <c r="U3141"/>
  <c r="U3142"/>
  <c r="U3143"/>
  <c r="U3144"/>
  <c r="U3145"/>
  <c r="U3146"/>
  <c r="U3147"/>
  <c r="U3148"/>
  <c r="U3149"/>
  <c r="U3150"/>
  <c r="U3151"/>
  <c r="U3152"/>
  <c r="U3153"/>
  <c r="U3154"/>
  <c r="U3155"/>
  <c r="U3156"/>
  <c r="U3157"/>
  <c r="U3158"/>
  <c r="U3159"/>
  <c r="U3160"/>
  <c r="U3161"/>
  <c r="U3162"/>
  <c r="U3163"/>
  <c r="U3164"/>
  <c r="U3165"/>
  <c r="U3166"/>
  <c r="U3167"/>
  <c r="U3168"/>
  <c r="U3169"/>
  <c r="U3170"/>
  <c r="U3171"/>
  <c r="U3172"/>
  <c r="U3173"/>
  <c r="U3174"/>
  <c r="U3175"/>
  <c r="U3176"/>
  <c r="U3177"/>
  <c r="U3178"/>
  <c r="U3179"/>
  <c r="U3180"/>
  <c r="U3181"/>
  <c r="U3182"/>
  <c r="U3183"/>
  <c r="U3184"/>
  <c r="U3185"/>
  <c r="U3186"/>
  <c r="U3187"/>
  <c r="U3188"/>
  <c r="U3189"/>
  <c r="U3190"/>
  <c r="U3191"/>
  <c r="U3192"/>
  <c r="U3193"/>
  <c r="U3194"/>
  <c r="U3195"/>
  <c r="U3196"/>
  <c r="U3197"/>
  <c r="U3198"/>
  <c r="U3199"/>
  <c r="U3200"/>
  <c r="U3201"/>
  <c r="U3202"/>
  <c r="U3203"/>
  <c r="U3204"/>
  <c r="U3205"/>
  <c r="U3206"/>
  <c r="U3207"/>
  <c r="U3208"/>
  <c r="U3209"/>
  <c r="U3210"/>
  <c r="U3211"/>
  <c r="U3212"/>
  <c r="U3213"/>
  <c r="U3214"/>
  <c r="U3215"/>
  <c r="U3216"/>
  <c r="U3217"/>
  <c r="U3218"/>
  <c r="U3219"/>
  <c r="U3220"/>
  <c r="U3221"/>
  <c r="U3222"/>
  <c r="U3223"/>
  <c r="U3224"/>
  <c r="U3225"/>
  <c r="U3226"/>
  <c r="U3227"/>
  <c r="U3228"/>
  <c r="U3229"/>
  <c r="U3230"/>
  <c r="U3231"/>
  <c r="U3232"/>
  <c r="U3233"/>
  <c r="U3234"/>
  <c r="U3235"/>
  <c r="U3236"/>
  <c r="U3237"/>
  <c r="U3238"/>
  <c r="U3239"/>
  <c r="U3240"/>
  <c r="U3241"/>
  <c r="U3242"/>
  <c r="U3243"/>
  <c r="U3244"/>
  <c r="U3245"/>
  <c r="U3246"/>
  <c r="U3247"/>
  <c r="U3248"/>
  <c r="U3249"/>
  <c r="U3250"/>
  <c r="U3251"/>
  <c r="U3252"/>
  <c r="U3253"/>
  <c r="U3254"/>
  <c r="U3255"/>
  <c r="U3256"/>
  <c r="U3257"/>
  <c r="U3258"/>
  <c r="U3259"/>
  <c r="U3260"/>
  <c r="U3261"/>
  <c r="U3262"/>
  <c r="U3263"/>
  <c r="U3264"/>
  <c r="U3265"/>
  <c r="U3266"/>
  <c r="U3267"/>
  <c r="U3268"/>
  <c r="U3269"/>
  <c r="U3270"/>
  <c r="U3271"/>
  <c r="U3272"/>
  <c r="U3273"/>
  <c r="U3274"/>
  <c r="U3275"/>
  <c r="U3276"/>
  <c r="U3277"/>
  <c r="U3278"/>
  <c r="U3279"/>
  <c r="U3280"/>
  <c r="U3281"/>
  <c r="U3282"/>
  <c r="U3283"/>
  <c r="U3284"/>
  <c r="U3285"/>
  <c r="U3286"/>
  <c r="U3287"/>
  <c r="U3288"/>
  <c r="U3289"/>
  <c r="U3290"/>
  <c r="U3291"/>
  <c r="U3292"/>
  <c r="U3293"/>
  <c r="U3294"/>
  <c r="U3295"/>
  <c r="U3296"/>
  <c r="U3297"/>
  <c r="U3298"/>
  <c r="U3299"/>
  <c r="U3300"/>
  <c r="U3301"/>
  <c r="U3302"/>
  <c r="U3303"/>
  <c r="U3304"/>
  <c r="U3305"/>
  <c r="U3306"/>
  <c r="U3307"/>
  <c r="U3308"/>
  <c r="U3309"/>
  <c r="U3310"/>
  <c r="U3311"/>
  <c r="U3312"/>
  <c r="U3313"/>
  <c r="U3314"/>
  <c r="U3315"/>
  <c r="U3316"/>
  <c r="U3317"/>
  <c r="U3318"/>
  <c r="U3319"/>
  <c r="U3320"/>
  <c r="U3321"/>
  <c r="U3322"/>
  <c r="U3323"/>
  <c r="U3324"/>
  <c r="U3325"/>
  <c r="U3326"/>
  <c r="U3327"/>
  <c r="U3328"/>
  <c r="U3329"/>
  <c r="U3330"/>
  <c r="U3331"/>
  <c r="U3332"/>
  <c r="U3333"/>
  <c r="U3334"/>
  <c r="U3335"/>
  <c r="U3336"/>
  <c r="U3337"/>
  <c r="U3338"/>
  <c r="U3339"/>
  <c r="U3340"/>
  <c r="U3341"/>
  <c r="U3342"/>
  <c r="U3343"/>
  <c r="U3344"/>
  <c r="U3345"/>
  <c r="U3346"/>
  <c r="U3347"/>
  <c r="U3348"/>
  <c r="U3349"/>
  <c r="U3350"/>
  <c r="U3351"/>
  <c r="U3352"/>
  <c r="U3353"/>
  <c r="U3354"/>
  <c r="U3355"/>
  <c r="U3356"/>
  <c r="U3357"/>
  <c r="U3358"/>
  <c r="U3359"/>
  <c r="U3360"/>
  <c r="U3361"/>
  <c r="U3362"/>
  <c r="U3363"/>
  <c r="U3364"/>
  <c r="U3365"/>
  <c r="U3366"/>
  <c r="U3367"/>
  <c r="U3368"/>
  <c r="U3369"/>
  <c r="U3370"/>
  <c r="U3371"/>
  <c r="U3372"/>
  <c r="U3373"/>
  <c r="U3374"/>
  <c r="U3375"/>
  <c r="U3376"/>
  <c r="U3377"/>
  <c r="U3378"/>
  <c r="U3379"/>
  <c r="U3380"/>
  <c r="U3381"/>
  <c r="U3382"/>
  <c r="U3383"/>
  <c r="U3384"/>
  <c r="U3385"/>
  <c r="U3386"/>
  <c r="U3387"/>
  <c r="U3388"/>
  <c r="U3389"/>
  <c r="U3390"/>
  <c r="U3391"/>
  <c r="U3392"/>
  <c r="U3393"/>
  <c r="U3394"/>
  <c r="U3395"/>
  <c r="U3396"/>
  <c r="U3397"/>
  <c r="U3398"/>
  <c r="U3399"/>
  <c r="U3400"/>
  <c r="U3401"/>
  <c r="U3402"/>
  <c r="U3403"/>
  <c r="U3404"/>
  <c r="U3405"/>
  <c r="U3406"/>
  <c r="U3407"/>
  <c r="U3408"/>
  <c r="U3409"/>
  <c r="U3410"/>
  <c r="U3411"/>
  <c r="U3412"/>
  <c r="U3413"/>
  <c r="U3414"/>
  <c r="U3415"/>
  <c r="U3416"/>
  <c r="U3417"/>
  <c r="U3418"/>
  <c r="U3419"/>
  <c r="U3420"/>
  <c r="U3421"/>
  <c r="U3422"/>
  <c r="U3423"/>
  <c r="U3424"/>
  <c r="U3425"/>
  <c r="U3426"/>
  <c r="U3427"/>
  <c r="U3428"/>
  <c r="U3429"/>
  <c r="U3430"/>
  <c r="U3431"/>
  <c r="U3432"/>
  <c r="U3433"/>
  <c r="U3434"/>
  <c r="U3435"/>
  <c r="U3436"/>
  <c r="U3437"/>
  <c r="U3438"/>
  <c r="U3439"/>
  <c r="U3440"/>
  <c r="U3441"/>
  <c r="U3442"/>
  <c r="U3443"/>
  <c r="U3444"/>
  <c r="U3445"/>
  <c r="U3446"/>
  <c r="U3447"/>
  <c r="U3448"/>
  <c r="U3449"/>
  <c r="U3450"/>
  <c r="U3451"/>
  <c r="U3452"/>
  <c r="U3453"/>
  <c r="U3454"/>
  <c r="U3455"/>
  <c r="U3456"/>
  <c r="U3457"/>
  <c r="U3458"/>
  <c r="U3459"/>
  <c r="U3460"/>
  <c r="U3461"/>
  <c r="U3462"/>
  <c r="U3463"/>
  <c r="U3464"/>
  <c r="U3465"/>
  <c r="U3466"/>
  <c r="U3467"/>
  <c r="U3468"/>
  <c r="U3469"/>
  <c r="U3470"/>
  <c r="U3471"/>
  <c r="U3472"/>
  <c r="U3473"/>
  <c r="U3474"/>
  <c r="U3475"/>
  <c r="U3476"/>
  <c r="U3477"/>
  <c r="U3478"/>
  <c r="U3479"/>
  <c r="U3480"/>
  <c r="U3481"/>
  <c r="U3482"/>
  <c r="U3483"/>
  <c r="U3484"/>
  <c r="U3485"/>
  <c r="U3486"/>
  <c r="U3487"/>
  <c r="U3488"/>
  <c r="U3489"/>
  <c r="U3490"/>
  <c r="U3491"/>
  <c r="U3492"/>
  <c r="U3493"/>
  <c r="U3494"/>
  <c r="U3495"/>
  <c r="U3496"/>
  <c r="U3497"/>
  <c r="U3498"/>
  <c r="U3499"/>
  <c r="U3500"/>
  <c r="U3501"/>
  <c r="U3502"/>
  <c r="U3503"/>
  <c r="U3504"/>
  <c r="U3505"/>
  <c r="U3506"/>
  <c r="U3507"/>
  <c r="U3508"/>
  <c r="U3509"/>
  <c r="U3510"/>
  <c r="U3511"/>
  <c r="U3512"/>
  <c r="U3513"/>
  <c r="U3514"/>
  <c r="U3515"/>
  <c r="U3516"/>
  <c r="U3517"/>
  <c r="U3518"/>
  <c r="U3519"/>
  <c r="U3520"/>
  <c r="U3521"/>
  <c r="U3522"/>
  <c r="U3523"/>
  <c r="U3524"/>
  <c r="U3525"/>
  <c r="U3526"/>
  <c r="U3527"/>
  <c r="U3528"/>
  <c r="U3529"/>
  <c r="U3530"/>
  <c r="U3531"/>
  <c r="U3532"/>
  <c r="U3533"/>
  <c r="U3534"/>
  <c r="U3535"/>
  <c r="U3536"/>
  <c r="U3537"/>
  <c r="U3538"/>
  <c r="U3539"/>
  <c r="U3540"/>
  <c r="U3541"/>
  <c r="U3542"/>
  <c r="U3543"/>
  <c r="U3544"/>
  <c r="U3545"/>
  <c r="U3546"/>
  <c r="U3547"/>
  <c r="U3548"/>
  <c r="U3549"/>
  <c r="U3550"/>
  <c r="U3551"/>
  <c r="U3552"/>
  <c r="U3553"/>
  <c r="U3554"/>
  <c r="U3555"/>
  <c r="U3556"/>
  <c r="U3557"/>
  <c r="U3558"/>
  <c r="U3559"/>
  <c r="U3560"/>
  <c r="U3561"/>
  <c r="U3562"/>
  <c r="U3563"/>
  <c r="U3564"/>
  <c r="U3565"/>
  <c r="U3566"/>
  <c r="U3567"/>
  <c r="U3568"/>
  <c r="U3569"/>
  <c r="U3570"/>
  <c r="U3571"/>
  <c r="U3572"/>
  <c r="U3573"/>
  <c r="U3574"/>
  <c r="U3575"/>
  <c r="U3576"/>
  <c r="U3577"/>
  <c r="U3578"/>
  <c r="U3579"/>
  <c r="U3580"/>
  <c r="U3581"/>
  <c r="U3582"/>
  <c r="U3583"/>
  <c r="U3584"/>
  <c r="U3585"/>
  <c r="U3586"/>
  <c r="U3587"/>
  <c r="U3588"/>
  <c r="U3589"/>
  <c r="U3590"/>
  <c r="U3591"/>
  <c r="U3592"/>
  <c r="U3593"/>
  <c r="U3594"/>
  <c r="U3595"/>
  <c r="U3596"/>
  <c r="U3597"/>
  <c r="U3598"/>
  <c r="U3599"/>
  <c r="U3600"/>
  <c r="U3601"/>
  <c r="U3602"/>
  <c r="U3603"/>
  <c r="U3604"/>
  <c r="U3605"/>
  <c r="U3606"/>
  <c r="U3607"/>
  <c r="U3608"/>
  <c r="U3609"/>
  <c r="U3610"/>
  <c r="U3611"/>
  <c r="U3612"/>
  <c r="U3613"/>
  <c r="U3614"/>
  <c r="U3615"/>
  <c r="U3616"/>
  <c r="U3617"/>
  <c r="U3618"/>
  <c r="U3619"/>
  <c r="U3620"/>
  <c r="U3621"/>
  <c r="U3622"/>
  <c r="U3623"/>
  <c r="U3624"/>
  <c r="U3625"/>
  <c r="U3626"/>
  <c r="U3627"/>
  <c r="U3628"/>
  <c r="U3629"/>
  <c r="U3630"/>
  <c r="U3631"/>
  <c r="U3632"/>
  <c r="U3633"/>
  <c r="U3634"/>
  <c r="U3635"/>
  <c r="U3636"/>
  <c r="U3637"/>
  <c r="U3638"/>
  <c r="U3639"/>
  <c r="U3640"/>
  <c r="U3641"/>
  <c r="U3642"/>
  <c r="U3643"/>
  <c r="U3644"/>
  <c r="U3645"/>
  <c r="U3646"/>
  <c r="U3647"/>
  <c r="U3648"/>
  <c r="U3649"/>
  <c r="U3650"/>
  <c r="U3651"/>
  <c r="U3652"/>
  <c r="U3653"/>
  <c r="U3654"/>
  <c r="U3655"/>
  <c r="U3656"/>
  <c r="U3657"/>
  <c r="U3658"/>
  <c r="U3659"/>
  <c r="U3660"/>
  <c r="U3661"/>
  <c r="U3662"/>
  <c r="U3663"/>
  <c r="U3664"/>
  <c r="U3665"/>
  <c r="U3666"/>
  <c r="U3667"/>
  <c r="U3668"/>
  <c r="U3669"/>
  <c r="U3670"/>
  <c r="U3671"/>
  <c r="U3672"/>
  <c r="U3673"/>
  <c r="U3674"/>
  <c r="U3675"/>
  <c r="U3676"/>
  <c r="U3677"/>
  <c r="U3678"/>
  <c r="U3679"/>
  <c r="U3680"/>
  <c r="U3681"/>
  <c r="U3682"/>
  <c r="U3683"/>
  <c r="U3684"/>
  <c r="U3685"/>
  <c r="U3686"/>
  <c r="U3687"/>
  <c r="U3688"/>
  <c r="U3689"/>
  <c r="U3690"/>
  <c r="U3691"/>
  <c r="U3692"/>
  <c r="U3693"/>
  <c r="U3694"/>
  <c r="U3695"/>
  <c r="U3696"/>
  <c r="U3697"/>
  <c r="U3698"/>
  <c r="U3699"/>
  <c r="U3700"/>
  <c r="U3701"/>
  <c r="U3702"/>
  <c r="U3703"/>
  <c r="U3704"/>
  <c r="U3705"/>
  <c r="U3706"/>
  <c r="U3707"/>
  <c r="U3708"/>
  <c r="U3709"/>
  <c r="U3710"/>
  <c r="U3711"/>
  <c r="U3712"/>
  <c r="U3713"/>
  <c r="U3714"/>
  <c r="U3715"/>
  <c r="U3716"/>
  <c r="U3717"/>
  <c r="U3718"/>
  <c r="U3719"/>
  <c r="U3720"/>
  <c r="U3721"/>
  <c r="U3722"/>
  <c r="U3723"/>
  <c r="U3724"/>
  <c r="U3725"/>
  <c r="U3726"/>
  <c r="U3727"/>
  <c r="U3728"/>
  <c r="U3729"/>
  <c r="U3730"/>
  <c r="U3731"/>
  <c r="U3732"/>
  <c r="U3733"/>
  <c r="U3734"/>
  <c r="U3735"/>
  <c r="U3736"/>
  <c r="U3737"/>
  <c r="U3738"/>
  <c r="U3739"/>
  <c r="U3740"/>
  <c r="U3741"/>
  <c r="U3742"/>
  <c r="U3743"/>
  <c r="U3744"/>
  <c r="U3745"/>
  <c r="U3746"/>
  <c r="U3747"/>
  <c r="U3748"/>
  <c r="U3749"/>
  <c r="U3750"/>
  <c r="U3751"/>
  <c r="U3752"/>
  <c r="U3753"/>
  <c r="U3754"/>
  <c r="U3755"/>
  <c r="U3756"/>
  <c r="U3757"/>
  <c r="U3758"/>
  <c r="U3759"/>
  <c r="U3760"/>
  <c r="U3761"/>
  <c r="U3762"/>
  <c r="U3763"/>
  <c r="U3764"/>
  <c r="U3765"/>
  <c r="U3766"/>
  <c r="U3767"/>
  <c r="U3768"/>
  <c r="U3769"/>
  <c r="U3770"/>
  <c r="U3771"/>
  <c r="U3772"/>
  <c r="U3773"/>
  <c r="U3774"/>
  <c r="U3775"/>
  <c r="U3776"/>
  <c r="U3777"/>
  <c r="U3778"/>
  <c r="U3779"/>
  <c r="U3780"/>
  <c r="U3781"/>
  <c r="U3782"/>
  <c r="U3783"/>
  <c r="U3784"/>
  <c r="U3785"/>
  <c r="U3786"/>
  <c r="U3787"/>
  <c r="U3788"/>
  <c r="U3789"/>
  <c r="U3790"/>
  <c r="U3791"/>
  <c r="U3792"/>
  <c r="U3793"/>
  <c r="U3794"/>
  <c r="U3795"/>
  <c r="U3796"/>
  <c r="U3797"/>
  <c r="U3798"/>
  <c r="U3799"/>
  <c r="U3800"/>
  <c r="U3801"/>
  <c r="U3802"/>
  <c r="U3803"/>
  <c r="U3804"/>
  <c r="U3805"/>
  <c r="U3806"/>
  <c r="U3807"/>
  <c r="U3808"/>
  <c r="U3809"/>
  <c r="U3810"/>
  <c r="U3811"/>
  <c r="U3812"/>
  <c r="U3813"/>
  <c r="U3814"/>
  <c r="U3815"/>
  <c r="U3816"/>
  <c r="U3817"/>
  <c r="U3818"/>
  <c r="U3819"/>
  <c r="U3820"/>
  <c r="U3821"/>
  <c r="U3822"/>
  <c r="U3823"/>
  <c r="U3824"/>
  <c r="U3825"/>
  <c r="U3826"/>
  <c r="U3827"/>
  <c r="U3828"/>
  <c r="U3829"/>
  <c r="U3830"/>
  <c r="U3831"/>
  <c r="U3832"/>
  <c r="U3833"/>
  <c r="U3834"/>
  <c r="U3835"/>
  <c r="U3836"/>
  <c r="U3837"/>
  <c r="U3838"/>
  <c r="U3839"/>
  <c r="U3840"/>
  <c r="U3841"/>
  <c r="U3842"/>
  <c r="U3843"/>
  <c r="U3844"/>
  <c r="U3845"/>
  <c r="U3846"/>
  <c r="U3847"/>
  <c r="U3848"/>
  <c r="U3849"/>
  <c r="U3850"/>
  <c r="U3851"/>
  <c r="U3852"/>
  <c r="U3853"/>
  <c r="U3854"/>
  <c r="U3855"/>
  <c r="U3856"/>
  <c r="U3857"/>
  <c r="U3858"/>
  <c r="U3859"/>
  <c r="U3860"/>
  <c r="U3861"/>
  <c r="U3862"/>
  <c r="U3863"/>
  <c r="U3864"/>
  <c r="U3865"/>
  <c r="U3866"/>
  <c r="U3867"/>
  <c r="U3868"/>
  <c r="U3869"/>
  <c r="U3870"/>
  <c r="U3871"/>
  <c r="U3872"/>
  <c r="U3873"/>
  <c r="U3874"/>
  <c r="U3875"/>
  <c r="U3876"/>
  <c r="U3877"/>
  <c r="U3878"/>
  <c r="U3879"/>
  <c r="U3880"/>
  <c r="U3881"/>
  <c r="U3"/>
  <c r="U4"/>
  <c r="U5"/>
  <c r="U6"/>
  <c r="U7"/>
  <c r="U2"/>
  <c r="S2479"/>
  <c r="S2897"/>
  <c r="S2827"/>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S147"/>
  <c r="S148"/>
  <c r="S149"/>
  <c r="S150"/>
  <c r="S151"/>
  <c r="S152"/>
  <c r="S153"/>
  <c r="S154"/>
  <c r="S155"/>
  <c r="S156"/>
  <c r="S157"/>
  <c r="S158"/>
  <c r="S159"/>
  <c r="S160"/>
  <c r="S161"/>
  <c r="S162"/>
  <c r="S163"/>
  <c r="S164"/>
  <c r="S165"/>
  <c r="S166"/>
  <c r="S167"/>
  <c r="S168"/>
  <c r="S169"/>
  <c r="S170"/>
  <c r="S171"/>
  <c r="S172"/>
  <c r="S173"/>
  <c r="S174"/>
  <c r="S175"/>
  <c r="S176"/>
  <c r="S177"/>
  <c r="S178"/>
  <c r="S179"/>
  <c r="S180"/>
  <c r="S181"/>
  <c r="S182"/>
  <c r="S183"/>
  <c r="S184"/>
  <c r="S185"/>
  <c r="S186"/>
  <c r="S187"/>
  <c r="S188"/>
  <c r="S189"/>
  <c r="S190"/>
  <c r="S191"/>
  <c r="S192"/>
  <c r="S193"/>
  <c r="S194"/>
  <c r="S195"/>
  <c r="S196"/>
  <c r="S197"/>
  <c r="S198"/>
  <c r="S199"/>
  <c r="S200"/>
  <c r="S201"/>
  <c r="S202"/>
  <c r="S203"/>
  <c r="S204"/>
  <c r="S205"/>
  <c r="S206"/>
  <c r="S207"/>
  <c r="S208"/>
  <c r="S209"/>
  <c r="S210"/>
  <c r="S211"/>
  <c r="S212"/>
  <c r="S213"/>
  <c r="S214"/>
  <c r="S215"/>
  <c r="S216"/>
  <c r="S217"/>
  <c r="S218"/>
  <c r="S219"/>
  <c r="S220"/>
  <c r="S221"/>
  <c r="S222"/>
  <c r="S223"/>
  <c r="S224"/>
  <c r="S225"/>
  <c r="S226"/>
  <c r="S227"/>
  <c r="S228"/>
  <c r="S229"/>
  <c r="S230"/>
  <c r="S231"/>
  <c r="S232"/>
  <c r="S233"/>
  <c r="S234"/>
  <c r="S235"/>
  <c r="S236"/>
  <c r="S237"/>
  <c r="S238"/>
  <c r="S239"/>
  <c r="S240"/>
  <c r="S241"/>
  <c r="S242"/>
  <c r="S243"/>
  <c r="S244"/>
  <c r="S245"/>
  <c r="S246"/>
  <c r="S247"/>
  <c r="S248"/>
  <c r="S249"/>
  <c r="S250"/>
  <c r="S251"/>
  <c r="S252"/>
  <c r="S253"/>
  <c r="S254"/>
  <c r="S255"/>
  <c r="S256"/>
  <c r="S257"/>
  <c r="S258"/>
  <c r="S259"/>
  <c r="S260"/>
  <c r="S261"/>
  <c r="S262"/>
  <c r="S263"/>
  <c r="S264"/>
  <c r="S265"/>
  <c r="S266"/>
  <c r="S267"/>
  <c r="S268"/>
  <c r="S269"/>
  <c r="S270"/>
  <c r="S271"/>
  <c r="S272"/>
  <c r="S273"/>
  <c r="S274"/>
  <c r="S275"/>
  <c r="S276"/>
  <c r="S277"/>
  <c r="S278"/>
  <c r="S279"/>
  <c r="S280"/>
  <c r="S281"/>
  <c r="S282"/>
  <c r="S283"/>
  <c r="S284"/>
  <c r="S285"/>
  <c r="S286"/>
  <c r="S287"/>
  <c r="S288"/>
  <c r="S289"/>
  <c r="S290"/>
  <c r="S291"/>
  <c r="S292"/>
  <c r="S293"/>
  <c r="S294"/>
  <c r="S295"/>
  <c r="S296"/>
  <c r="S297"/>
  <c r="S298"/>
  <c r="S299"/>
  <c r="S300"/>
  <c r="S301"/>
  <c r="S302"/>
  <c r="S303"/>
  <c r="S304"/>
  <c r="S305"/>
  <c r="S306"/>
  <c r="S307"/>
  <c r="S308"/>
  <c r="S309"/>
  <c r="S310"/>
  <c r="S311"/>
  <c r="S312"/>
  <c r="S313"/>
  <c r="S314"/>
  <c r="S315"/>
  <c r="S316"/>
  <c r="S317"/>
  <c r="S318"/>
  <c r="S319"/>
  <c r="S320"/>
  <c r="S321"/>
  <c r="S322"/>
  <c r="S323"/>
  <c r="S324"/>
  <c r="S325"/>
  <c r="S326"/>
  <c r="S327"/>
  <c r="S328"/>
  <c r="S329"/>
  <c r="S330"/>
  <c r="S331"/>
  <c r="S332"/>
  <c r="S333"/>
  <c r="S334"/>
  <c r="S335"/>
  <c r="S336"/>
  <c r="S337"/>
  <c r="S338"/>
  <c r="S339"/>
  <c r="S340"/>
  <c r="S341"/>
  <c r="S342"/>
  <c r="S343"/>
  <c r="S344"/>
  <c r="S345"/>
  <c r="S346"/>
  <c r="S347"/>
  <c r="S348"/>
  <c r="S349"/>
  <c r="S350"/>
  <c r="S351"/>
  <c r="S352"/>
  <c r="S353"/>
  <c r="S354"/>
  <c r="S355"/>
  <c r="S356"/>
  <c r="S357"/>
  <c r="S358"/>
  <c r="S359"/>
  <c r="S360"/>
  <c r="S361"/>
  <c r="S362"/>
  <c r="S363"/>
  <c r="S364"/>
  <c r="S365"/>
  <c r="S366"/>
  <c r="S367"/>
  <c r="S368"/>
  <c r="S369"/>
  <c r="S370"/>
  <c r="S371"/>
  <c r="S372"/>
  <c r="S373"/>
  <c r="S374"/>
  <c r="S375"/>
  <c r="S376"/>
  <c r="S377"/>
  <c r="S378"/>
  <c r="S379"/>
  <c r="S380"/>
  <c r="S381"/>
  <c r="S382"/>
  <c r="S383"/>
  <c r="S384"/>
  <c r="S385"/>
  <c r="S386"/>
  <c r="S387"/>
  <c r="S388"/>
  <c r="S389"/>
  <c r="S390"/>
  <c r="S391"/>
  <c r="S392"/>
  <c r="S393"/>
  <c r="S394"/>
  <c r="S395"/>
  <c r="S396"/>
  <c r="S397"/>
  <c r="S398"/>
  <c r="S399"/>
  <c r="S400"/>
  <c r="S401"/>
  <c r="S402"/>
  <c r="S403"/>
  <c r="S404"/>
  <c r="S405"/>
  <c r="S406"/>
  <c r="S407"/>
  <c r="S408"/>
  <c r="S409"/>
  <c r="S410"/>
  <c r="S411"/>
  <c r="S412"/>
  <c r="S413"/>
  <c r="S414"/>
  <c r="S415"/>
  <c r="S416"/>
  <c r="S417"/>
  <c r="S418"/>
  <c r="S419"/>
  <c r="S420"/>
  <c r="S421"/>
  <c r="S422"/>
  <c r="S423"/>
  <c r="S424"/>
  <c r="S425"/>
  <c r="S426"/>
  <c r="S427"/>
  <c r="S428"/>
  <c r="S429"/>
  <c r="S430"/>
  <c r="S431"/>
  <c r="S432"/>
  <c r="S433"/>
  <c r="S434"/>
  <c r="S436"/>
  <c r="S437"/>
  <c r="S438"/>
  <c r="S439"/>
  <c r="S440"/>
  <c r="S441"/>
  <c r="S442"/>
  <c r="S443"/>
  <c r="S444"/>
  <c r="S445"/>
  <c r="S446"/>
  <c r="S447"/>
  <c r="S448"/>
  <c r="S449"/>
  <c r="S450"/>
  <c r="S451"/>
  <c r="S435"/>
  <c r="S452"/>
  <c r="S453"/>
  <c r="S454"/>
  <c r="S455"/>
  <c r="S456"/>
  <c r="S457"/>
  <c r="S458"/>
  <c r="S459"/>
  <c r="S460"/>
  <c r="S461"/>
  <c r="S462"/>
  <c r="S463"/>
  <c r="S464"/>
  <c r="S465"/>
  <c r="S466"/>
  <c r="S467"/>
  <c r="S468"/>
  <c r="S469"/>
  <c r="S470"/>
  <c r="S471"/>
  <c r="S472"/>
  <c r="S473"/>
  <c r="S474"/>
  <c r="S475"/>
  <c r="S476"/>
  <c r="S477"/>
  <c r="S478"/>
  <c r="S479"/>
  <c r="S480"/>
  <c r="S481"/>
  <c r="S482"/>
  <c r="S483"/>
  <c r="S484"/>
  <c r="S485"/>
  <c r="S486"/>
  <c r="S487"/>
  <c r="S488"/>
  <c r="S489"/>
  <c r="S490"/>
  <c r="S491"/>
  <c r="S492"/>
  <c r="S493"/>
  <c r="S494"/>
  <c r="S495"/>
  <c r="S496"/>
  <c r="S497"/>
  <c r="S498"/>
  <c r="S499"/>
  <c r="S500"/>
  <c r="S501"/>
  <c r="S502"/>
  <c r="S503"/>
  <c r="S504"/>
  <c r="S505"/>
  <c r="S506"/>
  <c r="S507"/>
  <c r="S508"/>
  <c r="S509"/>
  <c r="S510"/>
  <c r="S511"/>
  <c r="S512"/>
  <c r="S513"/>
  <c r="S514"/>
  <c r="S515"/>
  <c r="S516"/>
  <c r="S517"/>
  <c r="S518"/>
  <c r="S519"/>
  <c r="S520"/>
  <c r="S521"/>
  <c r="S522"/>
  <c r="S523"/>
  <c r="S524"/>
  <c r="S525"/>
  <c r="S526"/>
  <c r="S527"/>
  <c r="S528"/>
  <c r="S529"/>
  <c r="S530"/>
  <c r="S531"/>
  <c r="S532"/>
  <c r="S533"/>
  <c r="S534"/>
  <c r="S535"/>
  <c r="S536"/>
  <c r="S537"/>
  <c r="S538"/>
  <c r="S540"/>
  <c r="S541"/>
  <c r="S542"/>
  <c r="S543"/>
  <c r="S544"/>
  <c r="S545"/>
  <c r="S546"/>
  <c r="S547"/>
  <c r="S548"/>
  <c r="S549"/>
  <c r="S550"/>
  <c r="S551"/>
  <c r="S552"/>
  <c r="S553"/>
  <c r="S554"/>
  <c r="S555"/>
  <c r="S556"/>
  <c r="S557"/>
  <c r="S558"/>
  <c r="S559"/>
  <c r="S560"/>
  <c r="S561"/>
  <c r="S562"/>
  <c r="S563"/>
  <c r="S564"/>
  <c r="S565"/>
  <c r="S566"/>
  <c r="S567"/>
  <c r="S568"/>
  <c r="S569"/>
  <c r="S570"/>
  <c r="S571"/>
  <c r="S572"/>
  <c r="S573"/>
  <c r="S574"/>
  <c r="S575"/>
  <c r="S576"/>
  <c r="S577"/>
  <c r="S578"/>
  <c r="S579"/>
  <c r="S580"/>
  <c r="S581"/>
  <c r="S582"/>
  <c r="S583"/>
  <c r="S584"/>
  <c r="S585"/>
  <c r="S586"/>
  <c r="S587"/>
  <c r="S588"/>
  <c r="S589"/>
  <c r="S590"/>
  <c r="S591"/>
  <c r="S592"/>
  <c r="S593"/>
  <c r="S594"/>
  <c r="S595"/>
  <c r="S596"/>
  <c r="S597"/>
  <c r="S598"/>
  <c r="S599"/>
  <c r="S600"/>
  <c r="S601"/>
  <c r="S602"/>
  <c r="S603"/>
  <c r="S604"/>
  <c r="S605"/>
  <c r="S606"/>
  <c r="S607"/>
  <c r="S608"/>
  <c r="S609"/>
  <c r="S610"/>
  <c r="S611"/>
  <c r="S612"/>
  <c r="S613"/>
  <c r="S614"/>
  <c r="S615"/>
  <c r="S616"/>
  <c r="S617"/>
  <c r="S618"/>
  <c r="S619"/>
  <c r="S620"/>
  <c r="S621"/>
  <c r="S622"/>
  <c r="S623"/>
  <c r="S624"/>
  <c r="S625"/>
  <c r="S626"/>
  <c r="S627"/>
  <c r="S628"/>
  <c r="S629"/>
  <c r="S630"/>
  <c r="S631"/>
  <c r="S632"/>
  <c r="S633"/>
  <c r="S634"/>
  <c r="S635"/>
  <c r="S636"/>
  <c r="S637"/>
  <c r="S638"/>
  <c r="S639"/>
  <c r="S640"/>
  <c r="S641"/>
  <c r="S642"/>
  <c r="S643"/>
  <c r="S644"/>
  <c r="S645"/>
  <c r="S646"/>
  <c r="S647"/>
  <c r="S648"/>
  <c r="S649"/>
  <c r="S650"/>
  <c r="S651"/>
  <c r="S652"/>
  <c r="S653"/>
  <c r="S654"/>
  <c r="S655"/>
  <c r="S656"/>
  <c r="S657"/>
  <c r="S658"/>
  <c r="S659"/>
  <c r="S660"/>
  <c r="S661"/>
  <c r="S662"/>
  <c r="S663"/>
  <c r="S664"/>
  <c r="S665"/>
  <c r="S666"/>
  <c r="S667"/>
  <c r="S668"/>
  <c r="S669"/>
  <c r="S670"/>
  <c r="S671"/>
  <c r="S672"/>
  <c r="S673"/>
  <c r="S674"/>
  <c r="S675"/>
  <c r="S676"/>
  <c r="S677"/>
  <c r="S678"/>
  <c r="S679"/>
  <c r="S680"/>
  <c r="S681"/>
  <c r="S682"/>
  <c r="S683"/>
  <c r="S684"/>
  <c r="S685"/>
  <c r="S686"/>
  <c r="S687"/>
  <c r="S688"/>
  <c r="S689"/>
  <c r="S690"/>
  <c r="S691"/>
  <c r="S692"/>
  <c r="S693"/>
  <c r="S694"/>
  <c r="S695"/>
  <c r="S696"/>
  <c r="S697"/>
  <c r="S698"/>
  <c r="S699"/>
  <c r="S700"/>
  <c r="S701"/>
  <c r="S702"/>
  <c r="S703"/>
  <c r="S704"/>
  <c r="S705"/>
  <c r="S706"/>
  <c r="S707"/>
  <c r="S708"/>
  <c r="S709"/>
  <c r="S710"/>
  <c r="S711"/>
  <c r="S712"/>
  <c r="S713"/>
  <c r="S714"/>
  <c r="S715"/>
  <c r="S716"/>
  <c r="S717"/>
  <c r="S718"/>
  <c r="S719"/>
  <c r="S720"/>
  <c r="S721"/>
  <c r="S722"/>
  <c r="S723"/>
  <c r="S724"/>
  <c r="S725"/>
  <c r="S726"/>
  <c r="S727"/>
  <c r="S728"/>
  <c r="S729"/>
  <c r="S730"/>
  <c r="S731"/>
  <c r="S732"/>
  <c r="S733"/>
  <c r="S734"/>
  <c r="S735"/>
  <c r="S736"/>
  <c r="S737"/>
  <c r="S738"/>
  <c r="S739"/>
  <c r="S740"/>
  <c r="S741"/>
  <c r="S742"/>
  <c r="S743"/>
  <c r="S744"/>
  <c r="S745"/>
  <c r="S746"/>
  <c r="S747"/>
  <c r="S748"/>
  <c r="S749"/>
  <c r="S750"/>
  <c r="S751"/>
  <c r="S752"/>
  <c r="S753"/>
  <c r="S754"/>
  <c r="S755"/>
  <c r="S756"/>
  <c r="S757"/>
  <c r="S758"/>
  <c r="S759"/>
  <c r="S760"/>
  <c r="S761"/>
  <c r="S762"/>
  <c r="S763"/>
  <c r="S764"/>
  <c r="S765"/>
  <c r="S766"/>
  <c r="S767"/>
  <c r="S768"/>
  <c r="S769"/>
  <c r="S770"/>
  <c r="S771"/>
  <c r="S772"/>
  <c r="S773"/>
  <c r="S774"/>
  <c r="S775"/>
  <c r="S776"/>
  <c r="S777"/>
  <c r="S778"/>
  <c r="S779"/>
  <c r="S780"/>
  <c r="S781"/>
  <c r="S782"/>
  <c r="S783"/>
  <c r="S784"/>
  <c r="S785"/>
  <c r="S786"/>
  <c r="S787"/>
  <c r="S788"/>
  <c r="S789"/>
  <c r="S790"/>
  <c r="S791"/>
  <c r="S792"/>
  <c r="S793"/>
  <c r="S794"/>
  <c r="S795"/>
  <c r="S796"/>
  <c r="S797"/>
  <c r="S798"/>
  <c r="S799"/>
  <c r="S800"/>
  <c r="S801"/>
  <c r="S802"/>
  <c r="S803"/>
  <c r="S804"/>
  <c r="S805"/>
  <c r="S806"/>
  <c r="S807"/>
  <c r="S808"/>
  <c r="S809"/>
  <c r="S810"/>
  <c r="S811"/>
  <c r="S812"/>
  <c r="S813"/>
  <c r="S814"/>
  <c r="S815"/>
  <c r="S816"/>
  <c r="S817"/>
  <c r="S818"/>
  <c r="S819"/>
  <c r="S820"/>
  <c r="S821"/>
  <c r="S822"/>
  <c r="S823"/>
  <c r="S824"/>
  <c r="S825"/>
  <c r="S826"/>
  <c r="S827"/>
  <c r="S828"/>
  <c r="S829"/>
  <c r="S830"/>
  <c r="S831"/>
  <c r="S832"/>
  <c r="S833"/>
  <c r="S834"/>
  <c r="S835"/>
  <c r="S836"/>
  <c r="S837"/>
  <c r="S838"/>
  <c r="S839"/>
  <c r="S840"/>
  <c r="S841"/>
  <c r="S842"/>
  <c r="S843"/>
  <c r="S844"/>
  <c r="S845"/>
  <c r="S846"/>
  <c r="S847"/>
  <c r="S848"/>
  <c r="S849"/>
  <c r="S850"/>
  <c r="S851"/>
  <c r="S852"/>
  <c r="S853"/>
  <c r="S854"/>
  <c r="S855"/>
  <c r="S856"/>
  <c r="S857"/>
  <c r="S858"/>
  <c r="S859"/>
  <c r="S860"/>
  <c r="S861"/>
  <c r="S862"/>
  <c r="S863"/>
  <c r="S864"/>
  <c r="S865"/>
  <c r="S866"/>
  <c r="S867"/>
  <c r="S868"/>
  <c r="S869"/>
  <c r="S870"/>
  <c r="S871"/>
  <c r="S872"/>
  <c r="S873"/>
  <c r="S874"/>
  <c r="S875"/>
  <c r="S876"/>
  <c r="S877"/>
  <c r="S878"/>
  <c r="S879"/>
  <c r="S880"/>
  <c r="S881"/>
  <c r="S882"/>
  <c r="S883"/>
  <c r="S884"/>
  <c r="S885"/>
  <c r="S886"/>
  <c r="S887"/>
  <c r="S888"/>
  <c r="S889"/>
  <c r="S890"/>
  <c r="S891"/>
  <c r="S892"/>
  <c r="S893"/>
  <c r="S894"/>
  <c r="S895"/>
  <c r="S896"/>
  <c r="S897"/>
  <c r="S898"/>
  <c r="S899"/>
  <c r="S900"/>
  <c r="S901"/>
  <c r="S902"/>
  <c r="S903"/>
  <c r="S904"/>
  <c r="S905"/>
  <c r="S906"/>
  <c r="S907"/>
  <c r="S908"/>
  <c r="S909"/>
  <c r="S910"/>
  <c r="S911"/>
  <c r="S912"/>
  <c r="S913"/>
  <c r="S914"/>
  <c r="S915"/>
  <c r="S916"/>
  <c r="S917"/>
  <c r="S918"/>
  <c r="S919"/>
  <c r="S920"/>
  <c r="S921"/>
  <c r="S922"/>
  <c r="S923"/>
  <c r="S924"/>
  <c r="S925"/>
  <c r="S926"/>
  <c r="S927"/>
  <c r="S928"/>
  <c r="S929"/>
  <c r="S930"/>
  <c r="S931"/>
  <c r="S932"/>
  <c r="S933"/>
  <c r="S934"/>
  <c r="S935"/>
  <c r="S936"/>
  <c r="S937"/>
  <c r="S938"/>
  <c r="S939"/>
  <c r="S940"/>
  <c r="S941"/>
  <c r="S942"/>
  <c r="S943"/>
  <c r="S944"/>
  <c r="S945"/>
  <c r="S946"/>
  <c r="S947"/>
  <c r="S948"/>
  <c r="S949"/>
  <c r="S950"/>
  <c r="S951"/>
  <c r="S952"/>
  <c r="S953"/>
  <c r="S954"/>
  <c r="S955"/>
  <c r="S956"/>
  <c r="S957"/>
  <c r="S958"/>
  <c r="S959"/>
  <c r="S960"/>
  <c r="S961"/>
  <c r="S962"/>
  <c r="S963"/>
  <c r="S964"/>
  <c r="S965"/>
  <c r="S966"/>
  <c r="S967"/>
  <c r="S968"/>
  <c r="S969"/>
  <c r="S970"/>
  <c r="S971"/>
  <c r="S972"/>
  <c r="S973"/>
  <c r="S974"/>
  <c r="S975"/>
  <c r="S976"/>
  <c r="S977"/>
  <c r="S978"/>
  <c r="S979"/>
  <c r="S980"/>
  <c r="S981"/>
  <c r="S982"/>
  <c r="S983"/>
  <c r="S984"/>
  <c r="S985"/>
  <c r="S986"/>
  <c r="S987"/>
  <c r="S988"/>
  <c r="S989"/>
  <c r="S990"/>
  <c r="S991"/>
  <c r="S992"/>
  <c r="S993"/>
  <c r="S994"/>
  <c r="S995"/>
  <c r="S996"/>
  <c r="S997"/>
  <c r="S998"/>
  <c r="S999"/>
  <c r="S1000"/>
  <c r="S1001"/>
  <c r="S1002"/>
  <c r="S1003"/>
  <c r="S1004"/>
  <c r="S1005"/>
  <c r="S1006"/>
  <c r="S1007"/>
  <c r="S1008"/>
  <c r="S1009"/>
  <c r="S1010"/>
  <c r="S1011"/>
  <c r="S1012"/>
  <c r="S1013"/>
  <c r="S1014"/>
  <c r="S1015"/>
  <c r="S1016"/>
  <c r="S1017"/>
  <c r="S1018"/>
  <c r="S1019"/>
  <c r="S1020"/>
  <c r="S1021"/>
  <c r="S1022"/>
  <c r="S1023"/>
  <c r="S1024"/>
  <c r="S1025"/>
  <c r="S1026"/>
  <c r="S1027"/>
  <c r="S1028"/>
  <c r="S1029"/>
  <c r="S1030"/>
  <c r="S1031"/>
  <c r="S1032"/>
  <c r="S1033"/>
  <c r="S1034"/>
  <c r="S1035"/>
  <c r="S1036"/>
  <c r="S1037"/>
  <c r="S1038"/>
  <c r="S1039"/>
  <c r="S1040"/>
  <c r="S1041"/>
  <c r="S1042"/>
  <c r="S1043"/>
  <c r="S1044"/>
  <c r="S1045"/>
  <c r="S1047"/>
  <c r="S1048"/>
  <c r="S1049"/>
  <c r="S1050"/>
  <c r="S1051"/>
  <c r="S1052"/>
  <c r="S1053"/>
  <c r="S1054"/>
  <c r="S1055"/>
  <c r="S1056"/>
  <c r="S1057"/>
  <c r="S1058"/>
  <c r="S1059"/>
  <c r="S1060"/>
  <c r="S1061"/>
  <c r="S1062"/>
  <c r="S1063"/>
  <c r="S1064"/>
  <c r="S1065"/>
  <c r="S1066"/>
  <c r="S1067"/>
  <c r="S1068"/>
  <c r="S1069"/>
  <c r="S1070"/>
  <c r="S1071"/>
  <c r="S1072"/>
  <c r="S1073"/>
  <c r="S1074"/>
  <c r="S1075"/>
  <c r="S1076"/>
  <c r="S1077"/>
  <c r="S1078"/>
  <c r="S1079"/>
  <c r="S1080"/>
  <c r="S1081"/>
  <c r="S1082"/>
  <c r="S1083"/>
  <c r="S1084"/>
  <c r="S1085"/>
  <c r="S1086"/>
  <c r="S1087"/>
  <c r="S1088"/>
  <c r="S1089"/>
  <c r="S1090"/>
  <c r="S1091"/>
  <c r="S1092"/>
  <c r="S1093"/>
  <c r="S1094"/>
  <c r="S1095"/>
  <c r="S1096"/>
  <c r="S1097"/>
  <c r="S1098"/>
  <c r="S1099"/>
  <c r="S1100"/>
  <c r="S1101"/>
  <c r="S1102"/>
  <c r="S1103"/>
  <c r="S1104"/>
  <c r="S1105"/>
  <c r="S1106"/>
  <c r="S1107"/>
  <c r="S1108"/>
  <c r="S1109"/>
  <c r="S1110"/>
  <c r="S1111"/>
  <c r="S1112"/>
  <c r="S1113"/>
  <c r="S1114"/>
  <c r="S1115"/>
  <c r="S1116"/>
  <c r="S1117"/>
  <c r="S1118"/>
  <c r="S1119"/>
  <c r="S1120"/>
  <c r="S1121"/>
  <c r="S1122"/>
  <c r="S1123"/>
  <c r="S1124"/>
  <c r="S1125"/>
  <c r="S1126"/>
  <c r="S1127"/>
  <c r="S1128"/>
  <c r="S1129"/>
  <c r="S1130"/>
  <c r="S1131"/>
  <c r="S1132"/>
  <c r="S1133"/>
  <c r="S1134"/>
  <c r="S1135"/>
  <c r="S1136"/>
  <c r="S1137"/>
  <c r="S1138"/>
  <c r="S1139"/>
  <c r="S1140"/>
  <c r="S1141"/>
  <c r="S1142"/>
  <c r="S1143"/>
  <c r="S1144"/>
  <c r="S1145"/>
  <c r="S1146"/>
  <c r="S1147"/>
  <c r="S1148"/>
  <c r="S1149"/>
  <c r="S1150"/>
  <c r="S1151"/>
  <c r="S1152"/>
  <c r="S1153"/>
  <c r="S1154"/>
  <c r="S1155"/>
  <c r="S1156"/>
  <c r="S1157"/>
  <c r="S1158"/>
  <c r="S1159"/>
  <c r="S1160"/>
  <c r="S1161"/>
  <c r="S1162"/>
  <c r="S1163"/>
  <c r="S1164"/>
  <c r="S1165"/>
  <c r="S1166"/>
  <c r="S1167"/>
  <c r="S1168"/>
  <c r="S1169"/>
  <c r="S1170"/>
  <c r="S1171"/>
  <c r="S1172"/>
  <c r="S1173"/>
  <c r="S1174"/>
  <c r="S1175"/>
  <c r="S1176"/>
  <c r="S1177"/>
  <c r="S1178"/>
  <c r="S1179"/>
  <c r="S1180"/>
  <c r="S1181"/>
  <c r="S1182"/>
  <c r="S1183"/>
  <c r="S1184"/>
  <c r="S1185"/>
  <c r="S1186"/>
  <c r="S1187"/>
  <c r="S1188"/>
  <c r="S1189"/>
  <c r="S1190"/>
  <c r="S1191"/>
  <c r="S1192"/>
  <c r="S1193"/>
  <c r="S1194"/>
  <c r="S1195"/>
  <c r="S1196"/>
  <c r="S1197"/>
  <c r="S1198"/>
  <c r="S1199"/>
  <c r="S1200"/>
  <c r="S1201"/>
  <c r="S1203"/>
  <c r="S1204"/>
  <c r="S1205"/>
  <c r="S1206"/>
  <c r="S1207"/>
  <c r="S1208"/>
  <c r="S1209"/>
  <c r="S1210"/>
  <c r="S1211"/>
  <c r="S1212"/>
  <c r="S1213"/>
  <c r="S1214"/>
  <c r="S1215"/>
  <c r="S1216"/>
  <c r="S1217"/>
  <c r="S1218"/>
  <c r="S1219"/>
  <c r="S1220"/>
  <c r="S1221"/>
  <c r="S1222"/>
  <c r="S1223"/>
  <c r="S1224"/>
  <c r="S1225"/>
  <c r="S1226"/>
  <c r="S1227"/>
  <c r="S1228"/>
  <c r="S1229"/>
  <c r="S1230"/>
  <c r="S1231"/>
  <c r="S1232"/>
  <c r="S1233"/>
  <c r="S1234"/>
  <c r="S1235"/>
  <c r="S1236"/>
  <c r="S1237"/>
  <c r="S1238"/>
  <c r="S1239"/>
  <c r="S1240"/>
  <c r="S1241"/>
  <c r="S1242"/>
  <c r="S1243"/>
  <c r="S1244"/>
  <c r="S1245"/>
  <c r="S1246"/>
  <c r="S1247"/>
  <c r="S1248"/>
  <c r="S1249"/>
  <c r="S1250"/>
  <c r="S1251"/>
  <c r="S1252"/>
  <c r="S1253"/>
  <c r="S1254"/>
  <c r="S1255"/>
  <c r="S1256"/>
  <c r="S1257"/>
  <c r="S1258"/>
  <c r="S1259"/>
  <c r="S1260"/>
  <c r="S1261"/>
  <c r="S1262"/>
  <c r="S1263"/>
  <c r="S1264"/>
  <c r="S1265"/>
  <c r="S1266"/>
  <c r="S1267"/>
  <c r="S1268"/>
  <c r="S1269"/>
  <c r="S1270"/>
  <c r="S1271"/>
  <c r="S1272"/>
  <c r="S1273"/>
  <c r="S1274"/>
  <c r="S1275"/>
  <c r="S1276"/>
  <c r="S1277"/>
  <c r="S1278"/>
  <c r="S1279"/>
  <c r="S1280"/>
  <c r="S1281"/>
  <c r="S1282"/>
  <c r="S1283"/>
  <c r="S1284"/>
  <c r="S1285"/>
  <c r="S1286"/>
  <c r="S1287"/>
  <c r="S1288"/>
  <c r="S1289"/>
  <c r="S1290"/>
  <c r="S1291"/>
  <c r="S1292"/>
  <c r="S1293"/>
  <c r="S1294"/>
  <c r="S1295"/>
  <c r="S1296"/>
  <c r="S1297"/>
  <c r="S1298"/>
  <c r="S1299"/>
  <c r="S1300"/>
  <c r="S1301"/>
  <c r="S1302"/>
  <c r="S1303"/>
  <c r="S1304"/>
  <c r="S1305"/>
  <c r="S1306"/>
  <c r="S1307"/>
  <c r="S1308"/>
  <c r="S1309"/>
  <c r="S1310"/>
  <c r="S1311"/>
  <c r="S1312"/>
  <c r="S1313"/>
  <c r="S1314"/>
  <c r="S1315"/>
  <c r="S1316"/>
  <c r="S1317"/>
  <c r="S1318"/>
  <c r="S1319"/>
  <c r="S1320"/>
  <c r="S1321"/>
  <c r="S1322"/>
  <c r="S1323"/>
  <c r="S1324"/>
  <c r="S1325"/>
  <c r="S1326"/>
  <c r="S1327"/>
  <c r="S1328"/>
  <c r="S1329"/>
  <c r="S1330"/>
  <c r="S1331"/>
  <c r="S1332"/>
  <c r="S1333"/>
  <c r="S1334"/>
  <c r="S1335"/>
  <c r="S1336"/>
  <c r="S1337"/>
  <c r="S1338"/>
  <c r="S1339"/>
  <c r="S1340"/>
  <c r="S1341"/>
  <c r="S1342"/>
  <c r="S1343"/>
  <c r="S1344"/>
  <c r="S1345"/>
  <c r="S1346"/>
  <c r="S1347"/>
  <c r="S1348"/>
  <c r="S1349"/>
  <c r="S1350"/>
  <c r="S1351"/>
  <c r="S1352"/>
  <c r="S1353"/>
  <c r="S1354"/>
  <c r="S1355"/>
  <c r="S1356"/>
  <c r="S1357"/>
  <c r="S1358"/>
  <c r="S1359"/>
  <c r="S1360"/>
  <c r="S1361"/>
  <c r="S1362"/>
  <c r="S1363"/>
  <c r="S1364"/>
  <c r="S1365"/>
  <c r="S1366"/>
  <c r="S1367"/>
  <c r="S1368"/>
  <c r="S1369"/>
  <c r="S1370"/>
  <c r="S1371"/>
  <c r="S1372"/>
  <c r="S1373"/>
  <c r="S1374"/>
  <c r="S1375"/>
  <c r="S1376"/>
  <c r="S1377"/>
  <c r="S1378"/>
  <c r="S1379"/>
  <c r="S1380"/>
  <c r="S1381"/>
  <c r="S1382"/>
  <c r="S1383"/>
  <c r="S1384"/>
  <c r="S1385"/>
  <c r="S1386"/>
  <c r="S1387"/>
  <c r="S1388"/>
  <c r="S1389"/>
  <c r="S1390"/>
  <c r="S1391"/>
  <c r="S1392"/>
  <c r="S1393"/>
  <c r="S1394"/>
  <c r="S1395"/>
  <c r="S1396"/>
  <c r="S1397"/>
  <c r="S1398"/>
  <c r="S1399"/>
  <c r="S1400"/>
  <c r="S1401"/>
  <c r="S1402"/>
  <c r="S1403"/>
  <c r="S1404"/>
  <c r="S1405"/>
  <c r="S1406"/>
  <c r="S1407"/>
  <c r="S1408"/>
  <c r="S1409"/>
  <c r="S1410"/>
  <c r="S1411"/>
  <c r="S1412"/>
  <c r="S1413"/>
  <c r="S1414"/>
  <c r="S1415"/>
  <c r="S1416"/>
  <c r="S1417"/>
  <c r="S1418"/>
  <c r="S1419"/>
  <c r="S1420"/>
  <c r="S1421"/>
  <c r="S1422"/>
  <c r="S1423"/>
  <c r="S1424"/>
  <c r="S1425"/>
  <c r="S1426"/>
  <c r="S1427"/>
  <c r="S1428"/>
  <c r="S1429"/>
  <c r="S1430"/>
  <c r="S1431"/>
  <c r="S1432"/>
  <c r="S1433"/>
  <c r="S1434"/>
  <c r="S1435"/>
  <c r="S1436"/>
  <c r="S1437"/>
  <c r="S1438"/>
  <c r="S1439"/>
  <c r="S1440"/>
  <c r="S1441"/>
  <c r="S1442"/>
  <c r="S1443"/>
  <c r="S1444"/>
  <c r="S1445"/>
  <c r="S1446"/>
  <c r="S1447"/>
  <c r="S1448"/>
  <c r="S1449"/>
  <c r="S1450"/>
  <c r="S1451"/>
  <c r="S1452"/>
  <c r="S1453"/>
  <c r="S1454"/>
  <c r="S1455"/>
  <c r="S1456"/>
  <c r="S1457"/>
  <c r="S1458"/>
  <c r="S1459"/>
  <c r="S1460"/>
  <c r="S1461"/>
  <c r="S1462"/>
  <c r="S1463"/>
  <c r="S1464"/>
  <c r="S1465"/>
  <c r="S1466"/>
  <c r="S1467"/>
  <c r="S1468"/>
  <c r="S1469"/>
  <c r="S1470"/>
  <c r="S1471"/>
  <c r="S1472"/>
  <c r="S1473"/>
  <c r="S1474"/>
  <c r="S1475"/>
  <c r="S1476"/>
  <c r="S1477"/>
  <c r="S1478"/>
  <c r="S1479"/>
  <c r="S1480"/>
  <c r="S1481"/>
  <c r="S1482"/>
  <c r="S1483"/>
  <c r="S1484"/>
  <c r="S1485"/>
  <c r="S1486"/>
  <c r="S1491"/>
  <c r="S1492"/>
  <c r="S1493"/>
  <c r="S1494"/>
  <c r="S1495"/>
  <c r="S1496"/>
  <c r="S1497"/>
  <c r="S1498"/>
  <c r="S1499"/>
  <c r="S1500"/>
  <c r="S1487"/>
  <c r="S1501"/>
  <c r="S1488"/>
  <c r="S1489"/>
  <c r="S1490"/>
  <c r="S1502"/>
  <c r="S1503"/>
  <c r="S1504"/>
  <c r="S1505"/>
  <c r="S1506"/>
  <c r="S1507"/>
  <c r="S1508"/>
  <c r="S1509"/>
  <c r="S1510"/>
  <c r="S1511"/>
  <c r="S1512"/>
  <c r="S1513"/>
  <c r="S1514"/>
  <c r="S1515"/>
  <c r="S1516"/>
  <c r="S1517"/>
  <c r="S1518"/>
  <c r="S1519"/>
  <c r="S1520"/>
  <c r="S1521"/>
  <c r="S1522"/>
  <c r="S1523"/>
  <c r="S1524"/>
  <c r="S1525"/>
  <c r="S1526"/>
  <c r="S1527"/>
  <c r="S1528"/>
  <c r="S1529"/>
  <c r="S1530"/>
  <c r="S1531"/>
  <c r="S1532"/>
  <c r="S1533"/>
  <c r="S1534"/>
  <c r="S1535"/>
  <c r="S1536"/>
  <c r="S1537"/>
  <c r="S1538"/>
  <c r="S1539"/>
  <c r="S1540"/>
  <c r="S1541"/>
  <c r="S1542"/>
  <c r="S1543"/>
  <c r="S1544"/>
  <c r="S1545"/>
  <c r="S1546"/>
  <c r="S1547"/>
  <c r="S1548"/>
  <c r="S1549"/>
  <c r="S1550"/>
  <c r="S1551"/>
  <c r="S1552"/>
  <c r="S1553"/>
  <c r="S1554"/>
  <c r="S1555"/>
  <c r="S1556"/>
  <c r="S1557"/>
  <c r="S1558"/>
  <c r="S1559"/>
  <c r="S1560"/>
  <c r="S1561"/>
  <c r="S1562"/>
  <c r="S1563"/>
  <c r="S1565"/>
  <c r="S1566"/>
  <c r="S1567"/>
  <c r="S1568"/>
  <c r="S1569"/>
  <c r="S1570"/>
  <c r="S1571"/>
  <c r="S1572"/>
  <c r="S1573"/>
  <c r="S1574"/>
  <c r="S1575"/>
  <c r="S1576"/>
  <c r="S1577"/>
  <c r="S1578"/>
  <c r="S1579"/>
  <c r="S1564"/>
  <c r="S1580"/>
  <c r="S1581"/>
  <c r="S1582"/>
  <c r="S1583"/>
  <c r="S1584"/>
  <c r="S1585"/>
  <c r="S1586"/>
  <c r="S1587"/>
  <c r="S1588"/>
  <c r="S1589"/>
  <c r="S1590"/>
  <c r="S1591"/>
  <c r="S1592"/>
  <c r="S1593"/>
  <c r="S1594"/>
  <c r="S1595"/>
  <c r="S1596"/>
  <c r="S1597"/>
  <c r="S1598"/>
  <c r="S1599"/>
  <c r="S1600"/>
  <c r="S1601"/>
  <c r="S1602"/>
  <c r="S1603"/>
  <c r="S1604"/>
  <c r="S1605"/>
  <c r="S1606"/>
  <c r="S1607"/>
  <c r="S1608"/>
  <c r="S1609"/>
  <c r="S1610"/>
  <c r="S1611"/>
  <c r="S1612"/>
  <c r="S1613"/>
  <c r="S1614"/>
  <c r="S1615"/>
  <c r="S1616"/>
  <c r="S1617"/>
  <c r="S1618"/>
  <c r="S1619"/>
  <c r="S1620"/>
  <c r="S1621"/>
  <c r="S1622"/>
  <c r="S1623"/>
  <c r="S1624"/>
  <c r="S1625"/>
  <c r="S1626"/>
  <c r="S1627"/>
  <c r="S1628"/>
  <c r="S1629"/>
  <c r="S1630"/>
  <c r="S1631"/>
  <c r="S1632"/>
  <c r="S1633"/>
  <c r="S1634"/>
  <c r="S1635"/>
  <c r="S1636"/>
  <c r="S1637"/>
  <c r="S1638"/>
  <c r="S1639"/>
  <c r="S1640"/>
  <c r="S1641"/>
  <c r="S1642"/>
  <c r="S1643"/>
  <c r="S1644"/>
  <c r="S1645"/>
  <c r="S1646"/>
  <c r="S1647"/>
  <c r="S1648"/>
  <c r="S1649"/>
  <c r="S1650"/>
  <c r="S1651"/>
  <c r="S1652"/>
  <c r="S1653"/>
  <c r="S1654"/>
  <c r="S1655"/>
  <c r="S1656"/>
  <c r="S1657"/>
  <c r="S1658"/>
  <c r="S1659"/>
  <c r="S1660"/>
  <c r="S1661"/>
  <c r="S1662"/>
  <c r="S1663"/>
  <c r="S1664"/>
  <c r="S1665"/>
  <c r="S1666"/>
  <c r="S1667"/>
  <c r="S1668"/>
  <c r="S1669"/>
  <c r="S1670"/>
  <c r="S1671"/>
  <c r="S1672"/>
  <c r="S1673"/>
  <c r="S1674"/>
  <c r="S1675"/>
  <c r="S1676"/>
  <c r="S1677"/>
  <c r="S1678"/>
  <c r="S1679"/>
  <c r="S1680"/>
  <c r="S1681"/>
  <c r="S1682"/>
  <c r="S1683"/>
  <c r="S1684"/>
  <c r="S1685"/>
  <c r="S1686"/>
  <c r="S1687"/>
  <c r="S1688"/>
  <c r="S1689"/>
  <c r="S1690"/>
  <c r="S1691"/>
  <c r="S1692"/>
  <c r="S1693"/>
  <c r="S1694"/>
  <c r="S1695"/>
  <c r="S1696"/>
  <c r="S1697"/>
  <c r="S1698"/>
  <c r="S1699"/>
  <c r="S1700"/>
  <c r="S1701"/>
  <c r="S1702"/>
  <c r="S1703"/>
  <c r="S1704"/>
  <c r="S1705"/>
  <c r="S1706"/>
  <c r="S1707"/>
  <c r="S1708"/>
  <c r="S1709"/>
  <c r="S1710"/>
  <c r="S1711"/>
  <c r="S1712"/>
  <c r="S1713"/>
  <c r="S1714"/>
  <c r="S1715"/>
  <c r="S1716"/>
  <c r="S1717"/>
  <c r="S1718"/>
  <c r="S1719"/>
  <c r="S1720"/>
  <c r="S1721"/>
  <c r="S1722"/>
  <c r="S1723"/>
  <c r="S1724"/>
  <c r="S1725"/>
  <c r="S1726"/>
  <c r="S1727"/>
  <c r="S1728"/>
  <c r="S1729"/>
  <c r="S1730"/>
  <c r="S1731"/>
  <c r="S1732"/>
  <c r="S1733"/>
  <c r="S1734"/>
  <c r="S1735"/>
  <c r="S1736"/>
  <c r="S1737"/>
  <c r="S1738"/>
  <c r="S1739"/>
  <c r="S1740"/>
  <c r="S1741"/>
  <c r="S1742"/>
  <c r="S1743"/>
  <c r="S1744"/>
  <c r="S1745"/>
  <c r="S1746"/>
  <c r="S1747"/>
  <c r="S1748"/>
  <c r="S1749"/>
  <c r="S1750"/>
  <c r="S1751"/>
  <c r="S1752"/>
  <c r="S1753"/>
  <c r="S1754"/>
  <c r="S1755"/>
  <c r="S1756"/>
  <c r="S1757"/>
  <c r="S1758"/>
  <c r="S1759"/>
  <c r="S1760"/>
  <c r="S1761"/>
  <c r="S1762"/>
  <c r="S1763"/>
  <c r="S1764"/>
  <c r="S1765"/>
  <c r="S1767"/>
  <c r="S1768"/>
  <c r="S1769"/>
  <c r="S1770"/>
  <c r="S1771"/>
  <c r="S1772"/>
  <c r="S1773"/>
  <c r="S1774"/>
  <c r="S1775"/>
  <c r="S1776"/>
  <c r="S1766"/>
  <c r="S1777"/>
  <c r="S1778"/>
  <c r="S1779"/>
  <c r="S1780"/>
  <c r="S1781"/>
  <c r="S1782"/>
  <c r="S1783"/>
  <c r="S1784"/>
  <c r="S1785"/>
  <c r="S1786"/>
  <c r="S1787"/>
  <c r="S1788"/>
  <c r="S1789"/>
  <c r="S1790"/>
  <c r="S1791"/>
  <c r="S1792"/>
  <c r="S1793"/>
  <c r="S1794"/>
  <c r="S1795"/>
  <c r="S1796"/>
  <c r="S1797"/>
  <c r="S1798"/>
  <c r="S1799"/>
  <c r="S1800"/>
  <c r="S1801"/>
  <c r="S1802"/>
  <c r="S1803"/>
  <c r="S1804"/>
  <c r="S1805"/>
  <c r="S1806"/>
  <c r="S1807"/>
  <c r="S1808"/>
  <c r="S1809"/>
  <c r="S1810"/>
  <c r="S1811"/>
  <c r="S1812"/>
  <c r="S1813"/>
  <c r="S1814"/>
  <c r="S1815"/>
  <c r="S1816"/>
  <c r="S1817"/>
  <c r="S1818"/>
  <c r="S1819"/>
  <c r="S1820"/>
  <c r="S1821"/>
  <c r="S1822"/>
  <c r="S1823"/>
  <c r="S1824"/>
  <c r="S1825"/>
  <c r="S1826"/>
  <c r="S1827"/>
  <c r="S1828"/>
  <c r="S1829"/>
  <c r="S1830"/>
  <c r="S1831"/>
  <c r="S1832"/>
  <c r="S1833"/>
  <c r="S1834"/>
  <c r="S1835"/>
  <c r="S1836"/>
  <c r="S1837"/>
  <c r="S1838"/>
  <c r="S1839"/>
  <c r="S1840"/>
  <c r="S1841"/>
  <c r="S1842"/>
  <c r="S1843"/>
  <c r="S1844"/>
  <c r="S1845"/>
  <c r="S1846"/>
  <c r="S1847"/>
  <c r="S1848"/>
  <c r="S1849"/>
  <c r="S1850"/>
  <c r="S1851"/>
  <c r="S1852"/>
  <c r="S1853"/>
  <c r="S1854"/>
  <c r="S1855"/>
  <c r="S1856"/>
  <c r="S1857"/>
  <c r="S1858"/>
  <c r="S1859"/>
  <c r="S1860"/>
  <c r="S1861"/>
  <c r="S1862"/>
  <c r="S1863"/>
  <c r="S1864"/>
  <c r="S1865"/>
  <c r="S1866"/>
  <c r="S1867"/>
  <c r="S1868"/>
  <c r="S1869"/>
  <c r="S1870"/>
  <c r="S1871"/>
  <c r="S1872"/>
  <c r="S1873"/>
  <c r="S1874"/>
  <c r="S1875"/>
  <c r="S1876"/>
  <c r="S1877"/>
  <c r="S1878"/>
  <c r="S1879"/>
  <c r="S1880"/>
  <c r="S1881"/>
  <c r="S1882"/>
  <c r="S1883"/>
  <c r="S1884"/>
  <c r="S1885"/>
  <c r="S1886"/>
  <c r="S1887"/>
  <c r="S1888"/>
  <c r="S1889"/>
  <c r="S1890"/>
  <c r="S1891"/>
  <c r="S1892"/>
  <c r="S1893"/>
  <c r="S1894"/>
  <c r="S1895"/>
  <c r="S1896"/>
  <c r="S1897"/>
  <c r="S1898"/>
  <c r="S1899"/>
  <c r="S1900"/>
  <c r="S1901"/>
  <c r="S1902"/>
  <c r="S1903"/>
  <c r="S1904"/>
  <c r="S1905"/>
  <c r="S1906"/>
  <c r="S1907"/>
  <c r="S1908"/>
  <c r="S1909"/>
  <c r="S1910"/>
  <c r="S1911"/>
  <c r="S1912"/>
  <c r="S1913"/>
  <c r="S1914"/>
  <c r="S1915"/>
  <c r="S1916"/>
  <c r="S1917"/>
  <c r="S1918"/>
  <c r="S1919"/>
  <c r="S1920"/>
  <c r="S1922"/>
  <c r="S1923"/>
  <c r="S1924"/>
  <c r="S1925"/>
  <c r="S1926"/>
  <c r="S1927"/>
  <c r="S1928"/>
  <c r="S1929"/>
  <c r="S1930"/>
  <c r="S1931"/>
  <c r="S1932"/>
  <c r="S1933"/>
  <c r="S1934"/>
  <c r="S1935"/>
  <c r="S1936"/>
  <c r="S1937"/>
  <c r="S1938"/>
  <c r="S1939"/>
  <c r="S1940"/>
  <c r="S1941"/>
  <c r="S1942"/>
  <c r="S1943"/>
  <c r="S1944"/>
  <c r="S1945"/>
  <c r="S1946"/>
  <c r="S1947"/>
  <c r="S1948"/>
  <c r="S1949"/>
  <c r="S1950"/>
  <c r="S1951"/>
  <c r="S1952"/>
  <c r="S1953"/>
  <c r="S1954"/>
  <c r="S1955"/>
  <c r="S1956"/>
  <c r="S1957"/>
  <c r="S1958"/>
  <c r="S1959"/>
  <c r="S1960"/>
  <c r="S1961"/>
  <c r="S1962"/>
  <c r="S1963"/>
  <c r="S1964"/>
  <c r="S1965"/>
  <c r="S1966"/>
  <c r="S1967"/>
  <c r="S1968"/>
  <c r="S1969"/>
  <c r="S1970"/>
  <c r="S1971"/>
  <c r="S1972"/>
  <c r="S1973"/>
  <c r="S1974"/>
  <c r="S1975"/>
  <c r="S1976"/>
  <c r="S1977"/>
  <c r="S1978"/>
  <c r="S1979"/>
  <c r="S1980"/>
  <c r="S1981"/>
  <c r="S1982"/>
  <c r="S1983"/>
  <c r="S1984"/>
  <c r="S1985"/>
  <c r="S1986"/>
  <c r="S1987"/>
  <c r="S1988"/>
  <c r="S1989"/>
  <c r="S1990"/>
  <c r="S1991"/>
  <c r="S1992"/>
  <c r="S1993"/>
  <c r="S1994"/>
  <c r="S1995"/>
  <c r="S1996"/>
  <c r="S1997"/>
  <c r="S1998"/>
  <c r="S1999"/>
  <c r="S2000"/>
  <c r="S2001"/>
  <c r="S2002"/>
  <c r="S2003"/>
  <c r="S2004"/>
  <c r="S2005"/>
  <c r="S2006"/>
  <c r="S2007"/>
  <c r="S2008"/>
  <c r="S2009"/>
  <c r="S2010"/>
  <c r="S2011"/>
  <c r="S2012"/>
  <c r="S2013"/>
  <c r="S2014"/>
  <c r="S2015"/>
  <c r="S2016"/>
  <c r="S2017"/>
  <c r="S2018"/>
  <c r="S2019"/>
  <c r="S2020"/>
  <c r="S2021"/>
  <c r="S2022"/>
  <c r="S2023"/>
  <c r="S2024"/>
  <c r="S2025"/>
  <c r="S2026"/>
  <c r="S2027"/>
  <c r="S2028"/>
  <c r="S2029"/>
  <c r="S2030"/>
  <c r="S2031"/>
  <c r="S2032"/>
  <c r="S2033"/>
  <c r="S2034"/>
  <c r="S2035"/>
  <c r="S2036"/>
  <c r="S2037"/>
  <c r="S2038"/>
  <c r="S2039"/>
  <c r="S2040"/>
  <c r="S2041"/>
  <c r="S2042"/>
  <c r="S2043"/>
  <c r="S2044"/>
  <c r="S2045"/>
  <c r="S2046"/>
  <c r="S2047"/>
  <c r="S2048"/>
  <c r="S2049"/>
  <c r="S2050"/>
  <c r="S2051"/>
  <c r="S2052"/>
  <c r="S2053"/>
  <c r="S2054"/>
  <c r="S2055"/>
  <c r="S2056"/>
  <c r="S2057"/>
  <c r="S2058"/>
  <c r="S2059"/>
  <c r="S2060"/>
  <c r="S2061"/>
  <c r="S2062"/>
  <c r="S2063"/>
  <c r="S2064"/>
  <c r="S2065"/>
  <c r="S2066"/>
  <c r="S2067"/>
  <c r="S2068"/>
  <c r="S2069"/>
  <c r="S2070"/>
  <c r="S2071"/>
  <c r="S2072"/>
  <c r="S2073"/>
  <c r="S2074"/>
  <c r="S2075"/>
  <c r="S2076"/>
  <c r="S2077"/>
  <c r="S2078"/>
  <c r="S2079"/>
  <c r="S2080"/>
  <c r="S2081"/>
  <c r="S2082"/>
  <c r="S2083"/>
  <c r="S2084"/>
  <c r="S2085"/>
  <c r="S2086"/>
  <c r="S2087"/>
  <c r="S2088"/>
  <c r="S2089"/>
  <c r="S2090"/>
  <c r="S2091"/>
  <c r="S2092"/>
  <c r="S2093"/>
  <c r="S2094"/>
  <c r="S2095"/>
  <c r="S2096"/>
  <c r="S2097"/>
  <c r="S2098"/>
  <c r="S2099"/>
  <c r="S2100"/>
  <c r="S2101"/>
  <c r="S2102"/>
  <c r="S2103"/>
  <c r="S2104"/>
  <c r="S2105"/>
  <c r="S2106"/>
  <c r="S2107"/>
  <c r="S2108"/>
  <c r="S2109"/>
  <c r="S2110"/>
  <c r="S2111"/>
  <c r="S2112"/>
  <c r="S2113"/>
  <c r="S2114"/>
  <c r="S2115"/>
  <c r="S2116"/>
  <c r="S2117"/>
  <c r="S2118"/>
  <c r="S2119"/>
  <c r="S2120"/>
  <c r="S2121"/>
  <c r="S2122"/>
  <c r="S2123"/>
  <c r="S2124"/>
  <c r="S2125"/>
  <c r="S2126"/>
  <c r="S2127"/>
  <c r="S2128"/>
  <c r="S2129"/>
  <c r="S2130"/>
  <c r="S2131"/>
  <c r="S2132"/>
  <c r="S2133"/>
  <c r="S2134"/>
  <c r="S2135"/>
  <c r="S2136"/>
  <c r="S2137"/>
  <c r="S2138"/>
  <c r="S2139"/>
  <c r="S2140"/>
  <c r="S2141"/>
  <c r="S2142"/>
  <c r="S2143"/>
  <c r="S2144"/>
  <c r="S2145"/>
  <c r="S2146"/>
  <c r="S2147"/>
  <c r="S2148"/>
  <c r="S2149"/>
  <c r="S2150"/>
  <c r="S2151"/>
  <c r="S2152"/>
  <c r="S2153"/>
  <c r="S2154"/>
  <c r="S2155"/>
  <c r="S2156"/>
  <c r="S2157"/>
  <c r="S2158"/>
  <c r="S2159"/>
  <c r="S2160"/>
  <c r="S2161"/>
  <c r="S2162"/>
  <c r="S2163"/>
  <c r="S2164"/>
  <c r="S2165"/>
  <c r="S2166"/>
  <c r="S2167"/>
  <c r="S2168"/>
  <c r="S2169"/>
  <c r="S2170"/>
  <c r="S2171"/>
  <c r="S2172"/>
  <c r="S2173"/>
  <c r="S2174"/>
  <c r="S2175"/>
  <c r="S2176"/>
  <c r="S2177"/>
  <c r="S2178"/>
  <c r="S2179"/>
  <c r="S2180"/>
  <c r="S2181"/>
  <c r="S2182"/>
  <c r="S2183"/>
  <c r="S2184"/>
  <c r="S2185"/>
  <c r="S2186"/>
  <c r="S2187"/>
  <c r="S2188"/>
  <c r="S2189"/>
  <c r="S2190"/>
  <c r="S2191"/>
  <c r="S2192"/>
  <c r="S2193"/>
  <c r="S2194"/>
  <c r="S2195"/>
  <c r="S2196"/>
  <c r="S2197"/>
  <c r="S2198"/>
  <c r="S2199"/>
  <c r="S2200"/>
  <c r="S2201"/>
  <c r="S2202"/>
  <c r="S2203"/>
  <c r="S2204"/>
  <c r="S2205"/>
  <c r="S2206"/>
  <c r="S2207"/>
  <c r="S2208"/>
  <c r="S2209"/>
  <c r="S2210"/>
  <c r="S2211"/>
  <c r="S2212"/>
  <c r="S2213"/>
  <c r="S2214"/>
  <c r="S2215"/>
  <c r="S2216"/>
  <c r="S2217"/>
  <c r="S2218"/>
  <c r="S2219"/>
  <c r="S2220"/>
  <c r="S2221"/>
  <c r="S2222"/>
  <c r="S2223"/>
  <c r="S2224"/>
  <c r="S2225"/>
  <c r="S2226"/>
  <c r="S2227"/>
  <c r="S2228"/>
  <c r="S2229"/>
  <c r="S2230"/>
  <c r="S2231"/>
  <c r="S2232"/>
  <c r="S2233"/>
  <c r="S2234"/>
  <c r="S2235"/>
  <c r="S2236"/>
  <c r="S2237"/>
  <c r="S2238"/>
  <c r="S2239"/>
  <c r="S2240"/>
  <c r="S2241"/>
  <c r="S2242"/>
  <c r="S2243"/>
  <c r="S2244"/>
  <c r="S2245"/>
  <c r="S2246"/>
  <c r="S2247"/>
  <c r="S2248"/>
  <c r="S2249"/>
  <c r="S2250"/>
  <c r="S2251"/>
  <c r="S2252"/>
  <c r="S2253"/>
  <c r="S2254"/>
  <c r="S2255"/>
  <c r="S2256"/>
  <c r="S2257"/>
  <c r="S2258"/>
  <c r="S2259"/>
  <c r="S2260"/>
  <c r="S2261"/>
  <c r="S2262"/>
  <c r="S2263"/>
  <c r="S2264"/>
  <c r="S2265"/>
  <c r="S2266"/>
  <c r="S2267"/>
  <c r="S2268"/>
  <c r="S2269"/>
  <c r="S2270"/>
  <c r="S2271"/>
  <c r="S2272"/>
  <c r="S2273"/>
  <c r="S2274"/>
  <c r="S2275"/>
  <c r="S2276"/>
  <c r="S2277"/>
  <c r="S2278"/>
  <c r="S2279"/>
  <c r="S2280"/>
  <c r="S2281"/>
  <c r="S2282"/>
  <c r="S2283"/>
  <c r="S2284"/>
  <c r="S2285"/>
  <c r="S2286"/>
  <c r="S2287"/>
  <c r="S2288"/>
  <c r="S2289"/>
  <c r="S2290"/>
  <c r="S2291"/>
  <c r="S2292"/>
  <c r="S2293"/>
  <c r="S2294"/>
  <c r="S2295"/>
  <c r="S2296"/>
  <c r="S2297"/>
  <c r="S2298"/>
  <c r="S2299"/>
  <c r="S2300"/>
  <c r="S2301"/>
  <c r="S2302"/>
  <c r="S2303"/>
  <c r="S2304"/>
  <c r="S2305"/>
  <c r="S2306"/>
  <c r="S2307"/>
  <c r="S2308"/>
  <c r="S2309"/>
  <c r="S2310"/>
  <c r="S2311"/>
  <c r="S2312"/>
  <c r="S2313"/>
  <c r="S2314"/>
  <c r="S2315"/>
  <c r="S2316"/>
  <c r="S2317"/>
  <c r="S2318"/>
  <c r="S2319"/>
  <c r="S2320"/>
  <c r="S2321"/>
  <c r="S2322"/>
  <c r="S2323"/>
  <c r="S2324"/>
  <c r="S2325"/>
  <c r="S2326"/>
  <c r="S2327"/>
  <c r="S2328"/>
  <c r="S2329"/>
  <c r="S2330"/>
  <c r="S2331"/>
  <c r="S2332"/>
  <c r="S2333"/>
  <c r="S2334"/>
  <c r="S2335"/>
  <c r="S2336"/>
  <c r="S2337"/>
  <c r="S2338"/>
  <c r="S2339"/>
  <c r="S2340"/>
  <c r="S2341"/>
  <c r="S2342"/>
  <c r="S2343"/>
  <c r="S2344"/>
  <c r="S2345"/>
  <c r="S2346"/>
  <c r="S2347"/>
  <c r="S2348"/>
  <c r="S2349"/>
  <c r="S2350"/>
  <c r="S2351"/>
  <c r="S2352"/>
  <c r="S2353"/>
  <c r="S2354"/>
  <c r="S2355"/>
  <c r="S2356"/>
  <c r="S2357"/>
  <c r="S2358"/>
  <c r="S2359"/>
  <c r="S2360"/>
  <c r="S2361"/>
  <c r="S2362"/>
  <c r="S2363"/>
  <c r="S2364"/>
  <c r="S2365"/>
  <c r="S2366"/>
  <c r="S2367"/>
  <c r="S2368"/>
  <c r="S2369"/>
  <c r="S2370"/>
  <c r="S2371"/>
  <c r="S2372"/>
  <c r="S2373"/>
  <c r="S2374"/>
  <c r="S2375"/>
  <c r="S2376"/>
  <c r="S2377"/>
  <c r="S2378"/>
  <c r="S2379"/>
  <c r="S2380"/>
  <c r="S2381"/>
  <c r="S2382"/>
  <c r="S2383"/>
  <c r="S2384"/>
  <c r="S2385"/>
  <c r="S2386"/>
  <c r="S2387"/>
  <c r="S2388"/>
  <c r="S2389"/>
  <c r="S2390"/>
  <c r="S2391"/>
  <c r="S2392"/>
  <c r="S2393"/>
  <c r="S2394"/>
  <c r="S2395"/>
  <c r="S2396"/>
  <c r="S2397"/>
  <c r="S2398"/>
  <c r="S2399"/>
  <c r="S2400"/>
  <c r="S2401"/>
  <c r="S2402"/>
  <c r="S2403"/>
  <c r="S2404"/>
  <c r="S2405"/>
  <c r="S2406"/>
  <c r="S2407"/>
  <c r="S2408"/>
  <c r="S2409"/>
  <c r="S2410"/>
  <c r="S2411"/>
  <c r="S2412"/>
  <c r="S2413"/>
  <c r="S2414"/>
  <c r="S2415"/>
  <c r="S2416"/>
  <c r="S2417"/>
  <c r="S2418"/>
  <c r="S2419"/>
  <c r="S2420"/>
  <c r="S2421"/>
  <c r="S2422"/>
  <c r="S2430"/>
  <c r="S2431"/>
  <c r="S2432"/>
  <c r="S2433"/>
  <c r="S2434"/>
  <c r="S2435"/>
  <c r="S2436"/>
  <c r="S2437"/>
  <c r="S2438"/>
  <c r="S2439"/>
  <c r="S2440"/>
  <c r="S2441"/>
  <c r="S2442"/>
  <c r="S2443"/>
  <c r="S2444"/>
  <c r="S2445"/>
  <c r="S2446"/>
  <c r="S2447"/>
  <c r="S2448"/>
  <c r="S2449"/>
  <c r="S2450"/>
  <c r="S2451"/>
  <c r="S2452"/>
  <c r="S2453"/>
  <c r="S2454"/>
  <c r="S2455"/>
  <c r="S2456"/>
  <c r="S2457"/>
  <c r="S2458"/>
  <c r="S2459"/>
  <c r="S2460"/>
  <c r="S2461"/>
  <c r="S2462"/>
  <c r="S2463"/>
  <c r="S2464"/>
  <c r="S2465"/>
  <c r="S2466"/>
  <c r="S2467"/>
  <c r="S2468"/>
  <c r="S2469"/>
  <c r="S2470"/>
  <c r="S2471"/>
  <c r="S2472"/>
  <c r="S2473"/>
  <c r="S2474"/>
  <c r="S2475"/>
  <c r="S2476"/>
  <c r="S2477"/>
  <c r="S2478"/>
  <c r="S2480"/>
  <c r="S2481"/>
  <c r="S2482"/>
  <c r="S2483"/>
  <c r="S2484"/>
  <c r="S2485"/>
  <c r="S2486"/>
  <c r="S2487"/>
  <c r="S2488"/>
  <c r="S2489"/>
  <c r="S2490"/>
  <c r="S2491"/>
  <c r="S2492"/>
  <c r="S2493"/>
  <c r="S2494"/>
  <c r="S2495"/>
  <c r="S2496"/>
  <c r="S2497"/>
  <c r="S2498"/>
  <c r="S2499"/>
  <c r="S2500"/>
  <c r="S2501"/>
  <c r="S2502"/>
  <c r="S2503"/>
  <c r="S2504"/>
  <c r="S2505"/>
  <c r="S2506"/>
  <c r="S2507"/>
  <c r="S2508"/>
  <c r="S2509"/>
  <c r="S2510"/>
  <c r="S2511"/>
  <c r="S2512"/>
  <c r="S2513"/>
  <c r="S2514"/>
  <c r="S2515"/>
  <c r="S2516"/>
  <c r="S2517"/>
  <c r="S2518"/>
  <c r="S2519"/>
  <c r="S2520"/>
  <c r="S2521"/>
  <c r="S2522"/>
  <c r="S2523"/>
  <c r="S2524"/>
  <c r="S2525"/>
  <c r="S2526"/>
  <c r="S2527"/>
  <c r="S2528"/>
  <c r="S2529"/>
  <c r="S2530"/>
  <c r="S2531"/>
  <c r="S2532"/>
  <c r="S2533"/>
  <c r="S2534"/>
  <c r="S2535"/>
  <c r="S2536"/>
  <c r="S2537"/>
  <c r="S2538"/>
  <c r="S2539"/>
  <c r="S2540"/>
  <c r="S2541"/>
  <c r="S2542"/>
  <c r="S2543"/>
  <c r="S2544"/>
  <c r="S2545"/>
  <c r="S2546"/>
  <c r="S2547"/>
  <c r="S2548"/>
  <c r="S2549"/>
  <c r="S2550"/>
  <c r="S2551"/>
  <c r="S2423"/>
  <c r="S2424"/>
  <c r="S2425"/>
  <c r="S2426"/>
  <c r="S2427"/>
  <c r="S2428"/>
  <c r="S2429"/>
  <c r="S2553"/>
  <c r="S2554"/>
  <c r="S2555"/>
  <c r="S2556"/>
  <c r="S2557"/>
  <c r="S2558"/>
  <c r="S2559"/>
  <c r="S2560"/>
  <c r="S2561"/>
  <c r="S2562"/>
  <c r="S2563"/>
  <c r="S2564"/>
  <c r="S2565"/>
  <c r="S2566"/>
  <c r="S2567"/>
  <c r="S2568"/>
  <c r="S2569"/>
  <c r="S2570"/>
  <c r="S2571"/>
  <c r="S2572"/>
  <c r="S2573"/>
  <c r="S2574"/>
  <c r="S2575"/>
  <c r="S2576"/>
  <c r="S2577"/>
  <c r="S2578"/>
  <c r="S2579"/>
  <c r="S2580"/>
  <c r="S2581"/>
  <c r="S2582"/>
  <c r="S2583"/>
  <c r="S2584"/>
  <c r="S2585"/>
  <c r="S2586"/>
  <c r="S2587"/>
  <c r="S2588"/>
  <c r="S2589"/>
  <c r="S2590"/>
  <c r="S2591"/>
  <c r="S2592"/>
  <c r="S2593"/>
  <c r="S2594"/>
  <c r="S2595"/>
  <c r="S2596"/>
  <c r="S2597"/>
  <c r="S2598"/>
  <c r="S2599"/>
  <c r="S2600"/>
  <c r="S2601"/>
  <c r="S2602"/>
  <c r="S2603"/>
  <c r="S2604"/>
  <c r="S2605"/>
  <c r="S2606"/>
  <c r="S2607"/>
  <c r="S2608"/>
  <c r="S2609"/>
  <c r="S2610"/>
  <c r="S2611"/>
  <c r="S2612"/>
  <c r="S2613"/>
  <c r="S2614"/>
  <c r="S2615"/>
  <c r="S2616"/>
  <c r="S2617"/>
  <c r="S2618"/>
  <c r="S2619"/>
  <c r="S2620"/>
  <c r="S2621"/>
  <c r="S2622"/>
  <c r="S2623"/>
  <c r="S2624"/>
  <c r="S2625"/>
  <c r="S2626"/>
  <c r="S2627"/>
  <c r="S2628"/>
  <c r="S2629"/>
  <c r="S2630"/>
  <c r="S2631"/>
  <c r="S2632"/>
  <c r="S2633"/>
  <c r="S2634"/>
  <c r="S2635"/>
  <c r="S2636"/>
  <c r="S2637"/>
  <c r="S2638"/>
  <c r="S2639"/>
  <c r="S2640"/>
  <c r="S2641"/>
  <c r="S2642"/>
  <c r="S2643"/>
  <c r="S2644"/>
  <c r="S2645"/>
  <c r="S2646"/>
  <c r="S2647"/>
  <c r="S2648"/>
  <c r="S2649"/>
  <c r="S2650"/>
  <c r="S2651"/>
  <c r="S2652"/>
  <c r="S2653"/>
  <c r="S2654"/>
  <c r="S2655"/>
  <c r="S2656"/>
  <c r="S2657"/>
  <c r="S2658"/>
  <c r="S2659"/>
  <c r="S2660"/>
  <c r="S2661"/>
  <c r="S2662"/>
  <c r="S2663"/>
  <c r="S2664"/>
  <c r="S2665"/>
  <c r="S2666"/>
  <c r="S2667"/>
  <c r="S2668"/>
  <c r="S2669"/>
  <c r="S2670"/>
  <c r="S2671"/>
  <c r="S2672"/>
  <c r="S2673"/>
  <c r="S2674"/>
  <c r="S2675"/>
  <c r="S2676"/>
  <c r="S2677"/>
  <c r="S2678"/>
  <c r="S2679"/>
  <c r="S2680"/>
  <c r="S2681"/>
  <c r="S2682"/>
  <c r="S2683"/>
  <c r="S2684"/>
  <c r="S2685"/>
  <c r="S2686"/>
  <c r="S2687"/>
  <c r="S2688"/>
  <c r="S2689"/>
  <c r="S2690"/>
  <c r="S2691"/>
  <c r="S2692"/>
  <c r="S2693"/>
  <c r="S2694"/>
  <c r="S2695"/>
  <c r="S2696"/>
  <c r="S2697"/>
  <c r="S2698"/>
  <c r="S2699"/>
  <c r="S2700"/>
  <c r="S2701"/>
  <c r="S2702"/>
  <c r="S2703"/>
  <c r="S2704"/>
  <c r="S2705"/>
  <c r="S2706"/>
  <c r="S2707"/>
  <c r="S2708"/>
  <c r="S2709"/>
  <c r="S2710"/>
  <c r="S2711"/>
  <c r="S2712"/>
  <c r="S2713"/>
  <c r="S2714"/>
  <c r="S2715"/>
  <c r="S2716"/>
  <c r="S2718"/>
  <c r="S2719"/>
  <c r="S2720"/>
  <c r="S2721"/>
  <c r="S2722"/>
  <c r="S2723"/>
  <c r="S2724"/>
  <c r="S2725"/>
  <c r="S2726"/>
  <c r="S2727"/>
  <c r="S2728"/>
  <c r="S2729"/>
  <c r="S2730"/>
  <c r="S2731"/>
  <c r="S2732"/>
  <c r="S2733"/>
  <c r="S2734"/>
  <c r="S2735"/>
  <c r="S2736"/>
  <c r="S2737"/>
  <c r="S2738"/>
  <c r="S2739"/>
  <c r="S2740"/>
  <c r="S2741"/>
  <c r="S2742"/>
  <c r="S2743"/>
  <c r="S2744"/>
  <c r="S2745"/>
  <c r="S2746"/>
  <c r="S2747"/>
  <c r="S2748"/>
  <c r="S2749"/>
  <c r="S2750"/>
  <c r="S2751"/>
  <c r="S2752"/>
  <c r="S2753"/>
  <c r="S2754"/>
  <c r="S2755"/>
  <c r="S2756"/>
  <c r="S2757"/>
  <c r="S2758"/>
  <c r="S2717"/>
  <c r="S2759"/>
  <c r="S2760"/>
  <c r="S2761"/>
  <c r="S2762"/>
  <c r="S2763"/>
  <c r="S2764"/>
  <c r="S2765"/>
  <c r="S2766"/>
  <c r="S2767"/>
  <c r="S2768"/>
  <c r="S2769"/>
  <c r="S2770"/>
  <c r="S2771"/>
  <c r="S2772"/>
  <c r="S2773"/>
  <c r="S2774"/>
  <c r="S2775"/>
  <c r="S2776"/>
  <c r="S2777"/>
  <c r="S2778"/>
  <c r="S2779"/>
  <c r="S2780"/>
  <c r="S2781"/>
  <c r="S2782"/>
  <c r="S2783"/>
  <c r="S2784"/>
  <c r="S2785"/>
  <c r="S2786"/>
  <c r="S2787"/>
  <c r="S2788"/>
  <c r="S2789"/>
  <c r="S2790"/>
  <c r="S2791"/>
  <c r="S2792"/>
  <c r="S2793"/>
  <c r="S2794"/>
  <c r="S2795"/>
  <c r="S2796"/>
  <c r="S2797"/>
  <c r="S2798"/>
  <c r="S2799"/>
  <c r="S2800"/>
  <c r="S2801"/>
  <c r="S2802"/>
  <c r="S2803"/>
  <c r="S2804"/>
  <c r="S2805"/>
  <c r="S2806"/>
  <c r="S2807"/>
  <c r="S2808"/>
  <c r="S2809"/>
  <c r="S2810"/>
  <c r="S2811"/>
  <c r="S2812"/>
  <c r="S2813"/>
  <c r="S2814"/>
  <c r="S2815"/>
  <c r="S2816"/>
  <c r="S2817"/>
  <c r="S2818"/>
  <c r="S2819"/>
  <c r="S2820"/>
  <c r="S2821"/>
  <c r="S2822"/>
  <c r="S2823"/>
  <c r="S2824"/>
  <c r="S2825"/>
  <c r="S2826"/>
  <c r="S2828"/>
  <c r="S2829"/>
  <c r="S2830"/>
  <c r="S2831"/>
  <c r="S2832"/>
  <c r="S2833"/>
  <c r="S2834"/>
  <c r="S2835"/>
  <c r="S2836"/>
  <c r="S2837"/>
  <c r="S2838"/>
  <c r="S2839"/>
  <c r="S2841"/>
  <c r="S2842"/>
  <c r="S2843"/>
  <c r="S2844"/>
  <c r="S2845"/>
  <c r="S2846"/>
  <c r="S2847"/>
  <c r="S2848"/>
  <c r="S2849"/>
  <c r="S2850"/>
  <c r="S2851"/>
  <c r="S2852"/>
  <c r="S2853"/>
  <c r="S2854"/>
  <c r="S2855"/>
  <c r="S2856"/>
  <c r="S2857"/>
  <c r="S2858"/>
  <c r="S2859"/>
  <c r="S2860"/>
  <c r="S2840"/>
  <c r="S2861"/>
  <c r="S2862"/>
  <c r="S2863"/>
  <c r="S2864"/>
  <c r="S2865"/>
  <c r="S2866"/>
  <c r="S2867"/>
  <c r="S2868"/>
  <c r="S2869"/>
  <c r="S2870"/>
  <c r="S2871"/>
  <c r="S2872"/>
  <c r="S2873"/>
  <c r="S2874"/>
  <c r="S2875"/>
  <c r="S2876"/>
  <c r="S2877"/>
  <c r="S2878"/>
  <c r="S2879"/>
  <c r="S2880"/>
  <c r="S2881"/>
  <c r="S2882"/>
  <c r="S2883"/>
  <c r="S2884"/>
  <c r="S2885"/>
  <c r="S2886"/>
  <c r="S2887"/>
  <c r="S2888"/>
  <c r="S2889"/>
  <c r="S2890"/>
  <c r="S2891"/>
  <c r="S2892"/>
  <c r="S2893"/>
  <c r="S2894"/>
  <c r="S2895"/>
  <c r="S2898"/>
  <c r="S2899"/>
  <c r="S2900"/>
  <c r="S2901"/>
  <c r="S2902"/>
  <c r="S2903"/>
  <c r="S2904"/>
  <c r="S2905"/>
  <c r="S2906"/>
  <c r="S2907"/>
  <c r="S2908"/>
  <c r="S2909"/>
  <c r="S2910"/>
  <c r="S2911"/>
  <c r="S2912"/>
  <c r="S2913"/>
  <c r="S2914"/>
  <c r="S2915"/>
  <c r="S2916"/>
  <c r="S2917"/>
  <c r="S2918"/>
  <c r="S2919"/>
  <c r="S2920"/>
  <c r="S2921"/>
  <c r="S2922"/>
  <c r="S2923"/>
  <c r="S2924"/>
  <c r="S2925"/>
  <c r="S2926"/>
  <c r="S2927"/>
  <c r="S2928"/>
  <c r="S2929"/>
  <c r="S2930"/>
  <c r="S2931"/>
  <c r="S2932"/>
  <c r="S2933"/>
  <c r="S2934"/>
  <c r="S2935"/>
  <c r="S2936"/>
  <c r="S2937"/>
  <c r="S2938"/>
  <c r="S2939"/>
  <c r="S2940"/>
  <c r="S2941"/>
  <c r="S2942"/>
  <c r="S2943"/>
  <c r="S2944"/>
  <c r="S2945"/>
  <c r="S2946"/>
  <c r="S2947"/>
  <c r="S2948"/>
  <c r="S2949"/>
  <c r="S2950"/>
  <c r="S2951"/>
  <c r="S2952"/>
  <c r="S2953"/>
  <c r="S2954"/>
  <c r="S2955"/>
  <c r="S2956"/>
  <c r="S2957"/>
  <c r="S2958"/>
  <c r="S2959"/>
  <c r="S2960"/>
  <c r="S2961"/>
  <c r="S2962"/>
  <c r="S2963"/>
  <c r="S2964"/>
  <c r="S2965"/>
  <c r="S2966"/>
  <c r="S2967"/>
  <c r="S2968"/>
  <c r="S2969"/>
  <c r="S2970"/>
  <c r="S2971"/>
  <c r="S2972"/>
  <c r="S2973"/>
  <c r="S2974"/>
  <c r="S2975"/>
  <c r="S2976"/>
  <c r="S2977"/>
  <c r="S2978"/>
  <c r="S2979"/>
  <c r="S2980"/>
  <c r="S2981"/>
  <c r="S2982"/>
  <c r="S2983"/>
  <c r="S2984"/>
  <c r="S2985"/>
  <c r="S2986"/>
  <c r="S2987"/>
  <c r="S2988"/>
  <c r="S2989"/>
  <c r="S2990"/>
  <c r="S2991"/>
  <c r="S2992"/>
  <c r="S2993"/>
  <c r="S2994"/>
  <c r="S2995"/>
  <c r="S2996"/>
  <c r="S2997"/>
  <c r="S2998"/>
  <c r="S2999"/>
  <c r="S3000"/>
  <c r="S3001"/>
  <c r="S3002"/>
  <c r="S3003"/>
  <c r="S3004"/>
  <c r="S3005"/>
  <c r="S3006"/>
  <c r="S3007"/>
  <c r="S3008"/>
  <c r="S3009"/>
  <c r="S3010"/>
  <c r="S3011"/>
  <c r="S3012"/>
  <c r="S3013"/>
  <c r="S3014"/>
  <c r="S3015"/>
  <c r="S3016"/>
  <c r="S3017"/>
  <c r="S3018"/>
  <c r="S3019"/>
  <c r="S3020"/>
  <c r="S3021"/>
  <c r="S3022"/>
  <c r="S3023"/>
  <c r="S3024"/>
  <c r="S3025"/>
  <c r="S3026"/>
  <c r="S3027"/>
  <c r="S3028"/>
  <c r="S3029"/>
  <c r="S3030"/>
  <c r="S3031"/>
  <c r="S3032"/>
  <c r="S3033"/>
  <c r="S3034"/>
  <c r="S3035"/>
  <c r="S3036"/>
  <c r="S3037"/>
  <c r="S3038"/>
  <c r="S3039"/>
  <c r="S3040"/>
  <c r="S3041"/>
  <c r="S3042"/>
  <c r="S3043"/>
  <c r="S3044"/>
  <c r="S3045"/>
  <c r="S3046"/>
  <c r="S3047"/>
  <c r="S3048"/>
  <c r="S3049"/>
  <c r="S3050"/>
  <c r="S3051"/>
  <c r="S3052"/>
  <c r="S3053"/>
  <c r="S3054"/>
  <c r="S3055"/>
  <c r="S3056"/>
  <c r="S3057"/>
  <c r="S3058"/>
  <c r="S3059"/>
  <c r="S3060"/>
  <c r="S3061"/>
  <c r="S3062"/>
  <c r="S3063"/>
  <c r="S3064"/>
  <c r="S3065"/>
  <c r="S3066"/>
  <c r="S3067"/>
  <c r="S3068"/>
  <c r="S3069"/>
  <c r="S3070"/>
  <c r="S3071"/>
  <c r="S3072"/>
  <c r="S3073"/>
  <c r="S3074"/>
  <c r="S3075"/>
  <c r="S3076"/>
  <c r="S3077"/>
  <c r="S3078"/>
  <c r="S3079"/>
  <c r="S3080"/>
  <c r="S3081"/>
  <c r="S3082"/>
  <c r="S3083"/>
  <c r="S3084"/>
  <c r="S3085"/>
  <c r="S3086"/>
  <c r="S3087"/>
  <c r="S3088"/>
  <c r="S3089"/>
  <c r="S3090"/>
  <c r="S3091"/>
  <c r="S3092"/>
  <c r="S3093"/>
  <c r="S3094"/>
  <c r="S3095"/>
  <c r="S3096"/>
  <c r="S3097"/>
  <c r="S3098"/>
  <c r="S3099"/>
  <c r="S3100"/>
  <c r="S3101"/>
  <c r="S3102"/>
  <c r="S3103"/>
  <c r="S3104"/>
  <c r="S3105"/>
  <c r="S3106"/>
  <c r="S3107"/>
  <c r="S3108"/>
  <c r="S3110"/>
  <c r="S3111"/>
  <c r="S3112"/>
  <c r="S3113"/>
  <c r="S3114"/>
  <c r="S3115"/>
  <c r="S3116"/>
  <c r="S3117"/>
  <c r="S3118"/>
  <c r="S3119"/>
  <c r="S3120"/>
  <c r="S3121"/>
  <c r="S3122"/>
  <c r="S3123"/>
  <c r="S3124"/>
  <c r="S3125"/>
  <c r="S3126"/>
  <c r="S3127"/>
  <c r="S3128"/>
  <c r="S3129"/>
  <c r="S3130"/>
  <c r="S3131"/>
  <c r="S3132"/>
  <c r="S3133"/>
  <c r="S3134"/>
  <c r="S3135"/>
  <c r="S3136"/>
  <c r="S3137"/>
  <c r="S3138"/>
  <c r="S3139"/>
  <c r="S3140"/>
  <c r="S3141"/>
  <c r="S3142"/>
  <c r="S3143"/>
  <c r="S3144"/>
  <c r="S3145"/>
  <c r="S3146"/>
  <c r="S3147"/>
  <c r="S3148"/>
  <c r="S3149"/>
  <c r="S3150"/>
  <c r="S3151"/>
  <c r="S3152"/>
  <c r="S3153"/>
  <c r="S3154"/>
  <c r="S3155"/>
  <c r="S3156"/>
  <c r="S3157"/>
  <c r="S3158"/>
  <c r="S3159"/>
  <c r="S3160"/>
  <c r="S3161"/>
  <c r="S3162"/>
  <c r="S3163"/>
  <c r="S3186"/>
  <c r="S3167"/>
  <c r="S3168"/>
  <c r="S3169"/>
  <c r="S3170"/>
  <c r="S3171"/>
  <c r="S3172"/>
  <c r="S3173"/>
  <c r="S3174"/>
  <c r="S3175"/>
  <c r="S3176"/>
  <c r="S3177"/>
  <c r="S3178"/>
  <c r="S3179"/>
  <c r="S3180"/>
  <c r="S3181"/>
  <c r="S3182"/>
  <c r="S3183"/>
  <c r="S3184"/>
  <c r="S3187"/>
  <c r="S3188"/>
  <c r="S3164"/>
  <c r="S3165"/>
  <c r="S3166"/>
  <c r="S3189"/>
  <c r="S3190"/>
  <c r="S3191"/>
  <c r="S3192"/>
  <c r="S3193"/>
  <c r="S3194"/>
  <c r="S3195"/>
  <c r="S3196"/>
  <c r="S3197"/>
  <c r="S3198"/>
  <c r="S3199"/>
  <c r="S3200"/>
  <c r="S3201"/>
  <c r="S3202"/>
  <c r="S3203"/>
  <c r="S3204"/>
  <c r="S3205"/>
  <c r="S3206"/>
  <c r="S3207"/>
  <c r="S3208"/>
  <c r="S3209"/>
  <c r="S3210"/>
  <c r="S3211"/>
  <c r="S3212"/>
  <c r="S3213"/>
  <c r="S3214"/>
  <c r="S3215"/>
  <c r="S3216"/>
  <c r="S3217"/>
  <c r="S3218"/>
  <c r="S3219"/>
  <c r="S3220"/>
  <c r="S3221"/>
  <c r="S3222"/>
  <c r="S3223"/>
  <c r="S3224"/>
  <c r="S3225"/>
  <c r="S3226"/>
  <c r="S3227"/>
  <c r="S3228"/>
  <c r="S3229"/>
  <c r="S3230"/>
  <c r="S3231"/>
  <c r="S3232"/>
  <c r="S3233"/>
  <c r="S3234"/>
  <c r="S3235"/>
  <c r="S3236"/>
  <c r="S3237"/>
  <c r="S3238"/>
  <c r="S3239"/>
  <c r="S3240"/>
  <c r="S3241"/>
  <c r="S3242"/>
  <c r="S3243"/>
  <c r="S3244"/>
  <c r="S3245"/>
  <c r="S3246"/>
  <c r="S3247"/>
  <c r="S3248"/>
  <c r="S3249"/>
  <c r="S3250"/>
  <c r="S3251"/>
  <c r="S3252"/>
  <c r="S3253"/>
  <c r="S3254"/>
  <c r="S3255"/>
  <c r="S3256"/>
  <c r="S3257"/>
  <c r="S3258"/>
  <c r="S3259"/>
  <c r="S3260"/>
  <c r="S3261"/>
  <c r="S3262"/>
  <c r="S3263"/>
  <c r="S3264"/>
  <c r="S3265"/>
  <c r="S3266"/>
  <c r="S3267"/>
  <c r="S3268"/>
  <c r="S3269"/>
  <c r="S3270"/>
  <c r="S3271"/>
  <c r="S3272"/>
  <c r="S3273"/>
  <c r="S3274"/>
  <c r="S3275"/>
  <c r="S3276"/>
  <c r="S3277"/>
  <c r="S3278"/>
  <c r="S3279"/>
  <c r="S3280"/>
  <c r="S3281"/>
  <c r="S3282"/>
  <c r="S3283"/>
  <c r="S3284"/>
  <c r="S3285"/>
  <c r="S3286"/>
  <c r="S3287"/>
  <c r="S3288"/>
  <c r="S3289"/>
  <c r="S3290"/>
  <c r="S3291"/>
  <c r="S3292"/>
  <c r="S3293"/>
  <c r="S3294"/>
  <c r="S3295"/>
  <c r="S3296"/>
  <c r="S3297"/>
  <c r="S3298"/>
  <c r="S3299"/>
  <c r="S3300"/>
  <c r="S3301"/>
  <c r="S3302"/>
  <c r="S3303"/>
  <c r="S3304"/>
  <c r="S3305"/>
  <c r="S3306"/>
  <c r="S3307"/>
  <c r="S3324"/>
  <c r="S3308"/>
  <c r="S3309"/>
  <c r="S3310"/>
  <c r="S3311"/>
  <c r="S3312"/>
  <c r="S3313"/>
  <c r="S3314"/>
  <c r="S3329"/>
  <c r="S3315"/>
  <c r="S3325"/>
  <c r="S3316"/>
  <c r="S3317"/>
  <c r="S3318"/>
  <c r="S3319"/>
  <c r="S3320"/>
  <c r="S3330"/>
  <c r="S3321"/>
  <c r="S3322"/>
  <c r="S3323"/>
  <c r="S3331"/>
  <c r="S3332"/>
  <c r="S3333"/>
  <c r="S3334"/>
  <c r="S3335"/>
  <c r="S3336"/>
  <c r="S3337"/>
  <c r="S3338"/>
  <c r="S3339"/>
  <c r="S3340"/>
  <c r="S3341"/>
  <c r="S3342"/>
  <c r="S3343"/>
  <c r="S3344"/>
  <c r="S3345"/>
  <c r="S3326"/>
  <c r="S3327"/>
  <c r="S3328"/>
  <c r="S3346"/>
  <c r="S3347"/>
  <c r="S3348"/>
  <c r="S3349"/>
  <c r="S3350"/>
  <c r="S3351"/>
  <c r="S3352"/>
  <c r="S3353"/>
  <c r="S3354"/>
  <c r="S3355"/>
  <c r="S3356"/>
  <c r="S3357"/>
  <c r="S3358"/>
  <c r="S3359"/>
  <c r="S3360"/>
  <c r="S3361"/>
  <c r="S3362"/>
  <c r="S3363"/>
  <c r="S3364"/>
  <c r="S3365"/>
  <c r="S3366"/>
  <c r="S3367"/>
  <c r="S3368"/>
  <c r="S3369"/>
  <c r="S3370"/>
  <c r="S3371"/>
  <c r="S3372"/>
  <c r="S3373"/>
  <c r="S3374"/>
  <c r="S3375"/>
  <c r="S3376"/>
  <c r="S3377"/>
  <c r="S3378"/>
  <c r="S3379"/>
  <c r="S3380"/>
  <c r="S3381"/>
  <c r="S3382"/>
  <c r="S3383"/>
  <c r="S3384"/>
  <c r="S3385"/>
  <c r="S3386"/>
  <c r="S3387"/>
  <c r="S3388"/>
  <c r="S3389"/>
  <c r="S3390"/>
  <c r="S3391"/>
  <c r="S3392"/>
  <c r="S3393"/>
  <c r="S3394"/>
  <c r="S3395"/>
  <c r="S3396"/>
  <c r="S3397"/>
  <c r="S3399"/>
  <c r="S3400"/>
  <c r="S3401"/>
  <c r="S3402"/>
  <c r="S3403"/>
  <c r="S3404"/>
  <c r="S3405"/>
  <c r="S3406"/>
  <c r="S3407"/>
  <c r="S3408"/>
  <c r="S3409"/>
  <c r="S3410"/>
  <c r="S3411"/>
  <c r="S3412"/>
  <c r="S3413"/>
  <c r="S3414"/>
  <c r="S3415"/>
  <c r="S3416"/>
  <c r="S3417"/>
  <c r="S3418"/>
  <c r="S3419"/>
  <c r="S3420"/>
  <c r="S3421"/>
  <c r="S3422"/>
  <c r="S3423"/>
  <c r="S3424"/>
  <c r="S3425"/>
  <c r="S3426"/>
  <c r="S3427"/>
  <c r="S3428"/>
  <c r="S3429"/>
  <c r="S3430"/>
  <c r="S3431"/>
  <c r="S3432"/>
  <c r="S3433"/>
  <c r="S3434"/>
  <c r="S3435"/>
  <c r="S3436"/>
  <c r="S3437"/>
  <c r="S3438"/>
  <c r="S3439"/>
  <c r="S3440"/>
  <c r="S3441"/>
  <c r="S3442"/>
  <c r="S3443"/>
  <c r="S3444"/>
  <c r="S3445"/>
  <c r="S3446"/>
  <c r="S3447"/>
  <c r="S3448"/>
  <c r="S3449"/>
  <c r="S3450"/>
  <c r="S3451"/>
  <c r="S3452"/>
  <c r="S3453"/>
  <c r="S3454"/>
  <c r="S3455"/>
  <c r="S3456"/>
  <c r="S3457"/>
  <c r="S3458"/>
  <c r="S3459"/>
  <c r="S3460"/>
  <c r="S3461"/>
  <c r="S3462"/>
  <c r="S3463"/>
  <c r="S3464"/>
  <c r="S3465"/>
  <c r="S3466"/>
  <c r="S3467"/>
  <c r="S3468"/>
  <c r="S3469"/>
  <c r="S3470"/>
  <c r="S3471"/>
  <c r="S3472"/>
  <c r="S3473"/>
  <c r="S3474"/>
  <c r="S3475"/>
  <c r="S3476"/>
  <c r="S3477"/>
  <c r="S3478"/>
  <c r="S3479"/>
  <c r="S3480"/>
  <c r="S3481"/>
  <c r="S3482"/>
  <c r="S3483"/>
  <c r="S3484"/>
  <c r="S3485"/>
  <c r="S3486"/>
  <c r="S3487"/>
  <c r="S3488"/>
  <c r="S3489"/>
  <c r="S3490"/>
  <c r="S3491"/>
  <c r="S3492"/>
  <c r="S3493"/>
  <c r="S3494"/>
  <c r="S3495"/>
  <c r="S3496"/>
  <c r="S3497"/>
  <c r="S3498"/>
  <c r="S3499"/>
  <c r="S3500"/>
  <c r="S3501"/>
  <c r="S3502"/>
  <c r="S3503"/>
  <c r="S3504"/>
  <c r="S3505"/>
  <c r="S3506"/>
  <c r="S3507"/>
  <c r="S3508"/>
  <c r="S3509"/>
  <c r="S3510"/>
  <c r="S3511"/>
  <c r="S3512"/>
  <c r="S3513"/>
  <c r="S3514"/>
  <c r="S3515"/>
  <c r="S3516"/>
  <c r="S3517"/>
  <c r="S3518"/>
  <c r="S3519"/>
  <c r="S3520"/>
  <c r="S3521"/>
  <c r="S3522"/>
  <c r="S3523"/>
  <c r="S3524"/>
  <c r="S3525"/>
  <c r="S3526"/>
  <c r="S3527"/>
  <c r="S3528"/>
  <c r="S3529"/>
  <c r="S3530"/>
  <c r="S3531"/>
  <c r="S3532"/>
  <c r="S3533"/>
  <c r="S3534"/>
  <c r="S3535"/>
  <c r="S3536"/>
  <c r="S3537"/>
  <c r="S3538"/>
  <c r="S3539"/>
  <c r="S3540"/>
  <c r="S3541"/>
  <c r="S3542"/>
  <c r="S3543"/>
  <c r="S3544"/>
  <c r="S3545"/>
  <c r="S3546"/>
  <c r="S3547"/>
  <c r="S3548"/>
  <c r="S3549"/>
  <c r="S3550"/>
  <c r="S3551"/>
  <c r="S3552"/>
  <c r="S3553"/>
  <c r="S3554"/>
  <c r="S3555"/>
  <c r="S3556"/>
  <c r="S3557"/>
  <c r="S3558"/>
  <c r="S3559"/>
  <c r="S3560"/>
  <c r="S3561"/>
  <c r="S3562"/>
  <c r="S3563"/>
  <c r="S3564"/>
  <c r="S3565"/>
  <c r="S3566"/>
  <c r="S3567"/>
  <c r="S3568"/>
  <c r="S3569"/>
  <c r="S3570"/>
  <c r="S3571"/>
  <c r="S3572"/>
  <c r="S3573"/>
  <c r="S3574"/>
  <c r="S3575"/>
  <c r="S3576"/>
  <c r="S3577"/>
  <c r="S3578"/>
  <c r="S3579"/>
  <c r="S3580"/>
  <c r="S3581"/>
  <c r="S3582"/>
  <c r="S3583"/>
  <c r="S3584"/>
  <c r="S3585"/>
  <c r="S3586"/>
  <c r="S3587"/>
  <c r="S3588"/>
  <c r="S3589"/>
  <c r="S3590"/>
  <c r="S3591"/>
  <c r="S3592"/>
  <c r="S3593"/>
  <c r="S3594"/>
  <c r="S3595"/>
  <c r="S3596"/>
  <c r="S3597"/>
  <c r="S3598"/>
  <c r="S3599"/>
  <c r="S3600"/>
  <c r="S3601"/>
  <c r="S3602"/>
  <c r="S3603"/>
  <c r="S3604"/>
  <c r="S3605"/>
  <c r="S3606"/>
  <c r="S3607"/>
  <c r="S3608"/>
  <c r="S3609"/>
  <c r="S3610"/>
  <c r="S3611"/>
  <c r="S3612"/>
  <c r="S3613"/>
  <c r="S3614"/>
  <c r="S3615"/>
  <c r="S3616"/>
  <c r="S3617"/>
  <c r="S3618"/>
  <c r="S3619"/>
  <c r="S3620"/>
  <c r="S3621"/>
  <c r="S3622"/>
  <c r="S3623"/>
  <c r="S3624"/>
  <c r="S3625"/>
  <c r="S3626"/>
  <c r="S3627"/>
  <c r="S3628"/>
  <c r="S3629"/>
  <c r="S3630"/>
  <c r="S3631"/>
  <c r="S3632"/>
  <c r="S3633"/>
  <c r="S3634"/>
  <c r="S3635"/>
  <c r="S3636"/>
  <c r="S3637"/>
  <c r="S3638"/>
  <c r="S3639"/>
  <c r="S3640"/>
  <c r="S3641"/>
  <c r="S3642"/>
  <c r="S3643"/>
  <c r="S3644"/>
  <c r="S3645"/>
  <c r="S3646"/>
  <c r="S3647"/>
  <c r="S3648"/>
  <c r="S3649"/>
  <c r="S3650"/>
  <c r="S3651"/>
  <c r="S3652"/>
  <c r="S3653"/>
  <c r="S3654"/>
  <c r="S3655"/>
  <c r="S3656"/>
  <c r="S3657"/>
  <c r="S3658"/>
  <c r="S3659"/>
  <c r="S3660"/>
  <c r="S3661"/>
  <c r="S3662"/>
  <c r="S3663"/>
  <c r="S3664"/>
  <c r="S3665"/>
  <c r="S3666"/>
  <c r="S3667"/>
  <c r="S3668"/>
  <c r="S3669"/>
  <c r="S3670"/>
  <c r="S3671"/>
  <c r="S3672"/>
  <c r="S3673"/>
  <c r="S3674"/>
  <c r="S3675"/>
  <c r="S3676"/>
  <c r="S3677"/>
  <c r="S3678"/>
  <c r="S3679"/>
  <c r="S3680"/>
  <c r="S3681"/>
  <c r="S3682"/>
  <c r="S3683"/>
  <c r="S3684"/>
  <c r="S3685"/>
  <c r="S3686"/>
  <c r="S3687"/>
  <c r="S3688"/>
  <c r="S3689"/>
  <c r="S3690"/>
  <c r="S3691"/>
  <c r="S3692"/>
  <c r="S3693"/>
  <c r="S3694"/>
  <c r="S3695"/>
  <c r="S3696"/>
  <c r="S3697"/>
  <c r="S3698"/>
  <c r="S3699"/>
  <c r="S3700"/>
  <c r="S3701"/>
  <c r="S3702"/>
  <c r="S3703"/>
  <c r="S3704"/>
  <c r="S3705"/>
  <c r="S3706"/>
  <c r="S3707"/>
  <c r="S3708"/>
  <c r="S3709"/>
  <c r="S3710"/>
  <c r="S3711"/>
  <c r="S3712"/>
  <c r="S3713"/>
  <c r="S3714"/>
  <c r="S3715"/>
  <c r="S3716"/>
  <c r="S3717"/>
  <c r="S3718"/>
  <c r="S3719"/>
  <c r="S3720"/>
  <c r="S3721"/>
  <c r="S3722"/>
  <c r="S3723"/>
  <c r="S3724"/>
  <c r="S3725"/>
  <c r="S3726"/>
  <c r="S3727"/>
  <c r="S3728"/>
  <c r="S3729"/>
  <c r="S3730"/>
  <c r="S3731"/>
  <c r="S3732"/>
  <c r="S3733"/>
  <c r="S3734"/>
  <c r="S3735"/>
  <c r="S3736"/>
  <c r="S3737"/>
  <c r="S3738"/>
  <c r="S3739"/>
  <c r="S3740"/>
  <c r="S3741"/>
  <c r="S3742"/>
  <c r="S3743"/>
  <c r="S3744"/>
  <c r="S3745"/>
  <c r="S3746"/>
  <c r="S3747"/>
  <c r="S3748"/>
  <c r="S3749"/>
  <c r="S3750"/>
  <c r="S3751"/>
  <c r="S3753"/>
  <c r="S3754"/>
  <c r="S3755"/>
  <c r="S3756"/>
  <c r="S3757"/>
  <c r="S3758"/>
  <c r="S3759"/>
  <c r="S3760"/>
  <c r="S3761"/>
  <c r="S3762"/>
  <c r="S3763"/>
  <c r="S3764"/>
  <c r="S3765"/>
  <c r="S3766"/>
  <c r="S3767"/>
  <c r="S3768"/>
  <c r="S3769"/>
  <c r="S3770"/>
  <c r="S3771"/>
  <c r="S3772"/>
  <c r="S3773"/>
  <c r="S3774"/>
  <c r="S3775"/>
  <c r="S3776"/>
  <c r="S3777"/>
  <c r="S3778"/>
  <c r="S3779"/>
  <c r="S3780"/>
  <c r="S3781"/>
  <c r="S3782"/>
  <c r="S3783"/>
  <c r="S3784"/>
  <c r="S3785"/>
  <c r="S3786"/>
  <c r="S3787"/>
  <c r="S3788"/>
  <c r="S3789"/>
  <c r="S3790"/>
  <c r="S3791"/>
  <c r="S3792"/>
  <c r="S3793"/>
  <c r="S3794"/>
  <c r="S3795"/>
  <c r="S3796"/>
  <c r="S3797"/>
  <c r="S3798"/>
  <c r="S3800"/>
  <c r="S3801"/>
  <c r="S3802"/>
  <c r="S3803"/>
  <c r="S3804"/>
  <c r="S3805"/>
  <c r="S3806"/>
  <c r="S3807"/>
  <c r="S3808"/>
  <c r="S3809"/>
  <c r="S3810"/>
  <c r="S3811"/>
  <c r="S3812"/>
  <c r="S3813"/>
  <c r="S3814"/>
  <c r="S3815"/>
  <c r="S3816"/>
  <c r="S3817"/>
  <c r="S3818"/>
  <c r="S3819"/>
  <c r="S3820"/>
  <c r="S3821"/>
  <c r="S3822"/>
  <c r="S3823"/>
  <c r="S3824"/>
  <c r="S3825"/>
  <c r="S3826"/>
  <c r="S3827"/>
  <c r="S3828"/>
  <c r="S3829"/>
  <c r="S3830"/>
  <c r="S3831"/>
  <c r="S3832"/>
  <c r="S3833"/>
  <c r="S3834"/>
  <c r="S3835"/>
  <c r="S3836"/>
  <c r="S3837"/>
  <c r="S3838"/>
  <c r="S3839"/>
  <c r="S3840"/>
  <c r="S3841"/>
  <c r="S3842"/>
  <c r="S3843"/>
  <c r="S3844"/>
  <c r="S3845"/>
  <c r="S3846"/>
  <c r="S3847"/>
  <c r="S3848"/>
  <c r="S3849"/>
  <c r="S3850"/>
  <c r="S3851"/>
  <c r="S3852"/>
  <c r="S3853"/>
  <c r="S3854"/>
  <c r="S3855"/>
  <c r="S3856"/>
  <c r="S3857"/>
  <c r="S3858"/>
  <c r="S3859"/>
  <c r="S3860"/>
  <c r="S3861"/>
  <c r="S3862"/>
  <c r="S3863"/>
  <c r="S3864"/>
  <c r="S3865"/>
  <c r="S3866"/>
  <c r="S3867"/>
  <c r="S3868"/>
  <c r="S3869"/>
  <c r="S3870"/>
  <c r="S3871"/>
  <c r="S3872"/>
  <c r="S3873"/>
  <c r="S3874"/>
  <c r="S3875"/>
  <c r="S3876"/>
  <c r="S3877"/>
  <c r="S3878"/>
  <c r="S3879"/>
  <c r="S3880"/>
  <c r="S3881"/>
  <c r="S1202"/>
  <c r="S2896"/>
  <c r="S3752"/>
  <c r="S3109"/>
  <c r="S539"/>
  <c r="S3799"/>
  <c r="S2552"/>
  <c r="S2"/>
  <c r="C178" i="2"/>
  <c r="C179"/>
  <c r="C180"/>
  <c r="C181"/>
  <c r="C182"/>
  <c r="C183"/>
  <c r="C184"/>
  <c r="C185"/>
  <c r="C186"/>
  <c r="C187"/>
  <c r="C188"/>
  <c r="C189"/>
  <c r="C190"/>
  <c r="C191"/>
  <c r="C192"/>
  <c r="C193"/>
  <c r="C194"/>
  <c r="C195"/>
  <c r="C196"/>
  <c r="C197"/>
  <c r="C198"/>
  <c r="C199"/>
  <c r="C200"/>
  <c r="C201"/>
  <c r="C202"/>
  <c r="C203"/>
  <c r="C204"/>
  <c r="C205"/>
  <c r="C206"/>
  <c r="C207"/>
  <c r="C208"/>
  <c r="C209"/>
  <c r="C210"/>
  <c r="C211"/>
  <c r="C177"/>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16"/>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60"/>
  <c r="C61"/>
  <c r="C62"/>
  <c r="C63"/>
  <c r="C64"/>
  <c r="C65"/>
  <c r="C66"/>
  <c r="C67"/>
  <c r="C68"/>
  <c r="C69"/>
  <c r="C70"/>
  <c r="C71"/>
  <c r="C72"/>
  <c r="C73"/>
  <c r="C74"/>
  <c r="C75"/>
  <c r="C76"/>
  <c r="C77"/>
  <c r="C59"/>
  <c r="C31"/>
  <c r="C32"/>
  <c r="C33"/>
  <c r="C34"/>
  <c r="C35"/>
  <c r="C36"/>
  <c r="C37"/>
  <c r="C38"/>
  <c r="C39"/>
  <c r="C40"/>
  <c r="C41"/>
  <c r="C42"/>
  <c r="C43"/>
  <c r="C44"/>
  <c r="C45"/>
  <c r="C46"/>
  <c r="C47"/>
  <c r="C48"/>
  <c r="C49"/>
  <c r="C50"/>
  <c r="C51"/>
  <c r="C52"/>
  <c r="C53"/>
  <c r="C54"/>
  <c r="C55"/>
  <c r="C56"/>
  <c r="C57"/>
  <c r="C58"/>
  <c r="C30"/>
</calcChain>
</file>

<file path=xl/sharedStrings.xml><?xml version="1.0" encoding="utf-8"?>
<sst xmlns="http://schemas.openxmlformats.org/spreadsheetml/2006/main" count="55266" uniqueCount="13210">
  <si>
    <t>甑䰝𩱭䙢</t>
  </si>
  <si>
    <t>許應</t>
  </si>
  <si>
    <t>詩證</t>
  </si>
  <si>
    <t>丈證</t>
  </si>
  <si>
    <t>瞪𪒘𪑬</t>
  </si>
  <si>
    <t>黑甑</t>
  </si>
  <si>
    <t>𩜁</t>
  </si>
  <si>
    <t>皮證</t>
  </si>
  <si>
    <t>凭靐</t>
  </si>
  <si>
    <t>昌孕</t>
  </si>
  <si>
    <t>稱秤</t>
  </si>
  <si>
    <t>牛𩜁</t>
  </si>
  <si>
    <t>常證</t>
  </si>
  <si>
    <t>丞</t>
  </si>
  <si>
    <t>丑證</t>
  </si>
  <si>
    <t>覴</t>
  </si>
  <si>
    <t>其𩜁</t>
  </si>
  <si>
    <t>去48嶝</t>
  </si>
  <si>
    <t>都鄧</t>
  </si>
  <si>
    <t>deng4</t>
  </si>
  <si>
    <t>贈𪒟</t>
  </si>
  <si>
    <t>zeng4</t>
  </si>
  <si>
    <t>古鄧</t>
  </si>
  <si>
    <t>千鄧</t>
  </si>
  <si>
    <t>蹭𠟂</t>
  </si>
  <si>
    <t>ceng4</t>
  </si>
  <si>
    <t>𥦜堋</t>
  </si>
  <si>
    <t>倗</t>
  </si>
  <si>
    <t>魯鄧</t>
  </si>
  <si>
    <t>愣]!踜㱥|倰</t>
  </si>
  <si>
    <t>leng4</t>
  </si>
  <si>
    <t>子鄧</t>
  </si>
  <si>
    <t>增</t>
  </si>
  <si>
    <t>思贈</t>
  </si>
  <si>
    <t>𡬙</t>
  </si>
  <si>
    <t>seng4</t>
  </si>
  <si>
    <t>台鄧</t>
  </si>
  <si>
    <t>𤃶</t>
  </si>
  <si>
    <t>teng4</t>
  </si>
  <si>
    <t>去49宥</t>
  </si>
  <si>
    <t>于救</t>
  </si>
  <si>
    <t>you4</t>
  </si>
  <si>
    <t>宥</t>
  </si>
  <si>
    <t>居祐</t>
  </si>
  <si>
    <t>直祐</t>
  </si>
  <si>
    <t>陟救</t>
  </si>
  <si>
    <t>晝咮=噣</t>
  </si>
  <si>
    <t>舒救</t>
  </si>
  <si>
    <t>狩獸守首收</t>
  </si>
  <si>
    <t>尺救</t>
  </si>
  <si>
    <t>臭殠</t>
  </si>
  <si>
    <t>chou4</t>
  </si>
  <si>
    <t>似祐</t>
  </si>
  <si>
    <t>岫𥥉牰袖</t>
  </si>
  <si>
    <t>xiu4</t>
  </si>
  <si>
    <t>許救</t>
  </si>
  <si>
    <t>職救</t>
  </si>
  <si>
    <t>巨救</t>
  </si>
  <si>
    <t>所佑</t>
  </si>
  <si>
    <t>側救</t>
  </si>
  <si>
    <t>皺㾭䐢甃縐</t>
  </si>
  <si>
    <t>敷救</t>
  </si>
  <si>
    <t>副仆𩯅覆𤸑㤱福</t>
  </si>
  <si>
    <t>初救</t>
  </si>
  <si>
    <t>方副</t>
  </si>
  <si>
    <t>富輻鍑䔰</t>
  </si>
  <si>
    <t>丑救</t>
  </si>
  <si>
    <t>畜俞</t>
  </si>
  <si>
    <t>力救</t>
  </si>
  <si>
    <t>liu4</t>
  </si>
  <si>
    <t>息救</t>
  </si>
  <si>
    <t>即救</t>
  </si>
  <si>
    <t>鋤佑</t>
  </si>
  <si>
    <t>疾僦</t>
  </si>
  <si>
    <t>就鷲殧㠇</t>
  </si>
  <si>
    <t>女救</t>
  </si>
  <si>
    <t>niu4</t>
  </si>
  <si>
    <t>扶富</t>
  </si>
  <si>
    <t>余救</t>
  </si>
  <si>
    <t>授詶㖟壽售綬</t>
  </si>
  <si>
    <t>人又</t>
  </si>
  <si>
    <t>輮蹂煣鞣</t>
  </si>
  <si>
    <t>rou4</t>
  </si>
  <si>
    <t>亡救</t>
  </si>
  <si>
    <t>莓</t>
  </si>
  <si>
    <t>miu4</t>
  </si>
  <si>
    <t>牛救</t>
  </si>
  <si>
    <t>𪖐</t>
  </si>
  <si>
    <t>丘救</t>
  </si>
  <si>
    <t>𪖛</t>
  </si>
  <si>
    <t>qiu4</t>
  </si>
  <si>
    <t>七溜</t>
  </si>
  <si>
    <t>䞭</t>
  </si>
  <si>
    <t>去50候</t>
  </si>
  <si>
    <t>胡遘</t>
  </si>
  <si>
    <t>苦候</t>
  </si>
  <si>
    <t>寇扣滱怐鷇(㜌)𡠆䍍簆=[筘]瞉詬</t>
  </si>
  <si>
    <t>kou4</t>
  </si>
  <si>
    <t>莫候</t>
  </si>
  <si>
    <t>mou4</t>
  </si>
  <si>
    <t>匹候</t>
  </si>
  <si>
    <t>pou4</t>
  </si>
  <si>
    <t>田候</t>
  </si>
  <si>
    <t>之尹</t>
  </si>
  <si>
    <t>準准埻純</t>
  </si>
  <si>
    <t>zhun3</t>
  </si>
  <si>
    <t>余準</t>
  </si>
  <si>
    <t>思尹</t>
  </si>
  <si>
    <t>xun3</t>
  </si>
  <si>
    <t>而允</t>
  </si>
  <si>
    <t>蝡</t>
  </si>
  <si>
    <t>run3</t>
  </si>
  <si>
    <t>尺尹</t>
  </si>
  <si>
    <t>chun3</t>
  </si>
  <si>
    <t>食尹</t>
  </si>
  <si>
    <t>盾揗吮楯</t>
  </si>
  <si>
    <t>shun4</t>
  </si>
  <si>
    <t>癡準</t>
  </si>
  <si>
    <t>偆</t>
  </si>
  <si>
    <t>力準</t>
  </si>
  <si>
    <t>lun3</t>
  </si>
  <si>
    <t>而尹</t>
  </si>
  <si>
    <t>𣯍</t>
  </si>
  <si>
    <t>丘尹</t>
  </si>
  <si>
    <t>𦃢</t>
  </si>
  <si>
    <t>qun3</t>
  </si>
  <si>
    <t>螼𤿳𧼒</t>
  </si>
  <si>
    <t>式允</t>
  </si>
  <si>
    <t>賰</t>
  </si>
  <si>
    <t>shun3</t>
  </si>
  <si>
    <t>興腎</t>
  </si>
  <si>
    <t>xin3</t>
  </si>
  <si>
    <t>鉏紖</t>
  </si>
  <si>
    <t>濜</t>
  </si>
  <si>
    <t>珍忍</t>
  </si>
  <si>
    <t>屒</t>
  </si>
  <si>
    <t>上18吻</t>
  </si>
  <si>
    <t>武粉</t>
  </si>
  <si>
    <t>wen3</t>
  </si>
  <si>
    <t>吻</t>
  </si>
  <si>
    <t>方吻</t>
  </si>
  <si>
    <t>粉黺扮</t>
  </si>
  <si>
    <t>fen3</t>
  </si>
  <si>
    <t>房吻</t>
  </si>
  <si>
    <t>fen4</t>
  </si>
  <si>
    <t>敷粉</t>
  </si>
  <si>
    <t>忿魵</t>
  </si>
  <si>
    <t>於粉</t>
  </si>
  <si>
    <t>魚吻</t>
  </si>
  <si>
    <t>云粉</t>
  </si>
  <si>
    <t>抎䫟𪏚𤸫</t>
  </si>
  <si>
    <t>丘粉</t>
  </si>
  <si>
    <t>𧼐</t>
  </si>
  <si>
    <t>上19隱</t>
  </si>
  <si>
    <t>於謹</t>
  </si>
  <si>
    <t>居隱</t>
  </si>
  <si>
    <t>上19隱*</t>
  </si>
  <si>
    <t>仄謹</t>
  </si>
  <si>
    <t>𧤛𣐽</t>
  </si>
  <si>
    <t>隱韻？</t>
  </si>
  <si>
    <t>丘謹</t>
  </si>
  <si>
    <t>赾</t>
  </si>
  <si>
    <t>其謹</t>
  </si>
  <si>
    <t>近瘽</t>
  </si>
  <si>
    <t>初謹</t>
  </si>
  <si>
    <t>牛謹</t>
  </si>
  <si>
    <t>听</t>
  </si>
  <si>
    <t>休謹</t>
  </si>
  <si>
    <t>䘆</t>
  </si>
  <si>
    <t>上20阮</t>
  </si>
  <si>
    <t>虞遠</t>
  </si>
  <si>
    <t>阮𠒜邧[朊]</t>
  </si>
  <si>
    <t>yuan3</t>
  </si>
  <si>
    <t>阮</t>
  </si>
  <si>
    <t>雲阮</t>
  </si>
  <si>
    <t>遠𩔃</t>
  </si>
  <si>
    <t>於幰</t>
  </si>
  <si>
    <t>偃㫃䞁鶠郾褗堰匽鄢鼴蝘鰋</t>
  </si>
  <si>
    <t>yan3</t>
  </si>
  <si>
    <t>居偃</t>
  </si>
  <si>
    <t>湕𥍹㔓揵蹇</t>
  </si>
  <si>
    <t>jian3</t>
  </si>
  <si>
    <t>其偃</t>
  </si>
  <si>
    <t>寋楗鍵𠐻</t>
  </si>
  <si>
    <t>jian4</t>
  </si>
  <si>
    <t>去偃</t>
  </si>
  <si>
    <t>𧥛</t>
  </si>
  <si>
    <t>qian3</t>
  </si>
  <si>
    <t>語偃</t>
  </si>
  <si>
    <t>幰攇䘆䜢</t>
  </si>
  <si>
    <t>xian3</t>
  </si>
  <si>
    <t>無遠</t>
  </si>
  <si>
    <t>晚娩挽輓㿸㝃脕</t>
  </si>
  <si>
    <t>wan3</t>
  </si>
  <si>
    <t>府遠</t>
  </si>
  <si>
    <t>fan3</t>
  </si>
  <si>
    <t>求晚</t>
  </si>
  <si>
    <t>𧯦圈菌卷</t>
  </si>
  <si>
    <t>juan4</t>
  </si>
  <si>
    <t>於阮</t>
  </si>
  <si>
    <t>婉菀苑踠蜿䖤畹琬宛惌倇䩩𩌑䘼夗𩎺晼睕𤗍䛄</t>
  </si>
  <si>
    <t>去阮</t>
  </si>
  <si>
    <t>䅚綣虇裷䊎𪐂</t>
  </si>
  <si>
    <t>quan3</t>
  </si>
  <si>
    <t>xuan3</t>
  </si>
  <si>
    <t>扶晚</t>
  </si>
  <si>
    <t>飯軬笲䪻</t>
  </si>
  <si>
    <t>fan4</t>
  </si>
  <si>
    <t>上21混</t>
  </si>
  <si>
    <t>胡本</t>
  </si>
  <si>
    <t>hun4</t>
  </si>
  <si>
    <t>普本</t>
  </si>
  <si>
    <t>翉</t>
  </si>
  <si>
    <t>pen3</t>
  </si>
  <si>
    <t>倉本</t>
  </si>
  <si>
    <t>忖𢩭刌</t>
  </si>
  <si>
    <t>cun3</t>
  </si>
  <si>
    <t>布忖</t>
  </si>
  <si>
    <t>ben3</t>
  </si>
  <si>
    <t>蘇本</t>
  </si>
  <si>
    <t>損㾕䐣𦠆</t>
  </si>
  <si>
    <t>sun3</t>
  </si>
  <si>
    <t>撙!𠟃噂譐䔿僔</t>
  </si>
  <si>
    <t>zun3</t>
  </si>
  <si>
    <t>烏本</t>
  </si>
  <si>
    <t>穩𡁋㒚</t>
  </si>
  <si>
    <t>徒損</t>
  </si>
  <si>
    <t>囤𥫱盾沌坉庉遁遯㡒</t>
  </si>
  <si>
    <t>dun4</t>
  </si>
  <si>
    <t>才本</t>
  </si>
  <si>
    <t>鱒</t>
  </si>
  <si>
    <t>zun4</t>
  </si>
  <si>
    <t>古本</t>
  </si>
  <si>
    <t>gun3</t>
  </si>
  <si>
    <t>tun3</t>
  </si>
  <si>
    <t>苦本</t>
  </si>
  <si>
    <t>kun3</t>
  </si>
  <si>
    <t>盧本</t>
  </si>
  <si>
    <t>㤻惀睔碖</t>
  </si>
  <si>
    <t>蒲本</t>
  </si>
  <si>
    <t>ben4</t>
  </si>
  <si>
    <t>模本</t>
  </si>
  <si>
    <t>懣</t>
  </si>
  <si>
    <t>men3</t>
  </si>
  <si>
    <t>乃本</t>
  </si>
  <si>
    <t>㶧</t>
  </si>
  <si>
    <t>nun3</t>
  </si>
  <si>
    <t>𦃕惛</t>
  </si>
  <si>
    <t>hun3</t>
  </si>
  <si>
    <t>上22很</t>
  </si>
  <si>
    <t>胡墾</t>
  </si>
  <si>
    <t>很狠</t>
  </si>
  <si>
    <t>hen4</t>
  </si>
  <si>
    <t>康很</t>
  </si>
  <si>
    <t>墾懇齦豤</t>
  </si>
  <si>
    <t>ken3</t>
  </si>
  <si>
    <t>古很</t>
  </si>
  <si>
    <t>gen3</t>
  </si>
  <si>
    <t>上23旱</t>
  </si>
  <si>
    <t>胡笴</t>
  </si>
  <si>
    <t>han4</t>
  </si>
  <si>
    <t>旱</t>
  </si>
  <si>
    <t>多旱</t>
  </si>
  <si>
    <t>dan3</t>
  </si>
  <si>
    <t>他旦</t>
  </si>
  <si>
    <t>坦䦔</t>
  </si>
  <si>
    <t>tan3</t>
  </si>
  <si>
    <t>蘇旱</t>
  </si>
  <si>
    <t>san3</t>
  </si>
  <si>
    <t>徒旱</t>
  </si>
  <si>
    <t>但蜑(蛋)袒襢誕潬䩥繵膻僤觛</t>
  </si>
  <si>
    <t>dan4</t>
  </si>
  <si>
    <t>藏旱</t>
  </si>
  <si>
    <t>zan4</t>
  </si>
  <si>
    <t>古旱</t>
  </si>
  <si>
    <t>gan3</t>
  </si>
  <si>
    <t>落旱</t>
  </si>
  <si>
    <t>懶嬾𥻂𥽭讕|灡</t>
  </si>
  <si>
    <t>lan3</t>
  </si>
  <si>
    <t>空旱</t>
  </si>
  <si>
    <t>侃衎</t>
  </si>
  <si>
    <t>kan3</t>
  </si>
  <si>
    <t>呼旱</t>
  </si>
  <si>
    <t>罕(䍐)蔊厂灘暵焊熯</t>
  </si>
  <si>
    <t>han3</t>
  </si>
  <si>
    <t>作旱</t>
  </si>
  <si>
    <t>䰖|趲攢|</t>
  </si>
  <si>
    <t>zan3</t>
  </si>
  <si>
    <t>上24緩</t>
  </si>
  <si>
    <t>胡管</t>
  </si>
  <si>
    <t>huan4</t>
  </si>
  <si>
    <t>都管</t>
  </si>
  <si>
    <t>短𢭃斷𢷖</t>
  </si>
  <si>
    <t>duan3</t>
  </si>
  <si>
    <t>烏管</t>
  </si>
  <si>
    <t>吐緩</t>
  </si>
  <si>
    <t>tuan3</t>
  </si>
  <si>
    <t>蘇管</t>
  </si>
  <si>
    <t>算匴篹</t>
  </si>
  <si>
    <t>suan3</t>
  </si>
  <si>
    <t>古滿</t>
  </si>
  <si>
    <t>guan3</t>
  </si>
  <si>
    <t>盧管</t>
  </si>
  <si>
    <t>卵</t>
  </si>
  <si>
    <t>luan3</t>
  </si>
  <si>
    <t>苦管</t>
  </si>
  <si>
    <t>kuan3</t>
  </si>
  <si>
    <t>乃管</t>
  </si>
  <si>
    <t>nuan3</t>
  </si>
  <si>
    <t>作管</t>
  </si>
  <si>
    <t>zuan3</t>
  </si>
  <si>
    <t>蒲旱</t>
  </si>
  <si>
    <t>伴㚘拌</t>
  </si>
  <si>
    <t>ban4</t>
  </si>
  <si>
    <t>莫旱</t>
  </si>
  <si>
    <t>man3</t>
  </si>
  <si>
    <t>博管</t>
  </si>
  <si>
    <t>ban3</t>
  </si>
  <si>
    <t>鄹</t>
  </si>
  <si>
    <t>徒管</t>
  </si>
  <si>
    <t>斷𩋦緞</t>
  </si>
  <si>
    <t>都豆</t>
  </si>
  <si>
    <t>奴豆</t>
  </si>
  <si>
    <t>nou4</t>
  </si>
  <si>
    <t>蘇奏</t>
  </si>
  <si>
    <t>sou4</t>
  </si>
  <si>
    <t>則候</t>
  </si>
  <si>
    <t>奏走[揍]</t>
  </si>
  <si>
    <t>zou4</t>
  </si>
  <si>
    <t>他候</t>
  </si>
  <si>
    <t>tou4</t>
  </si>
  <si>
    <t>烏候</t>
  </si>
  <si>
    <t>漚䙔𠹝</t>
  </si>
  <si>
    <t>ou4</t>
  </si>
  <si>
    <t>古候</t>
  </si>
  <si>
    <t>gou4</t>
  </si>
  <si>
    <t>倉奏</t>
  </si>
  <si>
    <t>輳腠湊嗾𪉮蔟楱𧱪</t>
  </si>
  <si>
    <t>cou4</t>
  </si>
  <si>
    <t>盧候</t>
  </si>
  <si>
    <t>lou4</t>
  </si>
  <si>
    <t>呼漏</t>
  </si>
  <si>
    <t>蒲候</t>
  </si>
  <si>
    <t>䏽𩌏</t>
  </si>
  <si>
    <t>五遘</t>
  </si>
  <si>
    <t>偶</t>
  </si>
  <si>
    <t>才奏</t>
  </si>
  <si>
    <t>㔌楱䠫</t>
  </si>
  <si>
    <t>去51幼</t>
  </si>
  <si>
    <t>伊謬</t>
  </si>
  <si>
    <t>幼</t>
  </si>
  <si>
    <t>靡幼</t>
  </si>
  <si>
    <t>謬繆</t>
  </si>
  <si>
    <t>丘謬</t>
  </si>
  <si>
    <t>䠗</t>
  </si>
  <si>
    <t>巨幼</t>
  </si>
  <si>
    <t>𧾻</t>
  </si>
  <si>
    <t>去52沁</t>
  </si>
  <si>
    <t>七鴆</t>
  </si>
  <si>
    <t>沁</t>
  </si>
  <si>
    <t>子鴆</t>
  </si>
  <si>
    <t>浸祲𡫏𥧲[圳]</t>
  </si>
  <si>
    <t>汝鴆</t>
  </si>
  <si>
    <t>直禁</t>
  </si>
  <si>
    <t>鴆沈㼉</t>
  </si>
  <si>
    <t>之任</t>
  </si>
  <si>
    <t>枕針</t>
  </si>
  <si>
    <t>巨禁</t>
  </si>
  <si>
    <t>居蔭</t>
  </si>
  <si>
    <t>禁僸㯲</t>
  </si>
  <si>
    <t>乃禁</t>
  </si>
  <si>
    <t>賃</t>
  </si>
  <si>
    <t>nin4</t>
  </si>
  <si>
    <t>於禁</t>
  </si>
  <si>
    <t>所禁</t>
  </si>
  <si>
    <t>滲罧</t>
  </si>
  <si>
    <t>丑禁</t>
  </si>
  <si>
    <t>闖𧡬</t>
  </si>
  <si>
    <t>莊蔭</t>
  </si>
  <si>
    <t>譖</t>
  </si>
  <si>
    <t>楚譖</t>
  </si>
  <si>
    <t>讖</t>
  </si>
  <si>
    <t>宜禁</t>
  </si>
  <si>
    <t>吟</t>
  </si>
  <si>
    <t>知鴆</t>
  </si>
  <si>
    <t>揕㓄</t>
  </si>
  <si>
    <t>良鴆</t>
  </si>
  <si>
    <t>臨𠐼</t>
  </si>
  <si>
    <t>時鴆</t>
  </si>
  <si>
    <t>甚侺</t>
  </si>
  <si>
    <t>于禁</t>
  </si>
  <si>
    <t>䫴𪔰</t>
  </si>
  <si>
    <t>式禁</t>
  </si>
  <si>
    <t>深𢊖</t>
  </si>
  <si>
    <t>去53勘</t>
  </si>
  <si>
    <t>苦紺</t>
  </si>
  <si>
    <t>勘䘓𧗀𪉯轗竷磡</t>
  </si>
  <si>
    <t>勘</t>
  </si>
  <si>
    <t>古暗</t>
  </si>
  <si>
    <t>紺淦𧆐灨贛</t>
  </si>
  <si>
    <t>胡紺</t>
  </si>
  <si>
    <t>烏紺</t>
  </si>
  <si>
    <t>暗闇</t>
  </si>
  <si>
    <t>他紺</t>
  </si>
  <si>
    <t>蘇紺</t>
  </si>
  <si>
    <t>七紺</t>
  </si>
  <si>
    <t>徒紺</t>
  </si>
  <si>
    <t>醰贉𤁡瞫䀍</t>
  </si>
  <si>
    <t>五紺</t>
  </si>
  <si>
    <t>儑</t>
  </si>
  <si>
    <t>丁紺</t>
  </si>
  <si>
    <t>奴紺</t>
  </si>
  <si>
    <t>妠</t>
  </si>
  <si>
    <t>郎紺</t>
  </si>
  <si>
    <t>顲僋𤃨</t>
  </si>
  <si>
    <t>呼紺</t>
  </si>
  <si>
    <t>䫲𩞿</t>
  </si>
  <si>
    <t>作紺</t>
  </si>
  <si>
    <t>去54闞</t>
  </si>
  <si>
    <t>苦濫</t>
  </si>
  <si>
    <t>闞瞰𣊟嚂𪉿</t>
  </si>
  <si>
    <t>盧𣊟</t>
  </si>
  <si>
    <t>吐濫</t>
  </si>
  <si>
    <t>賧𪊇䆱𪉧睒澉舕</t>
  </si>
  <si>
    <t>古蹔</t>
  </si>
  <si>
    <t>𪉦</t>
  </si>
  <si>
    <t>呼濫</t>
  </si>
  <si>
    <t>下瞰</t>
  </si>
  <si>
    <t>憨㺖譀䗣䐄𤎡</t>
  </si>
  <si>
    <t>徒濫</t>
  </si>
  <si>
    <t>藏濫</t>
  </si>
  <si>
    <t>暫蹔鏨</t>
  </si>
  <si>
    <t>都濫</t>
  </si>
  <si>
    <t>擔甔</t>
  </si>
  <si>
    <t>蘇暫</t>
  </si>
  <si>
    <t>去55豔</t>
  </si>
  <si>
    <t>以贍</t>
  </si>
  <si>
    <t>豔</t>
  </si>
  <si>
    <t>時豔</t>
  </si>
  <si>
    <t>贍</t>
  </si>
  <si>
    <t>而豔</t>
  </si>
  <si>
    <t>染髯</t>
  </si>
  <si>
    <t>ran4</t>
  </si>
  <si>
    <t>於豔</t>
  </si>
  <si>
    <t>厭𢜰猒饜嬮</t>
  </si>
  <si>
    <t>方驗</t>
  </si>
  <si>
    <t>窆砭</t>
  </si>
  <si>
    <t>魚窆</t>
  </si>
  <si>
    <t>驗噞𣄝</t>
  </si>
  <si>
    <t>舒贍</t>
  </si>
  <si>
    <t>閃煔苫掞</t>
  </si>
  <si>
    <t>子豔</t>
  </si>
  <si>
    <t>𡄑</t>
  </si>
  <si>
    <t>七豔</t>
  </si>
  <si>
    <t>力驗</t>
  </si>
  <si>
    <t>殮斂瀲爁𧸘𩅼獫</t>
  </si>
  <si>
    <t>丑豔</t>
  </si>
  <si>
    <t>覘䀡</t>
  </si>
  <si>
    <t>昌豔</t>
  </si>
  <si>
    <t>於驗</t>
  </si>
  <si>
    <t>𢜰俺</t>
  </si>
  <si>
    <t>慈豔</t>
  </si>
  <si>
    <t>潛</t>
  </si>
  <si>
    <t>章豔</t>
  </si>
  <si>
    <t>占</t>
  </si>
  <si>
    <t>去56𣕊</t>
  </si>
  <si>
    <t>他念</t>
  </si>
  <si>
    <t>奴店</t>
  </si>
  <si>
    <t>念𦁇</t>
  </si>
  <si>
    <t>都念</t>
  </si>
  <si>
    <t>先念</t>
  </si>
  <si>
    <t>䃸䆎</t>
  </si>
  <si>
    <t>徒念</t>
  </si>
  <si>
    <t>磹㼭</t>
  </si>
  <si>
    <t>紀念</t>
  </si>
  <si>
    <t>趝</t>
  </si>
  <si>
    <t>於念</t>
  </si>
  <si>
    <t>酓</t>
  </si>
  <si>
    <t>子念</t>
  </si>
  <si>
    <t>僭</t>
  </si>
  <si>
    <t>漸念</t>
  </si>
  <si>
    <t>䁮</t>
  </si>
  <si>
    <t>古念</t>
  </si>
  <si>
    <t>兼[搛]䱤</t>
  </si>
  <si>
    <t>苦念</t>
  </si>
  <si>
    <t>傔</t>
  </si>
  <si>
    <t>力念</t>
  </si>
  <si>
    <t>稴</t>
  </si>
  <si>
    <t>去57釅</t>
  </si>
  <si>
    <t>魚欠</t>
  </si>
  <si>
    <t>釅𪙊</t>
  </si>
  <si>
    <t>許欠</t>
  </si>
  <si>
    <t>脅姭</t>
  </si>
  <si>
    <t>丘釅</t>
  </si>
  <si>
    <t>㪁𤬰</t>
  </si>
  <si>
    <t>去60梵</t>
  </si>
  <si>
    <t>𦲯(𦱏)</t>
  </si>
  <si>
    <t>陷</t>
  </si>
  <si>
    <t>去58陷</t>
  </si>
  <si>
    <t>於陷</t>
  </si>
  <si>
    <t>莊陷</t>
  </si>
  <si>
    <t>蘸</t>
  </si>
  <si>
    <t>陟陷</t>
  </si>
  <si>
    <t>𪉜𣳤站</t>
  </si>
  <si>
    <t>口陷</t>
  </si>
  <si>
    <t>歉䫡</t>
  </si>
  <si>
    <t>佇陷</t>
  </si>
  <si>
    <t>𧸖(賺)詀譧站</t>
  </si>
  <si>
    <t>仕陷</t>
  </si>
  <si>
    <t>儳𨼮䪌</t>
  </si>
  <si>
    <t>公陷</t>
  </si>
  <si>
    <t>𪉦䫡</t>
  </si>
  <si>
    <t>尼賺</t>
  </si>
  <si>
    <t>諵</t>
  </si>
  <si>
    <t>玉陷</t>
  </si>
  <si>
    <t>顑</t>
  </si>
  <si>
    <t>去59鑑</t>
  </si>
  <si>
    <t>格懺</t>
  </si>
  <si>
    <t>鑑鑒監𥌈㔋</t>
  </si>
  <si>
    <t>楚鑑</t>
  </si>
  <si>
    <t>懺儳摲𤮭㺖嚵</t>
  </si>
  <si>
    <t>子鑑</t>
  </si>
  <si>
    <t>所鑑</t>
  </si>
  <si>
    <t>釤䀐㣌</t>
  </si>
  <si>
    <t>許鑑</t>
  </si>
  <si>
    <t>㒈譀闞</t>
  </si>
  <si>
    <t>蒲鑑</t>
  </si>
  <si>
    <t>胡懺</t>
  </si>
  <si>
    <t>㽉㯺</t>
  </si>
  <si>
    <t>士懺</t>
  </si>
  <si>
    <t>鑱䪌欃䳻讒艬</t>
  </si>
  <si>
    <t>𪒠</t>
  </si>
  <si>
    <t>扶泛</t>
  </si>
  <si>
    <t>梵帆颿</t>
  </si>
  <si>
    <t>孚梵</t>
  </si>
  <si>
    <t>居欠</t>
  </si>
  <si>
    <t>欠㐸</t>
  </si>
  <si>
    <t>入1屋</t>
  </si>
  <si>
    <t>入</t>
  </si>
  <si>
    <t>烏谷</t>
  </si>
  <si>
    <t>屋𡲃𦤼剭𨜘𪑱䑁</t>
  </si>
  <si>
    <t>wu</t>
  </si>
  <si>
    <t>屋</t>
  </si>
  <si>
    <t>徒谷</t>
  </si>
  <si>
    <t>du2</t>
  </si>
  <si>
    <t>gu</t>
  </si>
  <si>
    <t>胡谷</t>
  </si>
  <si>
    <t>空谷</t>
  </si>
  <si>
    <t>哭䍍㲉䧊䵈㲄𣫓+𪍠</t>
  </si>
  <si>
    <t>他谷</t>
  </si>
  <si>
    <t>丁木</t>
  </si>
  <si>
    <t>𣫔啄䐁𡰪𧞐𢽴竺剢</t>
  </si>
  <si>
    <t>改豰</t>
  </si>
  <si>
    <t>桑谷</t>
  </si>
  <si>
    <t>盧谷</t>
  </si>
  <si>
    <t>呼木</t>
  </si>
  <si>
    <t>昨木</t>
  </si>
  <si>
    <t>族銼鑿</t>
  </si>
  <si>
    <t>zu2</t>
  </si>
  <si>
    <t>千木</t>
  </si>
  <si>
    <r>
      <t>！表字</t>
    </r>
    <r>
      <rPr>
        <sz val="10"/>
        <rFont val="宋体"/>
        <charset val="134"/>
      </rPr>
      <t>头</t>
    </r>
    <r>
      <rPr>
        <sz val="10"/>
        <rFont val="MingLiU"/>
        <family val="3"/>
      </rPr>
      <t>后退</t>
    </r>
  </si>
  <si>
    <r>
      <t>𠂹=</t>
    </r>
    <r>
      <rPr>
        <sz val="10"/>
        <rFont val="宋体"/>
        <charset val="134"/>
      </rPr>
      <t>⿱</t>
    </r>
    <r>
      <rPr>
        <sz val="10"/>
        <rFont val="MingLiU"/>
        <family val="3"/>
      </rPr>
      <t>𠂹𠃌</t>
    </r>
  </si>
  <si>
    <r>
      <t>㿫=</t>
    </r>
    <r>
      <rPr>
        <sz val="10"/>
        <rFont val="宋体"/>
        <charset val="134"/>
      </rPr>
      <t>⿰</t>
    </r>
    <r>
      <rPr>
        <sz val="10"/>
        <rFont val="MingLiU"/>
        <family val="3"/>
      </rPr>
      <t>比皮</t>
    </r>
  </si>
  <si>
    <r>
      <t>㩽原作</t>
    </r>
    <r>
      <rPr>
        <sz val="10"/>
        <rFont val="宋体"/>
        <charset val="134"/>
      </rPr>
      <t>⿰</t>
    </r>
    <r>
      <rPr>
        <sz val="10"/>
        <rFont val="MingLiU"/>
        <family val="3"/>
      </rPr>
      <t>朿支</t>
    </r>
  </si>
  <si>
    <r>
      <t>𩄠=</t>
    </r>
    <r>
      <rPr>
        <sz val="10"/>
        <rFont val="宋体"/>
        <charset val="134"/>
      </rPr>
      <t>⿱</t>
    </r>
    <r>
      <rPr>
        <sz val="10"/>
        <rFont val="MingLiU"/>
        <family val="3"/>
      </rPr>
      <t>雨真</t>
    </r>
  </si>
  <si>
    <r>
      <t>趀𡰾</t>
    </r>
    <r>
      <rPr>
        <sz val="10"/>
        <rFont val="宋体"/>
        <charset val="134"/>
      </rPr>
      <t>隷</t>
    </r>
    <r>
      <rPr>
        <sz val="10"/>
        <rFont val="MingLiU"/>
        <family val="3"/>
      </rPr>
      <t>化</t>
    </r>
    <r>
      <rPr>
        <sz val="10"/>
        <rFont val="宋体"/>
        <charset val="134"/>
      </rPr>
      <t>从</t>
    </r>
    <r>
      <rPr>
        <sz val="10"/>
        <rFont val="MingLiU"/>
        <family val="3"/>
      </rPr>
      <t>𡛷右</t>
    </r>
  </si>
  <si>
    <r>
      <t>𪚦代</t>
    </r>
    <r>
      <rPr>
        <sz val="10"/>
        <rFont val="宋体"/>
        <charset val="134"/>
      </rPr>
      <t>丶</t>
    </r>
    <r>
      <rPr>
        <sz val="10"/>
        <rFont val="MingLiU"/>
        <family val="3"/>
      </rPr>
      <t>起筆的異體龜字</t>
    </r>
  </si>
  <si>
    <r>
      <t>缺</t>
    </r>
    <r>
      <rPr>
        <sz val="10"/>
        <rFont val="宋体"/>
        <charset val="134"/>
      </rPr>
      <t>⿱</t>
    </r>
    <r>
      <rPr>
        <sz val="10"/>
        <rFont val="MingLiU"/>
        <family val="3"/>
      </rPr>
      <t>隹矢</t>
    </r>
  </si>
  <si>
    <r>
      <t>缺</t>
    </r>
    <r>
      <rPr>
        <sz val="10"/>
        <rFont val="宋体"/>
        <charset val="134"/>
      </rPr>
      <t>⿸广⿳</t>
    </r>
    <r>
      <rPr>
        <sz val="10"/>
        <rFont val="MingLiU"/>
        <family val="3"/>
      </rPr>
      <t>𥫗</t>
    </r>
    <r>
      <rPr>
        <sz val="10"/>
        <rFont val="宋体"/>
        <charset val="134"/>
      </rPr>
      <t>罒夊</t>
    </r>
  </si>
  <si>
    <r>
      <t>集</t>
    </r>
    <r>
      <rPr>
        <sz val="10"/>
        <rFont val="宋体"/>
        <charset val="134"/>
      </rPr>
      <t>韵</t>
    </r>
    <r>
      <rPr>
        <sz val="10"/>
        <rFont val="MingLiU"/>
        <family val="3"/>
      </rPr>
      <t>？</t>
    </r>
  </si>
  <si>
    <r>
      <t>㭸原作</t>
    </r>
    <r>
      <rPr>
        <sz val="10"/>
        <rFont val="宋体"/>
        <charset val="134"/>
      </rPr>
      <t>梚</t>
    </r>
    <r>
      <rPr>
        <sz val="10"/>
        <rFont val="MingLiU"/>
        <family val="3"/>
      </rPr>
      <t>,蒤原作</t>
    </r>
    <r>
      <rPr>
        <sz val="10"/>
        <rFont val="宋体"/>
        <charset val="134"/>
      </rPr>
      <t>⿰氵</t>
    </r>
    <r>
      <rPr>
        <sz val="10"/>
        <rFont val="MingLiU"/>
        <family val="3"/>
      </rPr>
      <t>荼</t>
    </r>
  </si>
  <si>
    <r>
      <t>虀原作</t>
    </r>
    <r>
      <rPr>
        <sz val="10"/>
        <rFont val="宋体"/>
        <charset val="134"/>
      </rPr>
      <t>⿱艹</t>
    </r>
    <r>
      <rPr>
        <sz val="10"/>
        <rFont val="MingLiU"/>
        <family val="3"/>
      </rPr>
      <t>齏</t>
    </r>
  </si>
  <si>
    <r>
      <t>賓古文𡪛原作</t>
    </r>
    <r>
      <rPr>
        <sz val="10"/>
        <rFont val="宋体"/>
        <charset val="134"/>
      </rPr>
      <t>⿱</t>
    </r>
    <r>
      <rPr>
        <sz val="10"/>
        <rFont val="MingLiU"/>
        <family val="3"/>
      </rPr>
      <t>完貝</t>
    </r>
  </si>
  <si>
    <r>
      <t>𦩨原作</t>
    </r>
    <r>
      <rPr>
        <sz val="10"/>
        <rFont val="宋体"/>
        <charset val="134"/>
      </rPr>
      <t>⿰</t>
    </r>
    <r>
      <rPr>
        <sz val="10"/>
        <rFont val="MingLiU"/>
        <family val="3"/>
      </rPr>
      <t>舟淮</t>
    </r>
  </si>
  <si>
    <r>
      <t>𨙅</t>
    </r>
    <r>
      <rPr>
        <sz val="10"/>
        <rFont val="宋体"/>
        <charset val="134"/>
      </rPr>
      <t>备</t>
    </r>
    <r>
      <rPr>
        <sz val="10"/>
        <rFont val="MingLiU"/>
        <family val="3"/>
      </rPr>
      <t>下原</t>
    </r>
    <r>
      <rPr>
        <sz val="10"/>
        <rFont val="宋体"/>
        <charset val="134"/>
      </rPr>
      <t>从</t>
    </r>
    <r>
      <rPr>
        <sz val="10"/>
        <rFont val="MingLiU"/>
        <family val="3"/>
      </rPr>
      <t>彔</t>
    </r>
  </si>
  <si>
    <r>
      <t>䪤原作</t>
    </r>
    <r>
      <rPr>
        <sz val="10"/>
        <rFont val="宋体"/>
        <charset val="134"/>
      </rPr>
      <t>⿰</t>
    </r>
    <r>
      <rPr>
        <sz val="10"/>
        <rFont val="MingLiU"/>
        <family val="3"/>
      </rPr>
      <t>番韭</t>
    </r>
  </si>
  <si>
    <r>
      <t>㱎原作</t>
    </r>
    <r>
      <rPr>
        <sz val="10"/>
        <rFont val="宋体"/>
        <charset val="134"/>
      </rPr>
      <t>⿱眔</t>
    </r>
    <r>
      <rPr>
        <sz val="10"/>
        <rFont val="MingLiU"/>
        <family val="3"/>
      </rPr>
      <t>𩵢</t>
    </r>
  </si>
  <si>
    <r>
      <t>缺</t>
    </r>
    <r>
      <rPr>
        <sz val="10"/>
        <rFont val="宋体"/>
        <charset val="134"/>
      </rPr>
      <t>⿸倝</t>
    </r>
    <r>
      <rPr>
        <sz val="10"/>
        <rFont val="MingLiU"/>
        <family val="3"/>
      </rPr>
      <t>目</t>
    </r>
  </si>
  <si>
    <r>
      <t>27-&gt;29䴟下</t>
    </r>
    <r>
      <rPr>
        <sz val="10"/>
        <rFont val="宋体"/>
        <charset val="134"/>
      </rPr>
      <t>从</t>
    </r>
    <r>
      <rPr>
        <sz val="10"/>
        <rFont val="MingLiU"/>
        <family val="3"/>
      </rPr>
      <t>丸sum30?</t>
    </r>
  </si>
  <si>
    <r>
      <t>缺</t>
    </r>
    <r>
      <rPr>
        <sz val="10"/>
        <rFont val="宋体"/>
        <charset val="134"/>
      </rPr>
      <t>⿱</t>
    </r>
    <r>
      <rPr>
        <sz val="10"/>
        <rFont val="MingLiU"/>
        <family val="3"/>
      </rPr>
      <t>𥫗瀸,以集韻所舉異體字「𥮓」代之</t>
    </r>
  </si>
  <si>
    <r>
      <t>䙲原作</t>
    </r>
    <r>
      <rPr>
        <sz val="10"/>
        <rFont val="宋体"/>
        <charset val="134"/>
      </rPr>
      <t>⿱</t>
    </r>
    <r>
      <rPr>
        <sz val="10"/>
        <rFont val="MingLiU"/>
        <family val="3"/>
      </rPr>
      <t>襾升</t>
    </r>
  </si>
  <si>
    <r>
      <t>缺</t>
    </r>
    <r>
      <rPr>
        <sz val="10"/>
        <rFont val="宋体"/>
        <charset val="134"/>
      </rPr>
      <t>⿸疒</t>
    </r>
    <r>
      <rPr>
        <sz val="10"/>
        <rFont val="MingLiU"/>
        <family val="3"/>
      </rPr>
      <t>卷</t>
    </r>
  </si>
  <si>
    <r>
      <t>𠚥原作</t>
    </r>
    <r>
      <rPr>
        <sz val="10"/>
        <rFont val="宋体"/>
        <charset val="134"/>
      </rPr>
      <t>⿰</t>
    </r>
    <r>
      <rPr>
        <sz val="10"/>
        <rFont val="MingLiU"/>
        <family val="3"/>
      </rPr>
      <t>刁</t>
    </r>
    <r>
      <rPr>
        <sz val="10"/>
        <rFont val="宋体"/>
        <charset val="134"/>
      </rPr>
      <t>刂</t>
    </r>
  </si>
  <si>
    <r>
      <t>缺</t>
    </r>
    <r>
      <rPr>
        <sz val="10"/>
        <rFont val="宋体"/>
        <charset val="134"/>
      </rPr>
      <t>⿳艹</t>
    </r>
    <r>
      <rPr>
        <sz val="10"/>
        <rFont val="MingLiU"/>
        <family val="3"/>
      </rPr>
      <t>椎木乃以異體字</t>
    </r>
    <r>
      <rPr>
        <sz val="10"/>
        <rFont val="宋体"/>
        <charset val="134"/>
      </rPr>
      <t>藮</t>
    </r>
    <r>
      <rPr>
        <sz val="10"/>
        <rFont val="MingLiU"/>
        <family val="3"/>
      </rPr>
      <t>代之</t>
    </r>
  </si>
  <si>
    <r>
      <t>𢃳原作</t>
    </r>
    <r>
      <rPr>
        <sz val="10"/>
        <rFont val="宋体"/>
        <charset val="134"/>
      </rPr>
      <t>⿰</t>
    </r>
    <r>
      <rPr>
        <sz val="10"/>
        <rFont val="MingLiU"/>
        <family val="3"/>
      </rPr>
      <t>帚召</t>
    </r>
  </si>
  <si>
    <r>
      <t>毊原作</t>
    </r>
    <r>
      <rPr>
        <sz val="10"/>
        <rFont val="宋体"/>
        <charset val="134"/>
      </rPr>
      <t>⿱殸</t>
    </r>
    <r>
      <rPr>
        <sz val="10"/>
        <rFont val="MingLiU"/>
        <family val="3"/>
      </rPr>
      <t>高</t>
    </r>
  </si>
  <si>
    <r>
      <t>刪</t>
    </r>
    <r>
      <rPr>
        <sz val="10"/>
        <rFont val="宋体"/>
        <charset val="134"/>
      </rPr>
      <t>烄</t>
    </r>
  </si>
  <si>
    <r>
      <t>㮴</t>
    </r>
    <r>
      <rPr>
        <sz val="10"/>
        <rFont val="宋体"/>
        <charset val="134"/>
      </rPr>
      <t>从叜</t>
    </r>
  </si>
  <si>
    <r>
      <t>𩪕原作</t>
    </r>
    <r>
      <rPr>
        <sz val="10"/>
        <rFont val="宋体"/>
        <charset val="134"/>
      </rPr>
      <t>⿱</t>
    </r>
    <r>
      <rPr>
        <sz val="10"/>
        <rFont val="MingLiU"/>
        <family val="3"/>
      </rPr>
      <t>敖骨</t>
    </r>
  </si>
  <si>
    <r>
      <t>𦷛原作</t>
    </r>
    <r>
      <rPr>
        <sz val="10"/>
        <rFont val="宋体"/>
        <charset val="134"/>
      </rPr>
      <t>⿰亻萠</t>
    </r>
  </si>
  <si>
    <r>
      <t>*下或作</t>
    </r>
    <r>
      <rPr>
        <sz val="10"/>
        <rFont val="宋体"/>
        <charset val="134"/>
      </rPr>
      <t>冂内</t>
    </r>
    <r>
      <rPr>
        <sz val="10"/>
        <rFont val="MingLiU"/>
        <family val="3"/>
      </rPr>
      <t>𠂊</t>
    </r>
  </si>
  <si>
    <r>
      <t>刪</t>
    </r>
    <r>
      <rPr>
        <sz val="10"/>
        <rFont val="宋体"/>
        <charset val="134"/>
      </rPr>
      <t>飡</t>
    </r>
  </si>
  <si>
    <r>
      <t>𡞦原作</t>
    </r>
    <r>
      <rPr>
        <sz val="10"/>
        <rFont val="宋体"/>
        <charset val="134"/>
      </rPr>
      <t>⿱</t>
    </r>
    <r>
      <rPr>
        <sz val="10"/>
        <rFont val="MingLiU"/>
        <family val="3"/>
      </rPr>
      <t>姁子</t>
    </r>
  </si>
  <si>
    <r>
      <t>惆原作</t>
    </r>
    <r>
      <rPr>
        <sz val="10"/>
        <rFont val="宋体"/>
        <charset val="134"/>
      </rPr>
      <t>⿰丩</t>
    </r>
    <r>
      <rPr>
        <sz val="10"/>
        <rFont val="MingLiU"/>
        <family val="3"/>
      </rPr>
      <t>周</t>
    </r>
  </si>
  <si>
    <r>
      <t>𩭾右下原</t>
    </r>
    <r>
      <rPr>
        <sz val="10"/>
        <rFont val="宋体"/>
        <charset val="134"/>
      </rPr>
      <t>从</t>
    </r>
    <r>
      <rPr>
        <sz val="10"/>
        <rFont val="MingLiU"/>
        <family val="3"/>
      </rPr>
      <t>犮</t>
    </r>
  </si>
  <si>
    <r>
      <t>缺</t>
    </r>
    <r>
      <rPr>
        <sz val="10"/>
        <rFont val="宋体"/>
        <charset val="134"/>
      </rPr>
      <t>丿冂内</t>
    </r>
    <r>
      <rPr>
        <sz val="10"/>
        <rFont val="MingLiU"/>
        <family val="3"/>
      </rPr>
      <t>人，</t>
    </r>
    <r>
      <rPr>
        <sz val="10"/>
        <rFont val="宋体"/>
        <charset val="134"/>
      </rPr>
      <t>宂别</t>
    </r>
    <r>
      <rPr>
        <sz val="10"/>
        <rFont val="MingLiU"/>
        <family val="3"/>
      </rPr>
      <t>体</t>
    </r>
  </si>
  <si>
    <r>
      <t>𤾸原作</t>
    </r>
    <r>
      <rPr>
        <sz val="10"/>
        <rFont val="宋体"/>
        <charset val="134"/>
      </rPr>
      <t>⿱艹</t>
    </r>
    <r>
      <rPr>
        <sz val="10"/>
        <rFont val="MingLiU"/>
        <family val="3"/>
      </rPr>
      <t>㬙</t>
    </r>
  </si>
  <si>
    <r>
      <t>*左右</t>
    </r>
    <r>
      <rPr>
        <sz val="10"/>
        <rFont val="宋体"/>
        <charset val="134"/>
      </rPr>
      <t>结</t>
    </r>
    <r>
      <rPr>
        <sz val="10"/>
        <rFont val="MingLiU"/>
        <family val="3"/>
      </rPr>
      <t>构</t>
    </r>
  </si>
  <si>
    <r>
      <t>㪜原作</t>
    </r>
    <r>
      <rPr>
        <sz val="10"/>
        <rFont val="宋体"/>
        <charset val="134"/>
      </rPr>
      <t>⿰</t>
    </r>
    <r>
      <rPr>
        <sz val="10"/>
        <rFont val="MingLiU"/>
        <family val="3"/>
      </rPr>
      <t>耑支</t>
    </r>
  </si>
  <si>
    <r>
      <t>祁作</t>
    </r>
    <r>
      <rPr>
        <sz val="10"/>
        <rFont val="宋体"/>
        <charset val="134"/>
      </rPr>
      <t>⿰</t>
    </r>
    <r>
      <rPr>
        <sz val="10"/>
        <rFont val="MingLiU"/>
        <family val="3"/>
      </rPr>
      <t>示</t>
    </r>
    <r>
      <rPr>
        <sz val="10"/>
        <rFont val="宋体"/>
        <charset val="134"/>
      </rPr>
      <t>阝</t>
    </r>
  </si>
  <si>
    <r>
      <t>或</t>
    </r>
    <r>
      <rPr>
        <sz val="10"/>
        <rFont val="宋体"/>
        <charset val="134"/>
      </rPr>
      <t>从</t>
    </r>
    <r>
      <rPr>
        <sz val="10"/>
        <rFont val="MingLiU"/>
        <family val="3"/>
      </rPr>
      <t>支？？</t>
    </r>
  </si>
  <si>
    <r>
      <t>𤍍=蕪本字</t>
    </r>
    <r>
      <rPr>
        <sz val="10"/>
        <rFont val="宋体"/>
        <charset val="134"/>
      </rPr>
      <t>从⿱</t>
    </r>
    <r>
      <rPr>
        <sz val="10"/>
        <rFont val="MingLiU"/>
        <family val="3"/>
      </rPr>
      <t>𡘲林</t>
    </r>
  </si>
  <si>
    <r>
      <t>易</t>
    </r>
    <r>
      <rPr>
        <sz val="10"/>
        <rFont val="宋体"/>
        <charset val="134"/>
      </rPr>
      <t>啙</t>
    </r>
  </si>
  <si>
    <r>
      <t>𦰫=</t>
    </r>
    <r>
      <rPr>
        <sz val="10"/>
        <rFont val="宋体"/>
        <charset val="134"/>
      </rPr>
      <t>氵</t>
    </r>
    <r>
      <rPr>
        <sz val="10"/>
        <rFont val="MingLiU"/>
        <family val="3"/>
      </rPr>
      <t>苨</t>
    </r>
  </si>
  <si>
    <r>
      <t>𠒜原作</t>
    </r>
    <r>
      <rPr>
        <sz val="10"/>
        <rFont val="宋体"/>
        <charset val="134"/>
      </rPr>
      <t>⿺</t>
    </r>
    <r>
      <rPr>
        <sz val="10"/>
        <rFont val="MingLiU"/>
        <family val="3"/>
      </rPr>
      <t>元</t>
    </r>
    <r>
      <rPr>
        <sz val="10"/>
        <rFont val="宋体"/>
        <charset val="134"/>
      </rPr>
      <t>皀</t>
    </r>
  </si>
  <si>
    <r>
      <t>㔓左</t>
    </r>
    <r>
      <rPr>
        <sz val="10"/>
        <rFont val="宋体"/>
        <charset val="134"/>
      </rPr>
      <t>从</t>
    </r>
    <r>
      <rPr>
        <sz val="10"/>
        <rFont val="MingLiU"/>
        <family val="3"/>
      </rPr>
      <t>干</t>
    </r>
  </si>
  <si>
    <r>
      <t>刪眢ok</t>
    </r>
    <r>
      <rPr>
        <sz val="10"/>
        <rFont val="宋体"/>
        <charset val="134"/>
      </rPr>
      <t>箢</t>
    </r>
    <r>
      <rPr>
        <sz val="10"/>
        <rFont val="MingLiU"/>
        <family val="3"/>
      </rPr>
      <t>-應安排在何處?</t>
    </r>
  </si>
  <si>
    <r>
      <t>原𤺺字上有</t>
    </r>
    <r>
      <rPr>
        <sz val="10"/>
        <rFont val="宋体"/>
        <charset val="134"/>
      </rPr>
      <t>亠</t>
    </r>
  </si>
  <si>
    <r>
      <t>𤻶原作</t>
    </r>
    <r>
      <rPr>
        <sz val="10"/>
        <rFont val="宋体"/>
        <charset val="134"/>
      </rPr>
      <t>⿸</t>
    </r>
    <r>
      <rPr>
        <sz val="10"/>
        <rFont val="MingLiU"/>
        <family val="3"/>
      </rPr>
      <t>厂編</t>
    </r>
  </si>
  <si>
    <r>
      <t>缺</t>
    </r>
    <r>
      <rPr>
        <sz val="10"/>
        <rFont val="宋体"/>
        <charset val="134"/>
      </rPr>
      <t>⿰訁叜</t>
    </r>
  </si>
  <si>
    <r>
      <t>*</t>
    </r>
    <r>
      <rPr>
        <sz val="10"/>
        <rFont val="宋体"/>
        <charset val="134"/>
      </rPr>
      <t>巛</t>
    </r>
    <r>
      <rPr>
        <sz val="10"/>
        <rFont val="MingLiU"/>
        <family val="3"/>
      </rPr>
      <t>作小</t>
    </r>
  </si>
  <si>
    <r>
      <t>𢿋左上原</t>
    </r>
    <r>
      <rPr>
        <sz val="10"/>
        <rFont val="宋体"/>
        <charset val="134"/>
      </rPr>
      <t>从来</t>
    </r>
  </si>
  <si>
    <r>
      <t>𦍶原作</t>
    </r>
    <r>
      <rPr>
        <sz val="10"/>
        <rFont val="宋体"/>
        <charset val="134"/>
      </rPr>
      <t>⿱</t>
    </r>
    <r>
      <rPr>
        <sz val="10"/>
        <rFont val="MingLiU"/>
        <family val="3"/>
      </rPr>
      <t>𦍌</t>
    </r>
    <r>
      <rPr>
        <sz val="10"/>
        <rFont val="宋体"/>
        <charset val="134"/>
      </rPr>
      <t>⿺夊厶</t>
    </r>
  </si>
  <si>
    <r>
      <t>缺</t>
    </r>
    <r>
      <rPr>
        <sz val="10"/>
        <rFont val="宋体"/>
        <charset val="134"/>
      </rPr>
      <t>⿰氵</t>
    </r>
    <r>
      <rPr>
        <sz val="10"/>
        <rFont val="MingLiU"/>
        <family val="3"/>
      </rPr>
      <t>闇</t>
    </r>
  </si>
  <si>
    <r>
      <t>缺</t>
    </r>
    <r>
      <rPr>
        <sz val="10"/>
        <rFont val="宋体"/>
        <charset val="134"/>
      </rPr>
      <t>⿱</t>
    </r>
    <r>
      <rPr>
        <sz val="10"/>
        <rFont val="MingLiU"/>
        <family val="3"/>
      </rPr>
      <t>箴心</t>
    </r>
  </si>
  <si>
    <r>
      <t>𢄢應</t>
    </r>
    <r>
      <rPr>
        <sz val="10"/>
        <rFont val="宋体"/>
        <charset val="134"/>
      </rPr>
      <t>从</t>
    </r>
    <r>
      <rPr>
        <sz val="10"/>
        <rFont val="MingLiU"/>
        <family val="3"/>
      </rPr>
      <t>執</t>
    </r>
  </si>
  <si>
    <r>
      <t>𦸣原作</t>
    </r>
    <r>
      <rPr>
        <sz val="10"/>
        <rFont val="宋体"/>
        <charset val="134"/>
      </rPr>
      <t>⿱艹</t>
    </r>
    <r>
      <rPr>
        <sz val="10"/>
        <rFont val="MingLiU"/>
        <family val="3"/>
      </rPr>
      <t>𢈷</t>
    </r>
  </si>
  <si>
    <r>
      <t>𢨒或作</t>
    </r>
    <r>
      <rPr>
        <sz val="10"/>
        <rFont val="宋体"/>
        <charset val="134"/>
      </rPr>
      <t>⿰⿱</t>
    </r>
    <r>
      <rPr>
        <sz val="10"/>
        <rFont val="MingLiU"/>
        <family val="3"/>
      </rPr>
      <t>立</t>
    </r>
    <r>
      <rPr>
        <sz val="10"/>
        <rFont val="宋体"/>
        <charset val="134"/>
      </rPr>
      <t>圼</t>
    </r>
    <r>
      <rPr>
        <sz val="10"/>
        <rFont val="MingLiU"/>
        <family val="3"/>
      </rPr>
      <t>戈</t>
    </r>
  </si>
  <si>
    <r>
      <t>𢰂原作</t>
    </r>
    <r>
      <rPr>
        <sz val="10"/>
        <rFont val="宋体"/>
        <charset val="134"/>
      </rPr>
      <t>⿱</t>
    </r>
    <r>
      <rPr>
        <sz val="10"/>
        <rFont val="MingLiU"/>
        <family val="3"/>
      </rPr>
      <t>折示</t>
    </r>
  </si>
  <si>
    <r>
      <t>𡭊右原</t>
    </r>
    <r>
      <rPr>
        <sz val="10"/>
        <rFont val="宋体"/>
        <charset val="134"/>
      </rPr>
      <t>从刂</t>
    </r>
  </si>
  <si>
    <r>
      <t>𥽒</t>
    </r>
    <r>
      <rPr>
        <sz val="10"/>
        <rFont val="宋体"/>
        <charset val="134"/>
      </rPr>
      <t>爲</t>
    </r>
    <r>
      <rPr>
        <sz val="10"/>
        <rFont val="MingLiU"/>
        <family val="3"/>
      </rPr>
      <t>糞異體字,或作𥻰</t>
    </r>
  </si>
  <si>
    <r>
      <t>𥰳右下</t>
    </r>
    <r>
      <rPr>
        <sz val="10"/>
        <rFont val="宋体"/>
        <charset val="134"/>
      </rPr>
      <t>从卂</t>
    </r>
  </si>
  <si>
    <r>
      <t>缺</t>
    </r>
    <r>
      <rPr>
        <sz val="10"/>
        <rFont val="宋体"/>
        <charset val="134"/>
      </rPr>
      <t>⿰</t>
    </r>
    <r>
      <rPr>
        <sz val="10"/>
        <rFont val="MingLiU"/>
        <family val="3"/>
      </rPr>
      <t>禾</t>
    </r>
    <r>
      <rPr>
        <sz val="10"/>
        <rFont val="宋体"/>
        <charset val="134"/>
      </rPr>
      <t>⿱</t>
    </r>
    <r>
      <rPr>
        <sz val="10"/>
        <rFont val="MingLiU"/>
        <family val="3"/>
      </rPr>
      <t>酉</t>
    </r>
    <r>
      <rPr>
        <sz val="10"/>
        <rFont val="宋体"/>
        <charset val="134"/>
      </rPr>
      <t>灬</t>
    </r>
  </si>
  <si>
    <r>
      <t>藃原作</t>
    </r>
    <r>
      <rPr>
        <sz val="10"/>
        <rFont val="宋体"/>
        <charset val="134"/>
      </rPr>
      <t>⿰</t>
    </r>
    <r>
      <rPr>
        <sz val="10"/>
        <rFont val="MingLiU"/>
        <family val="3"/>
      </rPr>
      <t>蒿欠</t>
    </r>
  </si>
  <si>
    <r>
      <t>右</t>
    </r>
    <r>
      <rPr>
        <sz val="10"/>
        <rFont val="宋体"/>
        <charset val="134"/>
      </rPr>
      <t>为</t>
    </r>
    <r>
      <rPr>
        <sz val="10"/>
        <rFont val="MingLiU"/>
        <family val="3"/>
      </rPr>
      <t>羸</t>
    </r>
  </si>
  <si>
    <r>
      <t>㶇原作</t>
    </r>
    <r>
      <rPr>
        <sz val="10"/>
        <rFont val="宋体"/>
        <charset val="134"/>
      </rPr>
      <t>⿰氵</t>
    </r>
    <r>
      <rPr>
        <sz val="10"/>
        <rFont val="MingLiU"/>
        <family val="3"/>
      </rPr>
      <t>撗</t>
    </r>
  </si>
  <si>
    <r>
      <t>原𢣙右下</t>
    </r>
    <r>
      <rPr>
        <sz val="10"/>
        <rFont val="宋体"/>
        <charset val="134"/>
      </rPr>
      <t>从</t>
    </r>
    <r>
      <rPr>
        <sz val="10"/>
        <rFont val="MingLiU"/>
        <family val="3"/>
      </rPr>
      <t>玊</t>
    </r>
  </si>
  <si>
    <r>
      <t>𢕒字右上原</t>
    </r>
    <r>
      <rPr>
        <sz val="10"/>
        <rFont val="宋体"/>
        <charset val="134"/>
      </rPr>
      <t>从</t>
    </r>
    <r>
      <rPr>
        <sz val="10"/>
        <rFont val="MingLiU"/>
        <family val="3"/>
      </rPr>
      <t>𠂉</t>
    </r>
  </si>
  <si>
    <r>
      <t>𢄇</t>
    </r>
    <r>
      <rPr>
        <sz val="10"/>
        <rFont val="宋体"/>
        <charset val="134"/>
      </rPr>
      <t>从</t>
    </r>
    <r>
      <rPr>
        <sz val="10"/>
        <rFont val="MingLiU"/>
        <family val="3"/>
      </rPr>
      <t>句</t>
    </r>
  </si>
  <si>
    <r>
      <t>㓄</t>
    </r>
    <r>
      <rPr>
        <sz val="10"/>
        <rFont val="宋体"/>
        <charset val="134"/>
      </rPr>
      <t>从冖</t>
    </r>
  </si>
  <si>
    <r>
      <t>𪍠原作</t>
    </r>
    <r>
      <rPr>
        <sz val="10"/>
        <rFont val="宋体"/>
        <charset val="134"/>
      </rPr>
      <t>⿹</t>
    </r>
    <r>
      <rPr>
        <sz val="10"/>
        <rFont val="MingLiU"/>
        <family val="3"/>
      </rPr>
      <t>𣪊麥</t>
    </r>
  </si>
  <si>
    <r>
      <t>𤎀??</t>
    </r>
    <r>
      <rPr>
        <sz val="10"/>
        <rFont val="宋体"/>
        <charset val="134"/>
      </rPr>
      <t>菐</t>
    </r>
  </si>
  <si>
    <r>
      <t>𠋩原作</t>
    </r>
    <r>
      <rPr>
        <sz val="10"/>
        <rFont val="宋体"/>
        <charset val="134"/>
      </rPr>
      <t>⿰亻</t>
    </r>
    <r>
      <rPr>
        <sz val="10"/>
        <rFont val="MingLiU"/>
        <family val="3"/>
      </rPr>
      <t>复</t>
    </r>
  </si>
  <si>
    <r>
      <t>𧽏</t>
    </r>
    <r>
      <rPr>
        <sz val="10"/>
        <rFont val="宋体"/>
        <charset val="134"/>
      </rPr>
      <t>从叜</t>
    </r>
  </si>
  <si>
    <r>
      <t>缺</t>
    </r>
    <r>
      <rPr>
        <sz val="10"/>
        <rFont val="宋体"/>
        <charset val="134"/>
      </rPr>
      <t>⿱</t>
    </r>
    <r>
      <rPr>
        <sz val="10"/>
        <rFont val="MingLiU"/>
        <family val="3"/>
      </rPr>
      <t>玆田</t>
    </r>
  </si>
  <si>
    <r>
      <t>𪄑左上</t>
    </r>
    <r>
      <rPr>
        <sz val="10"/>
        <rFont val="宋体"/>
        <charset val="134"/>
      </rPr>
      <t>灾</t>
    </r>
  </si>
  <si>
    <r>
      <t>𢋱原作</t>
    </r>
    <r>
      <rPr>
        <sz val="10"/>
        <rFont val="宋体"/>
        <charset val="134"/>
      </rPr>
      <t>⿱</t>
    </r>
    <r>
      <rPr>
        <sz val="10"/>
        <rFont val="MingLiU"/>
        <family val="3"/>
      </rPr>
      <t>出</t>
    </r>
    <r>
      <rPr>
        <sz val="10"/>
        <rFont val="宋体"/>
        <charset val="134"/>
      </rPr>
      <t>⿳</t>
    </r>
    <r>
      <rPr>
        <sz val="10"/>
        <rFont val="MingLiU"/>
        <family val="3"/>
      </rPr>
      <t>卜</t>
    </r>
    <r>
      <rPr>
        <sz val="10"/>
        <rFont val="宋体"/>
        <charset val="134"/>
      </rPr>
      <t>勹灬</t>
    </r>
  </si>
  <si>
    <r>
      <t>𩅟原</t>
    </r>
    <r>
      <rPr>
        <sz val="10"/>
        <rFont val="宋体"/>
        <charset val="134"/>
      </rPr>
      <t>从</t>
    </r>
    <r>
      <rPr>
        <sz val="10"/>
        <rFont val="MingLiU"/>
        <family val="3"/>
      </rPr>
      <t>目</t>
    </r>
  </si>
  <si>
    <r>
      <t>缺</t>
    </r>
    <r>
      <rPr>
        <sz val="10"/>
        <rFont val="宋体"/>
        <charset val="134"/>
      </rPr>
      <t>⿰隺</t>
    </r>
    <r>
      <rPr>
        <sz val="10"/>
        <rFont val="MingLiU"/>
        <family val="3"/>
      </rPr>
      <t>犬</t>
    </r>
  </si>
  <si>
    <r>
      <t>缺桼俗字</t>
    </r>
    <r>
      <rPr>
        <sz val="10"/>
        <rFont val="宋体"/>
        <charset val="134"/>
      </rPr>
      <t>⿱芖</t>
    </r>
    <r>
      <rPr>
        <sz val="10"/>
        <rFont val="MingLiU"/>
        <family val="3"/>
      </rPr>
      <t>雨以㳟代之</t>
    </r>
  </si>
  <si>
    <r>
      <t>刪</t>
    </r>
    <r>
      <rPr>
        <sz val="10"/>
        <rFont val="宋体"/>
        <charset val="134"/>
      </rPr>
      <t>铚</t>
    </r>
  </si>
  <si>
    <r>
      <t>刪</t>
    </r>
    <r>
      <rPr>
        <sz val="10"/>
        <rFont val="宋体"/>
        <charset val="134"/>
      </rPr>
      <t>钥</t>
    </r>
  </si>
  <si>
    <r>
      <t>刪</t>
    </r>
    <r>
      <rPr>
        <sz val="10"/>
        <rFont val="宋体"/>
        <charset val="134"/>
      </rPr>
      <t>亅</t>
    </r>
  </si>
  <si>
    <r>
      <t>䝆原作</t>
    </r>
    <r>
      <rPr>
        <sz val="10"/>
        <rFont val="宋体"/>
        <charset val="134"/>
      </rPr>
      <t>⿱</t>
    </r>
    <r>
      <rPr>
        <sz val="10"/>
        <rFont val="MingLiU"/>
        <family val="3"/>
      </rPr>
      <t>日㣇,說文作</t>
    </r>
    <r>
      <rPr>
        <sz val="10"/>
        <rFont val="宋体"/>
        <charset val="134"/>
      </rPr>
      <t>⿱</t>
    </r>
    <r>
      <rPr>
        <sz val="10"/>
        <rFont val="MingLiU"/>
        <family val="3"/>
      </rPr>
      <t>曰</t>
    </r>
    <r>
      <rPr>
        <sz val="10"/>
        <rFont val="宋体"/>
        <charset val="134"/>
      </rPr>
      <t>⿻</t>
    </r>
    <r>
      <rPr>
        <sz val="10"/>
        <rFont val="MingLiU"/>
        <family val="3"/>
      </rPr>
      <t>八㣇</t>
    </r>
  </si>
  <si>
    <r>
      <t>𢂤原作</t>
    </r>
    <r>
      <rPr>
        <sz val="10"/>
        <rFont val="宋体"/>
        <charset val="134"/>
      </rPr>
      <t>⿰</t>
    </r>
    <r>
      <rPr>
        <sz val="10"/>
        <rFont val="MingLiU"/>
        <family val="3"/>
      </rPr>
      <t>朿犮</t>
    </r>
  </si>
  <si>
    <r>
      <t>𦫕左</t>
    </r>
    <r>
      <rPr>
        <sz val="10"/>
        <rFont val="宋体"/>
        <charset val="134"/>
      </rPr>
      <t>从</t>
    </r>
    <r>
      <rPr>
        <sz val="10"/>
        <rFont val="MingLiU"/>
        <family val="3"/>
      </rPr>
      <t>末而非未</t>
    </r>
  </si>
  <si>
    <r>
      <t>拶右下</t>
    </r>
    <r>
      <rPr>
        <sz val="10"/>
        <rFont val="宋体"/>
        <charset val="134"/>
      </rPr>
      <t>从</t>
    </r>
    <r>
      <rPr>
        <sz val="10"/>
        <rFont val="MingLiU"/>
        <family val="3"/>
      </rPr>
      <t>歹</t>
    </r>
  </si>
  <si>
    <r>
      <t>缺</t>
    </r>
    <r>
      <rPr>
        <sz val="10"/>
        <rFont val="宋体"/>
        <charset val="134"/>
      </rPr>
      <t>氵</t>
    </r>
    <r>
      <rPr>
        <sz val="10"/>
        <rFont val="MingLiU"/>
        <family val="3"/>
      </rPr>
      <t>䫄ok</t>
    </r>
  </si>
  <si>
    <r>
      <t>𡴺原作</t>
    </r>
    <r>
      <rPr>
        <sz val="10"/>
        <rFont val="宋体"/>
        <charset val="134"/>
      </rPr>
      <t>⿱⿴</t>
    </r>
    <r>
      <rPr>
        <sz val="10"/>
        <rFont val="MingLiU"/>
        <family val="3"/>
      </rPr>
      <t>㔾</t>
    </r>
    <r>
      <rPr>
        <sz val="10"/>
        <rFont val="宋体"/>
        <charset val="134"/>
      </rPr>
      <t>丶</t>
    </r>
    <r>
      <rPr>
        <sz val="10"/>
        <rFont val="MingLiU"/>
        <family val="3"/>
      </rPr>
      <t>山,𠬨原作</t>
    </r>
    <r>
      <rPr>
        <sz val="10"/>
        <rFont val="宋体"/>
        <charset val="134"/>
      </rPr>
      <t>⿸卪</t>
    </r>
    <r>
      <rPr>
        <sz val="10"/>
        <rFont val="MingLiU"/>
        <family val="3"/>
      </rPr>
      <t>又</t>
    </r>
  </si>
  <si>
    <r>
      <t>奊原作</t>
    </r>
    <r>
      <rPr>
        <sz val="10"/>
        <rFont val="宋体"/>
        <charset val="134"/>
      </rPr>
      <t>⿺</t>
    </r>
    <r>
      <rPr>
        <sz val="10"/>
        <rFont val="MingLiU"/>
        <family val="3"/>
      </rPr>
      <t>丰</t>
    </r>
    <r>
      <rPr>
        <sz val="10"/>
        <rFont val="宋体"/>
        <charset val="134"/>
      </rPr>
      <t>夨</t>
    </r>
  </si>
  <si>
    <r>
      <t>圼</t>
    </r>
    <r>
      <rPr>
        <sz val="10"/>
        <rFont val="MingLiU"/>
        <family val="3"/>
      </rPr>
      <t>本作</t>
    </r>
    <r>
      <rPr>
        <sz val="10"/>
        <rFont val="宋体"/>
        <charset val="134"/>
      </rPr>
      <t>⿱</t>
    </r>
    <r>
      <rPr>
        <sz val="10"/>
        <rFont val="MingLiU"/>
        <family val="3"/>
      </rPr>
      <t>臼土</t>
    </r>
  </si>
  <si>
    <r>
      <t>𧂝中原無</t>
    </r>
    <r>
      <rPr>
        <sz val="10"/>
        <rFont val="宋体"/>
        <charset val="134"/>
      </rPr>
      <t>冖</t>
    </r>
  </si>
  <si>
    <r>
      <t>𩰥原作</t>
    </r>
    <r>
      <rPr>
        <sz val="10"/>
        <rFont val="宋体"/>
        <charset val="134"/>
      </rPr>
      <t>⿰⿱</t>
    </r>
    <r>
      <rPr>
        <sz val="10"/>
        <rFont val="MingLiU"/>
        <family val="3"/>
      </rPr>
      <t>木</t>
    </r>
    <r>
      <rPr>
        <sz val="10"/>
        <rFont val="宋体"/>
        <charset val="134"/>
      </rPr>
      <t>⿸⿱罒丿</t>
    </r>
    <r>
      <rPr>
        <sz val="10"/>
        <rFont val="MingLiU"/>
        <family val="3"/>
      </rPr>
      <t>鬯又</t>
    </r>
  </si>
  <si>
    <r>
      <t>𨍺中下</t>
    </r>
    <r>
      <rPr>
        <sz val="10"/>
        <rFont val="宋体"/>
        <charset val="134"/>
      </rPr>
      <t>从</t>
    </r>
    <r>
      <rPr>
        <sz val="10"/>
        <rFont val="MingLiU"/>
        <family val="3"/>
      </rPr>
      <t>彳</t>
    </r>
  </si>
  <si>
    <r>
      <t>𠊬𠶸右</t>
    </r>
    <r>
      <rPr>
        <sz val="10"/>
        <rFont val="宋体"/>
        <charset val="134"/>
      </rPr>
      <t>从阝</t>
    </r>
  </si>
  <si>
    <r>
      <t>詆原作</t>
    </r>
    <r>
      <rPr>
        <sz val="10"/>
        <rFont val="宋体"/>
        <charset val="134"/>
      </rPr>
      <t>⿰訁</t>
    </r>
    <r>
      <rPr>
        <sz val="10"/>
        <rFont val="MingLiU"/>
        <family val="3"/>
      </rPr>
      <t>氏</t>
    </r>
  </si>
  <si>
    <r>
      <t>𡸦下</t>
    </r>
    <r>
      <rPr>
        <sz val="10"/>
        <rFont val="宋体"/>
        <charset val="134"/>
      </rPr>
      <t>从夨</t>
    </r>
  </si>
  <si>
    <r>
      <t>𥟔右下</t>
    </r>
    <r>
      <rPr>
        <sz val="10"/>
        <rFont val="宋体"/>
        <charset val="134"/>
      </rPr>
      <t>从夨</t>
    </r>
  </si>
  <si>
    <r>
      <t>⿰</t>
    </r>
    <r>
      <rPr>
        <sz val="10"/>
        <rFont val="MingLiU"/>
        <family val="3"/>
      </rPr>
      <t>?𡇞=𡇶!!</t>
    </r>
  </si>
  <si>
    <r>
      <t>缺</t>
    </r>
    <r>
      <rPr>
        <sz val="10"/>
        <rFont val="宋体"/>
        <charset val="134"/>
      </rPr>
      <t>⿱</t>
    </r>
    <r>
      <rPr>
        <sz val="10"/>
        <rFont val="MingLiU"/>
        <family val="3"/>
      </rPr>
      <t>入疌</t>
    </r>
  </si>
  <si>
    <r>
      <t>*或做[華</t>
    </r>
    <r>
      <rPr>
        <sz val="10"/>
        <rFont val="宋体"/>
        <charset val="134"/>
      </rPr>
      <t>枼</t>
    </r>
    <r>
      <rPr>
        <sz val="10"/>
        <rFont val="MingLiU"/>
        <family val="3"/>
      </rPr>
      <t>]非是</t>
    </r>
  </si>
  <si>
    <r>
      <t>*</t>
    </r>
    <r>
      <rPr>
        <sz val="10"/>
        <rFont val="宋体"/>
        <charset val="134"/>
      </rPr>
      <t>阝</t>
    </r>
    <r>
      <rPr>
        <sz val="10"/>
        <rFont val="MingLiU"/>
        <family val="3"/>
      </rPr>
      <t>作邑</t>
    </r>
  </si>
  <si>
    <r>
      <t>戸</t>
    </r>
    <r>
      <rPr>
        <sz val="10"/>
        <rFont val="MingLiU"/>
        <family val="3"/>
      </rPr>
      <t>公</t>
    </r>
  </si>
  <si>
    <r>
      <t>戸</t>
    </r>
    <r>
      <rPr>
        <sz val="10"/>
        <rFont val="MingLiU"/>
        <family val="3"/>
      </rPr>
      <t>冬</t>
    </r>
  </si>
  <si>
    <r>
      <t>居</t>
    </r>
    <r>
      <rPr>
        <sz val="10"/>
        <rFont val="宋体"/>
        <charset val="134"/>
      </rPr>
      <t>爲</t>
    </r>
  </si>
  <si>
    <r>
      <t>許</t>
    </r>
    <r>
      <rPr>
        <sz val="10"/>
        <rFont val="宋体"/>
        <charset val="134"/>
      </rPr>
      <t>爲</t>
    </r>
  </si>
  <si>
    <r>
      <t>於</t>
    </r>
    <r>
      <rPr>
        <sz val="10"/>
        <rFont val="宋体"/>
        <charset val="134"/>
      </rPr>
      <t>爲</t>
    </r>
  </si>
  <si>
    <r>
      <t>靡</t>
    </r>
    <r>
      <rPr>
        <sz val="10"/>
        <rFont val="宋体"/>
        <charset val="134"/>
      </rPr>
      <t>爲</t>
    </r>
  </si>
  <si>
    <r>
      <t>是</t>
    </r>
    <r>
      <rPr>
        <sz val="10"/>
        <rFont val="宋体"/>
        <charset val="134"/>
      </rPr>
      <t>爲</t>
    </r>
  </si>
  <si>
    <r>
      <t>力</t>
    </r>
    <r>
      <rPr>
        <sz val="10"/>
        <rFont val="宋体"/>
        <charset val="134"/>
      </rPr>
      <t>爲</t>
    </r>
  </si>
  <si>
    <r>
      <t>彼</t>
    </r>
    <r>
      <rPr>
        <sz val="10"/>
        <rFont val="宋体"/>
        <charset val="134"/>
      </rPr>
      <t>爲</t>
    </r>
  </si>
  <si>
    <r>
      <t>旬</t>
    </r>
    <r>
      <rPr>
        <sz val="10"/>
        <rFont val="宋体"/>
        <charset val="134"/>
      </rPr>
      <t>爲</t>
    </r>
  </si>
  <si>
    <r>
      <t>去</t>
    </r>
    <r>
      <rPr>
        <sz val="10"/>
        <rFont val="宋体"/>
        <charset val="134"/>
      </rPr>
      <t>爲</t>
    </r>
  </si>
  <si>
    <r>
      <t>息</t>
    </r>
    <r>
      <rPr>
        <sz val="10"/>
        <rFont val="宋体"/>
        <charset val="134"/>
      </rPr>
      <t>爲</t>
    </r>
  </si>
  <si>
    <r>
      <t>魚</t>
    </r>
    <r>
      <rPr>
        <sz val="10"/>
        <rFont val="宋体"/>
        <charset val="134"/>
      </rPr>
      <t>爲</t>
    </r>
  </si>
  <si>
    <r>
      <t>遵</t>
    </r>
    <r>
      <rPr>
        <sz val="10"/>
        <rFont val="宋体"/>
        <charset val="134"/>
      </rPr>
      <t>爲</t>
    </r>
  </si>
  <si>
    <r>
      <t>息</t>
    </r>
    <r>
      <rPr>
        <sz val="10"/>
        <rFont val="宋体"/>
        <charset val="134"/>
      </rPr>
      <t>兹</t>
    </r>
  </si>
  <si>
    <r>
      <t>似</t>
    </r>
    <r>
      <rPr>
        <sz val="10"/>
        <rFont val="宋体"/>
        <charset val="134"/>
      </rPr>
      <t>兹</t>
    </r>
  </si>
  <si>
    <r>
      <t>戸</t>
    </r>
    <r>
      <rPr>
        <sz val="10"/>
        <rFont val="MingLiU"/>
        <family val="3"/>
      </rPr>
      <t>吳</t>
    </r>
  </si>
  <si>
    <r>
      <t>戸</t>
    </r>
    <r>
      <rPr>
        <sz val="10"/>
        <rFont val="MingLiU"/>
        <family val="3"/>
      </rPr>
      <t>圭</t>
    </r>
  </si>
  <si>
    <r>
      <t>古</t>
    </r>
    <r>
      <rPr>
        <sz val="10"/>
        <rFont val="宋体"/>
        <charset val="134"/>
      </rPr>
      <t>膎</t>
    </r>
  </si>
  <si>
    <r>
      <t>戸</t>
    </r>
    <r>
      <rPr>
        <sz val="10"/>
        <rFont val="MingLiU"/>
        <family val="3"/>
      </rPr>
      <t>佳</t>
    </r>
  </si>
  <si>
    <r>
      <t>戸</t>
    </r>
    <r>
      <rPr>
        <sz val="10"/>
        <rFont val="MingLiU"/>
        <family val="3"/>
      </rPr>
      <t>媧</t>
    </r>
  </si>
  <si>
    <r>
      <t>戸</t>
    </r>
    <r>
      <rPr>
        <sz val="10"/>
        <rFont val="MingLiU"/>
        <family val="3"/>
      </rPr>
      <t>皆</t>
    </r>
  </si>
  <si>
    <r>
      <t>戸</t>
    </r>
    <r>
      <rPr>
        <sz val="10"/>
        <rFont val="MingLiU"/>
        <family val="3"/>
      </rPr>
      <t>乖</t>
    </r>
  </si>
  <si>
    <r>
      <t>戸</t>
    </r>
    <r>
      <rPr>
        <sz val="10"/>
        <rFont val="MingLiU"/>
        <family val="3"/>
      </rPr>
      <t>恢</t>
    </r>
  </si>
  <si>
    <r>
      <t>戸</t>
    </r>
    <r>
      <rPr>
        <sz val="10"/>
        <rFont val="MingLiU"/>
        <family val="3"/>
      </rPr>
      <t>來</t>
    </r>
  </si>
  <si>
    <r>
      <t>上平17</t>
    </r>
    <r>
      <rPr>
        <sz val="10"/>
        <rFont val="宋体"/>
        <charset val="134"/>
      </rPr>
      <t>眞</t>
    </r>
  </si>
  <si>
    <r>
      <t>眞</t>
    </r>
    <r>
      <rPr>
        <sz val="10"/>
        <rFont val="MingLiU"/>
        <family val="3"/>
      </rPr>
      <t>A</t>
    </r>
  </si>
  <si>
    <r>
      <t>眞</t>
    </r>
    <r>
      <rPr>
        <sz val="10"/>
        <rFont val="MingLiU"/>
        <family val="3"/>
      </rPr>
      <t>B</t>
    </r>
  </si>
  <si>
    <r>
      <t>於</t>
    </r>
    <r>
      <rPr>
        <sz val="10"/>
        <rFont val="宋体"/>
        <charset val="134"/>
      </rPr>
      <t>眞</t>
    </r>
  </si>
  <si>
    <r>
      <t>昌</t>
    </r>
    <r>
      <rPr>
        <sz val="10"/>
        <rFont val="宋体"/>
        <charset val="134"/>
      </rPr>
      <t>眞</t>
    </r>
  </si>
  <si>
    <r>
      <t>翼</t>
    </r>
    <r>
      <rPr>
        <sz val="10"/>
        <rFont val="宋体"/>
        <charset val="134"/>
      </rPr>
      <t>眞</t>
    </r>
  </si>
  <si>
    <r>
      <t>符</t>
    </r>
    <r>
      <rPr>
        <sz val="10"/>
        <rFont val="宋体"/>
        <charset val="134"/>
      </rPr>
      <t>眞</t>
    </r>
  </si>
  <si>
    <r>
      <t>爲</t>
    </r>
    <r>
      <rPr>
        <sz val="10"/>
        <rFont val="MingLiU"/>
        <family val="3"/>
      </rPr>
      <t>贇</t>
    </r>
  </si>
  <si>
    <r>
      <t>虚</t>
    </r>
    <r>
      <rPr>
        <sz val="10"/>
        <rFont val="MingLiU"/>
        <family val="3"/>
      </rPr>
      <t>言</t>
    </r>
  </si>
  <si>
    <r>
      <t>戸</t>
    </r>
    <r>
      <rPr>
        <sz val="10"/>
        <rFont val="MingLiU"/>
        <family val="3"/>
      </rPr>
      <t>昆</t>
    </r>
  </si>
  <si>
    <r>
      <t>戸</t>
    </r>
    <r>
      <rPr>
        <sz val="10"/>
        <rFont val="MingLiU"/>
        <family val="3"/>
      </rPr>
      <t>恩</t>
    </r>
  </si>
  <si>
    <r>
      <t>戸</t>
    </r>
    <r>
      <rPr>
        <sz val="10"/>
        <rFont val="MingLiU"/>
        <family val="3"/>
      </rPr>
      <t>關</t>
    </r>
  </si>
  <si>
    <r>
      <t>古</t>
    </r>
    <r>
      <rPr>
        <sz val="10"/>
        <rFont val="宋体"/>
        <charset val="134"/>
      </rPr>
      <t>顔</t>
    </r>
  </si>
  <si>
    <r>
      <t>可</t>
    </r>
    <r>
      <rPr>
        <sz val="10"/>
        <rFont val="宋体"/>
        <charset val="134"/>
      </rPr>
      <t>顔</t>
    </r>
  </si>
  <si>
    <r>
      <t>戸</t>
    </r>
    <r>
      <rPr>
        <sz val="10"/>
        <rFont val="MingLiU"/>
        <family val="3"/>
      </rPr>
      <t>閒</t>
    </r>
  </si>
  <si>
    <r>
      <t>奴</t>
    </r>
    <r>
      <rPr>
        <sz val="10"/>
        <rFont val="宋体"/>
        <charset val="134"/>
      </rPr>
      <t>顚</t>
    </r>
  </si>
  <si>
    <r>
      <t>許</t>
    </r>
    <r>
      <rPr>
        <sz val="10"/>
        <rFont val="宋体"/>
        <charset val="134"/>
      </rPr>
      <t>幺</t>
    </r>
  </si>
  <si>
    <r>
      <t>苦</t>
    </r>
    <r>
      <rPr>
        <sz val="10"/>
        <rFont val="宋体"/>
        <charset val="134"/>
      </rPr>
      <t>幺</t>
    </r>
  </si>
  <si>
    <r>
      <t>起</t>
    </r>
    <r>
      <rPr>
        <sz val="10"/>
        <rFont val="宋体"/>
        <charset val="134"/>
      </rPr>
      <t>嚻</t>
    </r>
  </si>
  <si>
    <r>
      <t>薄</t>
    </r>
    <r>
      <rPr>
        <sz val="10"/>
        <rFont val="宋体"/>
        <charset val="134"/>
      </rPr>
      <t>襃</t>
    </r>
  </si>
  <si>
    <r>
      <t>戸</t>
    </r>
    <r>
      <rPr>
        <sz val="10"/>
        <rFont val="MingLiU"/>
        <family val="3"/>
      </rPr>
      <t>戈</t>
    </r>
  </si>
  <si>
    <r>
      <t>戸</t>
    </r>
    <r>
      <rPr>
        <sz val="10"/>
        <rFont val="MingLiU"/>
        <family val="3"/>
      </rPr>
      <t>花</t>
    </r>
  </si>
  <si>
    <r>
      <t>禇</t>
    </r>
    <r>
      <rPr>
        <sz val="10"/>
        <rFont val="MingLiU"/>
        <family val="3"/>
      </rPr>
      <t>羊</t>
    </r>
  </si>
  <si>
    <r>
      <t>戸</t>
    </r>
    <r>
      <rPr>
        <sz val="10"/>
        <rFont val="MingLiU"/>
        <family val="3"/>
      </rPr>
      <t>盲</t>
    </r>
  </si>
  <si>
    <r>
      <t>戸</t>
    </r>
    <r>
      <rPr>
        <sz val="10"/>
        <rFont val="MingLiU"/>
        <family val="3"/>
      </rPr>
      <t>庚</t>
    </r>
  </si>
  <si>
    <r>
      <t>戸</t>
    </r>
    <r>
      <rPr>
        <sz val="10"/>
        <rFont val="MingLiU"/>
        <family val="3"/>
      </rPr>
      <t>萌</t>
    </r>
  </si>
  <si>
    <r>
      <t>戸</t>
    </r>
    <r>
      <rPr>
        <sz val="10"/>
        <rFont val="MingLiU"/>
        <family val="3"/>
      </rPr>
      <t>耕</t>
    </r>
  </si>
  <si>
    <r>
      <t>戸</t>
    </r>
    <r>
      <rPr>
        <sz val="10"/>
        <rFont val="MingLiU"/>
        <family val="3"/>
      </rPr>
      <t>經</t>
    </r>
  </si>
  <si>
    <r>
      <t>戸</t>
    </r>
    <r>
      <rPr>
        <sz val="10"/>
        <rFont val="MingLiU"/>
        <family val="3"/>
      </rPr>
      <t>扃</t>
    </r>
  </si>
  <si>
    <r>
      <t>煑</t>
    </r>
    <r>
      <rPr>
        <sz val="10"/>
        <rFont val="MingLiU"/>
        <family val="3"/>
      </rPr>
      <t>仍</t>
    </r>
  </si>
  <si>
    <r>
      <t>如</t>
    </r>
    <r>
      <rPr>
        <sz val="10"/>
        <rFont val="宋体"/>
        <charset val="134"/>
      </rPr>
      <t>乗</t>
    </r>
  </si>
  <si>
    <r>
      <t>虚</t>
    </r>
    <r>
      <rPr>
        <sz val="10"/>
        <rFont val="MingLiU"/>
        <family val="3"/>
      </rPr>
      <t>陵</t>
    </r>
  </si>
  <si>
    <r>
      <t>戸</t>
    </r>
    <r>
      <rPr>
        <sz val="10"/>
        <rFont val="MingLiU"/>
        <family val="3"/>
      </rPr>
      <t>鉤</t>
    </r>
  </si>
  <si>
    <r>
      <t>戸</t>
    </r>
    <r>
      <rPr>
        <sz val="10"/>
        <rFont val="MingLiU"/>
        <family val="3"/>
      </rPr>
      <t>兼</t>
    </r>
  </si>
  <si>
    <r>
      <t>戸</t>
    </r>
    <r>
      <rPr>
        <sz val="10"/>
        <rFont val="MingLiU"/>
        <family val="3"/>
      </rPr>
      <t>監</t>
    </r>
  </si>
  <si>
    <r>
      <t>虚</t>
    </r>
    <r>
      <rPr>
        <sz val="10"/>
        <rFont val="MingLiU"/>
        <family val="3"/>
      </rPr>
      <t>嚴</t>
    </r>
  </si>
  <si>
    <r>
      <t>徒</t>
    </r>
    <r>
      <rPr>
        <sz val="10"/>
        <rFont val="宋体"/>
        <charset val="134"/>
      </rPr>
      <t>揔</t>
    </r>
  </si>
  <si>
    <r>
      <t>時</t>
    </r>
    <r>
      <rPr>
        <sz val="10"/>
        <rFont val="宋体"/>
        <charset val="134"/>
      </rPr>
      <t>宂</t>
    </r>
  </si>
  <si>
    <r>
      <t>神</t>
    </r>
    <r>
      <rPr>
        <sz val="10"/>
        <rFont val="宋体"/>
        <charset val="134"/>
      </rPr>
      <t>帋</t>
    </r>
  </si>
  <si>
    <r>
      <t>魚</t>
    </r>
    <r>
      <rPr>
        <sz val="10"/>
        <rFont val="宋体"/>
        <charset val="134"/>
      </rPr>
      <t>毁</t>
    </r>
  </si>
  <si>
    <r>
      <t>曁</t>
    </r>
    <r>
      <rPr>
        <sz val="10"/>
        <rFont val="MingLiU"/>
        <family val="3"/>
      </rPr>
      <t>軌</t>
    </r>
  </si>
  <si>
    <r>
      <t>曁</t>
    </r>
    <r>
      <rPr>
        <sz val="10"/>
        <rFont val="MingLiU"/>
        <family val="3"/>
      </rPr>
      <t>几</t>
    </r>
  </si>
  <si>
    <r>
      <t>虚</t>
    </r>
    <r>
      <rPr>
        <sz val="10"/>
        <rFont val="MingLiU"/>
        <family val="3"/>
      </rPr>
      <t>里</t>
    </r>
  </si>
  <si>
    <r>
      <t>踈</t>
    </r>
    <r>
      <rPr>
        <sz val="10"/>
        <rFont val="MingLiU"/>
        <family val="3"/>
      </rPr>
      <t>士</t>
    </r>
  </si>
  <si>
    <r>
      <t>牀</t>
    </r>
    <r>
      <rPr>
        <sz val="10"/>
        <rFont val="MingLiU"/>
        <family val="3"/>
      </rPr>
      <t>史</t>
    </r>
  </si>
  <si>
    <r>
      <t>虚</t>
    </r>
    <r>
      <rPr>
        <sz val="10"/>
        <rFont val="MingLiU"/>
        <family val="3"/>
      </rPr>
      <t>豈</t>
    </r>
  </si>
  <si>
    <r>
      <t>直</t>
    </r>
    <r>
      <rPr>
        <sz val="10"/>
        <rFont val="宋体"/>
        <charset val="134"/>
      </rPr>
      <t>吕</t>
    </r>
  </si>
  <si>
    <r>
      <t>余</t>
    </r>
    <r>
      <rPr>
        <sz val="10"/>
        <rFont val="宋体"/>
        <charset val="134"/>
      </rPr>
      <t>吕</t>
    </r>
  </si>
  <si>
    <r>
      <t>舒</t>
    </r>
    <r>
      <rPr>
        <sz val="10"/>
        <rFont val="宋体"/>
        <charset val="134"/>
      </rPr>
      <t>吕</t>
    </r>
  </si>
  <si>
    <r>
      <t>丁</t>
    </r>
    <r>
      <rPr>
        <sz val="10"/>
        <rFont val="宋体"/>
        <charset val="134"/>
      </rPr>
      <t>吕</t>
    </r>
  </si>
  <si>
    <r>
      <t>私</t>
    </r>
    <r>
      <rPr>
        <sz val="10"/>
        <rFont val="宋体"/>
        <charset val="134"/>
      </rPr>
      <t>吕</t>
    </r>
  </si>
  <si>
    <r>
      <t>丑</t>
    </r>
    <r>
      <rPr>
        <sz val="10"/>
        <rFont val="宋体"/>
        <charset val="134"/>
      </rPr>
      <t>吕</t>
    </r>
  </si>
  <si>
    <r>
      <t>尼</t>
    </r>
    <r>
      <rPr>
        <sz val="10"/>
        <rFont val="宋体"/>
        <charset val="134"/>
      </rPr>
      <t>吕</t>
    </r>
  </si>
  <si>
    <r>
      <t>其</t>
    </r>
    <r>
      <rPr>
        <sz val="10"/>
        <rFont val="宋体"/>
        <charset val="134"/>
      </rPr>
      <t>吕</t>
    </r>
  </si>
  <si>
    <r>
      <t>踈</t>
    </r>
    <r>
      <rPr>
        <sz val="10"/>
        <rFont val="MingLiU"/>
        <family val="3"/>
      </rPr>
      <t>舉</t>
    </r>
  </si>
  <si>
    <r>
      <t>側</t>
    </r>
    <r>
      <rPr>
        <sz val="10"/>
        <rFont val="宋体"/>
        <charset val="134"/>
      </rPr>
      <t>吕</t>
    </r>
  </si>
  <si>
    <r>
      <t>慈</t>
    </r>
    <r>
      <rPr>
        <sz val="10"/>
        <rFont val="宋体"/>
        <charset val="134"/>
      </rPr>
      <t>吕</t>
    </r>
  </si>
  <si>
    <r>
      <t>徐</t>
    </r>
    <r>
      <rPr>
        <sz val="10"/>
        <rFont val="宋体"/>
        <charset val="134"/>
      </rPr>
      <t>吕</t>
    </r>
  </si>
  <si>
    <r>
      <t>公</t>
    </r>
    <r>
      <rPr>
        <sz val="10"/>
        <rFont val="宋体"/>
        <charset val="134"/>
      </rPr>
      <t>戸</t>
    </r>
  </si>
  <si>
    <r>
      <t>盧</t>
    </r>
    <r>
      <rPr>
        <sz val="10"/>
        <rFont val="宋体"/>
        <charset val="134"/>
      </rPr>
      <t>啓</t>
    </r>
  </si>
  <si>
    <r>
      <t>研</t>
    </r>
    <r>
      <rPr>
        <sz val="10"/>
        <rFont val="宋体"/>
        <charset val="134"/>
      </rPr>
      <t>啓</t>
    </r>
  </si>
  <si>
    <r>
      <t>弃</t>
    </r>
    <r>
      <rPr>
        <sz val="10"/>
        <rFont val="MingLiU"/>
        <family val="3"/>
      </rPr>
      <t>忍</t>
    </r>
  </si>
  <si>
    <r>
      <t>虚</t>
    </r>
    <r>
      <rPr>
        <sz val="10"/>
        <rFont val="MingLiU"/>
        <family val="3"/>
      </rPr>
      <t>偃</t>
    </r>
  </si>
  <si>
    <r>
      <t>况</t>
    </r>
    <r>
      <rPr>
        <sz val="10"/>
        <rFont val="MingLiU"/>
        <family val="3"/>
      </rPr>
      <t>晚</t>
    </r>
  </si>
  <si>
    <r>
      <t>兹</t>
    </r>
    <r>
      <rPr>
        <sz val="10"/>
        <rFont val="MingLiU"/>
        <family val="3"/>
      </rPr>
      <t>損</t>
    </r>
  </si>
  <si>
    <r>
      <t>他</t>
    </r>
    <r>
      <rPr>
        <sz val="10"/>
        <rFont val="宋体"/>
        <charset val="134"/>
      </rPr>
      <t>衮</t>
    </r>
  </si>
  <si>
    <r>
      <t>虚</t>
    </r>
    <r>
      <rPr>
        <sz val="10"/>
        <rFont val="MingLiU"/>
        <family val="3"/>
      </rPr>
      <t>本</t>
    </r>
  </si>
  <si>
    <r>
      <t>辝</t>
    </r>
    <r>
      <rPr>
        <sz val="10"/>
        <rFont val="MingLiU"/>
        <family val="3"/>
      </rPr>
      <t>纂</t>
    </r>
  </si>
  <si>
    <r>
      <t>戸</t>
    </r>
    <r>
      <rPr>
        <sz val="10"/>
        <rFont val="MingLiU"/>
        <family val="3"/>
      </rPr>
      <t>板</t>
    </r>
  </si>
  <si>
    <r>
      <t>彌</t>
    </r>
    <r>
      <rPr>
        <sz val="10"/>
        <rFont val="宋体"/>
        <charset val="134"/>
      </rPr>
      <t>兖</t>
    </r>
  </si>
  <si>
    <r>
      <t>子</t>
    </r>
    <r>
      <rPr>
        <sz val="10"/>
        <rFont val="宋体"/>
        <charset val="134"/>
      </rPr>
      <t>兖</t>
    </r>
  </si>
  <si>
    <r>
      <t>徂</t>
    </r>
    <r>
      <rPr>
        <sz val="10"/>
        <rFont val="宋体"/>
        <charset val="134"/>
      </rPr>
      <t>兖</t>
    </r>
  </si>
  <si>
    <r>
      <t>力</t>
    </r>
    <r>
      <rPr>
        <sz val="10"/>
        <rFont val="宋体"/>
        <charset val="134"/>
      </rPr>
      <t>兖</t>
    </r>
  </si>
  <si>
    <r>
      <t>陟</t>
    </r>
    <r>
      <rPr>
        <sz val="10"/>
        <rFont val="宋体"/>
        <charset val="134"/>
      </rPr>
      <t>兖</t>
    </r>
  </si>
  <si>
    <r>
      <t>而</t>
    </r>
    <r>
      <rPr>
        <sz val="10"/>
        <rFont val="宋体"/>
        <charset val="134"/>
      </rPr>
      <t>兖</t>
    </r>
  </si>
  <si>
    <r>
      <t>昌</t>
    </r>
    <r>
      <rPr>
        <sz val="10"/>
        <rFont val="宋体"/>
        <charset val="134"/>
      </rPr>
      <t>兖</t>
    </r>
  </si>
  <si>
    <r>
      <t>市</t>
    </r>
    <r>
      <rPr>
        <sz val="10"/>
        <rFont val="宋体"/>
        <charset val="134"/>
      </rPr>
      <t>兖</t>
    </r>
  </si>
  <si>
    <r>
      <t>持</t>
    </r>
    <r>
      <rPr>
        <sz val="10"/>
        <rFont val="宋体"/>
        <charset val="134"/>
      </rPr>
      <t>兖</t>
    </r>
  </si>
  <si>
    <r>
      <t>旨</t>
    </r>
    <r>
      <rPr>
        <sz val="10"/>
        <rFont val="宋体"/>
        <charset val="134"/>
      </rPr>
      <t>兖</t>
    </r>
  </si>
  <si>
    <r>
      <t>思</t>
    </r>
    <r>
      <rPr>
        <sz val="10"/>
        <rFont val="宋体"/>
        <charset val="134"/>
      </rPr>
      <t>兖</t>
    </r>
  </si>
  <si>
    <r>
      <t>狂</t>
    </r>
    <r>
      <rPr>
        <sz val="10"/>
        <rFont val="宋体"/>
        <charset val="134"/>
      </rPr>
      <t>兖</t>
    </r>
  </si>
  <si>
    <r>
      <t>香</t>
    </r>
    <r>
      <rPr>
        <sz val="10"/>
        <rFont val="宋体"/>
        <charset val="134"/>
      </rPr>
      <t>兖</t>
    </r>
  </si>
  <si>
    <r>
      <t>上32</t>
    </r>
    <r>
      <rPr>
        <sz val="10"/>
        <rFont val="宋体"/>
        <charset val="134"/>
      </rPr>
      <t>晧</t>
    </r>
  </si>
  <si>
    <r>
      <t>盧</t>
    </r>
    <r>
      <rPr>
        <sz val="10"/>
        <rFont val="宋体"/>
        <charset val="134"/>
      </rPr>
      <t>晧</t>
    </r>
  </si>
  <si>
    <r>
      <t>徒</t>
    </r>
    <r>
      <rPr>
        <sz val="10"/>
        <rFont val="宋体"/>
        <charset val="134"/>
      </rPr>
      <t>晧</t>
    </r>
  </si>
  <si>
    <r>
      <t>奴</t>
    </r>
    <r>
      <rPr>
        <sz val="10"/>
        <rFont val="宋体"/>
        <charset val="134"/>
      </rPr>
      <t>晧</t>
    </r>
  </si>
  <si>
    <r>
      <t>都</t>
    </r>
    <r>
      <rPr>
        <sz val="10"/>
        <rFont val="宋体"/>
        <charset val="134"/>
      </rPr>
      <t>晧</t>
    </r>
  </si>
  <si>
    <r>
      <t>子</t>
    </r>
    <r>
      <rPr>
        <sz val="10"/>
        <rFont val="宋体"/>
        <charset val="134"/>
      </rPr>
      <t>晧</t>
    </r>
  </si>
  <si>
    <r>
      <t>呼</t>
    </r>
    <r>
      <rPr>
        <sz val="10"/>
        <rFont val="宋体"/>
        <charset val="134"/>
      </rPr>
      <t>晧</t>
    </r>
  </si>
  <si>
    <r>
      <t>烏</t>
    </r>
    <r>
      <rPr>
        <sz val="10"/>
        <rFont val="宋体"/>
        <charset val="134"/>
      </rPr>
      <t>晧</t>
    </r>
  </si>
  <si>
    <r>
      <t>虚</t>
    </r>
    <r>
      <rPr>
        <sz val="10"/>
        <rFont val="MingLiU"/>
        <family val="3"/>
      </rPr>
      <t>我</t>
    </r>
  </si>
  <si>
    <r>
      <t>兹</t>
    </r>
    <r>
      <rPr>
        <sz val="10"/>
        <rFont val="MingLiU"/>
        <family val="3"/>
      </rPr>
      <t>野</t>
    </r>
  </si>
  <si>
    <r>
      <t>愽</t>
    </r>
    <r>
      <rPr>
        <sz val="10"/>
        <rFont val="MingLiU"/>
        <family val="3"/>
      </rPr>
      <t>下</t>
    </r>
  </si>
  <si>
    <r>
      <t>踈</t>
    </r>
    <r>
      <rPr>
        <sz val="10"/>
        <rFont val="MingLiU"/>
        <family val="3"/>
      </rPr>
      <t>兩</t>
    </r>
  </si>
  <si>
    <r>
      <t>麁</t>
    </r>
    <r>
      <rPr>
        <sz val="10"/>
        <rFont val="MingLiU"/>
        <family val="3"/>
      </rPr>
      <t>朗</t>
    </r>
  </si>
  <si>
    <r>
      <t>戸</t>
    </r>
    <r>
      <rPr>
        <sz val="10"/>
        <rFont val="MingLiU"/>
        <family val="3"/>
      </rPr>
      <t>頂</t>
    </r>
  </si>
  <si>
    <r>
      <t>烟</t>
    </r>
    <r>
      <rPr>
        <sz val="10"/>
        <rFont val="MingLiU"/>
        <family val="3"/>
      </rPr>
      <t>涬</t>
    </r>
  </si>
  <si>
    <r>
      <t>踈</t>
    </r>
    <r>
      <rPr>
        <sz val="10"/>
        <rFont val="MingLiU"/>
        <family val="3"/>
      </rPr>
      <t>有</t>
    </r>
  </si>
  <si>
    <r>
      <t>踈</t>
    </r>
    <r>
      <rPr>
        <sz val="10"/>
        <rFont val="MingLiU"/>
        <family val="3"/>
      </rPr>
      <t>錦</t>
    </r>
  </si>
  <si>
    <r>
      <t>虚</t>
    </r>
    <r>
      <rPr>
        <sz val="10"/>
        <rFont val="MingLiU"/>
        <family val="3"/>
      </rPr>
      <t>檢</t>
    </r>
  </si>
  <si>
    <r>
      <t>丘</t>
    </r>
    <r>
      <rPr>
        <sz val="10"/>
        <rFont val="宋体"/>
        <charset val="134"/>
      </rPr>
      <t>广</t>
    </r>
  </si>
  <si>
    <r>
      <t>於</t>
    </r>
    <r>
      <rPr>
        <sz val="10"/>
        <rFont val="宋体"/>
        <charset val="134"/>
      </rPr>
      <t>广</t>
    </r>
  </si>
  <si>
    <r>
      <t>防</t>
    </r>
    <r>
      <rPr>
        <sz val="10"/>
        <rFont val="宋体"/>
        <charset val="134"/>
      </rPr>
      <t>錽</t>
    </r>
  </si>
  <si>
    <r>
      <t>峯</t>
    </r>
    <r>
      <rPr>
        <sz val="10"/>
        <rFont val="MingLiU"/>
        <family val="3"/>
      </rPr>
      <t>犯</t>
    </r>
  </si>
  <si>
    <r>
      <t>直</t>
    </r>
    <r>
      <rPr>
        <sz val="10"/>
        <rFont val="宋体"/>
        <charset val="134"/>
      </rPr>
      <t>衆</t>
    </r>
  </si>
  <si>
    <r>
      <t>于</t>
    </r>
    <r>
      <rPr>
        <sz val="10"/>
        <rFont val="宋体"/>
        <charset val="134"/>
      </rPr>
      <t>僞</t>
    </r>
  </si>
  <si>
    <r>
      <t>詭</t>
    </r>
    <r>
      <rPr>
        <sz val="10"/>
        <rFont val="宋体"/>
        <charset val="134"/>
      </rPr>
      <t>僞</t>
    </r>
  </si>
  <si>
    <r>
      <t>良</t>
    </r>
    <r>
      <rPr>
        <sz val="10"/>
        <rFont val="宋体"/>
        <charset val="134"/>
      </rPr>
      <t>僞</t>
    </r>
  </si>
  <si>
    <r>
      <t>馳</t>
    </r>
    <r>
      <rPr>
        <sz val="10"/>
        <rFont val="宋体"/>
        <charset val="134"/>
      </rPr>
      <t>僞</t>
    </r>
  </si>
  <si>
    <r>
      <t>尺</t>
    </r>
    <r>
      <rPr>
        <sz val="10"/>
        <rFont val="宋体"/>
        <charset val="134"/>
      </rPr>
      <t>僞</t>
    </r>
  </si>
  <si>
    <r>
      <t>於</t>
    </r>
    <r>
      <rPr>
        <sz val="10"/>
        <rFont val="宋体"/>
        <charset val="134"/>
      </rPr>
      <t>僞</t>
    </r>
  </si>
  <si>
    <r>
      <t>況</t>
    </r>
    <r>
      <rPr>
        <sz val="10"/>
        <rFont val="宋体"/>
        <charset val="134"/>
      </rPr>
      <t>僞</t>
    </r>
  </si>
  <si>
    <r>
      <t>是</t>
    </r>
    <r>
      <rPr>
        <sz val="10"/>
        <rFont val="宋体"/>
        <charset val="134"/>
      </rPr>
      <t>僞</t>
    </r>
  </si>
  <si>
    <r>
      <t>乙</t>
    </r>
    <r>
      <rPr>
        <sz val="10"/>
        <rFont val="宋体"/>
        <charset val="134"/>
      </rPr>
      <t>兾</t>
    </r>
  </si>
  <si>
    <r>
      <t>虚</t>
    </r>
    <r>
      <rPr>
        <sz val="10"/>
        <rFont val="MingLiU"/>
        <family val="3"/>
      </rPr>
      <t>器</t>
    </r>
  </si>
  <si>
    <r>
      <t>踈</t>
    </r>
    <r>
      <rPr>
        <sz val="10"/>
        <rFont val="MingLiU"/>
        <family val="3"/>
      </rPr>
      <t>吏</t>
    </r>
  </si>
  <si>
    <r>
      <t>居</t>
    </r>
    <r>
      <rPr>
        <sz val="10"/>
        <rFont val="宋体"/>
        <charset val="134"/>
      </rPr>
      <t>豙</t>
    </r>
  </si>
  <si>
    <r>
      <t>魚</t>
    </r>
    <r>
      <rPr>
        <sz val="10"/>
        <rFont val="宋体"/>
        <charset val="134"/>
      </rPr>
      <t>旣</t>
    </r>
  </si>
  <si>
    <r>
      <t>去</t>
    </r>
    <r>
      <rPr>
        <sz val="10"/>
        <rFont val="宋体"/>
        <charset val="134"/>
      </rPr>
      <t>旣</t>
    </r>
  </si>
  <si>
    <r>
      <t>許</t>
    </r>
    <r>
      <rPr>
        <sz val="10"/>
        <rFont val="宋体"/>
        <charset val="134"/>
      </rPr>
      <t>旣</t>
    </r>
  </si>
  <si>
    <r>
      <t>其</t>
    </r>
    <r>
      <rPr>
        <sz val="10"/>
        <rFont val="宋体"/>
        <charset val="134"/>
      </rPr>
      <t>旣</t>
    </r>
  </si>
  <si>
    <r>
      <t>於</t>
    </r>
    <r>
      <rPr>
        <sz val="10"/>
        <rFont val="宋体"/>
        <charset val="134"/>
      </rPr>
      <t>旣</t>
    </r>
  </si>
  <si>
    <r>
      <t>遟</t>
    </r>
    <r>
      <rPr>
        <sz val="10"/>
        <rFont val="MingLiU"/>
        <family val="3"/>
      </rPr>
      <t>倨</t>
    </r>
  </si>
  <si>
    <r>
      <t>牀</t>
    </r>
    <r>
      <rPr>
        <sz val="10"/>
        <rFont val="MingLiU"/>
        <family val="3"/>
      </rPr>
      <t>據</t>
    </r>
  </si>
  <si>
    <r>
      <t>愽</t>
    </r>
    <r>
      <rPr>
        <sz val="10"/>
        <rFont val="MingLiU"/>
        <family val="3"/>
      </rPr>
      <t>故</t>
    </r>
  </si>
  <si>
    <r>
      <t>甞</t>
    </r>
    <r>
      <rPr>
        <sz val="10"/>
        <rFont val="MingLiU"/>
        <family val="3"/>
      </rPr>
      <t>芮</t>
    </r>
  </si>
  <si>
    <r>
      <t>愽</t>
    </r>
    <r>
      <rPr>
        <sz val="10"/>
        <rFont val="MingLiU"/>
        <family val="3"/>
      </rPr>
      <t>蓋</t>
    </r>
  </si>
  <si>
    <r>
      <t>犲</t>
    </r>
    <r>
      <rPr>
        <sz val="10"/>
        <rFont val="MingLiU"/>
        <family val="3"/>
      </rPr>
      <t>夬</t>
    </r>
  </si>
  <si>
    <r>
      <t>荒</t>
    </r>
    <r>
      <rPr>
        <sz val="10"/>
        <rFont val="宋体"/>
        <charset val="134"/>
      </rPr>
      <t>内</t>
    </r>
  </si>
  <si>
    <r>
      <t>七</t>
    </r>
    <r>
      <rPr>
        <sz val="10"/>
        <rFont val="宋体"/>
        <charset val="134"/>
      </rPr>
      <t>内</t>
    </r>
  </si>
  <si>
    <r>
      <t>他</t>
    </r>
    <r>
      <rPr>
        <sz val="10"/>
        <rFont val="宋体"/>
        <charset val="134"/>
      </rPr>
      <t>内</t>
    </r>
  </si>
  <si>
    <r>
      <t>蘇</t>
    </r>
    <r>
      <rPr>
        <sz val="10"/>
        <rFont val="宋体"/>
        <charset val="134"/>
      </rPr>
      <t>内</t>
    </r>
  </si>
  <si>
    <r>
      <t>五</t>
    </r>
    <r>
      <rPr>
        <sz val="10"/>
        <rFont val="宋体"/>
        <charset val="134"/>
      </rPr>
      <t>漑</t>
    </r>
  </si>
  <si>
    <r>
      <t>胡</t>
    </r>
    <r>
      <rPr>
        <sz val="10"/>
        <rFont val="宋体"/>
        <charset val="134"/>
      </rPr>
      <t>槩</t>
    </r>
  </si>
  <si>
    <r>
      <t>虚</t>
    </r>
    <r>
      <rPr>
        <sz val="10"/>
        <rFont val="MingLiU"/>
        <family val="3"/>
      </rPr>
      <t>願</t>
    </r>
  </si>
  <si>
    <r>
      <t>徂</t>
    </r>
    <r>
      <rPr>
        <sz val="10"/>
        <rFont val="宋体"/>
        <charset val="134"/>
      </rPr>
      <t>賛</t>
    </r>
  </si>
  <si>
    <r>
      <t>去31</t>
    </r>
    <r>
      <rPr>
        <sz val="10"/>
        <rFont val="宋体"/>
        <charset val="134"/>
      </rPr>
      <t>襇</t>
    </r>
  </si>
  <si>
    <r>
      <t>侯</t>
    </r>
    <r>
      <rPr>
        <sz val="10"/>
        <rFont val="宋体"/>
        <charset val="134"/>
      </rPr>
      <t>襇</t>
    </r>
  </si>
  <si>
    <r>
      <t>辝</t>
    </r>
    <r>
      <rPr>
        <sz val="10"/>
        <rFont val="MingLiU"/>
        <family val="3"/>
      </rPr>
      <t>戀</t>
    </r>
  </si>
  <si>
    <r>
      <t>連</t>
    </r>
    <r>
      <rPr>
        <sz val="10"/>
        <rFont val="宋体"/>
        <charset val="134"/>
      </rPr>
      <t>彦</t>
    </r>
  </si>
  <si>
    <r>
      <t>胡</t>
    </r>
    <r>
      <rPr>
        <sz val="10"/>
        <rFont val="宋体"/>
        <charset val="134"/>
      </rPr>
      <t>敎</t>
    </r>
  </si>
  <si>
    <r>
      <t>呼</t>
    </r>
    <r>
      <rPr>
        <sz val="10"/>
        <rFont val="宋体"/>
        <charset val="134"/>
      </rPr>
      <t>敎</t>
    </r>
  </si>
  <si>
    <r>
      <t>都</t>
    </r>
    <r>
      <rPr>
        <sz val="10"/>
        <rFont val="宋体"/>
        <charset val="134"/>
      </rPr>
      <t>敎</t>
    </r>
  </si>
  <si>
    <r>
      <t>北</t>
    </r>
    <r>
      <rPr>
        <sz val="10"/>
        <rFont val="宋体"/>
        <charset val="134"/>
      </rPr>
      <t>敎</t>
    </r>
  </si>
  <si>
    <r>
      <t>苦</t>
    </r>
    <r>
      <rPr>
        <sz val="10"/>
        <rFont val="宋体"/>
        <charset val="134"/>
      </rPr>
      <t>敎</t>
    </r>
  </si>
  <si>
    <r>
      <t>莫</t>
    </r>
    <r>
      <rPr>
        <sz val="10"/>
        <rFont val="宋体"/>
        <charset val="134"/>
      </rPr>
      <t>敎</t>
    </r>
  </si>
  <si>
    <r>
      <t>匹</t>
    </r>
    <r>
      <rPr>
        <sz val="10"/>
        <rFont val="宋体"/>
        <charset val="134"/>
      </rPr>
      <t>皃</t>
    </r>
  </si>
  <si>
    <r>
      <t>丑</t>
    </r>
    <r>
      <rPr>
        <sz val="10"/>
        <rFont val="宋体"/>
        <charset val="134"/>
      </rPr>
      <t>敎</t>
    </r>
  </si>
  <si>
    <r>
      <t>所</t>
    </r>
    <r>
      <rPr>
        <sz val="10"/>
        <rFont val="宋体"/>
        <charset val="134"/>
      </rPr>
      <t>敎</t>
    </r>
  </si>
  <si>
    <r>
      <t>直</t>
    </r>
    <r>
      <rPr>
        <sz val="10"/>
        <rFont val="宋体"/>
        <charset val="134"/>
      </rPr>
      <t>敎</t>
    </r>
  </si>
  <si>
    <r>
      <t>奴</t>
    </r>
    <r>
      <rPr>
        <sz val="10"/>
        <rFont val="宋体"/>
        <charset val="134"/>
      </rPr>
      <t>敎</t>
    </r>
  </si>
  <si>
    <r>
      <t>側</t>
    </r>
    <r>
      <rPr>
        <sz val="10"/>
        <rFont val="宋体"/>
        <charset val="134"/>
      </rPr>
      <t>敎</t>
    </r>
  </si>
  <si>
    <r>
      <t>防</t>
    </r>
    <r>
      <rPr>
        <sz val="10"/>
        <rFont val="宋体"/>
        <charset val="134"/>
      </rPr>
      <t>敎</t>
    </r>
  </si>
  <si>
    <r>
      <t>初</t>
    </r>
    <r>
      <rPr>
        <sz val="10"/>
        <rFont val="宋体"/>
        <charset val="134"/>
      </rPr>
      <t>敎</t>
    </r>
  </si>
  <si>
    <r>
      <t>於</t>
    </r>
    <r>
      <rPr>
        <sz val="10"/>
        <rFont val="宋体"/>
        <charset val="134"/>
      </rPr>
      <t>敎</t>
    </r>
  </si>
  <si>
    <r>
      <t>五</t>
    </r>
    <r>
      <rPr>
        <sz val="10"/>
        <rFont val="宋体"/>
        <charset val="134"/>
      </rPr>
      <t>敎</t>
    </r>
  </si>
  <si>
    <r>
      <t>去37</t>
    </r>
    <r>
      <rPr>
        <sz val="10"/>
        <rFont val="宋体"/>
        <charset val="134"/>
      </rPr>
      <t>号</t>
    </r>
  </si>
  <si>
    <r>
      <t>五</t>
    </r>
    <r>
      <rPr>
        <sz val="10"/>
        <rFont val="宋体"/>
        <charset val="134"/>
      </rPr>
      <t>个</t>
    </r>
  </si>
  <si>
    <r>
      <t>古</t>
    </r>
    <r>
      <rPr>
        <sz val="10"/>
        <rFont val="宋体"/>
        <charset val="134"/>
      </rPr>
      <t>卧</t>
    </r>
  </si>
  <si>
    <r>
      <t>胡</t>
    </r>
    <r>
      <rPr>
        <sz val="10"/>
        <rFont val="宋体"/>
        <charset val="134"/>
      </rPr>
      <t>卧</t>
    </r>
  </si>
  <si>
    <r>
      <t>則</t>
    </r>
    <r>
      <rPr>
        <sz val="10"/>
        <rFont val="宋体"/>
        <charset val="134"/>
      </rPr>
      <t>卧</t>
    </r>
  </si>
  <si>
    <r>
      <t>苦</t>
    </r>
    <r>
      <rPr>
        <sz val="10"/>
        <rFont val="宋体"/>
        <charset val="134"/>
      </rPr>
      <t>卧</t>
    </r>
  </si>
  <si>
    <r>
      <t>湯</t>
    </r>
    <r>
      <rPr>
        <sz val="10"/>
        <rFont val="宋体"/>
        <charset val="134"/>
      </rPr>
      <t>卧</t>
    </r>
  </si>
  <si>
    <r>
      <t>麤</t>
    </r>
    <r>
      <rPr>
        <sz val="10"/>
        <rFont val="宋体"/>
        <charset val="134"/>
      </rPr>
      <t>卧</t>
    </r>
  </si>
  <si>
    <r>
      <t>摸</t>
    </r>
    <r>
      <rPr>
        <sz val="10"/>
        <rFont val="宋体"/>
        <charset val="134"/>
      </rPr>
      <t>卧</t>
    </r>
  </si>
  <si>
    <r>
      <t>乃</t>
    </r>
    <r>
      <rPr>
        <sz val="10"/>
        <rFont val="宋体"/>
        <charset val="134"/>
      </rPr>
      <t>卧</t>
    </r>
  </si>
  <si>
    <r>
      <t>徂</t>
    </r>
    <r>
      <rPr>
        <sz val="10"/>
        <rFont val="宋体"/>
        <charset val="134"/>
      </rPr>
      <t>卧</t>
    </r>
  </si>
  <si>
    <r>
      <t>辝</t>
    </r>
    <r>
      <rPr>
        <sz val="10"/>
        <rFont val="MingLiU"/>
        <family val="3"/>
      </rPr>
      <t>夜</t>
    </r>
  </si>
  <si>
    <r>
      <t>戸</t>
    </r>
    <r>
      <rPr>
        <sz val="10"/>
        <rFont val="MingLiU"/>
        <family val="3"/>
      </rPr>
      <t>孟</t>
    </r>
  </si>
  <si>
    <r>
      <t>爲</t>
    </r>
    <r>
      <rPr>
        <sz val="10"/>
        <rFont val="MingLiU"/>
        <family val="3"/>
      </rPr>
      <t>命</t>
    </r>
  </si>
  <si>
    <r>
      <t>猪</t>
    </r>
    <r>
      <rPr>
        <sz val="10"/>
        <rFont val="MingLiU"/>
        <family val="3"/>
      </rPr>
      <t>孟</t>
    </r>
  </si>
  <si>
    <r>
      <t>昨</t>
    </r>
    <r>
      <rPr>
        <sz val="10"/>
        <rFont val="宋体"/>
        <charset val="134"/>
      </rPr>
      <t>亘</t>
    </r>
  </si>
  <si>
    <r>
      <t>徒</t>
    </r>
    <r>
      <rPr>
        <sz val="10"/>
        <rFont val="宋体"/>
        <charset val="134"/>
      </rPr>
      <t>亘</t>
    </r>
  </si>
  <si>
    <r>
      <t>武</t>
    </r>
    <r>
      <rPr>
        <sz val="10"/>
        <rFont val="宋体"/>
        <charset val="134"/>
      </rPr>
      <t>亘</t>
    </r>
  </si>
  <si>
    <r>
      <t>方</t>
    </r>
    <r>
      <rPr>
        <sz val="10"/>
        <rFont val="宋体"/>
        <charset val="134"/>
      </rPr>
      <t>隥</t>
    </r>
  </si>
  <si>
    <r>
      <t>父</t>
    </r>
    <r>
      <rPr>
        <sz val="10"/>
        <rFont val="宋体"/>
        <charset val="134"/>
      </rPr>
      <t>亘</t>
    </r>
  </si>
  <si>
    <r>
      <t>承</t>
    </r>
    <r>
      <rPr>
        <sz val="10"/>
        <rFont val="宋体"/>
        <charset val="134"/>
      </rPr>
      <t>呪</t>
    </r>
  </si>
  <si>
    <r>
      <t>亡</t>
    </r>
    <r>
      <rPr>
        <sz val="10"/>
        <rFont val="宋体"/>
        <charset val="134"/>
      </rPr>
      <t>劔</t>
    </r>
  </si>
  <si>
    <r>
      <t>戸</t>
    </r>
    <r>
      <rPr>
        <sz val="10"/>
        <rFont val="MingLiU"/>
        <family val="3"/>
      </rPr>
      <t>韽</t>
    </r>
  </si>
  <si>
    <r>
      <t>去</t>
    </r>
    <r>
      <rPr>
        <sz val="10"/>
        <rFont val="宋体"/>
        <charset val="134"/>
      </rPr>
      <t>劔</t>
    </r>
  </si>
  <si>
    <r>
      <t>於</t>
    </r>
    <r>
      <rPr>
        <sz val="10"/>
        <rFont val="宋体"/>
        <charset val="134"/>
      </rPr>
      <t>劔</t>
    </r>
  </si>
  <si>
    <r>
      <t>古</t>
    </r>
    <r>
      <rPr>
        <sz val="10"/>
        <rFont val="宋体"/>
        <charset val="134"/>
      </rPr>
      <t>禄</t>
    </r>
  </si>
  <si>
    <r>
      <t>内</t>
    </r>
    <r>
      <rPr>
        <sz val="10"/>
        <rFont val="MingLiU"/>
        <family val="3"/>
      </rPr>
      <t>沃</t>
    </r>
  </si>
  <si>
    <r>
      <t>直</t>
    </r>
    <r>
      <rPr>
        <sz val="10"/>
        <rFont val="宋体"/>
        <charset val="134"/>
      </rPr>
      <t>録</t>
    </r>
  </si>
  <si>
    <r>
      <t>蒲</t>
    </r>
    <r>
      <rPr>
        <sz val="10"/>
        <rFont val="宋体"/>
        <charset val="134"/>
      </rPr>
      <t>没</t>
    </r>
  </si>
  <si>
    <r>
      <t>當</t>
    </r>
    <r>
      <rPr>
        <sz val="10"/>
        <rFont val="宋体"/>
        <charset val="134"/>
      </rPr>
      <t>没</t>
    </r>
  </si>
  <si>
    <r>
      <t>烏</t>
    </r>
    <r>
      <rPr>
        <sz val="10"/>
        <rFont val="宋体"/>
        <charset val="134"/>
      </rPr>
      <t>没</t>
    </r>
  </si>
  <si>
    <r>
      <t>普</t>
    </r>
    <r>
      <rPr>
        <sz val="10"/>
        <rFont val="宋体"/>
        <charset val="134"/>
      </rPr>
      <t>没</t>
    </r>
  </si>
  <si>
    <r>
      <t>勒</t>
    </r>
    <r>
      <rPr>
        <sz val="10"/>
        <rFont val="宋体"/>
        <charset val="134"/>
      </rPr>
      <t>没</t>
    </r>
  </si>
  <si>
    <r>
      <t>内</t>
    </r>
    <r>
      <rPr>
        <sz val="10"/>
        <rFont val="MingLiU"/>
        <family val="3"/>
      </rPr>
      <t>骨</t>
    </r>
  </si>
  <si>
    <r>
      <t>倉</t>
    </r>
    <r>
      <rPr>
        <sz val="10"/>
        <rFont val="宋体"/>
        <charset val="134"/>
      </rPr>
      <t>没</t>
    </r>
  </si>
  <si>
    <r>
      <t>昨</t>
    </r>
    <r>
      <rPr>
        <sz val="10"/>
        <rFont val="宋体"/>
        <charset val="134"/>
      </rPr>
      <t>没</t>
    </r>
  </si>
  <si>
    <r>
      <t>下</t>
    </r>
    <r>
      <rPr>
        <sz val="10"/>
        <rFont val="宋体"/>
        <charset val="134"/>
      </rPr>
      <t>没</t>
    </r>
  </si>
  <si>
    <r>
      <t>戸</t>
    </r>
    <r>
      <rPr>
        <sz val="10"/>
        <rFont val="MingLiU"/>
        <family val="3"/>
      </rPr>
      <t>骨</t>
    </r>
  </si>
  <si>
    <r>
      <t>臧</t>
    </r>
    <r>
      <rPr>
        <sz val="10"/>
        <rFont val="宋体"/>
        <charset val="134"/>
      </rPr>
      <t>没</t>
    </r>
  </si>
  <si>
    <r>
      <t>戸</t>
    </r>
    <r>
      <rPr>
        <sz val="10"/>
        <rFont val="MingLiU"/>
        <family val="3"/>
      </rPr>
      <t>括</t>
    </r>
  </si>
  <si>
    <r>
      <t>戸</t>
    </r>
    <r>
      <rPr>
        <sz val="10"/>
        <rFont val="MingLiU"/>
        <family val="3"/>
      </rPr>
      <t>八</t>
    </r>
  </si>
  <si>
    <r>
      <t>入15</t>
    </r>
    <r>
      <rPr>
        <sz val="10"/>
        <rFont val="宋体"/>
        <charset val="134"/>
      </rPr>
      <t>鎋</t>
    </r>
  </si>
  <si>
    <r>
      <t>乙</t>
    </r>
    <r>
      <rPr>
        <sz val="10"/>
        <rFont val="宋体"/>
        <charset val="134"/>
      </rPr>
      <t>鎋</t>
    </r>
  </si>
  <si>
    <r>
      <t>五</t>
    </r>
    <r>
      <rPr>
        <sz val="10"/>
        <rFont val="宋体"/>
        <charset val="134"/>
      </rPr>
      <t>鎋</t>
    </r>
  </si>
  <si>
    <r>
      <t>初</t>
    </r>
    <r>
      <rPr>
        <sz val="10"/>
        <rFont val="宋体"/>
        <charset val="134"/>
      </rPr>
      <t>鎋</t>
    </r>
  </si>
  <si>
    <r>
      <t>枯</t>
    </r>
    <r>
      <rPr>
        <sz val="10"/>
        <rFont val="宋体"/>
        <charset val="134"/>
      </rPr>
      <t>鎋</t>
    </r>
  </si>
  <si>
    <r>
      <t>許</t>
    </r>
    <r>
      <rPr>
        <sz val="10"/>
        <rFont val="宋体"/>
        <charset val="134"/>
      </rPr>
      <t>鎋</t>
    </r>
  </si>
  <si>
    <r>
      <t>他</t>
    </r>
    <r>
      <rPr>
        <sz val="10"/>
        <rFont val="宋体"/>
        <charset val="134"/>
      </rPr>
      <t>鎋</t>
    </r>
  </si>
  <si>
    <r>
      <t>莫</t>
    </r>
    <r>
      <rPr>
        <sz val="10"/>
        <rFont val="宋体"/>
        <charset val="134"/>
      </rPr>
      <t>鎋</t>
    </r>
  </si>
  <si>
    <r>
      <t>百</t>
    </r>
    <r>
      <rPr>
        <sz val="10"/>
        <rFont val="宋体"/>
        <charset val="134"/>
      </rPr>
      <t>鎋</t>
    </r>
  </si>
  <si>
    <r>
      <t>古</t>
    </r>
    <r>
      <rPr>
        <sz val="10"/>
        <rFont val="宋体"/>
        <charset val="134"/>
      </rPr>
      <t>鎋</t>
    </r>
  </si>
  <si>
    <r>
      <t>陟</t>
    </r>
    <r>
      <rPr>
        <sz val="10"/>
        <rFont val="宋体"/>
        <charset val="134"/>
      </rPr>
      <t>鎋</t>
    </r>
  </si>
  <si>
    <r>
      <t>良</t>
    </r>
    <r>
      <rPr>
        <sz val="10"/>
        <rFont val="宋体"/>
        <charset val="134"/>
      </rPr>
      <t>辥</t>
    </r>
  </si>
  <si>
    <r>
      <t>方</t>
    </r>
    <r>
      <rPr>
        <sz val="10"/>
        <rFont val="宋体"/>
        <charset val="134"/>
      </rPr>
      <t>别</t>
    </r>
  </si>
  <si>
    <r>
      <t>許</t>
    </r>
    <r>
      <rPr>
        <sz val="10"/>
        <rFont val="宋体"/>
        <charset val="134"/>
      </rPr>
      <t>别</t>
    </r>
  </si>
  <si>
    <r>
      <t>厠</t>
    </r>
    <r>
      <rPr>
        <sz val="10"/>
        <rFont val="MingLiU"/>
        <family val="3"/>
      </rPr>
      <t>列</t>
    </r>
  </si>
  <si>
    <r>
      <t>具</t>
    </r>
    <r>
      <rPr>
        <sz val="10"/>
        <rFont val="宋体"/>
        <charset val="134"/>
      </rPr>
      <t>籰</t>
    </r>
  </si>
  <si>
    <r>
      <t>虚</t>
    </r>
    <r>
      <rPr>
        <sz val="10"/>
        <rFont val="MingLiU"/>
        <family val="3"/>
      </rPr>
      <t>約</t>
    </r>
  </si>
  <si>
    <r>
      <t>虚</t>
    </r>
    <r>
      <rPr>
        <sz val="10"/>
        <rFont val="MingLiU"/>
        <family val="3"/>
      </rPr>
      <t>郭</t>
    </r>
  </si>
  <si>
    <r>
      <t>査</t>
    </r>
    <r>
      <rPr>
        <sz val="10"/>
        <rFont val="MingLiU"/>
        <family val="3"/>
      </rPr>
      <t>獲</t>
    </r>
  </si>
  <si>
    <r>
      <t>尼</t>
    </r>
    <r>
      <rPr>
        <sz val="10"/>
        <rFont val="宋体"/>
        <charset val="134"/>
      </rPr>
      <t>戹</t>
    </r>
  </si>
  <si>
    <r>
      <t>七</t>
    </r>
    <r>
      <rPr>
        <sz val="10"/>
        <rFont val="宋体"/>
        <charset val="134"/>
      </rPr>
      <t>迹</t>
    </r>
  </si>
  <si>
    <r>
      <t>乗</t>
    </r>
    <r>
      <rPr>
        <sz val="10"/>
        <rFont val="MingLiU"/>
        <family val="3"/>
      </rPr>
      <t>力</t>
    </r>
  </si>
  <si>
    <r>
      <t>爲</t>
    </r>
    <r>
      <rPr>
        <sz val="10"/>
        <rFont val="MingLiU"/>
        <family val="3"/>
      </rPr>
      <t>立</t>
    </r>
  </si>
  <si>
    <r>
      <t>虚</t>
    </r>
    <r>
      <rPr>
        <sz val="10"/>
        <rFont val="MingLiU"/>
        <family val="3"/>
      </rPr>
      <t>業</t>
    </r>
  </si>
  <si>
    <r>
      <t>叨</t>
    </r>
    <r>
      <rPr>
        <sz val="10"/>
        <rFont val="宋体"/>
        <charset val="134"/>
      </rPr>
      <t>号</t>
    </r>
  </si>
  <si>
    <t>呼瓜</t>
  </si>
  <si>
    <t>華花譁[嘩]鷨</t>
  </si>
  <si>
    <t>苦瓜</t>
  </si>
  <si>
    <t>誇夸姱跨胯䠸𠇗䯞</t>
  </si>
  <si>
    <t>女加</t>
  </si>
  <si>
    <t>缺瓜+𧦮右</t>
  </si>
  <si>
    <t>na2</t>
  </si>
  <si>
    <t>古牙</t>
  </si>
  <si>
    <t>家!嘉加葭笳麚䴥豭猳痂鴐枷袈𣮫𨔣𤠙𧉪跏茄迦珈瘕犌貑幏蟼</t>
  </si>
  <si>
    <t>胡加</t>
  </si>
  <si>
    <t>普巴</t>
  </si>
  <si>
    <t>pa1</t>
  </si>
  <si>
    <t>於加</t>
  </si>
  <si>
    <t>伯加</t>
  </si>
  <si>
    <t>巴鈀笆豝芭㿬蚆吧|疤|</t>
  </si>
  <si>
    <t>ba1</t>
  </si>
  <si>
    <t>初加</t>
  </si>
  <si>
    <t>cha1</t>
  </si>
  <si>
    <t>所加</t>
  </si>
  <si>
    <t>sha</t>
  </si>
  <si>
    <t>sha1</t>
  </si>
  <si>
    <t>五加</t>
  </si>
  <si>
    <t>牙衙芽呀枒吾[蚜]齖|庌</t>
  </si>
  <si>
    <t>側加</t>
  </si>
  <si>
    <t>zha1</t>
  </si>
  <si>
    <t>宅加</t>
  </si>
  <si>
    <t>𡨀塗荼𣘻茶秅𤶠䠧䣝𡝐𥥸梌䅊塗𦛝*[搽]</t>
  </si>
  <si>
    <t>cha2</t>
  </si>
  <si>
    <t>似嗟</t>
  </si>
  <si>
    <t>視遮</t>
  </si>
  <si>
    <t>烏瓜</t>
  </si>
  <si>
    <t>莊華</t>
  </si>
  <si>
    <t>髽</t>
  </si>
  <si>
    <t>zhua1</t>
  </si>
  <si>
    <t>陟瓜</t>
  </si>
  <si>
    <t>檛=簻=𥬸膼|撾|</t>
  </si>
  <si>
    <t>蒲巴</t>
  </si>
  <si>
    <t>爬杷琶</t>
  </si>
  <si>
    <t>pa2</t>
  </si>
  <si>
    <t>鉏加</t>
  </si>
  <si>
    <t>敕加</t>
  </si>
  <si>
    <t>侘哆𤵾(𡖹)</t>
  </si>
  <si>
    <t>多底</t>
  </si>
  <si>
    <t>陟加</t>
  </si>
  <si>
    <t>許加</t>
  </si>
  <si>
    <t>苦加</t>
  </si>
  <si>
    <t>䶗㤉𡤫</t>
  </si>
  <si>
    <t>qia1</t>
  </si>
  <si>
    <t>才邪</t>
  </si>
  <si>
    <t>㚗</t>
  </si>
  <si>
    <t>人賒</t>
  </si>
  <si>
    <t>若婼</t>
  </si>
  <si>
    <t>re2</t>
  </si>
  <si>
    <t>寫邪</t>
  </si>
  <si>
    <t>些</t>
  </si>
  <si>
    <t>陟邪</t>
  </si>
  <si>
    <t>爹</t>
  </si>
  <si>
    <t>五瓜</t>
  </si>
  <si>
    <t>𣢉𩨾</t>
  </si>
  <si>
    <t>wa2</t>
  </si>
  <si>
    <t>乞加</t>
  </si>
  <si>
    <t>𣘟</t>
  </si>
  <si>
    <t>下平10陽</t>
  </si>
  <si>
    <t>陽</t>
  </si>
  <si>
    <t>與章</t>
  </si>
  <si>
    <t>宕</t>
  </si>
  <si>
    <t>32-&gt;31</t>
  </si>
  <si>
    <t>似羊</t>
  </si>
  <si>
    <t>詳洋翔庠祥𨀘𦍙痒</t>
  </si>
  <si>
    <t>呂章</t>
  </si>
  <si>
    <t>liang2</t>
  </si>
  <si>
    <t>許良</t>
  </si>
  <si>
    <t>式羊</t>
  </si>
  <si>
    <t>shang1</t>
  </si>
  <si>
    <t>符方</t>
  </si>
  <si>
    <t>fang2</t>
  </si>
  <si>
    <t>諸良</t>
  </si>
  <si>
    <t>zhang1</t>
  </si>
  <si>
    <t>尺良</t>
  </si>
  <si>
    <t>昌裮倡猖閶琩鯧菖|娼|</t>
  </si>
  <si>
    <t>chang1</t>
  </si>
  <si>
    <t>去羊</t>
  </si>
  <si>
    <t>居良</t>
  </si>
  <si>
    <t>直良</t>
  </si>
  <si>
    <t>chang2</t>
  </si>
  <si>
    <t>陟良</t>
  </si>
  <si>
    <t>汝陽</t>
  </si>
  <si>
    <t>瓤!穰禳攘𣀮鑲𨟚躟瀼𩆶獽儴蘘䉴鬤勷 孃</t>
  </si>
  <si>
    <t>rang2</t>
  </si>
  <si>
    <t>府良</t>
  </si>
  <si>
    <t>fang1</t>
  </si>
  <si>
    <t>息良</t>
  </si>
  <si>
    <t>襄廂湘相緗纕忀驤鑲瓖欀箱葙</t>
  </si>
  <si>
    <t>即良</t>
  </si>
  <si>
    <t>初良</t>
  </si>
  <si>
    <t>創=𠛂瘡|戧</t>
  </si>
  <si>
    <t>武方</t>
  </si>
  <si>
    <t>12-&gt;11</t>
  </si>
  <si>
    <t>wang2</t>
  </si>
  <si>
    <t>女良</t>
  </si>
  <si>
    <t>孃娘瓤鑲</t>
  </si>
  <si>
    <t>niang2</t>
  </si>
  <si>
    <t>士莊</t>
  </si>
  <si>
    <t>側羊</t>
  </si>
  <si>
    <t>裝!莊㽵妝 䊋</t>
  </si>
  <si>
    <t>市羊</t>
  </si>
  <si>
    <t>色莊</t>
  </si>
  <si>
    <t>在良</t>
  </si>
  <si>
    <t>牆廧墻佯嬙檣薔蘠戕𤞛</t>
  </si>
  <si>
    <t>qiang2</t>
  </si>
  <si>
    <t>七羊</t>
  </si>
  <si>
    <t>去王</t>
  </si>
  <si>
    <t>kuang1</t>
  </si>
  <si>
    <t>雨方</t>
  </si>
  <si>
    <t>於良</t>
  </si>
  <si>
    <t>央鴦殃䄃鉠秧霙胦泱</t>
  </si>
  <si>
    <t>巨良</t>
  </si>
  <si>
    <t>𦳝倀鼚</t>
  </si>
  <si>
    <t>敷方</t>
  </si>
  <si>
    <t>芳妨淓</t>
  </si>
  <si>
    <t>巨王</t>
  </si>
  <si>
    <t>kuang2</t>
  </si>
  <si>
    <t>下平11唐</t>
  </si>
  <si>
    <t>唐</t>
  </si>
  <si>
    <t>徒郎</t>
  </si>
  <si>
    <t>41-&gt;40!!</t>
  </si>
  <si>
    <t>tang2</t>
  </si>
  <si>
    <t>魯當</t>
  </si>
  <si>
    <t>都郎</t>
  </si>
  <si>
    <t>當鐺簹襠璫𨎴檔儅𦡁㼕蟷</t>
  </si>
  <si>
    <t>dang1</t>
  </si>
  <si>
    <t>七岡</t>
  </si>
  <si>
    <t>倉蒼鶬𩀞滄凔(傖)𠥐[艙]</t>
  </si>
  <si>
    <t>cang1</t>
  </si>
  <si>
    <t>古郎</t>
  </si>
  <si>
    <t>gang1</t>
  </si>
  <si>
    <t>息郎</t>
  </si>
  <si>
    <t>sang1</t>
  </si>
  <si>
    <t>苦岡</t>
  </si>
  <si>
    <t>kang1</t>
  </si>
  <si>
    <t>呼光</t>
  </si>
  <si>
    <t>荒𥡃肓衁𩣐鄺𥿼㠵𧧢(𧧮)䀮𣆖㡆巟𣺬</t>
  </si>
  <si>
    <t>huang1</t>
  </si>
  <si>
    <t>胡光</t>
  </si>
  <si>
    <t>huang2</t>
  </si>
  <si>
    <t>古黃</t>
  </si>
  <si>
    <t>guang1</t>
  </si>
  <si>
    <t>吐郎</t>
  </si>
  <si>
    <t>湯簜鏜闛𧼮踼盪蝪鼞薚𦳝</t>
  </si>
  <si>
    <t>tang1</t>
  </si>
  <si>
    <t>普郎</t>
  </si>
  <si>
    <t>烏光</t>
  </si>
  <si>
    <t>wang1</t>
  </si>
  <si>
    <t>烏郎</t>
  </si>
  <si>
    <t>ang1</t>
  </si>
  <si>
    <t>呼郎</t>
  </si>
  <si>
    <t>hang1</t>
  </si>
  <si>
    <t>胡郎</t>
  </si>
  <si>
    <t>hang2</t>
  </si>
  <si>
    <t>莫郎</t>
  </si>
  <si>
    <t>則郎</t>
  </si>
  <si>
    <t>zang1</t>
  </si>
  <si>
    <t>奴當</t>
  </si>
  <si>
    <t>囊蠰</t>
  </si>
  <si>
    <t>步光</t>
  </si>
  <si>
    <t>五岡</t>
  </si>
  <si>
    <t>ang2</t>
  </si>
  <si>
    <t>昨郎</t>
  </si>
  <si>
    <t>藏</t>
  </si>
  <si>
    <t>cang2</t>
  </si>
  <si>
    <t>苦光</t>
  </si>
  <si>
    <t>䯑</t>
  </si>
  <si>
    <t>博旁</t>
  </si>
  <si>
    <t>幫縍鞤𨢐鞤</t>
  </si>
  <si>
    <t>下平12庚</t>
  </si>
  <si>
    <t>庚</t>
  </si>
  <si>
    <t>古行</t>
  </si>
  <si>
    <t>梗</t>
  </si>
  <si>
    <t>geng1</t>
  </si>
  <si>
    <t>客庚</t>
  </si>
  <si>
    <t>keng1</t>
  </si>
  <si>
    <t>武庚</t>
  </si>
  <si>
    <t>甫盲</t>
  </si>
  <si>
    <t>beng1</t>
  </si>
  <si>
    <t>虎橫</t>
  </si>
  <si>
    <t>諻䎕謍嚝喤</t>
  </si>
  <si>
    <t>古橫</t>
  </si>
  <si>
    <t>薄庚</t>
  </si>
  <si>
    <t>許庚</t>
  </si>
  <si>
    <t>heng1</t>
  </si>
  <si>
    <t>丑庚</t>
  </si>
  <si>
    <t>瞠橕樘䟓竀</t>
  </si>
  <si>
    <t>cheng1</t>
  </si>
  <si>
    <t>楚庚</t>
  </si>
  <si>
    <t>鎗鐺槍琤</t>
  </si>
  <si>
    <t>5-&gt;4</t>
  </si>
  <si>
    <t>助庚</t>
  </si>
  <si>
    <t>cheng2</t>
  </si>
  <si>
    <t>於驚</t>
  </si>
  <si>
    <t>ying1</t>
  </si>
  <si>
    <t>撫庚</t>
  </si>
  <si>
    <t>磅恲亨(烹)澎</t>
  </si>
  <si>
    <t>ping1</t>
  </si>
  <si>
    <t>符兵</t>
  </si>
  <si>
    <t>ping2</t>
  </si>
  <si>
    <t>舉卿</t>
  </si>
  <si>
    <t>jing1</t>
  </si>
  <si>
    <t>武兵</t>
  </si>
  <si>
    <t>明盟=𥁰鳴䳟</t>
  </si>
  <si>
    <t>ming2</t>
  </si>
  <si>
    <t>直庚</t>
  </si>
  <si>
    <t>竹盲</t>
  </si>
  <si>
    <t>趟𩘽</t>
  </si>
  <si>
    <t>zheng1</t>
  </si>
  <si>
    <t>永兵</t>
  </si>
  <si>
    <t>榮禜蠑瑩揘嶸</t>
  </si>
  <si>
    <t>甫明</t>
  </si>
  <si>
    <t>兵</t>
  </si>
  <si>
    <t>bing1</t>
  </si>
  <si>
    <t>許榮</t>
  </si>
  <si>
    <t>兄</t>
  </si>
  <si>
    <t>去京</t>
  </si>
  <si>
    <t>卿</t>
  </si>
  <si>
    <t>qing1</t>
  </si>
  <si>
    <t>所庚</t>
  </si>
  <si>
    <t>sheng1</t>
  </si>
  <si>
    <t>渠京</t>
  </si>
  <si>
    <t>qing2</t>
  </si>
  <si>
    <t>語京</t>
  </si>
  <si>
    <t>迎</t>
  </si>
  <si>
    <t>ying2</t>
  </si>
  <si>
    <t>heng2</t>
  </si>
  <si>
    <t>乃庚</t>
  </si>
  <si>
    <t>鬤㲰𠽽獰𥣗𧂘(𧅍)</t>
  </si>
  <si>
    <t>neng2</t>
  </si>
  <si>
    <t>下平13耕</t>
  </si>
  <si>
    <t>耕</t>
  </si>
  <si>
    <t>古莖</t>
  </si>
  <si>
    <t>口莖</t>
  </si>
  <si>
    <t>莫耕</t>
  </si>
  <si>
    <t>甍𣞑䉚萌氓甿嫇蕄𥋝𧂛𥌯</t>
  </si>
  <si>
    <t>布耕</t>
  </si>
  <si>
    <t>浜捠</t>
  </si>
  <si>
    <t>莖䪫牼</t>
  </si>
  <si>
    <t>中莖</t>
  </si>
  <si>
    <t>朾丁玎𠑅𧯫叮䆸</t>
  </si>
  <si>
    <t>烏莖</t>
  </si>
  <si>
    <t>eng1</t>
  </si>
  <si>
    <t>士莖</t>
  </si>
  <si>
    <t>楚耕</t>
  </si>
  <si>
    <t>琤錚凈棦噌</t>
  </si>
  <si>
    <t>女耕</t>
  </si>
  <si>
    <t>普耕</t>
  </si>
  <si>
    <t>怦姘閛𤘾伻弸䍬㛁匉抨砰</t>
  </si>
  <si>
    <t>peng1</t>
  </si>
  <si>
    <t>呼宏</t>
  </si>
  <si>
    <t>轟輷䎕揈訇鍧渹𦑟𥕗𢝁</t>
  </si>
  <si>
    <t>北萌</t>
  </si>
  <si>
    <t>繃絣=𢆸拼䑫</t>
  </si>
  <si>
    <t>宅耕</t>
  </si>
  <si>
    <t>烏宏</t>
  </si>
  <si>
    <t>薄萌</t>
  </si>
  <si>
    <t>輣棚弸㥊庄</t>
  </si>
  <si>
    <t>五莖</t>
  </si>
  <si>
    <t>娙俓</t>
  </si>
  <si>
    <t>eng2</t>
  </si>
  <si>
    <t>側莖</t>
  </si>
  <si>
    <t>爭箏埩綪䋫猙䱢</t>
  </si>
  <si>
    <t>下平14清</t>
  </si>
  <si>
    <t>七情</t>
  </si>
  <si>
    <t>清圊</t>
  </si>
  <si>
    <t>疾盈</t>
  </si>
  <si>
    <t>子盈</t>
  </si>
  <si>
    <t>以成</t>
  </si>
  <si>
    <t>余傾</t>
  </si>
  <si>
    <t>營鎣塋䁝濴謍</t>
  </si>
  <si>
    <t>於盈</t>
  </si>
  <si>
    <t>嬰瓔纓攖賏𨟙蘡</t>
  </si>
  <si>
    <t>陟盈</t>
  </si>
  <si>
    <t>貞楨禎𨜓湞𨺟</t>
  </si>
  <si>
    <t>刪幀</t>
  </si>
  <si>
    <t>丑貞</t>
  </si>
  <si>
    <t>偵!檉 赬䞓䟓竀蟶虰</t>
  </si>
  <si>
    <t>是征</t>
  </si>
  <si>
    <t>直貞</t>
  </si>
  <si>
    <t>呈程酲𨜓珵䇸裎</t>
  </si>
  <si>
    <t>書盈</t>
  </si>
  <si>
    <t>聲</t>
  </si>
  <si>
    <t>諸盈</t>
  </si>
  <si>
    <t>去盈</t>
  </si>
  <si>
    <t>輕𨆪鑋</t>
  </si>
  <si>
    <t>武并</t>
  </si>
  <si>
    <t>名洺</t>
  </si>
  <si>
    <t>呂貞</t>
  </si>
  <si>
    <t>ling2</t>
  </si>
  <si>
    <t>府盈</t>
  </si>
  <si>
    <t>去營</t>
  </si>
  <si>
    <t>傾頃</t>
  </si>
  <si>
    <t>徐盈</t>
  </si>
  <si>
    <t>𩛿(餳)</t>
  </si>
  <si>
    <t>xing2</t>
  </si>
  <si>
    <t>於營</t>
  </si>
  <si>
    <t>縈褮嫈䪯𢄋[瀠]</t>
  </si>
  <si>
    <t>渠營</t>
  </si>
  <si>
    <t>息營</t>
  </si>
  <si>
    <t>????</t>
  </si>
  <si>
    <t>xing1</t>
  </si>
  <si>
    <t>巨成</t>
  </si>
  <si>
    <t>頸𩷏葝𦳲</t>
  </si>
  <si>
    <t>火營</t>
  </si>
  <si>
    <t>𧵣</t>
  </si>
  <si>
    <t>下平15青</t>
  </si>
  <si>
    <t>青</t>
  </si>
  <si>
    <t>倉經</t>
  </si>
  <si>
    <t>古靈</t>
  </si>
  <si>
    <t>經涇頸巠</t>
  </si>
  <si>
    <t>㓝刑形邢𤬐䣆桯鉶型陘侀硎娙鈃㼛𤭓鋞</t>
  </si>
  <si>
    <t>特丁</t>
  </si>
  <si>
    <t>停!庭 鼮莛葶筳亭聤霆渟𩹇綎娗㼗𧖧挺楟蜓廷㹶𧓴|婷</t>
  </si>
  <si>
    <t>ting2</t>
  </si>
  <si>
    <t>當經</t>
  </si>
  <si>
    <t>丁釘玎䦺靪虰仃叮|疔</t>
  </si>
  <si>
    <t>ding1</t>
  </si>
  <si>
    <t>呼刑</t>
  </si>
  <si>
    <t>馨蛵𠷓</t>
  </si>
  <si>
    <t>桑經</t>
  </si>
  <si>
    <t>普丁</t>
  </si>
  <si>
    <t>竮俜甹𢖊艵頩姘覮[拼]</t>
  </si>
  <si>
    <t>郎丁</t>
  </si>
  <si>
    <t>奴丁</t>
  </si>
  <si>
    <t>寧寍鸋䆨𣍆𨛲𧕝嚀聹</t>
  </si>
  <si>
    <t>ning2</t>
  </si>
  <si>
    <t>他丁</t>
  </si>
  <si>
    <t>刪程</t>
  </si>
  <si>
    <t>ting1</t>
  </si>
  <si>
    <t>莫經</t>
  </si>
  <si>
    <t>薄經</t>
  </si>
  <si>
    <t>熒褮螢滎䁝𧵣</t>
  </si>
  <si>
    <t>xiong2</t>
  </si>
  <si>
    <t>古螢</t>
  </si>
  <si>
    <t>下平16蒸</t>
  </si>
  <si>
    <t>蒸</t>
  </si>
  <si>
    <t>曾</t>
  </si>
  <si>
    <t>蒸䒱烝𦚦䕄篜脀</t>
  </si>
  <si>
    <t>署陵</t>
  </si>
  <si>
    <t>承丞𨋬</t>
  </si>
  <si>
    <t>直陵</t>
  </si>
  <si>
    <t>力膺</t>
  </si>
  <si>
    <t>於陵</t>
  </si>
  <si>
    <t>膺應鷹𧕄</t>
  </si>
  <si>
    <t>扶冰</t>
  </si>
  <si>
    <t>筆陵</t>
  </si>
  <si>
    <t>余陵</t>
  </si>
  <si>
    <t>蠅</t>
  </si>
  <si>
    <t>食陵</t>
  </si>
  <si>
    <t>識蒸</t>
  </si>
  <si>
    <t>reng2</t>
  </si>
  <si>
    <t>居陵</t>
  </si>
  <si>
    <t>兢矜</t>
  </si>
  <si>
    <t>陟陵</t>
  </si>
  <si>
    <t>徵癥(症)𨟃𣃘</t>
  </si>
  <si>
    <t>疾陵</t>
  </si>
  <si>
    <t>劄𠍹𧉫</t>
  </si>
  <si>
    <t>烏洽</t>
  </si>
  <si>
    <t>𨂁圔凹浥</t>
  </si>
  <si>
    <t>五夾</t>
  </si>
  <si>
    <t>䀴</t>
  </si>
  <si>
    <t>丑㘝</t>
  </si>
  <si>
    <t>𥃐)</t>
  </si>
  <si>
    <t>入32狎</t>
  </si>
  <si>
    <t>胡甲</t>
  </si>
  <si>
    <t>*或做[華甲]非是</t>
  </si>
  <si>
    <t>丈甲</t>
  </si>
  <si>
    <t>𠗨擖𤁳喋霅*鞢</t>
  </si>
  <si>
    <t>烏甲</t>
  </si>
  <si>
    <t>古狎</t>
  </si>
  <si>
    <t>甲胛押鉀玾[岬]𥑐𨒇𠩘𩌍</t>
  </si>
  <si>
    <t>所甲</t>
  </si>
  <si>
    <t>呼甲</t>
  </si>
  <si>
    <t>呷譀䛅𣢗</t>
  </si>
  <si>
    <t>入33業</t>
  </si>
  <si>
    <t>魚怯</t>
  </si>
  <si>
    <t>脅愶𣣲𣢩𣹩㢵嗋熁拹</t>
  </si>
  <si>
    <t>去劫</t>
  </si>
  <si>
    <t>居怯</t>
  </si>
  <si>
    <t>於業</t>
  </si>
  <si>
    <t>余業</t>
  </si>
  <si>
    <t>巨業</t>
  </si>
  <si>
    <t>跲笈㭘昅极笈</t>
  </si>
  <si>
    <t>入34乏</t>
  </si>
  <si>
    <t>房法</t>
  </si>
  <si>
    <t>方乏</t>
  </si>
  <si>
    <t>孚法</t>
  </si>
  <si>
    <t>𥎰</t>
  </si>
  <si>
    <t>起法</t>
  </si>
  <si>
    <t>女法</t>
  </si>
  <si>
    <t>䎎𣹵𡷝</t>
  </si>
  <si>
    <t>丑法</t>
  </si>
  <si>
    <t>𦑣</t>
  </si>
  <si>
    <t>匿講</t>
  </si>
  <si>
    <t>攮!(擃)𨑊𩟊||</t>
  </si>
  <si>
    <t>人夜</t>
  </si>
  <si>
    <t>偌𧧏渃</t>
  </si>
  <si>
    <t>他德</t>
  </si>
  <si>
    <t>丘禁</t>
  </si>
  <si>
    <t>七丸</t>
  </si>
  <si>
    <t>攛爨竄鋑䂎||</t>
  </si>
  <si>
    <t>盧合</t>
  </si>
  <si>
    <t>自數</t>
  </si>
  <si>
    <t>渠蓋</t>
  </si>
  <si>
    <t>戤]</t>
  </si>
  <si>
    <t>"不"今音</t>
  </si>
  <si>
    <t>烏懈</t>
  </si>
  <si>
    <t>丟]</t>
  </si>
  <si>
    <t>楚嫁</t>
  </si>
  <si>
    <t>岔]!汊䟕𧫗𥘓|[衩]||</t>
  </si>
  <si>
    <t>廣韻不載</t>
  </si>
  <si>
    <t>祥吏</t>
  </si>
  <si>
    <t>七吏</t>
  </si>
  <si>
    <t>相吏</t>
  </si>
  <si>
    <t>笥伺思覗</t>
  </si>
  <si>
    <t>式吏</t>
  </si>
  <si>
    <t>側吏</t>
  </si>
  <si>
    <t>胾椔(檣)事剚倳鶅</t>
  </si>
  <si>
    <t>力置</t>
  </si>
  <si>
    <t>吏𢟤</t>
  </si>
  <si>
    <t>疾置</t>
  </si>
  <si>
    <t>丑吏</t>
  </si>
  <si>
    <t>眙佁䰡𦥊誺</t>
  </si>
  <si>
    <t>仍吏</t>
  </si>
  <si>
    <t>𩢲駛𣳪𧳅𩰢𨽄使</t>
  </si>
  <si>
    <t>初吏</t>
  </si>
  <si>
    <t>廁</t>
  </si>
  <si>
    <t>羊吏</t>
  </si>
  <si>
    <t>異异食巳(已)潩䔬廙</t>
  </si>
  <si>
    <t>陟吏</t>
  </si>
  <si>
    <t>置𢐂</t>
  </si>
  <si>
    <t>時吏</t>
  </si>
  <si>
    <t>鉏吏</t>
  </si>
  <si>
    <t>事𩛌</t>
  </si>
  <si>
    <t>渠記</t>
  </si>
  <si>
    <t>昌志</t>
  </si>
  <si>
    <t>於記</t>
  </si>
  <si>
    <t>意鷾𠃸䵝</t>
  </si>
  <si>
    <t>居吏</t>
  </si>
  <si>
    <t>記</t>
  </si>
  <si>
    <t>許記</t>
  </si>
  <si>
    <t>魚記</t>
  </si>
  <si>
    <t>去吏</t>
  </si>
  <si>
    <t>亟唭䀈</t>
  </si>
  <si>
    <t>去8未</t>
  </si>
  <si>
    <t>無沸</t>
  </si>
  <si>
    <t>未味菋𩑵䊊沬鮇𡶎</t>
  </si>
  <si>
    <t>未</t>
  </si>
  <si>
    <t>居胃</t>
  </si>
  <si>
    <t>貴瞶𠐽</t>
  </si>
  <si>
    <t>于貴</t>
  </si>
  <si>
    <t>魚貴</t>
  </si>
  <si>
    <t>魏犩</t>
  </si>
  <si>
    <t>方味</t>
  </si>
  <si>
    <t>沸疿芾茀誹鯡㹃𩰾𧙂䛍䟛</t>
  </si>
  <si>
    <t>芳未</t>
  </si>
  <si>
    <t>丘畏</t>
  </si>
  <si>
    <t>𥽂𧝷</t>
  </si>
  <si>
    <t>於胃</t>
  </si>
  <si>
    <t>許貴</t>
  </si>
  <si>
    <t>扶沸</t>
  </si>
  <si>
    <t>𥝋狒㵒腓怫菲屝蜚𧕿䨾翡𡌦萉𩇪痱䠊㔗䆏費𧌘𥄱䀟黂蟦</t>
  </si>
  <si>
    <t>䤒幾</t>
  </si>
  <si>
    <t>衣</t>
  </si>
  <si>
    <t>去9御</t>
  </si>
  <si>
    <t>牛倨</t>
  </si>
  <si>
    <t>御馭語</t>
  </si>
  <si>
    <t>yu4</t>
  </si>
  <si>
    <t>御</t>
  </si>
  <si>
    <t>良倨</t>
  </si>
  <si>
    <t>lv4</t>
  </si>
  <si>
    <t>居御</t>
  </si>
  <si>
    <t>據鋸倨踞椐鐻澽豦𧣻䱟</t>
  </si>
  <si>
    <t>七慮</t>
  </si>
  <si>
    <t>qu4</t>
  </si>
  <si>
    <t>丘倨</t>
  </si>
  <si>
    <t>㰦去呿麮鼁胠䒧𩿟㧁</t>
  </si>
  <si>
    <t>常恕</t>
  </si>
  <si>
    <t>署藷薯曙</t>
  </si>
  <si>
    <t>商署</t>
  </si>
  <si>
    <t>陟慮</t>
  </si>
  <si>
    <t>著箸</t>
  </si>
  <si>
    <t>章恕</t>
  </si>
  <si>
    <t>䬡翥𤳯䭖𤳐㫂𡻠𢉙䘄</t>
  </si>
  <si>
    <t>所去</t>
  </si>
  <si>
    <t>依倨</t>
  </si>
  <si>
    <t>飫瘀鄔淤菸𩜏𢮁棜醧𡫾</t>
  </si>
  <si>
    <t>其據</t>
  </si>
  <si>
    <t>息據</t>
  </si>
  <si>
    <t>絮</t>
  </si>
  <si>
    <t>助耡麆</t>
  </si>
  <si>
    <t>將預</t>
  </si>
  <si>
    <t>怚沮</t>
  </si>
  <si>
    <t>莊助</t>
  </si>
  <si>
    <t>詛阻</t>
  </si>
  <si>
    <t>人恕</t>
  </si>
  <si>
    <t>洳茹如</t>
  </si>
  <si>
    <t>ru4</t>
  </si>
  <si>
    <t>羊洳</t>
  </si>
  <si>
    <t>許御</t>
  </si>
  <si>
    <t>噓</t>
  </si>
  <si>
    <t>尼據</t>
  </si>
  <si>
    <t>女絮</t>
  </si>
  <si>
    <t>nv4</t>
  </si>
  <si>
    <t>瘡據</t>
  </si>
  <si>
    <t>楚儊</t>
  </si>
  <si>
    <t>chu4</t>
  </si>
  <si>
    <t>昌據</t>
  </si>
  <si>
    <t>處䖏</t>
  </si>
  <si>
    <t>抽據</t>
  </si>
  <si>
    <t>絮悇㾻</t>
  </si>
  <si>
    <t>徐預</t>
  </si>
  <si>
    <t>𡲁</t>
  </si>
  <si>
    <t>去10遇</t>
  </si>
  <si>
    <t>牛具</t>
  </si>
  <si>
    <t>衣遇</t>
  </si>
  <si>
    <t>嫗蓲饇</t>
  </si>
  <si>
    <t>常句</t>
  </si>
  <si>
    <t>樹澍尌𦒸𠊪</t>
  </si>
  <si>
    <t>持遇</t>
  </si>
  <si>
    <t>住牏逗</t>
  </si>
  <si>
    <t>符遇</t>
  </si>
  <si>
    <t>之戍</t>
  </si>
  <si>
    <t>九遇</t>
  </si>
  <si>
    <t>香句</t>
  </si>
  <si>
    <t>昫煦酗呴姁𧏺</t>
  </si>
  <si>
    <t>說</t>
  </si>
  <si>
    <t>職悅</t>
  </si>
  <si>
    <t>昌悅</t>
  </si>
  <si>
    <t>歠啜</t>
  </si>
  <si>
    <t>陟劣</t>
  </si>
  <si>
    <t>力輟</t>
  </si>
  <si>
    <t>lve4</t>
  </si>
  <si>
    <t>芳滅</t>
  </si>
  <si>
    <t>瞥潎憋癟</t>
  </si>
  <si>
    <t>皮列</t>
  </si>
  <si>
    <t>直列</t>
  </si>
  <si>
    <t>轍徹撤澈㯙</t>
  </si>
  <si>
    <t>所劣</t>
  </si>
  <si>
    <t>㕞𠴪𠻜刷|唰</t>
  </si>
  <si>
    <t>居列</t>
  </si>
  <si>
    <t>孑訐𨥂趌䅥揭</t>
  </si>
  <si>
    <t>識列</t>
  </si>
  <si>
    <t>設蔎</t>
  </si>
  <si>
    <t>女劣</t>
  </si>
  <si>
    <t>呐</t>
  </si>
  <si>
    <t>nve4</t>
  </si>
  <si>
    <t>許劣</t>
  </si>
  <si>
    <t>於悅</t>
  </si>
  <si>
    <t>妜</t>
  </si>
  <si>
    <t>紀劣</t>
  </si>
  <si>
    <t>蹶𧱝𧣸䞵罬</t>
  </si>
  <si>
    <t>側劣</t>
  </si>
  <si>
    <t>茁䵵</t>
  </si>
  <si>
    <t>七絕</t>
  </si>
  <si>
    <t>姊劣</t>
  </si>
  <si>
    <t>蠽𧓷𪇲尐𢪍𣧖𩯰𠯙</t>
  </si>
  <si>
    <t>巾箱本作姊列切</t>
  </si>
  <si>
    <t>山列</t>
  </si>
  <si>
    <t>摋</t>
  </si>
  <si>
    <t>於列</t>
  </si>
  <si>
    <t>焆(𠵭）</t>
  </si>
  <si>
    <t>丑列</t>
  </si>
  <si>
    <t>姝雪</t>
  </si>
  <si>
    <t>㔍</t>
  </si>
  <si>
    <t>寺絕</t>
  </si>
  <si>
    <t>㿱𧋍|踅|</t>
  </si>
  <si>
    <t>昌列</t>
  </si>
  <si>
    <t>掣瘛</t>
  </si>
  <si>
    <t>羊列</t>
  </si>
  <si>
    <t>抴(拽)</t>
  </si>
  <si>
    <t>士列</t>
  </si>
  <si>
    <t>𨵊</t>
  </si>
  <si>
    <t>入18藥</t>
  </si>
  <si>
    <t>以灼</t>
  </si>
  <si>
    <t>藥</t>
  </si>
  <si>
    <t>離灼</t>
  </si>
  <si>
    <t>居勺</t>
  </si>
  <si>
    <t>之若</t>
  </si>
  <si>
    <t>書藥</t>
  </si>
  <si>
    <t>爍鑠獡㜰爚䁻䟏</t>
  </si>
  <si>
    <t>而灼</t>
  </si>
  <si>
    <t>昌約</t>
  </si>
  <si>
    <t>於略</t>
  </si>
  <si>
    <t>約葯</t>
  </si>
  <si>
    <t>去約</t>
  </si>
  <si>
    <t>魚約</t>
  </si>
  <si>
    <t>虐磭瘧</t>
  </si>
  <si>
    <t>市若</t>
  </si>
  <si>
    <t>shuo2</t>
  </si>
  <si>
    <t>丑略</t>
  </si>
  <si>
    <t>息約</t>
  </si>
  <si>
    <t>削</t>
  </si>
  <si>
    <t>側略</t>
  </si>
  <si>
    <t>斮</t>
  </si>
  <si>
    <t>即略</t>
  </si>
  <si>
    <t>爵𩰥雀爝燋㩱䶂</t>
  </si>
  <si>
    <t>在爵</t>
  </si>
  <si>
    <t>皭嚼爝</t>
  </si>
  <si>
    <t>七雀</t>
  </si>
  <si>
    <t>其虐</t>
  </si>
  <si>
    <t>噱蹻𠊬𧍕谷𠶸臄醵䐘</t>
  </si>
  <si>
    <t>憂縛</t>
  </si>
  <si>
    <t>符钁</t>
  </si>
  <si>
    <t>fo2</t>
  </si>
  <si>
    <t>許縛</t>
  </si>
  <si>
    <t>王縛</t>
  </si>
  <si>
    <t>居縛</t>
  </si>
  <si>
    <t>玃貜𧾵钁攫矍𡚠彏躩𪈴𨏹|蠼</t>
  </si>
  <si>
    <t>張略</t>
  </si>
  <si>
    <t>直略</t>
  </si>
  <si>
    <t>著</t>
  </si>
  <si>
    <t>丘縛</t>
  </si>
  <si>
    <t>躩𢖦</t>
  </si>
  <si>
    <t>戄𧾵𡚠䣤貜</t>
  </si>
  <si>
    <t>女略</t>
  </si>
  <si>
    <t>逽𨵫</t>
  </si>
  <si>
    <t>孚縛</t>
  </si>
  <si>
    <t>𩅿</t>
  </si>
  <si>
    <t>fo</t>
  </si>
  <si>
    <t>謔</t>
  </si>
  <si>
    <t>入19鐸</t>
  </si>
  <si>
    <t>徒落</t>
  </si>
  <si>
    <t>慕各</t>
  </si>
  <si>
    <t>莫幕鄚膜鏌摸漠瘼寞瞙嗼塻𣩎𢊗𡈗𠢓</t>
  </si>
  <si>
    <t>盧各</t>
  </si>
  <si>
    <t>他各</t>
  </si>
  <si>
    <t>則落</t>
  </si>
  <si>
    <t>倉各</t>
  </si>
  <si>
    <t>古落</t>
  </si>
  <si>
    <t>各閣格胳袼[擱]</t>
  </si>
  <si>
    <t>苦各</t>
  </si>
  <si>
    <t>五各</t>
  </si>
  <si>
    <t>匹各</t>
  </si>
  <si>
    <t>開?</t>
  </si>
  <si>
    <t>烏各</t>
  </si>
  <si>
    <t>惡=𢙣蝁堊</t>
  </si>
  <si>
    <t>傍各</t>
  </si>
  <si>
    <t>呵各</t>
  </si>
  <si>
    <t>蘇各</t>
  </si>
  <si>
    <t>索𢱢溹𩌈𦵫㮦</t>
  </si>
  <si>
    <t>suo</t>
  </si>
  <si>
    <t>下各</t>
  </si>
  <si>
    <t>在各</t>
  </si>
  <si>
    <t>補各</t>
  </si>
  <si>
    <t>奴各</t>
  </si>
  <si>
    <t>諾</t>
  </si>
  <si>
    <t>古博</t>
  </si>
  <si>
    <t>烏郭</t>
  </si>
  <si>
    <t>胡郭</t>
  </si>
  <si>
    <t>穫鑊㦜檴𤐰濩擭䨥𤻙𢋒</t>
  </si>
  <si>
    <t>苦郭</t>
  </si>
  <si>
    <t>五郭</t>
  </si>
  <si>
    <t>瓁</t>
  </si>
  <si>
    <t>盧穫</t>
  </si>
  <si>
    <t>硦</t>
  </si>
  <si>
    <t>祖郭</t>
  </si>
  <si>
    <t>㘀</t>
  </si>
  <si>
    <t>入20陌</t>
  </si>
  <si>
    <t>莫白</t>
  </si>
  <si>
    <t>陌</t>
  </si>
  <si>
    <t>陟格</t>
  </si>
  <si>
    <t>傍陌</t>
  </si>
  <si>
    <t>博陌</t>
  </si>
  <si>
    <t>奇逆</t>
  </si>
  <si>
    <t>劇屐𨍺𤭏𢜭㘌</t>
  </si>
  <si>
    <t>几劇</t>
  </si>
  <si>
    <t>戟撠𦻝(𦺩)𤜾谻丮𢜭𩯋</t>
  </si>
  <si>
    <t>山戟</t>
  </si>
  <si>
    <t>𡩡索䞽溹䂹𥻨</t>
  </si>
  <si>
    <t>測戟</t>
  </si>
  <si>
    <t>柵䜺簎</t>
  </si>
  <si>
    <t>胡伯</t>
  </si>
  <si>
    <t>嚄𡄴</t>
  </si>
  <si>
    <t>側伯</t>
  </si>
  <si>
    <t>鋤陌</t>
  </si>
  <si>
    <t>綺戟</t>
  </si>
  <si>
    <t>隙郤綌𠊬𧯈𡭴𠶸</t>
  </si>
  <si>
    <t>五陌</t>
  </si>
  <si>
    <t>宜戟</t>
  </si>
  <si>
    <t>苦格</t>
  </si>
  <si>
    <t>烏格</t>
  </si>
  <si>
    <t>啞𩚬</t>
  </si>
  <si>
    <t>許郤</t>
  </si>
  <si>
    <t>虩</t>
  </si>
  <si>
    <t>丑格</t>
  </si>
  <si>
    <t>拆)!𡍩(坼)𧼳𩑒㿭𤖴𩎚</t>
  </si>
  <si>
    <t>乙白</t>
  </si>
  <si>
    <t>䪝</t>
  </si>
  <si>
    <t>普伯</t>
  </si>
  <si>
    <t>呼格</t>
  </si>
  <si>
    <t>胡格</t>
  </si>
  <si>
    <t>古伯</t>
  </si>
  <si>
    <t>虎伯</t>
  </si>
  <si>
    <t>謋諕漷砉𦒧湱硅𢝇</t>
  </si>
  <si>
    <t>瑒伯</t>
  </si>
  <si>
    <t>宅㡯擇澤𪀥翟䕪檡鸅𩏪蠌襗𤂥</t>
  </si>
  <si>
    <t>虢𢼛㶁𧭣唬</t>
  </si>
  <si>
    <t>一虢</t>
  </si>
  <si>
    <t>女白</t>
  </si>
  <si>
    <t>丘擭</t>
  </si>
  <si>
    <t>𧍕𠠎</t>
  </si>
  <si>
    <t>弼戟</t>
  </si>
  <si>
    <t>欂𣝍</t>
  </si>
  <si>
    <t>入21麥</t>
  </si>
  <si>
    <t>莫獲</t>
  </si>
  <si>
    <t>胡麥</t>
  </si>
  <si>
    <t>古獲</t>
  </si>
  <si>
    <t>博厄</t>
  </si>
  <si>
    <t>檗擘[掰]薜𤖟糪</t>
  </si>
  <si>
    <t>蒲革</t>
  </si>
  <si>
    <t>䌟繴𦌠欂</t>
  </si>
  <si>
    <t>士革</t>
  </si>
  <si>
    <t>側革</t>
  </si>
  <si>
    <t>䞰䟄</t>
  </si>
  <si>
    <t>楚革</t>
  </si>
  <si>
    <t>楷革</t>
  </si>
  <si>
    <t>呼麥</t>
  </si>
  <si>
    <t>下革</t>
  </si>
  <si>
    <t>覈繳䃒翮㮝核𤈧滆蒚</t>
  </si>
  <si>
    <t>古核</t>
  </si>
  <si>
    <t>陟革</t>
  </si>
  <si>
    <t>於革</t>
  </si>
  <si>
    <t>山責</t>
  </si>
  <si>
    <t>普麥</t>
  </si>
  <si>
    <t>𢶉糪</t>
  </si>
  <si>
    <t>五革</t>
  </si>
  <si>
    <t>力摘</t>
  </si>
  <si>
    <t>礐𥖪</t>
  </si>
  <si>
    <t>le4</t>
  </si>
  <si>
    <t>簪摑</t>
  </si>
  <si>
    <t>㩇</t>
  </si>
  <si>
    <t>砂獲</t>
  </si>
  <si>
    <t>𢷾</t>
  </si>
  <si>
    <t>求獲</t>
  </si>
  <si>
    <t>𧾛</t>
  </si>
  <si>
    <t>ne4</t>
  </si>
  <si>
    <t>入22昔</t>
  </si>
  <si>
    <t>思積</t>
  </si>
  <si>
    <t>資昔</t>
  </si>
  <si>
    <t>伊昔</t>
  </si>
  <si>
    <t>益謚嗌𨜶齸膉𦶩𪕶</t>
  </si>
  <si>
    <t>羊益</t>
  </si>
  <si>
    <t>施隻</t>
  </si>
  <si>
    <t>昌石</t>
  </si>
  <si>
    <t>常隻</t>
  </si>
  <si>
    <t>石碩祏鉐䄷鼫䲽</t>
  </si>
  <si>
    <t>之石</t>
  </si>
  <si>
    <t>直炙</t>
  </si>
  <si>
    <t>擲擿䵂躑蹢𧓸潪</t>
  </si>
  <si>
    <t>祥易</t>
  </si>
  <si>
    <t>席夕穸汐𨛳蓆</t>
  </si>
  <si>
    <t>秦昔</t>
  </si>
  <si>
    <t>房益</t>
  </si>
  <si>
    <t>營隻</t>
  </si>
  <si>
    <t>許役</t>
  </si>
  <si>
    <t>瞁𥆛</t>
  </si>
  <si>
    <t>必益</t>
  </si>
  <si>
    <t>芳辟</t>
  </si>
  <si>
    <t>僻辟癖廦</t>
  </si>
  <si>
    <t>食亦</t>
  </si>
  <si>
    <t>麝射</t>
  </si>
  <si>
    <t>彼役</t>
  </si>
  <si>
    <t>碧</t>
  </si>
  <si>
    <t>竹益</t>
  </si>
  <si>
    <t>𪐏</t>
  </si>
  <si>
    <t>丑亦</t>
  </si>
  <si>
    <t>彳𤭏</t>
  </si>
  <si>
    <t>之役</t>
  </si>
  <si>
    <t>𦳮</t>
  </si>
  <si>
    <t>七役</t>
  </si>
  <si>
    <t>𥄎𢔠</t>
  </si>
  <si>
    <t>入23錫</t>
  </si>
  <si>
    <t>先擊</t>
  </si>
  <si>
    <t>錫析㭊裼皙緆𪎥蜥菥淅惁𧋐㱤|晰</t>
  </si>
  <si>
    <t>錫</t>
  </si>
  <si>
    <t>古歷</t>
  </si>
  <si>
    <t>普擊</t>
  </si>
  <si>
    <t>劈!霹澼憵䤨癖僻</t>
  </si>
  <si>
    <t>郎擊</t>
  </si>
  <si>
    <t>都歷</t>
  </si>
  <si>
    <t>di</t>
  </si>
  <si>
    <t>胡狄</t>
  </si>
  <si>
    <t>五歷</t>
  </si>
  <si>
    <t>徒歷</t>
  </si>
  <si>
    <t>刪藋</t>
  </si>
  <si>
    <t>di2</t>
  </si>
  <si>
    <t>他歷</t>
  </si>
  <si>
    <t>ti</t>
  </si>
  <si>
    <t>則歷</t>
  </si>
  <si>
    <t>績勣簀𪄸</t>
  </si>
  <si>
    <t>苦擊</t>
  </si>
  <si>
    <t>奴歷</t>
  </si>
  <si>
    <t>前歷</t>
  </si>
  <si>
    <t>寂𡧘𡧯𠴫䚐</t>
  </si>
  <si>
    <t>莫狄</t>
  </si>
  <si>
    <t>扶歷</t>
  </si>
  <si>
    <t>北激</t>
  </si>
  <si>
    <t>壁鼊繴廦綼𧲜</t>
  </si>
  <si>
    <t>苦鶪</t>
  </si>
  <si>
    <t>闃䠐</t>
  </si>
  <si>
    <t>古闃</t>
  </si>
  <si>
    <t>郹狊鶪湨鼳犑𠋬</t>
  </si>
  <si>
    <t>倉歷</t>
  </si>
  <si>
    <t>許激</t>
  </si>
  <si>
    <t>呼狊</t>
  </si>
  <si>
    <t>𥍟砉瞁𥆛狊焱殈</t>
  </si>
  <si>
    <t>丑歷</t>
  </si>
  <si>
    <t>𣤩𥛚</t>
  </si>
  <si>
    <t>入24職</t>
  </si>
  <si>
    <t>之翼</t>
  </si>
  <si>
    <t>職</t>
  </si>
  <si>
    <t>除力</t>
  </si>
  <si>
    <t>直犆䐈𡸜|值</t>
  </si>
  <si>
    <t>林直</t>
  </si>
  <si>
    <t>恥力</t>
  </si>
  <si>
    <t>竹力</t>
  </si>
  <si>
    <t>陟稙</t>
  </si>
  <si>
    <t>食蝕</t>
  </si>
  <si>
    <t>相即</t>
  </si>
  <si>
    <t>息[媳]㮩鄎瘜蒠熄𦞜䭒㴧𥰝𪄛</t>
  </si>
  <si>
    <t>常職</t>
  </si>
  <si>
    <t>𡑌中土原在日下</t>
  </si>
  <si>
    <t>賞職</t>
  </si>
  <si>
    <t>識式拭𢂑軾飾𥿮鉽烒𧄹</t>
  </si>
  <si>
    <t>許極</t>
  </si>
  <si>
    <t>赩䀌䵱𥈜𢤋</t>
  </si>
  <si>
    <t>士力</t>
  </si>
  <si>
    <t>渠力</t>
  </si>
  <si>
    <t>極</t>
  </si>
  <si>
    <t>女力</t>
  </si>
  <si>
    <t>匿𧈟𧏾㥾恧𩺱</t>
  </si>
  <si>
    <t>初力</t>
  </si>
  <si>
    <t>測惻畟𦔎𡍫䔴</t>
  </si>
  <si>
    <t>於力</t>
  </si>
  <si>
    <t>所力</t>
  </si>
  <si>
    <t>丘力</t>
  </si>
  <si>
    <t>䩯</t>
  </si>
  <si>
    <t>紀力</t>
  </si>
  <si>
    <t>殛㥛襋棘亟㻷悈𡕮蕀苟𧩦</t>
  </si>
  <si>
    <t>與職</t>
  </si>
  <si>
    <t>子力</t>
  </si>
  <si>
    <t>彼側</t>
  </si>
  <si>
    <t>雨逼</t>
  </si>
  <si>
    <t>況逼</t>
  </si>
  <si>
    <t>洫侐䦗閾𨵨𥄎㰲𤷇𪑝緎𦑍𠷾淢𧹭</t>
  </si>
  <si>
    <t>芳逼</t>
  </si>
  <si>
    <t>阻力</t>
  </si>
  <si>
    <t>符逼</t>
  </si>
  <si>
    <t>愎腷𤐧𥻅𤗚馥踾鶝</t>
  </si>
  <si>
    <t>魚力</t>
  </si>
  <si>
    <t>秦力</t>
  </si>
  <si>
    <t>丁力</t>
  </si>
  <si>
    <t>𡮞𣮊𢕚</t>
  </si>
  <si>
    <t>亡逼</t>
  </si>
  <si>
    <t>䁇</t>
  </si>
  <si>
    <t>昌力</t>
  </si>
  <si>
    <t>瀷𦔫</t>
  </si>
  <si>
    <t>入25德</t>
  </si>
  <si>
    <t>多則</t>
  </si>
  <si>
    <t>子德</t>
  </si>
  <si>
    <t>則=𠟻=𠟭</t>
  </si>
  <si>
    <t>盧則</t>
  </si>
  <si>
    <t>苦得</t>
  </si>
  <si>
    <t>徒得</t>
  </si>
  <si>
    <t>de2</t>
  </si>
  <si>
    <t>呼北</t>
  </si>
  <si>
    <t>黑[嘿]潶㱄</t>
  </si>
  <si>
    <t>莫北</t>
  </si>
  <si>
    <t>墨默冒䘃纆万𢄏艒𡣫䁇䁿𤲰</t>
  </si>
  <si>
    <t>昨則</t>
  </si>
  <si>
    <t>ze2</t>
  </si>
  <si>
    <t>蘇則</t>
  </si>
  <si>
    <t>塞𡫼㥶𢥛寨</t>
  </si>
  <si>
    <t>博墨</t>
  </si>
  <si>
    <t>北𧉥</t>
  </si>
  <si>
    <t>蒲北</t>
  </si>
  <si>
    <t>菔蔔僰匐𠣵踣仆菩垘䞳䵗𧟱𢫯</t>
  </si>
  <si>
    <t>胡國</t>
  </si>
  <si>
    <t>或惑蜮䰥𡿿</t>
  </si>
  <si>
    <t>古或</t>
  </si>
  <si>
    <t>國|蟈膕馘</t>
  </si>
  <si>
    <t>2-&gt;1</t>
  </si>
  <si>
    <t>愛黑</t>
  </si>
  <si>
    <t>餩殕</t>
  </si>
  <si>
    <t>胡得</t>
  </si>
  <si>
    <t>劾</t>
  </si>
  <si>
    <t>奴勒</t>
  </si>
  <si>
    <t>䘅䎪𣉘</t>
  </si>
  <si>
    <t>古得</t>
  </si>
  <si>
    <t>七則</t>
  </si>
  <si>
    <t>墄</t>
  </si>
  <si>
    <t>匹北</t>
  </si>
  <si>
    <t>覆𧕡𠣾</t>
  </si>
  <si>
    <t>呼或</t>
  </si>
  <si>
    <t>𢃤𥇙</t>
  </si>
  <si>
    <t>入26緝</t>
  </si>
  <si>
    <t>七入</t>
  </si>
  <si>
    <t>緝葺諿𧚨𪔪咠</t>
  </si>
  <si>
    <t>緝</t>
  </si>
  <si>
    <t>是執</t>
  </si>
  <si>
    <t>十什褶拾</t>
  </si>
  <si>
    <t>之入</t>
  </si>
  <si>
    <t>執汁瓡䥍𡠗慹</t>
  </si>
  <si>
    <t>似入</t>
  </si>
  <si>
    <t>習襲隰鰼騽飁槢𪄶𦸚𥱵䒁褶霫</t>
  </si>
  <si>
    <t>秦入</t>
  </si>
  <si>
    <t>人執</t>
  </si>
  <si>
    <t>入廿</t>
  </si>
  <si>
    <t>伊入</t>
  </si>
  <si>
    <t>揖挹</t>
  </si>
  <si>
    <t>失入</t>
  </si>
  <si>
    <t>溼=濕䏉</t>
  </si>
  <si>
    <t>子入</t>
  </si>
  <si>
    <t>㗱湒咠葺潗䌖㠍蓻𧚨䁒𥠋</t>
  </si>
  <si>
    <t>其立</t>
  </si>
  <si>
    <t>及𨕤𦶍苙䲯笈㧀</t>
  </si>
  <si>
    <t>直立</t>
  </si>
  <si>
    <t>陟立</t>
  </si>
  <si>
    <t>縶𩅀𩢏𡂣</t>
  </si>
  <si>
    <t>力入</t>
  </si>
  <si>
    <t>立䶘粒笠鴗苙䇐岦砬</t>
  </si>
  <si>
    <t>居立</t>
  </si>
  <si>
    <t>魚及</t>
  </si>
  <si>
    <t>岌㱞</t>
  </si>
  <si>
    <t>去急</t>
  </si>
  <si>
    <t>泣㬤湆</t>
  </si>
  <si>
    <t>先立</t>
  </si>
  <si>
    <t>𩎕卌霫𧿅㗩</t>
  </si>
  <si>
    <t>色立</t>
  </si>
  <si>
    <t>許及</t>
  </si>
  <si>
    <t>戢𥊬𧤏𧥄㗊蕺濈𠿠霵</t>
  </si>
  <si>
    <t>於汲</t>
  </si>
  <si>
    <t>邑悒唈裛浥䓃䭂𦶂|挹</t>
  </si>
  <si>
    <t>丑入</t>
  </si>
  <si>
    <t>煜曄熠騽</t>
  </si>
  <si>
    <t>羊入</t>
  </si>
  <si>
    <t>尼立</t>
  </si>
  <si>
    <t>仕戢</t>
  </si>
  <si>
    <t>霵䯂</t>
  </si>
  <si>
    <t>皮及</t>
  </si>
  <si>
    <t>𩾳</t>
  </si>
  <si>
    <t>彼及</t>
  </si>
  <si>
    <t>初戢</t>
  </si>
  <si>
    <t>㞚𡍪䙄𢕬</t>
  </si>
  <si>
    <t>昌汁</t>
  </si>
  <si>
    <t>斟</t>
  </si>
  <si>
    <t>入27合</t>
  </si>
  <si>
    <t>侯閤</t>
  </si>
  <si>
    <t>古沓</t>
  </si>
  <si>
    <t>都合</t>
  </si>
  <si>
    <t>答畣𨅞撘荅褡㜓㾑嗒𤝰㿯㯚</t>
  </si>
  <si>
    <t>蘇合</t>
  </si>
  <si>
    <t>趿颯靸𩎕馺霅𠦄(卅)㚫𣬬𢕬鈒</t>
  </si>
  <si>
    <t>徒合</t>
  </si>
  <si>
    <t>他合</t>
  </si>
  <si>
    <t>踏!錔嚃䓠㛥𢃕鞜𦑇漯濕㹺𦧟䶀佮䵬𪘁𨌭㭼䍝濌𪂌䈋</t>
  </si>
  <si>
    <t>徂合</t>
  </si>
  <si>
    <t>子荅</t>
  </si>
  <si>
    <t>奴荅</t>
  </si>
  <si>
    <t>口荅</t>
  </si>
  <si>
    <t>烏合</t>
  </si>
  <si>
    <t>呼合</t>
  </si>
  <si>
    <t>欱(喝)㽺𣣹㾑</t>
  </si>
  <si>
    <t>五合</t>
  </si>
  <si>
    <t>七合</t>
  </si>
  <si>
    <t>䟃㜗</t>
  </si>
  <si>
    <t>十合</t>
  </si>
  <si>
    <t>遪</t>
  </si>
  <si>
    <t>烏荅</t>
  </si>
  <si>
    <t>唈</t>
  </si>
  <si>
    <t>入28盍</t>
  </si>
  <si>
    <t>胡臘</t>
  </si>
  <si>
    <t>盍闔𨶩嗑蓋𧪞篕㧁𨜴熆</t>
  </si>
  <si>
    <t>盧盍</t>
  </si>
  <si>
    <t>都榼</t>
  </si>
  <si>
    <t>㿴耷𢴄㩉矺𠞈笚䓠褡𩝣䪚</t>
  </si>
  <si>
    <t>吐盍</t>
  </si>
  <si>
    <t>呼盍</t>
  </si>
  <si>
    <t>𣣹𩵢㽺</t>
  </si>
  <si>
    <t>奴盍</t>
  </si>
  <si>
    <t>魶笝𩚛</t>
  </si>
  <si>
    <t>徒盍</t>
  </si>
  <si>
    <t>缺火闒</t>
  </si>
  <si>
    <t>私盍</t>
  </si>
  <si>
    <t>𠎷𠿓𢶍卅靸𨆂㪪</t>
  </si>
  <si>
    <t>五盍</t>
  </si>
  <si>
    <t>儑𥋙</t>
  </si>
  <si>
    <t>才盍</t>
  </si>
  <si>
    <t>䪞𢶍</t>
  </si>
  <si>
    <t>古盍</t>
  </si>
  <si>
    <t>䫦𧪞嗑蓋閘鉀䗘𨜴</t>
  </si>
  <si>
    <t>苦盍</t>
  </si>
  <si>
    <t>榼磕𧛾㕎䶀𨍰</t>
  </si>
  <si>
    <t>安盍</t>
  </si>
  <si>
    <t>倉雜</t>
  </si>
  <si>
    <t>囃𥗭䵽</t>
  </si>
  <si>
    <t>居盍</t>
  </si>
  <si>
    <t>砝𪁍</t>
  </si>
  <si>
    <t>章盍</t>
  </si>
  <si>
    <t>譫</t>
  </si>
  <si>
    <t>入29葉</t>
  </si>
  <si>
    <t>與涉</t>
  </si>
  <si>
    <t>葉</t>
  </si>
  <si>
    <t>即葉</t>
  </si>
  <si>
    <t>書涉</t>
  </si>
  <si>
    <t>時攝</t>
  </si>
  <si>
    <t>良涉</t>
  </si>
  <si>
    <t>疾葉</t>
  </si>
  <si>
    <t>直葉</t>
  </si>
  <si>
    <t>於輒</t>
  </si>
  <si>
    <t>𢽱裛腌𦀖</t>
  </si>
  <si>
    <t>尼輒</t>
  </si>
  <si>
    <t>叱涉</t>
  </si>
  <si>
    <t>謵𣠞㚲詀䧪喢㤴㳧𦛖</t>
  </si>
  <si>
    <t>而涉</t>
  </si>
  <si>
    <t>讘顳喦囁𦣀</t>
  </si>
  <si>
    <t>之涉</t>
  </si>
  <si>
    <t>七接</t>
  </si>
  <si>
    <t>丑輒</t>
  </si>
  <si>
    <t>其輒</t>
  </si>
  <si>
    <t>衱极笈㭘𩾳</t>
  </si>
  <si>
    <t>陟葉</t>
  </si>
  <si>
    <t>筠輒</t>
  </si>
  <si>
    <t>去涉</t>
  </si>
  <si>
    <t>𤷾</t>
  </si>
  <si>
    <t>山輒</t>
  </si>
  <si>
    <t>萐箑歃霎喢㰼</t>
  </si>
  <si>
    <t>居輒</t>
  </si>
  <si>
    <t>𦀖鵖</t>
  </si>
  <si>
    <t>於葉</t>
  </si>
  <si>
    <t>入30怗</t>
  </si>
  <si>
    <t>他協</t>
  </si>
  <si>
    <t>貼怗帖鉆跕蝶𪔧䩞䑜㡇呫</t>
  </si>
  <si>
    <t>胡頰</t>
  </si>
  <si>
    <t>古協</t>
  </si>
  <si>
    <t>頰𩠣鋏筴梜莢蛺唊𥞵</t>
  </si>
  <si>
    <t>苦協</t>
  </si>
  <si>
    <t>徒協</t>
  </si>
  <si>
    <t>*或做[帖/足]非是</t>
  </si>
  <si>
    <t>奴協</t>
  </si>
  <si>
    <t>蘇協</t>
  </si>
  <si>
    <t>盧協</t>
  </si>
  <si>
    <t>㼲𪑧𡂩𦖩</t>
  </si>
  <si>
    <t>丁愜</t>
  </si>
  <si>
    <t>聑𠲷𢬴𧚊㑙𨓊䩞笘喋㝪跕涉</t>
  </si>
  <si>
    <t>在協</t>
  </si>
  <si>
    <t>䕹</t>
  </si>
  <si>
    <t>子協</t>
  </si>
  <si>
    <t>浹𠗉㼪</t>
  </si>
  <si>
    <t>呼牒</t>
  </si>
  <si>
    <t>先頰</t>
  </si>
  <si>
    <t>䢡</t>
  </si>
  <si>
    <t>入31洽</t>
  </si>
  <si>
    <t>侯夾</t>
  </si>
  <si>
    <t>洽</t>
  </si>
  <si>
    <t>苦洽</t>
  </si>
  <si>
    <t>恰掐䁍㓣䶢帢𠕣𢂿㡊𣁴</t>
  </si>
  <si>
    <t>士洽</t>
  </si>
  <si>
    <t>古洽</t>
  </si>
  <si>
    <t>側洽</t>
  </si>
  <si>
    <t>眨偛㞚䙄𥀈䛽</t>
  </si>
  <si>
    <t>楚洽</t>
  </si>
  <si>
    <t>插臿鍤扱笈疀㛼㷅𤜯喢</t>
  </si>
  <si>
    <t>女洽</t>
  </si>
  <si>
    <t>呼洽</t>
  </si>
  <si>
    <t>山洽</t>
  </si>
  <si>
    <t>霎歃箑䈉𧳛萐喢</t>
  </si>
  <si>
    <t>竹洽</t>
  </si>
  <si>
    <t>楥楦韗𩋢</t>
  </si>
  <si>
    <t>渠建</t>
  </si>
  <si>
    <t>𣀔</t>
  </si>
  <si>
    <t>于願</t>
  </si>
  <si>
    <t>遠</t>
  </si>
  <si>
    <t>𤬝鬳</t>
  </si>
  <si>
    <t>臼万</t>
  </si>
  <si>
    <t>圈</t>
  </si>
  <si>
    <t>居願</t>
  </si>
  <si>
    <t>去26慁</t>
  </si>
  <si>
    <t>胡困</t>
  </si>
  <si>
    <t>都困</t>
  </si>
  <si>
    <t>頓扽敦</t>
  </si>
  <si>
    <t>蘇困</t>
  </si>
  <si>
    <t>遜!巽𩕧潠𠹀愻</t>
  </si>
  <si>
    <t>sun4</t>
  </si>
  <si>
    <t>苦悶</t>
  </si>
  <si>
    <t>困𣏔涃𩒱</t>
  </si>
  <si>
    <t>kun4</t>
  </si>
  <si>
    <t>奴困</t>
  </si>
  <si>
    <t>nun4</t>
  </si>
  <si>
    <t>烏困</t>
  </si>
  <si>
    <t>莫困</t>
  </si>
  <si>
    <t>悶懣</t>
  </si>
  <si>
    <t>men4</t>
  </si>
  <si>
    <t>徂悶</t>
  </si>
  <si>
    <t>古困</t>
  </si>
  <si>
    <t>gun4</t>
  </si>
  <si>
    <t>普悶</t>
  </si>
  <si>
    <t>噴=歕湓</t>
  </si>
  <si>
    <t>pen4</t>
  </si>
  <si>
    <t>徒困</t>
  </si>
  <si>
    <t>鈍遁遯鶨𩔂</t>
  </si>
  <si>
    <t>倉困</t>
  </si>
  <si>
    <t>寸䍎</t>
  </si>
  <si>
    <t>cun4</t>
  </si>
  <si>
    <t>蒲悶</t>
  </si>
  <si>
    <t>坌𣴞</t>
  </si>
  <si>
    <t>五困</t>
  </si>
  <si>
    <t>顐諢</t>
  </si>
  <si>
    <t>盧困</t>
  </si>
  <si>
    <t>論溣碖</t>
  </si>
  <si>
    <t>lun4</t>
  </si>
  <si>
    <t>甫悶</t>
  </si>
  <si>
    <t>奔</t>
  </si>
  <si>
    <t>呼悶</t>
  </si>
  <si>
    <t>惛</t>
  </si>
  <si>
    <t>子寸</t>
  </si>
  <si>
    <t>焌𩯄捘</t>
  </si>
  <si>
    <t>去27恨</t>
  </si>
  <si>
    <t>胡艮</t>
  </si>
  <si>
    <t>恨</t>
  </si>
  <si>
    <t>古恨</t>
  </si>
  <si>
    <t>gen4</t>
  </si>
  <si>
    <t>五恨</t>
  </si>
  <si>
    <t>䭓</t>
  </si>
  <si>
    <t>en4</t>
  </si>
  <si>
    <t>烏恨</t>
  </si>
  <si>
    <t>䭡</t>
  </si>
  <si>
    <t>去28翰</t>
  </si>
  <si>
    <t>侯旰</t>
  </si>
  <si>
    <t>翰</t>
  </si>
  <si>
    <t>炭[碳]歎嘆湠𢾋㛶</t>
  </si>
  <si>
    <t>tan4</t>
  </si>
  <si>
    <t>烏旰</t>
  </si>
  <si>
    <t>按案洝晏荌䢿䅁</t>
  </si>
  <si>
    <t>6-&gt;7!</t>
  </si>
  <si>
    <t>an4</t>
  </si>
  <si>
    <t>得按</t>
  </si>
  <si>
    <t>旦疸鴠觛狚𢘇笪㡺</t>
  </si>
  <si>
    <t>徒案</t>
  </si>
  <si>
    <t>憚彈澶僤但撣</t>
  </si>
  <si>
    <t>古案</t>
  </si>
  <si>
    <t>gan4</t>
  </si>
  <si>
    <t>五旰</t>
  </si>
  <si>
    <t>岸犴豻頇䮗㷳𡹼喭𨲊</t>
  </si>
  <si>
    <t>苦旰</t>
  </si>
  <si>
    <t>kan4</t>
  </si>
  <si>
    <t>呼旰</t>
  </si>
  <si>
    <t>漢暵𤳉熯䍐(罕)𡅻𤅩䎯厂</t>
  </si>
  <si>
    <t>郎旰</t>
  </si>
  <si>
    <t>lan4</t>
  </si>
  <si>
    <t>奴案</t>
  </si>
  <si>
    <t>攤灘難𦍀㬮𢅼</t>
  </si>
  <si>
    <t>nan4</t>
  </si>
  <si>
    <t>蒼案</t>
  </si>
  <si>
    <t>can4</t>
  </si>
  <si>
    <t>蘇旰</t>
  </si>
  <si>
    <t>散!繖(𢿨)𢿱䈀𣀧帴</t>
  </si>
  <si>
    <t>san4</t>
  </si>
  <si>
    <t>則旰</t>
  </si>
  <si>
    <t>去29換</t>
  </si>
  <si>
    <t>胡玩</t>
  </si>
  <si>
    <t>換逭𩁧肒垸䯘漶䀓𤴯</t>
  </si>
  <si>
    <t>子筭</t>
  </si>
  <si>
    <t>zuan4</t>
  </si>
  <si>
    <t>烏貫</t>
  </si>
  <si>
    <t>惋腕𦞿捥睕琬</t>
  </si>
  <si>
    <t>古玩</t>
  </si>
  <si>
    <t>guan4</t>
  </si>
  <si>
    <t>七亂</t>
  </si>
  <si>
    <t>cuan4</t>
  </si>
  <si>
    <t>五換</t>
  </si>
  <si>
    <t>徒玩</t>
  </si>
  <si>
    <t>段椴毈</t>
  </si>
  <si>
    <t>郎段</t>
  </si>
  <si>
    <t>luan4</t>
  </si>
  <si>
    <t>丁貫</t>
  </si>
  <si>
    <t>通貫</t>
  </si>
  <si>
    <t>tuan4</t>
  </si>
  <si>
    <t>火貫</t>
  </si>
  <si>
    <t>蘇貫</t>
  </si>
  <si>
    <t>suan4</t>
  </si>
  <si>
    <t>莫半</t>
  </si>
  <si>
    <t>縵幔漫𢿜𦔔獌䝢墁=鏝謾[熳]</t>
  </si>
  <si>
    <t>man4</t>
  </si>
  <si>
    <t>博慢?</t>
  </si>
  <si>
    <t>半絆靽姅𩢔㪵𠯘</t>
  </si>
  <si>
    <t>普半</t>
  </si>
  <si>
    <t>pan4</t>
  </si>
  <si>
    <t>薄半</t>
  </si>
  <si>
    <t>叛𡞟畔伴</t>
  </si>
  <si>
    <t>奴亂</t>
  </si>
  <si>
    <t>nuan4</t>
  </si>
  <si>
    <t>在玩</t>
  </si>
  <si>
    <t>攅</t>
  </si>
  <si>
    <t>口喚</t>
  </si>
  <si>
    <t>䥗䲌</t>
  </si>
  <si>
    <t>kuan4</t>
  </si>
  <si>
    <t>去30諫</t>
  </si>
  <si>
    <t>古晏</t>
  </si>
  <si>
    <t>諫</t>
  </si>
  <si>
    <t>五晏</t>
  </si>
  <si>
    <t>烏澗</t>
  </si>
  <si>
    <t>晏騴䁙鴳鷃</t>
  </si>
  <si>
    <t>所晏</t>
  </si>
  <si>
    <t>訕汕狦𦌔疝柵䴮</t>
  </si>
  <si>
    <t>下晏</t>
  </si>
  <si>
    <t>謨晏</t>
  </si>
  <si>
    <t>慢嫚謾縵㾺</t>
  </si>
  <si>
    <t>烏患</t>
  </si>
  <si>
    <t>胡慣</t>
  </si>
  <si>
    <t>古患</t>
  </si>
  <si>
    <t>慣丱摜倌串矔</t>
  </si>
  <si>
    <t>生患</t>
  </si>
  <si>
    <t>㝈(孿)涮</t>
  </si>
  <si>
    <t>初患</t>
  </si>
  <si>
    <t>篡</t>
  </si>
  <si>
    <t>chuan4</t>
  </si>
  <si>
    <t>五患</t>
  </si>
  <si>
    <t>薍</t>
  </si>
  <si>
    <t>士諫</t>
  </si>
  <si>
    <t>輚棧虥𧮺䗃</t>
  </si>
  <si>
    <t>普患</t>
  </si>
  <si>
    <t>襻</t>
  </si>
  <si>
    <t>女患</t>
  </si>
  <si>
    <t>初鴈</t>
  </si>
  <si>
    <t>鏟羼䴼</t>
  </si>
  <si>
    <t>chan4</t>
  </si>
  <si>
    <t>丑晏</t>
  </si>
  <si>
    <t>㬄㾺</t>
  </si>
  <si>
    <t>古莧</t>
  </si>
  <si>
    <t>蒲莧</t>
  </si>
  <si>
    <t>瓣辨辦釆</t>
  </si>
  <si>
    <t>4?</t>
  </si>
  <si>
    <t>匹莧</t>
  </si>
  <si>
    <t>盻(盼)𥌊</t>
  </si>
  <si>
    <t>胡辨</t>
  </si>
  <si>
    <t>幻</t>
  </si>
  <si>
    <t>亡莧</t>
  </si>
  <si>
    <t>蔄</t>
  </si>
  <si>
    <t>丈莧</t>
  </si>
  <si>
    <t>袒綻䋎</t>
  </si>
  <si>
    <t>脯幻</t>
  </si>
  <si>
    <t>古幻</t>
  </si>
  <si>
    <t>鰥</t>
  </si>
  <si>
    <t>去32霰</t>
  </si>
  <si>
    <t>蘇佃</t>
  </si>
  <si>
    <t>霰</t>
  </si>
  <si>
    <t>倉甸</t>
  </si>
  <si>
    <t>蒨茜輤綪倩芊䛹棈𢂺𧚫䍎䑶篟</t>
  </si>
  <si>
    <t>qian4</t>
  </si>
  <si>
    <t>許縣</t>
  </si>
  <si>
    <t>黃練</t>
  </si>
  <si>
    <t>古縣</t>
  </si>
  <si>
    <t>堂練</t>
  </si>
  <si>
    <t>他甸</t>
  </si>
  <si>
    <t>tian4</t>
  </si>
  <si>
    <t>郎甸</t>
  </si>
  <si>
    <t>lian4</t>
  </si>
  <si>
    <t>古電</t>
  </si>
  <si>
    <t>奴甸</t>
  </si>
  <si>
    <t>晛㬗㜣㲽</t>
  </si>
  <si>
    <t>nian4</t>
  </si>
  <si>
    <t>苦甸</t>
  </si>
  <si>
    <t>俔牽菣蜆㯠涀汧䵖</t>
  </si>
  <si>
    <t>刪晛</t>
  </si>
  <si>
    <t>胡甸</t>
  </si>
  <si>
    <t>現!見涀𨘇</t>
  </si>
  <si>
    <t>吾甸</t>
  </si>
  <si>
    <t>硯研𨁍𤜵豜趼</t>
  </si>
  <si>
    <t>於甸</t>
  </si>
  <si>
    <t>宴驠燕鷰醼讌嬿嚥咽㬫溎酀𥉛</t>
  </si>
  <si>
    <t>作甸</t>
  </si>
  <si>
    <t>薦𧲛[牮]</t>
  </si>
  <si>
    <t>莫甸</t>
  </si>
  <si>
    <t>mian4</t>
  </si>
  <si>
    <t>普麵</t>
  </si>
  <si>
    <t>片䏒㸤</t>
  </si>
  <si>
    <t>pian4</t>
  </si>
  <si>
    <t>在甸</t>
  </si>
  <si>
    <t>烏縣</t>
  </si>
  <si>
    <t>䬼裫噮肙</t>
  </si>
  <si>
    <t>都甸</t>
  </si>
  <si>
    <t>殿唸(𠿍）</t>
  </si>
  <si>
    <t>呼甸</t>
  </si>
  <si>
    <t>𩎌(韅)</t>
  </si>
  <si>
    <t>去33線</t>
  </si>
  <si>
    <t>私箭</t>
  </si>
  <si>
    <t>之膳</t>
  </si>
  <si>
    <t>戰顫</t>
  </si>
  <si>
    <t>時戰</t>
  </si>
  <si>
    <t>魚變</t>
  </si>
  <si>
    <t>去戰</t>
  </si>
  <si>
    <t>吉掾</t>
  </si>
  <si>
    <t>絹狷鄄㯞䚈</t>
  </si>
  <si>
    <t>王眷</t>
  </si>
  <si>
    <t>瑗援媛褑院</t>
  </si>
  <si>
    <t>彌箭</t>
  </si>
  <si>
    <t>面偭</t>
  </si>
  <si>
    <t>尺絹</t>
  </si>
  <si>
    <t>釧竁穿[串]諯</t>
  </si>
  <si>
    <t>以絹</t>
  </si>
  <si>
    <t>陟扇</t>
  </si>
  <si>
    <t>𩥇𧝑襢</t>
  </si>
  <si>
    <t>人絹</t>
  </si>
  <si>
    <t>𤲬</t>
  </si>
  <si>
    <t>ruan4</t>
  </si>
  <si>
    <t>子賤</t>
  </si>
  <si>
    <t>箭𥳭鬋葥湔榗籛濺煎</t>
  </si>
  <si>
    <t>昌戰</t>
  </si>
  <si>
    <t>硟</t>
  </si>
  <si>
    <t>式戰</t>
  </si>
  <si>
    <t>扇煽[騸]</t>
  </si>
  <si>
    <t>於扇</t>
  </si>
  <si>
    <t>躽𥈔堰</t>
  </si>
  <si>
    <t>居倦</t>
  </si>
  <si>
    <t>渠卷</t>
  </si>
  <si>
    <t>力卷</t>
  </si>
  <si>
    <t>丑戀</t>
  </si>
  <si>
    <t>猭鶨</t>
  </si>
  <si>
    <t>彼眷</t>
  </si>
  <si>
    <t>變</t>
  </si>
  <si>
    <t>所眷</t>
  </si>
  <si>
    <t>𨏉㝈(孿)</t>
  </si>
  <si>
    <t>七絹</t>
  </si>
  <si>
    <t>縓諯𥆊</t>
  </si>
  <si>
    <t>皮變</t>
  </si>
  <si>
    <t>㳬(漩)鏇縼𢳄旋嫙䍻𧾩𦛔</t>
  </si>
  <si>
    <t>息眷</t>
  </si>
  <si>
    <t>士戀</t>
  </si>
  <si>
    <t>莊眷</t>
  </si>
  <si>
    <t>孨</t>
  </si>
  <si>
    <t>直戀</t>
  </si>
  <si>
    <t>傳𦁆</t>
  </si>
  <si>
    <t>才線</t>
  </si>
  <si>
    <t>賤諓餞</t>
  </si>
  <si>
    <t>似面</t>
  </si>
  <si>
    <t>羡䢭</t>
  </si>
  <si>
    <t>匹戰</t>
  </si>
  <si>
    <t>時釧</t>
  </si>
  <si>
    <t>女箭</t>
  </si>
  <si>
    <t>輾碾</t>
  </si>
  <si>
    <t>知戀</t>
  </si>
  <si>
    <t>囀傳轉</t>
  </si>
  <si>
    <t>于線？</t>
  </si>
  <si>
    <t>衍莚羡狿延涎䢭𠻤</t>
  </si>
  <si>
    <t>婢面</t>
  </si>
  <si>
    <t>便</t>
  </si>
  <si>
    <t>持碾</t>
  </si>
  <si>
    <t>邅纏</t>
  </si>
  <si>
    <t>𤹨漣</t>
  </si>
  <si>
    <t>區倦</t>
  </si>
  <si>
    <t>之囀</t>
  </si>
  <si>
    <t>剸</t>
  </si>
  <si>
    <t>方見</t>
  </si>
  <si>
    <t>去34嘯</t>
  </si>
  <si>
    <t>蘇弔</t>
  </si>
  <si>
    <t>嘯</t>
  </si>
  <si>
    <t>他弔</t>
  </si>
  <si>
    <t>tiao4</t>
  </si>
  <si>
    <t>多嘯</t>
  </si>
  <si>
    <t>古弔</t>
  </si>
  <si>
    <t>奴弔</t>
  </si>
  <si>
    <t>尿=㞙</t>
  </si>
  <si>
    <t>niao4</t>
  </si>
  <si>
    <t>徒弔</t>
  </si>
  <si>
    <t>苦弔</t>
  </si>
  <si>
    <t>竅撽=𢵿|撬|</t>
  </si>
  <si>
    <t>qiao4</t>
  </si>
  <si>
    <t>力弔</t>
  </si>
  <si>
    <t>liao4</t>
  </si>
  <si>
    <t>五弔</t>
  </si>
  <si>
    <t>顤獟𠹑澆𪖐</t>
  </si>
  <si>
    <t>yao4</t>
  </si>
  <si>
    <t>烏叫</t>
  </si>
  <si>
    <t>窔𥦒</t>
  </si>
  <si>
    <t>火弔</t>
  </si>
  <si>
    <t>去35笑</t>
  </si>
  <si>
    <t>私妙</t>
  </si>
  <si>
    <t>照炤詔𨹸𠧙</t>
  </si>
  <si>
    <t>弋照</t>
  </si>
  <si>
    <t>趡改作趭</t>
  </si>
  <si>
    <t>於笑</t>
  </si>
  <si>
    <t>要葽約</t>
  </si>
  <si>
    <t>直照</t>
  </si>
  <si>
    <t>召</t>
  </si>
  <si>
    <t>寔照</t>
  </si>
  <si>
    <t>邵召劭𠧙𠣫䬰卲</t>
  </si>
  <si>
    <t>渠廟</t>
  </si>
  <si>
    <t>嶠轎</t>
  </si>
  <si>
    <t>匹妙</t>
  </si>
  <si>
    <t>piao4</t>
  </si>
  <si>
    <t>才笑</t>
  </si>
  <si>
    <t>彌笑</t>
  </si>
  <si>
    <t>妙玅篎</t>
  </si>
  <si>
    <t>miao4</t>
  </si>
  <si>
    <t>七肖</t>
  </si>
  <si>
    <t>力照</t>
  </si>
  <si>
    <t>丘召</t>
  </si>
  <si>
    <t>趬𠿕㢗譑㚁</t>
  </si>
  <si>
    <t>牛召</t>
  </si>
  <si>
    <t>𧇠</t>
  </si>
  <si>
    <t>子肖</t>
  </si>
  <si>
    <t>眉召</t>
  </si>
  <si>
    <t>毗召</t>
  </si>
  <si>
    <t>驃|票|</t>
  </si>
  <si>
    <t>失照</t>
  </si>
  <si>
    <t>少燒</t>
  </si>
  <si>
    <t>丑召</t>
  </si>
  <si>
    <t>朓</t>
  </si>
  <si>
    <t>chao4</t>
  </si>
  <si>
    <t>方廟</t>
  </si>
  <si>
    <t>裱俵</t>
  </si>
  <si>
    <t>巨要</t>
  </si>
  <si>
    <t>翹</t>
  </si>
  <si>
    <t>人要</t>
  </si>
  <si>
    <t>饒繞</t>
  </si>
  <si>
    <t>rao4</t>
  </si>
  <si>
    <t>去36效</t>
  </si>
  <si>
    <t>古孝</t>
  </si>
  <si>
    <t>孝哮涍嗃詨𡦳</t>
  </si>
  <si>
    <t>罩䈇䍜䞴鵫</t>
  </si>
  <si>
    <t>豹𧭤𢖔爆䶂</t>
  </si>
  <si>
    <t>敲礉巧</t>
  </si>
  <si>
    <t>mao4</t>
  </si>
  <si>
    <t>pao4</t>
  </si>
  <si>
    <t>趠踔</t>
  </si>
  <si>
    <t>棹櫂濯㷹</t>
  </si>
  <si>
    <t>nao4</t>
  </si>
  <si>
    <t>樂磽</t>
  </si>
  <si>
    <t>士稍</t>
  </si>
  <si>
    <t>巢</t>
  </si>
  <si>
    <t>胡倒</t>
  </si>
  <si>
    <t>号</t>
  </si>
  <si>
    <t>徒到</t>
  </si>
  <si>
    <t>導翿纛悼蹈盜燾幬䆃儔𨱵𠺛䊭䌦</t>
  </si>
  <si>
    <t>刪壽</t>
  </si>
  <si>
    <t>都導</t>
  </si>
  <si>
    <t>到禱倒𤓾𧛔菿</t>
  </si>
  <si>
    <t>古到</t>
  </si>
  <si>
    <t>gao4</t>
  </si>
  <si>
    <t>五到</t>
  </si>
  <si>
    <t>ao4</t>
  </si>
  <si>
    <t>莫報</t>
  </si>
  <si>
    <t>郎到</t>
  </si>
  <si>
    <t>lao4</t>
  </si>
  <si>
    <t>七到</t>
  </si>
  <si>
    <t>cao4</t>
  </si>
  <si>
    <t>薄報</t>
  </si>
  <si>
    <t>博耗</t>
  </si>
  <si>
    <t>報</t>
  </si>
  <si>
    <t>在到</t>
  </si>
  <si>
    <t>漕𢲵</t>
  </si>
  <si>
    <t>烏到</t>
  </si>
  <si>
    <t>蘇到</t>
  </si>
  <si>
    <t>sao4</t>
  </si>
  <si>
    <t>苦到</t>
  </si>
  <si>
    <t>kao4</t>
  </si>
  <si>
    <t>則到</t>
  </si>
  <si>
    <t>呼到</t>
  </si>
  <si>
    <t>耗)!秏好𡚽𡥆藃</t>
  </si>
  <si>
    <t>那到</t>
  </si>
  <si>
    <t>去38箇</t>
  </si>
  <si>
    <t>古賀</t>
  </si>
  <si>
    <t>ge4</t>
  </si>
  <si>
    <t>箇</t>
  </si>
  <si>
    <t>胡箇</t>
  </si>
  <si>
    <t>則箇</t>
  </si>
  <si>
    <t>丁佐</t>
  </si>
  <si>
    <t>跢癉痑哆</t>
  </si>
  <si>
    <t>郎佐</t>
  </si>
  <si>
    <t>邏𧟌㿚</t>
  </si>
  <si>
    <t>luo4</t>
  </si>
  <si>
    <t>口箇</t>
  </si>
  <si>
    <t>坷軻蚵艐</t>
  </si>
  <si>
    <t>ke4</t>
  </si>
  <si>
    <t>餓</t>
  </si>
  <si>
    <t>e4</t>
  </si>
  <si>
    <t>唐佐</t>
  </si>
  <si>
    <t>奴箇</t>
  </si>
  <si>
    <t>那!奈</t>
  </si>
  <si>
    <t>nuo4</t>
  </si>
  <si>
    <t>蘇箇</t>
  </si>
  <si>
    <t>suo4</t>
  </si>
  <si>
    <t>呼箇</t>
  </si>
  <si>
    <t>呵㰤</t>
  </si>
  <si>
    <t>吐邏</t>
  </si>
  <si>
    <t>拖</t>
  </si>
  <si>
    <t>tuo4</t>
  </si>
  <si>
    <t>去39過</t>
  </si>
  <si>
    <t>過裹划鐹𧒖𩟂㳀[騍]</t>
  </si>
  <si>
    <t>guo4</t>
  </si>
  <si>
    <t>挫夎侳</t>
  </si>
  <si>
    <t>課科堁敤髁𡱼㾧</t>
  </si>
  <si>
    <t>kuo4</t>
  </si>
  <si>
    <t>補過</t>
  </si>
  <si>
    <t>播簸番𢿥譒</t>
  </si>
  <si>
    <t>剉莝銼</t>
  </si>
  <si>
    <t>cuo4</t>
  </si>
  <si>
    <t>磨摩䃺塺</t>
  </si>
  <si>
    <t>mo4</t>
  </si>
  <si>
    <t>普過</t>
  </si>
  <si>
    <t>破頗</t>
  </si>
  <si>
    <t>po4</t>
  </si>
  <si>
    <t>座坐</t>
  </si>
  <si>
    <t>吾貨</t>
  </si>
  <si>
    <t>臥</t>
  </si>
  <si>
    <t>wo4</t>
  </si>
  <si>
    <t>千過</t>
  </si>
  <si>
    <t>呼臥</t>
  </si>
  <si>
    <t>貨</t>
  </si>
  <si>
    <t>徒臥</t>
  </si>
  <si>
    <t>符臥</t>
  </si>
  <si>
    <t>縛</t>
  </si>
  <si>
    <t>魯過</t>
  </si>
  <si>
    <t>䇔𢺆*䌴㱻𡰠𠏢摞</t>
  </si>
  <si>
    <t>都唾</t>
  </si>
  <si>
    <t>七過</t>
  </si>
  <si>
    <t>磋</t>
  </si>
  <si>
    <t>先臥</t>
  </si>
  <si>
    <t>䐝</t>
  </si>
  <si>
    <t>安賀</t>
  </si>
  <si>
    <t>侉</t>
  </si>
  <si>
    <t>烏臥</t>
  </si>
  <si>
    <t>涴</t>
  </si>
  <si>
    <t>去40禡</t>
  </si>
  <si>
    <t>莫駕</t>
  </si>
  <si>
    <t>ma4</t>
  </si>
  <si>
    <t>禡</t>
  </si>
  <si>
    <t>古訝</t>
  </si>
  <si>
    <t>駕稼嫁架價假賈瘕幏𢱈𢉤𦙺</t>
  </si>
  <si>
    <t>衣嫁</t>
  </si>
  <si>
    <t>呼訝</t>
  </si>
  <si>
    <t>嚇罅唬𧫒㙤煆㗿謑</t>
  </si>
  <si>
    <t>吾駕</t>
  </si>
  <si>
    <t>呀!迓訝犽齖枒砑</t>
  </si>
  <si>
    <t>丑亞</t>
  </si>
  <si>
    <t>詫侘𧬮</t>
  </si>
  <si>
    <t>cha4</t>
  </si>
  <si>
    <t>陟駕</t>
  </si>
  <si>
    <t>zha4</t>
  </si>
  <si>
    <t>側駕</t>
  </si>
  <si>
    <t>詐笮𨢧溠咋榨|蚱</t>
  </si>
  <si>
    <t>鋤駕</t>
  </si>
  <si>
    <t>乍蜡䄍齰𧧻</t>
  </si>
  <si>
    <t>謝榭㴬</t>
  </si>
  <si>
    <t>枯駕</t>
  </si>
  <si>
    <t>胡駕</t>
  </si>
  <si>
    <t>暇夏下芐</t>
  </si>
  <si>
    <t>慈夜</t>
  </si>
  <si>
    <t>褯藉躤䣠䤳</t>
  </si>
  <si>
    <t>羊謝</t>
  </si>
  <si>
    <t>充夜</t>
  </si>
  <si>
    <t>䞣斥</t>
  </si>
  <si>
    <t>che4</t>
  </si>
  <si>
    <t>司夜</t>
  </si>
  <si>
    <t>蝑卸瀉䉣</t>
  </si>
  <si>
    <t>之夜</t>
  </si>
  <si>
    <t>zhe4</t>
  </si>
  <si>
    <t>子夜</t>
  </si>
  <si>
    <t>唶借</t>
  </si>
  <si>
    <t>始夜</t>
  </si>
  <si>
    <t>神夜</t>
  </si>
  <si>
    <t>射䠶麝貰</t>
  </si>
  <si>
    <t>必駕</t>
  </si>
  <si>
    <t>普駕</t>
  </si>
  <si>
    <t>帊怕</t>
  </si>
  <si>
    <t>pa4</t>
  </si>
  <si>
    <t>胡化</t>
  </si>
  <si>
    <t>呼霸</t>
  </si>
  <si>
    <t>苦化</t>
  </si>
  <si>
    <t>跨胯𡕒</t>
  </si>
  <si>
    <t>kua4</t>
  </si>
  <si>
    <t>所化</t>
  </si>
  <si>
    <t>shua4</t>
  </si>
  <si>
    <t>白駕</t>
  </si>
  <si>
    <t>𤝡杷[耙]跁𦫙𥝧𩹏</t>
  </si>
  <si>
    <t>乃亞</t>
  </si>
  <si>
    <t>䏧絮</t>
  </si>
  <si>
    <t>na4</t>
  </si>
  <si>
    <t>遷謝</t>
  </si>
  <si>
    <t>笪䞣</t>
  </si>
  <si>
    <t>所嫁</t>
  </si>
  <si>
    <t>嗄𦔯沙</t>
  </si>
  <si>
    <t>古罵</t>
  </si>
  <si>
    <t>除駕</t>
  </si>
  <si>
    <t>䖳䅊</t>
  </si>
  <si>
    <t>五化</t>
  </si>
  <si>
    <t>瓦</t>
  </si>
  <si>
    <t>wa4</t>
  </si>
  <si>
    <t>烏㕦</t>
  </si>
  <si>
    <t>去41漾</t>
  </si>
  <si>
    <t>餘亮</t>
  </si>
  <si>
    <t>yang4</t>
  </si>
  <si>
    <t>漾</t>
  </si>
  <si>
    <t>力讓</t>
  </si>
  <si>
    <t>liang4</t>
  </si>
  <si>
    <t>鋤亮</t>
  </si>
  <si>
    <t>狀</t>
  </si>
  <si>
    <t>人樣</t>
  </si>
  <si>
    <t>讓攘欀懹</t>
  </si>
  <si>
    <t>rang4</t>
  </si>
  <si>
    <t>式亮</t>
  </si>
  <si>
    <t>知亮</t>
  </si>
  <si>
    <t>丑亮</t>
  </si>
  <si>
    <t>chang4</t>
  </si>
  <si>
    <t>許亮</t>
  </si>
  <si>
    <t>直亮</t>
  </si>
  <si>
    <t>女亮</t>
  </si>
  <si>
    <t>釀𥽬䖆</t>
  </si>
  <si>
    <t>niang4</t>
  </si>
  <si>
    <t>疾亮</t>
  </si>
  <si>
    <t>匠䞪𪀘</t>
  </si>
  <si>
    <t>之亮</t>
  </si>
  <si>
    <t>障=㢓墇嶂瘴(幛)</t>
  </si>
  <si>
    <t>時亮</t>
  </si>
  <si>
    <t>側亮</t>
  </si>
  <si>
    <t>壯裝䊋</t>
  </si>
  <si>
    <t>於亮</t>
  </si>
  <si>
    <t>其亮</t>
  </si>
  <si>
    <t>弶[糨]</t>
  </si>
  <si>
    <t>尺亮</t>
  </si>
  <si>
    <t>唱廠倡𪛋</t>
  </si>
  <si>
    <t>初亮</t>
  </si>
  <si>
    <t>子亮</t>
  </si>
  <si>
    <t>醬=𨡰=𨟻將</t>
  </si>
  <si>
    <t>魚向</t>
  </si>
  <si>
    <t>𨋕仰</t>
  </si>
  <si>
    <t>敷亮</t>
  </si>
  <si>
    <t>訪妨邡</t>
  </si>
  <si>
    <t>巫放</t>
  </si>
  <si>
    <t>妄望朢忘汒𧫢</t>
  </si>
  <si>
    <t>wang4</t>
  </si>
  <si>
    <t>許訪</t>
  </si>
  <si>
    <t>居況</t>
  </si>
  <si>
    <t>誑㤮𠉫臦</t>
  </si>
  <si>
    <t>于放</t>
  </si>
  <si>
    <t>迋旺暀㤮王</t>
  </si>
  <si>
    <t>甫妄</t>
  </si>
  <si>
    <t>息亮</t>
  </si>
  <si>
    <t>相</t>
  </si>
  <si>
    <t>居亮</t>
  </si>
  <si>
    <t>彊</t>
  </si>
  <si>
    <t>丘亮</t>
  </si>
  <si>
    <t>唴𥇉羻</t>
  </si>
  <si>
    <t>qiang4</t>
  </si>
  <si>
    <t>七亮</t>
  </si>
  <si>
    <t>蹡</t>
  </si>
  <si>
    <t>渠放</t>
  </si>
  <si>
    <t>狂誆</t>
  </si>
  <si>
    <t>符況</t>
  </si>
  <si>
    <t>防</t>
  </si>
  <si>
    <t>去42宕</t>
  </si>
  <si>
    <t>徒浪</t>
  </si>
  <si>
    <t>宕踼碭逿𦿆(菪)𡇈嵣</t>
  </si>
  <si>
    <t>來宕</t>
  </si>
  <si>
    <t>浪閬埌䕞蒗</t>
  </si>
  <si>
    <t>lang4</t>
  </si>
  <si>
    <t>下浪</t>
  </si>
  <si>
    <t>吭行笐</t>
  </si>
  <si>
    <t>烏浪</t>
  </si>
  <si>
    <t>盎醠</t>
  </si>
  <si>
    <t>ang4</t>
  </si>
  <si>
    <t>五浪</t>
  </si>
  <si>
    <t>則浪</t>
  </si>
  <si>
    <t>葬</t>
  </si>
  <si>
    <t>蒲浪</t>
  </si>
  <si>
    <t>傍徬</t>
  </si>
  <si>
    <t>徂浪</t>
  </si>
  <si>
    <t>藏奘𨌄</t>
  </si>
  <si>
    <t>丁浪</t>
  </si>
  <si>
    <t>苦浪</t>
  </si>
  <si>
    <t>kang4</t>
  </si>
  <si>
    <t>補曠</t>
  </si>
  <si>
    <t>螃搒舫謗</t>
  </si>
  <si>
    <t>他浪</t>
  </si>
  <si>
    <t>儻湯[燙]蕩盪𨫖</t>
  </si>
  <si>
    <t>tang4</t>
  </si>
  <si>
    <t>苦謗</t>
  </si>
  <si>
    <t>曠爌矌壙纊</t>
  </si>
  <si>
    <t>kuang4</t>
  </si>
  <si>
    <t>奴浪</t>
  </si>
  <si>
    <t>nang4</t>
  </si>
  <si>
    <t>蘇浪</t>
  </si>
  <si>
    <t>喪=𠸶</t>
  </si>
  <si>
    <t>sang4</t>
  </si>
  <si>
    <t>乎曠</t>
  </si>
  <si>
    <t>攩擴潢暀</t>
  </si>
  <si>
    <t>古曠</t>
  </si>
  <si>
    <t>桄光</t>
  </si>
  <si>
    <t>古浪</t>
  </si>
  <si>
    <t>呼浪</t>
  </si>
  <si>
    <t>荒</t>
  </si>
  <si>
    <t>莫浪</t>
  </si>
  <si>
    <t>mang4</t>
  </si>
  <si>
    <t>汪䤑</t>
  </si>
  <si>
    <t>去43映</t>
  </si>
  <si>
    <t>於敬</t>
  </si>
  <si>
    <t>ying4</t>
  </si>
  <si>
    <t>敬</t>
  </si>
  <si>
    <t>居慶</t>
  </si>
  <si>
    <t>敬竟鏡獍</t>
  </si>
  <si>
    <t>渠敬</t>
  </si>
  <si>
    <t>丘敬</t>
  </si>
  <si>
    <t>慶</t>
  </si>
  <si>
    <t>qing4</t>
  </si>
  <si>
    <t>古孟</t>
  </si>
  <si>
    <t>更</t>
  </si>
  <si>
    <t>geng4</t>
  </si>
  <si>
    <t>眉病</t>
  </si>
  <si>
    <t>命</t>
  </si>
  <si>
    <t>ming4</t>
  </si>
  <si>
    <t>皮命</t>
  </si>
  <si>
    <t>病評枰𡊞(坪)</t>
  </si>
  <si>
    <t>莫更</t>
  </si>
  <si>
    <t>蝗橫㶇</t>
  </si>
  <si>
    <t>陂病</t>
  </si>
  <si>
    <t>下更</t>
  </si>
  <si>
    <t>行絎胻</t>
  </si>
  <si>
    <t>於孟</t>
  </si>
  <si>
    <t>瀴</t>
  </si>
  <si>
    <t>eng4</t>
  </si>
  <si>
    <t>楚敬</t>
  </si>
  <si>
    <t>㵾</t>
  </si>
  <si>
    <t>cheng4</t>
  </si>
  <si>
    <t>倀趟偵𩏠柼|幀</t>
  </si>
  <si>
    <t>幀=㡧</t>
  </si>
  <si>
    <t>他孟</t>
  </si>
  <si>
    <t>牚[撐]</t>
  </si>
  <si>
    <t>北孟</t>
  </si>
  <si>
    <t>榜𧻓跰</t>
  </si>
  <si>
    <t>除更</t>
  </si>
  <si>
    <t>所敬</t>
  </si>
  <si>
    <t>生鼪貹</t>
  </si>
  <si>
    <t>sheng4</t>
  </si>
  <si>
    <t>魚敬</t>
  </si>
  <si>
    <t>蒲孟</t>
  </si>
  <si>
    <t>膨[甏]</t>
  </si>
  <si>
    <t>許更</t>
  </si>
  <si>
    <t>䛭</t>
  </si>
  <si>
    <t>烏橫</t>
  </si>
  <si>
    <t>𥥈</t>
  </si>
  <si>
    <t>去44諍</t>
  </si>
  <si>
    <t>側迸</t>
  </si>
  <si>
    <t>諍</t>
  </si>
  <si>
    <t>北諍</t>
  </si>
  <si>
    <t>迸</t>
  </si>
  <si>
    <t>蒲迸</t>
  </si>
  <si>
    <t>𠊧</t>
  </si>
  <si>
    <t>鷖迸</t>
  </si>
  <si>
    <t>䙬嫈</t>
  </si>
  <si>
    <t>五爭</t>
  </si>
  <si>
    <t>呼迸</t>
  </si>
  <si>
    <t>轟輷</t>
  </si>
  <si>
    <t>hung4</t>
  </si>
  <si>
    <t>去45勁</t>
  </si>
  <si>
    <t>居正</t>
  </si>
  <si>
    <t>勁</t>
  </si>
  <si>
    <t>七政</t>
  </si>
  <si>
    <t>倩凊</t>
  </si>
  <si>
    <t>之盛</t>
  </si>
  <si>
    <t>式正</t>
  </si>
  <si>
    <t>聖</t>
  </si>
  <si>
    <t>直正</t>
  </si>
  <si>
    <t>鄭呈㽀</t>
  </si>
  <si>
    <t>丑鄭</t>
  </si>
  <si>
    <t>息正</t>
  </si>
  <si>
    <t>性姓</t>
  </si>
  <si>
    <t>力政</t>
  </si>
  <si>
    <t>令詅</t>
  </si>
  <si>
    <t>ling4</t>
  </si>
  <si>
    <t>匹正</t>
  </si>
  <si>
    <t>聘娉俜</t>
  </si>
  <si>
    <t>ping4</t>
  </si>
  <si>
    <t>休正</t>
  </si>
  <si>
    <t>敻詗醟矎</t>
  </si>
  <si>
    <t>畀政</t>
  </si>
  <si>
    <t>摒併并</t>
  </si>
  <si>
    <t>防正</t>
  </si>
  <si>
    <t>偋庰</t>
  </si>
  <si>
    <t>疾政</t>
  </si>
  <si>
    <t>承正</t>
  </si>
  <si>
    <t>彌正</t>
  </si>
  <si>
    <t>詺</t>
  </si>
  <si>
    <t>墟正</t>
  </si>
  <si>
    <t>輕</t>
  </si>
  <si>
    <t>許令</t>
  </si>
  <si>
    <t>𣢝</t>
  </si>
  <si>
    <t>子姓</t>
  </si>
  <si>
    <t>去46徑</t>
  </si>
  <si>
    <t>古定</t>
  </si>
  <si>
    <t>徑經逕𠲮俓𩰹桱</t>
  </si>
  <si>
    <t>徑</t>
  </si>
  <si>
    <t>乃定</t>
  </si>
  <si>
    <t>ning4</t>
  </si>
  <si>
    <t>蘇佞</t>
  </si>
  <si>
    <t>胡定</t>
  </si>
  <si>
    <t>徒徑</t>
  </si>
  <si>
    <t>定掟廷錠</t>
  </si>
  <si>
    <t>丁定</t>
  </si>
  <si>
    <t>苦定</t>
  </si>
  <si>
    <t>他定</t>
  </si>
  <si>
    <t>聽汀侹</t>
  </si>
  <si>
    <t>ting4</t>
  </si>
  <si>
    <t>千定</t>
  </si>
  <si>
    <t>靘掅</t>
  </si>
  <si>
    <t>莫定</t>
  </si>
  <si>
    <t>䒌暝</t>
  </si>
  <si>
    <t>烏定</t>
  </si>
  <si>
    <t>鎣瑩𢣙瀅</t>
  </si>
  <si>
    <t>郎定</t>
  </si>
  <si>
    <t>另]!零𢺰令</t>
  </si>
  <si>
    <t>去47證</t>
  </si>
  <si>
    <t>諸應</t>
  </si>
  <si>
    <t>證烝</t>
  </si>
  <si>
    <t>以證</t>
  </si>
  <si>
    <t>實證</t>
  </si>
  <si>
    <t>10-&gt;7!!</t>
  </si>
  <si>
    <t>而證</t>
  </si>
  <si>
    <t>reng4</t>
  </si>
  <si>
    <t>於證</t>
  </si>
  <si>
    <t>子孕</t>
  </si>
  <si>
    <t>女余</t>
  </si>
  <si>
    <t>袽帤𣭠挐蒘𣖹</t>
  </si>
  <si>
    <t>nv2</t>
  </si>
  <si>
    <t>上平10虞</t>
  </si>
  <si>
    <t>虞</t>
  </si>
  <si>
    <t>虞俱</t>
  </si>
  <si>
    <t>測隅</t>
  </si>
  <si>
    <t>芻犓</t>
  </si>
  <si>
    <t>chu</t>
  </si>
  <si>
    <t>武夫</t>
  </si>
  <si>
    <t>wu2</t>
  </si>
  <si>
    <t>羽俱</t>
  </si>
  <si>
    <t>況于</t>
  </si>
  <si>
    <t>訏吁雩欨㽳盱𧙆𥈈姁𦀒扜𠌶荂扜䣿旴䩒㰭虖𥈸</t>
  </si>
  <si>
    <t>其俱</t>
  </si>
  <si>
    <t>人朱</t>
  </si>
  <si>
    <t>相俞</t>
  </si>
  <si>
    <t>須鬚繻需娶緰嬃𥪥𢄼𪋯蕦鑐隃𩓣</t>
  </si>
  <si>
    <t>陟輸</t>
  </si>
  <si>
    <t>敕俱</t>
  </si>
  <si>
    <t>貙𤠾</t>
  </si>
  <si>
    <t>市朱</t>
  </si>
  <si>
    <t>殊銖洙茱殳𢎦几杸陎杸㼡𦤂</t>
  </si>
  <si>
    <t>羊朱</t>
  </si>
  <si>
    <t>ju</t>
  </si>
  <si>
    <t>豈俱</t>
  </si>
  <si>
    <t>章俱</t>
  </si>
  <si>
    <t>七逾</t>
  </si>
  <si>
    <t>趨趍鯫</t>
  </si>
  <si>
    <t>力朱</t>
  </si>
  <si>
    <t>防無</t>
  </si>
  <si>
    <t>刪抱</t>
  </si>
  <si>
    <t>fu2</t>
  </si>
  <si>
    <t>仕于</t>
  </si>
  <si>
    <t>䅳媰雛鶵</t>
  </si>
  <si>
    <t>莊俱</t>
  </si>
  <si>
    <t>芳無</t>
  </si>
  <si>
    <t>fu1</t>
  </si>
  <si>
    <t>子于</t>
  </si>
  <si>
    <t>諏㖩𡸨娵掫嗺陬</t>
  </si>
  <si>
    <t>甫無</t>
  </si>
  <si>
    <t>憶俱</t>
  </si>
  <si>
    <t>式朱</t>
  </si>
  <si>
    <t>輸鄃隃</t>
  </si>
  <si>
    <t>昌朱</t>
  </si>
  <si>
    <t>樞姝𩪍袾䇬</t>
  </si>
  <si>
    <t>直誅</t>
  </si>
  <si>
    <t>舉朱</t>
  </si>
  <si>
    <t>山芻</t>
  </si>
  <si>
    <t>shu</t>
  </si>
  <si>
    <t>上平11模</t>
  </si>
  <si>
    <t>模</t>
  </si>
  <si>
    <t>莫胡</t>
  </si>
  <si>
    <t>mu2</t>
  </si>
  <si>
    <t>薄胡</t>
  </si>
  <si>
    <t>bo</t>
  </si>
  <si>
    <t>bu</t>
  </si>
  <si>
    <t>pu2</t>
  </si>
  <si>
    <t>hu</t>
  </si>
  <si>
    <t>hu2</t>
  </si>
  <si>
    <t>古胡</t>
  </si>
  <si>
    <t>ku</t>
  </si>
  <si>
    <t>gu1</t>
  </si>
  <si>
    <t>同都</t>
  </si>
  <si>
    <t>du</t>
  </si>
  <si>
    <t>tu2</t>
  </si>
  <si>
    <t>乃都</t>
  </si>
  <si>
    <t>奴=㚢駑帑孥笯砮</t>
  </si>
  <si>
    <t>nu2</t>
  </si>
  <si>
    <t>荒烏</t>
  </si>
  <si>
    <t>hu1</t>
  </si>
  <si>
    <t>五乎</t>
  </si>
  <si>
    <t>則吾</t>
  </si>
  <si>
    <t>租蒩</t>
  </si>
  <si>
    <t>zu</t>
  </si>
  <si>
    <t>zu1</t>
  </si>
  <si>
    <t>落胡</t>
  </si>
  <si>
    <t>lu2</t>
  </si>
  <si>
    <t>素姑</t>
  </si>
  <si>
    <t>蘇穌酥㢝</t>
  </si>
  <si>
    <t>su</t>
  </si>
  <si>
    <t>su1</t>
  </si>
  <si>
    <t>昨胡</t>
  </si>
  <si>
    <t>徂䢐殂=𣨐</t>
  </si>
  <si>
    <t>cu2</t>
  </si>
  <si>
    <t>哀都</t>
  </si>
  <si>
    <t>wu1</t>
  </si>
  <si>
    <t>博孤</t>
  </si>
  <si>
    <t>po</t>
  </si>
  <si>
    <t>pu</t>
  </si>
  <si>
    <t>bu1</t>
  </si>
  <si>
    <t>苦胡</t>
  </si>
  <si>
    <t>qu</t>
  </si>
  <si>
    <t>ku1</t>
  </si>
  <si>
    <t>倉胡</t>
  </si>
  <si>
    <t>cu</t>
  </si>
  <si>
    <t>cu1</t>
  </si>
  <si>
    <t>他胡</t>
  </si>
  <si>
    <t>tu1</t>
  </si>
  <si>
    <t>當孤</t>
  </si>
  <si>
    <t>都闍𥳉𦘴𧷿醏䩲</t>
  </si>
  <si>
    <t>tu</t>
  </si>
  <si>
    <t>du1</t>
  </si>
  <si>
    <t>普胡</t>
  </si>
  <si>
    <t>pu1</t>
  </si>
  <si>
    <t>上平12齊</t>
  </si>
  <si>
    <t>四</t>
  </si>
  <si>
    <t>齊</t>
  </si>
  <si>
    <t>徂奚</t>
  </si>
  <si>
    <t>蟹</t>
  </si>
  <si>
    <t>齊臍麡蠐𪗍懠䶒癠𨥳</t>
  </si>
  <si>
    <t>ze</t>
  </si>
  <si>
    <t>郎奚</t>
  </si>
  <si>
    <t>七稽</t>
  </si>
  <si>
    <t>妻萋淒凄悽鶈郪緀齌霋</t>
  </si>
  <si>
    <t>che</t>
  </si>
  <si>
    <t>都奚</t>
  </si>
  <si>
    <t>sum23</t>
  </si>
  <si>
    <t>di1</t>
  </si>
  <si>
    <t>杜奚</t>
  </si>
  <si>
    <t>de</t>
  </si>
  <si>
    <t>䱱重複</t>
  </si>
  <si>
    <t>ti2</t>
  </si>
  <si>
    <t>邊兮</t>
  </si>
  <si>
    <t>古奚</t>
  </si>
  <si>
    <t>ke</t>
  </si>
  <si>
    <t>胡雞</t>
  </si>
  <si>
    <t>xi2</t>
  </si>
  <si>
    <t>烏奚</t>
  </si>
  <si>
    <t>鷖翳𧫦嫛黳𦎣㙠䃜黟繄䚷𣕁</t>
  </si>
  <si>
    <t>五稽</t>
  </si>
  <si>
    <t>呼雞</t>
  </si>
  <si>
    <t>he</t>
  </si>
  <si>
    <t>先稽</t>
  </si>
  <si>
    <t>se</t>
  </si>
  <si>
    <t>sum15?</t>
  </si>
  <si>
    <t>土雞</t>
  </si>
  <si>
    <t>梯睇鷈𠥸䖙㔸𨁃謕𩤽</t>
  </si>
  <si>
    <t>ti1</t>
  </si>
  <si>
    <t>部迷</t>
  </si>
  <si>
    <t>鼙鞞椑膍崥㼰笓</t>
  </si>
  <si>
    <t>匹迷</t>
  </si>
  <si>
    <t>祖稽</t>
  </si>
  <si>
    <t>ce</t>
  </si>
  <si>
    <t>莫兮</t>
  </si>
  <si>
    <t>迷𡝠䤍麛𧠠𪓬</t>
  </si>
  <si>
    <t>奴低</t>
  </si>
  <si>
    <t>苦奚</t>
  </si>
  <si>
    <t>古攜</t>
  </si>
  <si>
    <t>苦圭</t>
  </si>
  <si>
    <t>24</t>
  </si>
  <si>
    <t>hui2</t>
  </si>
  <si>
    <t>人兮</t>
  </si>
  <si>
    <t>臡</t>
  </si>
  <si>
    <t>成臡</t>
  </si>
  <si>
    <t>栘</t>
  </si>
  <si>
    <t>烏攜</t>
  </si>
  <si>
    <t>烓𧟼𤮰</t>
  </si>
  <si>
    <t>que</t>
  </si>
  <si>
    <t>呼攜</t>
  </si>
  <si>
    <t>睳</t>
  </si>
  <si>
    <t>上平13佳</t>
  </si>
  <si>
    <t>佳</t>
  </si>
  <si>
    <t>佳街</t>
  </si>
  <si>
    <t>jia1</t>
  </si>
  <si>
    <t>xia2</t>
  </si>
  <si>
    <t>薄佳</t>
  </si>
  <si>
    <t>牌棑䱝郫蠯犤𥱼</t>
  </si>
  <si>
    <t>pai2</t>
  </si>
  <si>
    <t>古娃</t>
  </si>
  <si>
    <t>gua1</t>
  </si>
  <si>
    <t>烏媧</t>
  </si>
  <si>
    <t>wa1</t>
  </si>
  <si>
    <t>苦緺</t>
  </si>
  <si>
    <t>咼喎絓䓙𦹬䦱</t>
  </si>
  <si>
    <t>kua1</t>
  </si>
  <si>
    <t>士佳</t>
  </si>
  <si>
    <t>chai2</t>
  </si>
  <si>
    <t>楚佳</t>
  </si>
  <si>
    <t>chai1</t>
  </si>
  <si>
    <t>火媧</t>
  </si>
  <si>
    <t>hua1</t>
  </si>
  <si>
    <t>妳佳</t>
  </si>
  <si>
    <t>䍲掜誽</t>
  </si>
  <si>
    <t>nai2</t>
  </si>
  <si>
    <t>五佳</t>
  </si>
  <si>
    <t>ya2</t>
  </si>
  <si>
    <t>於佳</t>
  </si>
  <si>
    <t>娃洼哇㰪𠴺</t>
  </si>
  <si>
    <t>ya1</t>
  </si>
  <si>
    <t>山佳</t>
  </si>
  <si>
    <t>shai1</t>
  </si>
  <si>
    <t>火佳</t>
  </si>
  <si>
    <t>㗨㰨</t>
  </si>
  <si>
    <t>xia1</t>
  </si>
  <si>
    <t>丑佳</t>
  </si>
  <si>
    <t>扠</t>
  </si>
  <si>
    <t>莫佳</t>
  </si>
  <si>
    <t>䁲𩍃</t>
  </si>
  <si>
    <t>mai2</t>
  </si>
  <si>
    <t>鼃</t>
  </si>
  <si>
    <t>hua2</t>
  </si>
  <si>
    <t>上平14皆</t>
  </si>
  <si>
    <t>皆</t>
  </si>
  <si>
    <t>古諧</t>
  </si>
  <si>
    <t>jie1</t>
  </si>
  <si>
    <t>乙諧</t>
  </si>
  <si>
    <t>𢰇</t>
  </si>
  <si>
    <t>ye1</t>
  </si>
  <si>
    <t>諧骸鞋𩤠瑎湝龤蝔䓳|偕</t>
  </si>
  <si>
    <t>xie2</t>
  </si>
  <si>
    <t>步皆</t>
  </si>
  <si>
    <t>古懷</t>
  </si>
  <si>
    <t>乖𦮃𠦬㾩|𦫳</t>
  </si>
  <si>
    <t>guai1</t>
  </si>
  <si>
    <t>懷褱櫰槐㜳𪊉㠢𤜄淮褢𧞷瀤</t>
  </si>
  <si>
    <t>huai2</t>
  </si>
  <si>
    <t>苦淮</t>
  </si>
  <si>
    <t>匯㨤㔞</t>
  </si>
  <si>
    <t>kuai1</t>
  </si>
  <si>
    <t>士皆</t>
  </si>
  <si>
    <t>豺儕麡𡺵</t>
  </si>
  <si>
    <t>楚皆</t>
  </si>
  <si>
    <t>差䞗</t>
  </si>
  <si>
    <t>呼懷</t>
  </si>
  <si>
    <t>虺</t>
  </si>
  <si>
    <t>huai1</t>
  </si>
  <si>
    <t>柱懷</t>
  </si>
  <si>
    <t>chuai2</t>
  </si>
  <si>
    <t>莫皆</t>
  </si>
  <si>
    <t>埋薶霾㦟</t>
  </si>
  <si>
    <t>側皆</t>
  </si>
  <si>
    <t>齋</t>
  </si>
  <si>
    <t>zhai1</t>
  </si>
  <si>
    <t>乙皆</t>
  </si>
  <si>
    <t>崴碨䴜溾|瀤𪊉洼</t>
  </si>
  <si>
    <t>wai1</t>
  </si>
  <si>
    <t>卓皆</t>
  </si>
  <si>
    <t>𪘨</t>
  </si>
  <si>
    <t>賴諧</t>
  </si>
  <si>
    <t>唻</t>
  </si>
  <si>
    <t>1？</t>
  </si>
  <si>
    <t>lai2</t>
  </si>
  <si>
    <t>口皆</t>
  </si>
  <si>
    <t>揩𦂄𢔡𥻄</t>
  </si>
  <si>
    <t>qie1</t>
  </si>
  <si>
    <t>諾皆</t>
  </si>
  <si>
    <t>摨</t>
  </si>
  <si>
    <t>山皆</t>
  </si>
  <si>
    <t>崽𥳧</t>
  </si>
  <si>
    <t>擬皆</t>
  </si>
  <si>
    <t>𩂢娾</t>
  </si>
  <si>
    <t>ye2</t>
  </si>
  <si>
    <t>丑皆</t>
  </si>
  <si>
    <t>搋</t>
  </si>
  <si>
    <t>喜皆</t>
  </si>
  <si>
    <t>𢓬</t>
  </si>
  <si>
    <t>xie1</t>
  </si>
  <si>
    <t>力懷</t>
  </si>
  <si>
    <t>䐯</t>
  </si>
  <si>
    <t>仕懷</t>
  </si>
  <si>
    <t>膗膗</t>
  </si>
  <si>
    <t>上平15灰</t>
  </si>
  <si>
    <t>灰</t>
  </si>
  <si>
    <t>呼恢</t>
  </si>
  <si>
    <t>灰䖶鼽豗㾯虺</t>
  </si>
  <si>
    <t>鼽從尢</t>
  </si>
  <si>
    <t>苦回</t>
  </si>
  <si>
    <t>恢詼悝魁𥲖㷇顝盔</t>
  </si>
  <si>
    <t>烏恢</t>
  </si>
  <si>
    <t>莫杯</t>
  </si>
  <si>
    <t>mei2</t>
  </si>
  <si>
    <t>公回</t>
  </si>
  <si>
    <t>魯回</t>
  </si>
  <si>
    <t>杜回</t>
  </si>
  <si>
    <t>tui2</t>
  </si>
  <si>
    <t>倉回</t>
  </si>
  <si>
    <t>崔催縗𨻵𢕘𧽠</t>
  </si>
  <si>
    <t>cui1</t>
  </si>
  <si>
    <t>都回</t>
  </si>
  <si>
    <t>dui1</t>
  </si>
  <si>
    <t>素回</t>
  </si>
  <si>
    <t>𤗯挼䪎毸嗺蓑</t>
  </si>
  <si>
    <t>昨回</t>
  </si>
  <si>
    <t>cui2</t>
  </si>
  <si>
    <t>薄回</t>
  </si>
  <si>
    <t>pei2</t>
  </si>
  <si>
    <t>布回</t>
  </si>
  <si>
    <t>杯!桮盃</t>
  </si>
  <si>
    <t>bei1</t>
  </si>
  <si>
    <t>芳杯</t>
  </si>
  <si>
    <t>pei1</t>
  </si>
  <si>
    <t>五灰</t>
  </si>
  <si>
    <t>鮠桅嵬磑峞|阢|</t>
  </si>
  <si>
    <t>他回</t>
  </si>
  <si>
    <t>𢅼𨋱㷟蓷推藬㞜</t>
  </si>
  <si>
    <t>tui1</t>
  </si>
  <si>
    <t>乃回</t>
  </si>
  <si>
    <t>𢅼捼𨡌</t>
  </si>
  <si>
    <t>nei2</t>
  </si>
  <si>
    <t>臧回</t>
  </si>
  <si>
    <t>嗺脧=䘒=𡱥</t>
  </si>
  <si>
    <t>上平16咍</t>
  </si>
  <si>
    <t>咍</t>
  </si>
  <si>
    <t>呼來</t>
  </si>
  <si>
    <t>咍㾂𨸜</t>
  </si>
  <si>
    <t>hai1</t>
  </si>
  <si>
    <t>苦哀</t>
  </si>
  <si>
    <t>kai1</t>
  </si>
  <si>
    <t>烏開</t>
  </si>
  <si>
    <t>哀埃唉欸毐㶼</t>
  </si>
  <si>
    <t>ai1</t>
  </si>
  <si>
    <t>徒哀</t>
  </si>
  <si>
    <t>tai2</t>
  </si>
  <si>
    <t>古哀</t>
  </si>
  <si>
    <t>gai1</t>
  </si>
  <si>
    <t>昨哉</t>
  </si>
  <si>
    <t>cai2</t>
  </si>
  <si>
    <t>洛哀</t>
  </si>
  <si>
    <t>祖才</t>
  </si>
  <si>
    <t>zai1</t>
  </si>
  <si>
    <t>倉才</t>
  </si>
  <si>
    <t>cai1</t>
  </si>
  <si>
    <t>扶來</t>
  </si>
  <si>
    <t>𤗏㯁</t>
  </si>
  <si>
    <t>土來</t>
  </si>
  <si>
    <t>tai1</t>
  </si>
  <si>
    <t>孩咳頦㨟䱺𧻲豥䠽</t>
  </si>
  <si>
    <t>hai2</t>
  </si>
  <si>
    <t>蘇來</t>
  </si>
  <si>
    <t>sai1</t>
  </si>
  <si>
    <t>五來</t>
  </si>
  <si>
    <t>ai2</t>
  </si>
  <si>
    <t>奴來</t>
  </si>
  <si>
    <t>能㾍</t>
  </si>
  <si>
    <t>丁來</t>
  </si>
  <si>
    <t>dai1</t>
  </si>
  <si>
    <t>昌來</t>
  </si>
  <si>
    <t>𪒴</t>
  </si>
  <si>
    <t>普才</t>
  </si>
  <si>
    <t>𡜊</t>
  </si>
  <si>
    <t>側鄰</t>
  </si>
  <si>
    <t>臻</t>
  </si>
  <si>
    <t>zhen1</t>
  </si>
  <si>
    <t>眞</t>
  </si>
  <si>
    <t>丑人</t>
  </si>
  <si>
    <t>𤣆胂縝</t>
  </si>
  <si>
    <t>chen1</t>
  </si>
  <si>
    <t>yin1</t>
  </si>
  <si>
    <t>息鄰</t>
  </si>
  <si>
    <t>新辛薪</t>
  </si>
  <si>
    <t>xin1</t>
  </si>
  <si>
    <t>植鄰</t>
  </si>
  <si>
    <t>chen2</t>
  </si>
  <si>
    <t>如鄰</t>
  </si>
  <si>
    <t>ren2</t>
  </si>
  <si>
    <t>船</t>
  </si>
  <si>
    <t>食鄰</t>
  </si>
  <si>
    <t>神晨</t>
  </si>
  <si>
    <t>七人</t>
  </si>
  <si>
    <t>qin1</t>
  </si>
  <si>
    <t>下珍</t>
  </si>
  <si>
    <t>礥𧥺㘋</t>
  </si>
  <si>
    <t>yin2</t>
  </si>
  <si>
    <t>失人</t>
  </si>
  <si>
    <t>shen1</t>
  </si>
  <si>
    <t>必鄰</t>
  </si>
  <si>
    <t>bin1</t>
  </si>
  <si>
    <t>力珍</t>
  </si>
  <si>
    <t>lin2</t>
  </si>
  <si>
    <t>巨巾</t>
  </si>
  <si>
    <t>qin2</t>
  </si>
  <si>
    <t>陟鄰</t>
  </si>
  <si>
    <t>直珍</t>
  </si>
  <si>
    <t>陳趁塵敶䍶</t>
  </si>
  <si>
    <t>將鄰</t>
  </si>
  <si>
    <t>津𦩨璡濜𦘔</t>
  </si>
  <si>
    <t>jin1</t>
  </si>
  <si>
    <t>瞋嗔謓𣞟䐜縝</t>
  </si>
  <si>
    <t>匠鄰</t>
  </si>
  <si>
    <t>秦螓𤚩</t>
  </si>
  <si>
    <t>寅夤𦟘蔩螾𡐔</t>
  </si>
  <si>
    <t>女鄰</t>
  </si>
  <si>
    <t>紉</t>
  </si>
  <si>
    <t>nin2</t>
  </si>
  <si>
    <t>匹賓</t>
  </si>
  <si>
    <t>繽䎙𩴱𢣐𩰝</t>
  </si>
  <si>
    <t>pin1</t>
  </si>
  <si>
    <t>pin2</t>
  </si>
  <si>
    <t>語巾</t>
  </si>
  <si>
    <t>居銀</t>
  </si>
  <si>
    <t>巾</t>
  </si>
  <si>
    <t>居筠</t>
  </si>
  <si>
    <t>jun1</t>
  </si>
  <si>
    <t>yun2</t>
  </si>
  <si>
    <t>去倫</t>
  </si>
  <si>
    <t>qun1</t>
  </si>
  <si>
    <t>武巾</t>
  </si>
  <si>
    <t>min2</t>
  </si>
  <si>
    <t>符巾</t>
  </si>
  <si>
    <t>duan4</t>
  </si>
  <si>
    <t>奴但</t>
  </si>
  <si>
    <t>攤</t>
  </si>
  <si>
    <t>nan3</t>
  </si>
  <si>
    <t>普伴</t>
  </si>
  <si>
    <t>坢𧺾</t>
  </si>
  <si>
    <t>pan3</t>
  </si>
  <si>
    <t>上25潸</t>
  </si>
  <si>
    <t>數板</t>
  </si>
  <si>
    <t>潸</t>
  </si>
  <si>
    <t>shan3</t>
  </si>
  <si>
    <t>烏板</t>
  </si>
  <si>
    <t>綰</t>
  </si>
  <si>
    <t>布綰</t>
  </si>
  <si>
    <t>側板</t>
  </si>
  <si>
    <t>zhan3</t>
  </si>
  <si>
    <t>奴板</t>
  </si>
  <si>
    <t>赧𩈶㫱戁</t>
  </si>
  <si>
    <t>下赧</t>
  </si>
  <si>
    <t>xian4</t>
  </si>
  <si>
    <t>睆睅𪍺鯇䴷皖莞</t>
  </si>
  <si>
    <t>扶板</t>
  </si>
  <si>
    <t>阪昄魬</t>
  </si>
  <si>
    <t>武板</t>
  </si>
  <si>
    <t>矕𦺖</t>
  </si>
  <si>
    <t>士板</t>
  </si>
  <si>
    <t>𪘪䗃[驏]</t>
  </si>
  <si>
    <t>shan4</t>
  </si>
  <si>
    <t>五板</t>
  </si>
  <si>
    <t>𪗙</t>
  </si>
  <si>
    <t>初板</t>
  </si>
  <si>
    <t>㹽</t>
  </si>
  <si>
    <t>chan3</t>
  </si>
  <si>
    <t>普板</t>
  </si>
  <si>
    <t>眅</t>
  </si>
  <si>
    <t>雛鯇</t>
  </si>
  <si>
    <t>撰饌</t>
  </si>
  <si>
    <t>shuan4</t>
  </si>
  <si>
    <t>上26產</t>
  </si>
  <si>
    <t>所簡</t>
  </si>
  <si>
    <t>胡簡</t>
  </si>
  <si>
    <t>限硍䁂㹂䦘</t>
  </si>
  <si>
    <t>古限</t>
  </si>
  <si>
    <t>初限</t>
  </si>
  <si>
    <t>士限</t>
  </si>
  <si>
    <t>五限</t>
  </si>
  <si>
    <t>眼</t>
  </si>
  <si>
    <t>阻限</t>
  </si>
  <si>
    <t>醆琖盞𧣴</t>
  </si>
  <si>
    <t>初綰</t>
  </si>
  <si>
    <t>㦃𥽽</t>
  </si>
  <si>
    <t>chuan3</t>
  </si>
  <si>
    <t>起限</t>
  </si>
  <si>
    <t>齦</t>
  </si>
  <si>
    <t>上27銑</t>
  </si>
  <si>
    <t>蘇典</t>
  </si>
  <si>
    <t>銑</t>
  </si>
  <si>
    <t>他典</t>
  </si>
  <si>
    <t>腆痶圢淟町𤲖錪靦㥏琠蚕䠄𨆁賟晪</t>
  </si>
  <si>
    <t>tian3</t>
  </si>
  <si>
    <t>多殄</t>
  </si>
  <si>
    <t>dian3</t>
  </si>
  <si>
    <t>於殄</t>
  </si>
  <si>
    <t>蝘躽𥈔宴嬿</t>
  </si>
  <si>
    <t>徒典</t>
  </si>
  <si>
    <t>殄蜒跈</t>
  </si>
  <si>
    <t>dian4</t>
  </si>
  <si>
    <t>古典</t>
  </si>
  <si>
    <t>胡典</t>
  </si>
  <si>
    <t>呼典</t>
  </si>
  <si>
    <t>顯韅蜆抮𣊡(㬎)</t>
  </si>
  <si>
    <t>彌殄</t>
  </si>
  <si>
    <t>mian3</t>
  </si>
  <si>
    <t>乃殄</t>
  </si>
  <si>
    <t>nian3</t>
  </si>
  <si>
    <t>方典</t>
  </si>
  <si>
    <t>bian3</t>
  </si>
  <si>
    <t>胡畎</t>
  </si>
  <si>
    <t>刪隕</t>
  </si>
  <si>
    <t>xuan4</t>
  </si>
  <si>
    <t>姑泫</t>
  </si>
  <si>
    <t>刪羅</t>
  </si>
  <si>
    <t>juan3</t>
  </si>
  <si>
    <t>薄泫</t>
  </si>
  <si>
    <t>辮艑𪉱扁㲢𤻶𩩯</t>
  </si>
  <si>
    <t>bian4</t>
  </si>
  <si>
    <t>苦泫</t>
  </si>
  <si>
    <t>犬</t>
  </si>
  <si>
    <t>牽繭</t>
  </si>
  <si>
    <t>𥧬豤䵖蜸</t>
  </si>
  <si>
    <t>研峴</t>
  </si>
  <si>
    <t>齞</t>
  </si>
  <si>
    <t>上28獮</t>
  </si>
  <si>
    <t>息淺</t>
  </si>
  <si>
    <t>以淺</t>
  </si>
  <si>
    <t>演衍縯蔩𠻤戭𧍢𧊔</t>
  </si>
  <si>
    <t>慈演</t>
  </si>
  <si>
    <t>踐諓餞俴𤷃𧗸㣤</t>
  </si>
  <si>
    <t>知演</t>
  </si>
  <si>
    <t>展㞡搌皽輾紾㠭㜊𧎰襢</t>
  </si>
  <si>
    <t>旨善</t>
  </si>
  <si>
    <t>𦗢𠟉樿𩕊饘醆皽燀䆄䡀䁴𥊳橏䎒㔊𨭖嫸</t>
  </si>
  <si>
    <t>尼展</t>
  </si>
  <si>
    <t>趁(碾)𠬝𨋚</t>
  </si>
  <si>
    <t>七演</t>
  </si>
  <si>
    <t>淺</t>
  </si>
  <si>
    <t>昌善</t>
  </si>
  <si>
    <t>闡燀繟䵐幝𨼒灛嘽𦆀</t>
  </si>
  <si>
    <t>去演</t>
  </si>
  <si>
    <t>遣繾䭤𥳐㹂𠳋𨺫𩝡</t>
  </si>
  <si>
    <t>九輦</t>
  </si>
  <si>
    <t>蹇謇藆搴𢷘𠐻𢵈𦂇𡾰𩽜䙭|囝|</t>
  </si>
  <si>
    <t>常演</t>
  </si>
  <si>
    <t>即淺</t>
  </si>
  <si>
    <t>剪翦揃戩錢媊俴帴𦺍鬋𥰸𥳟籛㨵[譾]</t>
  </si>
  <si>
    <t>人善</t>
  </si>
  <si>
    <t>ran3</t>
  </si>
  <si>
    <t>徐翦</t>
  </si>
  <si>
    <t>𦆀</t>
  </si>
  <si>
    <t>力展</t>
  </si>
  <si>
    <t>輦𪍦𤒤璉鄻僆摙蓮膦</t>
  </si>
  <si>
    <t>lian3</t>
  </si>
  <si>
    <t>魚蹇</t>
  </si>
  <si>
    <t>其輦</t>
  </si>
  <si>
    <t>件𡾰鍵鑳</t>
  </si>
  <si>
    <t>符蹇</t>
  </si>
  <si>
    <t>方緬</t>
  </si>
  <si>
    <t>褊㦚</t>
  </si>
  <si>
    <t>臇𤎱𧕣</t>
  </si>
  <si>
    <t>方免</t>
  </si>
  <si>
    <t>以轉</t>
  </si>
  <si>
    <t>臠孌𡡗脟</t>
  </si>
  <si>
    <t>轉𣓧</t>
  </si>
  <si>
    <t>zhuan3</t>
  </si>
  <si>
    <t>居轉</t>
  </si>
  <si>
    <t>卷菤韏𨹵捲埢</t>
  </si>
  <si>
    <t>渠篆</t>
  </si>
  <si>
    <t>圈蔨萒</t>
  </si>
  <si>
    <t>ruan3</t>
  </si>
  <si>
    <t>舛喘荈㪜</t>
  </si>
  <si>
    <t>zhuan4</t>
  </si>
  <si>
    <t>選𦌻𥶷</t>
  </si>
  <si>
    <t>士免</t>
  </si>
  <si>
    <t>撰僎𩔊𩻝譔</t>
  </si>
  <si>
    <t>蜎</t>
  </si>
  <si>
    <t>蠉𧾣</t>
  </si>
  <si>
    <t>符善</t>
  </si>
  <si>
    <t>楩𢣑諞扁</t>
  </si>
  <si>
    <t>亡辨</t>
  </si>
  <si>
    <t>免娩勉俛鮸㝃冕絻</t>
  </si>
  <si>
    <t>丑善</t>
  </si>
  <si>
    <t>搌𨩪𣃘蕆𧈪㢟䩶|囅|</t>
  </si>
  <si>
    <t>披免</t>
  </si>
  <si>
    <t>鴘</t>
  </si>
  <si>
    <t>pian3</t>
  </si>
  <si>
    <t>式善</t>
  </si>
  <si>
    <t>㒄㜣䁴</t>
  </si>
  <si>
    <t>於蹇</t>
  </si>
  <si>
    <t>㫃䟍嫣</t>
  </si>
  <si>
    <t>作木</t>
  </si>
  <si>
    <t>蒲木</t>
  </si>
  <si>
    <t>bu2</t>
  </si>
  <si>
    <t>普木</t>
  </si>
  <si>
    <t>博木</t>
  </si>
  <si>
    <t>卜濮䧤轐𡡐樸獛蹼纀襆𩯏䪁鳪𪇰</t>
  </si>
  <si>
    <t>莫卜</t>
  </si>
  <si>
    <t>13?</t>
  </si>
  <si>
    <t>方六</t>
  </si>
  <si>
    <t>fu</t>
  </si>
  <si>
    <t>房六</t>
  </si>
  <si>
    <t>所六</t>
  </si>
  <si>
    <t>力竹</t>
  </si>
  <si>
    <t>直六</t>
  </si>
  <si>
    <t>逐軸碡妯舳筑柚鱁𧏿蓫䮱篴</t>
  </si>
  <si>
    <t>zhu2</t>
  </si>
  <si>
    <t>居六</t>
  </si>
  <si>
    <t>驅匊</t>
  </si>
  <si>
    <t>殊六</t>
  </si>
  <si>
    <t>shu2</t>
  </si>
  <si>
    <t>昌六</t>
  </si>
  <si>
    <t>俶柷琡𣥹埱</t>
  </si>
  <si>
    <t>余六</t>
  </si>
  <si>
    <t>渠竹</t>
  </si>
  <si>
    <t>ju2</t>
  </si>
  <si>
    <t>七宿</t>
  </si>
  <si>
    <t>蹴!鼀殧</t>
  </si>
  <si>
    <t>如六</t>
  </si>
  <si>
    <t>之六</t>
  </si>
  <si>
    <t>粥喌祝柷琡</t>
  </si>
  <si>
    <t>zhu</t>
  </si>
  <si>
    <t>式竹</t>
  </si>
  <si>
    <t>許竹</t>
  </si>
  <si>
    <t>張六</t>
  </si>
  <si>
    <t>竹竺筑築𥴁茿</t>
  </si>
  <si>
    <t>子六</t>
  </si>
  <si>
    <t>初六</t>
  </si>
  <si>
    <t>珿矗𪘏𨴖𧯩䎌</t>
  </si>
  <si>
    <t>女六</t>
  </si>
  <si>
    <t>側六</t>
  </si>
  <si>
    <t>芳福</t>
  </si>
  <si>
    <t>蝮覆蕧𩯅副㙏𥨍䔰</t>
  </si>
  <si>
    <t>於六</t>
  </si>
  <si>
    <t>息逐</t>
  </si>
  <si>
    <t>莫六</t>
  </si>
  <si>
    <t>目睦穆苜𦱒牧㙁(坶)繆萺㣎㾇</t>
  </si>
  <si>
    <t>于六</t>
  </si>
  <si>
    <t>丑六</t>
  </si>
  <si>
    <t>魚菊</t>
  </si>
  <si>
    <t>砡</t>
  </si>
  <si>
    <t>才六</t>
  </si>
  <si>
    <t>𣤶</t>
  </si>
  <si>
    <t>入2沃</t>
  </si>
  <si>
    <t>烏酷</t>
  </si>
  <si>
    <t>沃鋈鱟䑁䁷觷䮸</t>
  </si>
  <si>
    <t>沃</t>
  </si>
  <si>
    <t>徒沃</t>
  </si>
  <si>
    <t>冬毒</t>
  </si>
  <si>
    <t>篤竺督𧝴𧛔𧞶錖𤬂𥓍裻𡰪</t>
  </si>
  <si>
    <t>苦沃</t>
  </si>
  <si>
    <t>胡沃</t>
  </si>
  <si>
    <t>蒲沃</t>
  </si>
  <si>
    <t>僕䑑瞨鏷䗱轐䴆</t>
  </si>
  <si>
    <t>瞨??</t>
  </si>
  <si>
    <t>先篤</t>
  </si>
  <si>
    <t>洬裻</t>
  </si>
  <si>
    <t>古沃</t>
  </si>
  <si>
    <t>梏牿䧼䅵告郜祰䧊䶜</t>
  </si>
  <si>
    <t>莫沃</t>
  </si>
  <si>
    <t>瑁𣔺媢艒萺</t>
  </si>
  <si>
    <t>火酷</t>
  </si>
  <si>
    <t>將毒</t>
  </si>
  <si>
    <t>博沃</t>
  </si>
  <si>
    <t>襮犦𪇰</t>
  </si>
  <si>
    <t>盧毒</t>
  </si>
  <si>
    <t>濼</t>
  </si>
  <si>
    <t>五沃</t>
  </si>
  <si>
    <t>𤛹</t>
  </si>
  <si>
    <t>入3燭</t>
  </si>
  <si>
    <t>之欲</t>
  </si>
  <si>
    <t>缺走屬、韋屬</t>
  </si>
  <si>
    <t>魚欲</t>
  </si>
  <si>
    <t>玉獄頊鳿[鈺]</t>
  </si>
  <si>
    <t>許玉</t>
  </si>
  <si>
    <t>旭頊勗(勖)𩔴𩪉</t>
  </si>
  <si>
    <t>居玉</t>
  </si>
  <si>
    <t>鋦!輂挶臼絭梮䡞㮂䋰拲𦅽𧤑</t>
  </si>
  <si>
    <t>渠玉</t>
  </si>
  <si>
    <t>局跼侷駶䎤</t>
  </si>
  <si>
    <t>市玉</t>
  </si>
  <si>
    <t>尺玉</t>
  </si>
  <si>
    <t>觸觕歜臅</t>
  </si>
  <si>
    <t>而蜀</t>
  </si>
  <si>
    <t>辱蓐褥鄏縟溽媷㦺嗕𪑾𩱜</t>
  </si>
  <si>
    <t>書玉</t>
  </si>
  <si>
    <t>束㑛</t>
  </si>
  <si>
    <t>余蜀</t>
  </si>
  <si>
    <t>欲浴鵒𩀑鋊輍𤞞慾谷(峪)</t>
  </si>
  <si>
    <t>躅蠾蠋</t>
  </si>
  <si>
    <t>力玉</t>
  </si>
  <si>
    <t>丘玉</t>
  </si>
  <si>
    <t>陟玉</t>
  </si>
  <si>
    <t>瘃𤷚孎钃斸欘𢒔</t>
  </si>
  <si>
    <t>即玉</t>
  </si>
  <si>
    <t>足哫</t>
  </si>
  <si>
    <t>神蜀</t>
  </si>
  <si>
    <t>贖𩌮䴰</t>
  </si>
  <si>
    <t>房玉</t>
  </si>
  <si>
    <t>七玉</t>
  </si>
  <si>
    <t>-1</t>
  </si>
  <si>
    <t>似足</t>
  </si>
  <si>
    <t>續俗藚𩌮</t>
  </si>
  <si>
    <t>su2</t>
  </si>
  <si>
    <t>相玉</t>
  </si>
  <si>
    <t>粟𥻆憟𣯼㔄涑玊</t>
  </si>
  <si>
    <t>封曲</t>
  </si>
  <si>
    <t>䪁</t>
  </si>
  <si>
    <t>丑玉</t>
  </si>
  <si>
    <t>梀亍𥹵𧼙𢒔㙇豖</t>
  </si>
  <si>
    <t>入4覺</t>
  </si>
  <si>
    <t>古岳</t>
  </si>
  <si>
    <t>jue</t>
  </si>
  <si>
    <t>覺</t>
  </si>
  <si>
    <t>五角</t>
  </si>
  <si>
    <t>yue4</t>
  </si>
  <si>
    <t>士角</t>
  </si>
  <si>
    <t>zhuo2</t>
  </si>
  <si>
    <t>側角</t>
  </si>
  <si>
    <t>捉穛𥼚穱斮篧𧂒</t>
  </si>
  <si>
    <t>zhuo</t>
  </si>
  <si>
    <t>所角</t>
  </si>
  <si>
    <t>shuo</t>
  </si>
  <si>
    <t>竹角</t>
  </si>
  <si>
    <t>北角</t>
  </si>
  <si>
    <t>莫角</t>
  </si>
  <si>
    <t>蒲角</t>
  </si>
  <si>
    <t>bo2</t>
  </si>
  <si>
    <t>匹角</t>
  </si>
  <si>
    <t>苦角</t>
  </si>
  <si>
    <t>直角</t>
  </si>
  <si>
    <t>濁擢濯鵫嬥𧃔鐲𢺡㺟鸀蠗鸐𩑂𢢗𩆸㪬</t>
  </si>
  <si>
    <t>於角</t>
  </si>
  <si>
    <t>yue</t>
  </si>
  <si>
    <t>女角</t>
  </si>
  <si>
    <t>敕角</t>
  </si>
  <si>
    <t>chuo</t>
  </si>
  <si>
    <t>呂角</t>
  </si>
  <si>
    <t>犖䃕𡁆</t>
  </si>
  <si>
    <t>胡覺</t>
  </si>
  <si>
    <t>學确嶨𥀣鷽澩觷㿥翯</t>
  </si>
  <si>
    <t>xue2</t>
  </si>
  <si>
    <t>許角</t>
  </si>
  <si>
    <t>xue</t>
  </si>
  <si>
    <t>測角</t>
  </si>
  <si>
    <t>娖䃗𪘏娕擉齱𥭓齪</t>
  </si>
  <si>
    <t>入5質</t>
  </si>
  <si>
    <t>之日</t>
  </si>
  <si>
    <t>zhi</t>
  </si>
  <si>
    <t>質</t>
  </si>
  <si>
    <t>人質</t>
  </si>
  <si>
    <t>日馹衵臸㠴</t>
  </si>
  <si>
    <t>ri4</t>
  </si>
  <si>
    <t>神質</t>
  </si>
  <si>
    <t>實</t>
  </si>
  <si>
    <t>shi2</t>
  </si>
  <si>
    <t>直一</t>
  </si>
  <si>
    <t>zhi2</t>
  </si>
  <si>
    <t>息七</t>
  </si>
  <si>
    <t>於悉</t>
  </si>
  <si>
    <t>親吉</t>
  </si>
  <si>
    <t>七柒漆䣛𪄭桼 㳟 𣛺𦸓㯃</t>
  </si>
  <si>
    <t>譬吉</t>
  </si>
  <si>
    <t>匹鷝𠯔䏘</t>
  </si>
  <si>
    <t>pi</t>
  </si>
  <si>
    <t>居質</t>
  </si>
  <si>
    <t>尼質</t>
  </si>
  <si>
    <t>暱昵衵䵒䵑䘌㥾</t>
  </si>
  <si>
    <t>夷質</t>
  </si>
  <si>
    <t>逸佚佾溢軼鎰泆齸劮欥䭿䳀</t>
  </si>
  <si>
    <t>去吉</t>
  </si>
  <si>
    <t>詰蛣𩢴趌</t>
  </si>
  <si>
    <t>許吉</t>
  </si>
  <si>
    <t>丑栗</t>
  </si>
  <si>
    <t>抶咥跮眣</t>
  </si>
  <si>
    <t>chi</t>
  </si>
  <si>
    <t>力質</t>
  </si>
  <si>
    <t>陟栗</t>
  </si>
  <si>
    <t>窒挃庢銍秷𦤻㲳㗧𪗻𨖹螲𥎹</t>
  </si>
  <si>
    <t>秦悉</t>
  </si>
  <si>
    <t>ji2</t>
  </si>
  <si>
    <t>入7櫛</t>
  </si>
  <si>
    <t>初栗</t>
  </si>
  <si>
    <t>㓼𠞩𪘧䜉</t>
  </si>
  <si>
    <t>式質</t>
  </si>
  <si>
    <t>失室𩋡</t>
  </si>
  <si>
    <t>shi</t>
  </si>
  <si>
    <t>資悉</t>
  </si>
  <si>
    <t>堲唧㘍㲺𢪍𧉍蝍楖</t>
  </si>
  <si>
    <t>彌畢</t>
  </si>
  <si>
    <t>卑吉</t>
  </si>
  <si>
    <t>巨乙</t>
  </si>
  <si>
    <t>姞佶鮚趌狤</t>
  </si>
  <si>
    <t>毗必</t>
  </si>
  <si>
    <t>bi2</t>
  </si>
  <si>
    <t>于筆</t>
  </si>
  <si>
    <t>䫻𣅕汨𦳯㧒</t>
  </si>
  <si>
    <t>入6術</t>
  </si>
  <si>
    <t>所律</t>
  </si>
  <si>
    <t>率帥蟀𧍓䢦𠞩𧜠咰𠌭𧗿</t>
  </si>
  <si>
    <t>shuai</t>
  </si>
  <si>
    <t>昌栗</t>
  </si>
  <si>
    <t>叱</t>
  </si>
  <si>
    <t>仕叱</t>
  </si>
  <si>
    <t>𪗨</t>
  </si>
  <si>
    <t>zhe2</t>
  </si>
  <si>
    <t>美畢</t>
  </si>
  <si>
    <t>房密</t>
  </si>
  <si>
    <t>弼𢐀㢸㔗䄶𢘍駜胇邲佖</t>
  </si>
  <si>
    <t>於筆</t>
  </si>
  <si>
    <t>乙鳦亄</t>
  </si>
  <si>
    <t>魚乙</t>
  </si>
  <si>
    <t>鄙密</t>
  </si>
  <si>
    <t>筆潷鉍柲泌𢴩咇㻶𨅗</t>
  </si>
  <si>
    <t>徵筆</t>
  </si>
  <si>
    <t>茁</t>
  </si>
  <si>
    <t>羲乙</t>
  </si>
  <si>
    <t>肸</t>
  </si>
  <si>
    <t>居乙</t>
  </si>
  <si>
    <t>曁</t>
  </si>
  <si>
    <t>丁悉</t>
  </si>
  <si>
    <t>蛭</t>
  </si>
  <si>
    <t>況必</t>
  </si>
  <si>
    <t>獝</t>
  </si>
  <si>
    <t>食聿</t>
  </si>
  <si>
    <t>居聿</t>
  </si>
  <si>
    <t>橘𦺖繘𧾣𧽻䤎𦙮𣎛</t>
  </si>
  <si>
    <t>慈卹</t>
  </si>
  <si>
    <t>崒踤誶捽</t>
  </si>
  <si>
    <t>餘律</t>
  </si>
  <si>
    <t>子聿</t>
  </si>
  <si>
    <t>卒𣨛䱣㰵啐</t>
  </si>
  <si>
    <t>辛聿</t>
  </si>
  <si>
    <t>呂卹</t>
  </si>
  <si>
    <t>丑律</t>
  </si>
  <si>
    <t>竹律</t>
  </si>
  <si>
    <t>直律</t>
  </si>
  <si>
    <t>赤律</t>
  </si>
  <si>
    <t>倉聿</t>
  </si>
  <si>
    <t>側律</t>
  </si>
  <si>
    <t>𠭴𦦖</t>
  </si>
  <si>
    <t>zhuai</t>
  </si>
  <si>
    <t>許聿</t>
  </si>
  <si>
    <t>䎉怴䬂𥄵</t>
  </si>
  <si>
    <t>阻瑟</t>
  </si>
  <si>
    <t>櫛楖瀄㘉𥠈擳</t>
  </si>
  <si>
    <t>zhe</t>
  </si>
  <si>
    <t>所櫛</t>
  </si>
  <si>
    <t>瑟飋蟋蝨(虱)璱𦆄</t>
  </si>
  <si>
    <t>she</t>
  </si>
  <si>
    <t>崱瑟</t>
  </si>
  <si>
    <t>入8物</t>
  </si>
  <si>
    <t>文弗</t>
  </si>
  <si>
    <t>物</t>
  </si>
  <si>
    <t>分勿</t>
  </si>
  <si>
    <t>紆物</t>
  </si>
  <si>
    <t>九勿</t>
  </si>
  <si>
    <t>區勿</t>
  </si>
  <si>
    <t>屈詘𧌑</t>
  </si>
  <si>
    <t>衢物</t>
  </si>
  <si>
    <t>倔䠇崛𡲬䘿𡲗堀𧱝掘</t>
  </si>
  <si>
    <t>符弗</t>
  </si>
  <si>
    <t>許勿</t>
  </si>
  <si>
    <t>䬍𩘐欻𦱧㗵烼</t>
  </si>
  <si>
    <t>王勿</t>
  </si>
  <si>
    <t>䬑𢯮觱抭䁌𢔥</t>
  </si>
  <si>
    <t>敷勿</t>
  </si>
  <si>
    <t>魚勿</t>
  </si>
  <si>
    <t>崛</t>
  </si>
  <si>
    <t>入9迄</t>
  </si>
  <si>
    <t>許迄</t>
  </si>
  <si>
    <t>迄仡釳肸忔䒗䛥莔汔</t>
  </si>
  <si>
    <t>魚迄</t>
  </si>
  <si>
    <t>疙屹圪仡𧆫</t>
  </si>
  <si>
    <t>其迄</t>
  </si>
  <si>
    <t>䞘𢇓</t>
  </si>
  <si>
    <t>去迄</t>
  </si>
  <si>
    <t>乞䒗契</t>
  </si>
  <si>
    <t>入10月</t>
  </si>
  <si>
    <t>魚厥</t>
  </si>
  <si>
    <t>月</t>
  </si>
  <si>
    <t>房越</t>
  </si>
  <si>
    <t>fa2</t>
  </si>
  <si>
    <t>王伐</t>
  </si>
  <si>
    <t>居月</t>
  </si>
  <si>
    <t>獗字歸屬??</t>
  </si>
  <si>
    <t>於月</t>
  </si>
  <si>
    <t>𡡕𩚴噦黦</t>
  </si>
  <si>
    <t>其月</t>
  </si>
  <si>
    <t>jue2</t>
  </si>
  <si>
    <t>去月</t>
  </si>
  <si>
    <t>闕㵐𦁐</t>
  </si>
  <si>
    <t>方伐</t>
  </si>
  <si>
    <t>fa</t>
  </si>
  <si>
    <t>望發</t>
  </si>
  <si>
    <t>許月</t>
  </si>
  <si>
    <t>䬂䟠泧狘䎀㞽</t>
  </si>
  <si>
    <t>於歇</t>
  </si>
  <si>
    <t>謁閼暍𢉥黦</t>
  </si>
  <si>
    <t>許謁</t>
  </si>
  <si>
    <t>歇蠍猲𤢔𦪬</t>
  </si>
  <si>
    <t>居謁</t>
  </si>
  <si>
    <t>揭!訐𧼨羯𢶆鍻</t>
  </si>
  <si>
    <t>jie</t>
  </si>
  <si>
    <t>其謁</t>
  </si>
  <si>
    <t>𢷒揭竭碣楬</t>
  </si>
  <si>
    <t>jie2</t>
  </si>
  <si>
    <t>拂伐</t>
  </si>
  <si>
    <t>怖</t>
  </si>
  <si>
    <t>語訐</t>
  </si>
  <si>
    <t>钀</t>
  </si>
  <si>
    <t>入11沒*</t>
  </si>
  <si>
    <t>莫勃</t>
  </si>
  <si>
    <t>土骨</t>
  </si>
  <si>
    <t>宊</t>
  </si>
  <si>
    <t>古忽</t>
  </si>
  <si>
    <t>骨縎鶻滑䮩啒淈汩愲蓇尳㾶榾䓛扢㒴</t>
  </si>
  <si>
    <t>勃渤𩣡𩱚餑𡋯馞悖䄶郣浡𣭷𢠜㪍誖㶿桲孛艴挬脖𦸦鵓</t>
  </si>
  <si>
    <t>咄柮𩢎𩨳</t>
  </si>
  <si>
    <t>他骨</t>
  </si>
  <si>
    <t>陀骨</t>
  </si>
  <si>
    <t>呼骨</t>
  </si>
  <si>
    <t>五忽</t>
  </si>
  <si>
    <t>䪬昢哱㛘馞</t>
  </si>
  <si>
    <t>𢂤硉𨁸𥓎㪐</t>
  </si>
  <si>
    <t>苦骨</t>
  </si>
  <si>
    <t>窟顝泏𩑔矻堀𡑧㧾圣㩿𡑣䯇𡼿𥌄胐</t>
  </si>
  <si>
    <t>蘇骨</t>
  </si>
  <si>
    <t>窣𪌯𪍛㲞𪖶𪅄㞕</t>
  </si>
  <si>
    <t>猝卒𣨛𢪃𥾛</t>
  </si>
  <si>
    <t>入11沒</t>
  </si>
  <si>
    <t>麧𥝖齕紇淈</t>
  </si>
  <si>
    <t>搰扢𣝗𦗣𦖼抇鶻尳㨡𡰅滑</t>
  </si>
  <si>
    <t>入12曷</t>
  </si>
  <si>
    <t>胡葛</t>
  </si>
  <si>
    <t>曷褐毼鶡蝎餲䫘𩩲骱㮫鞨</t>
  </si>
  <si>
    <t>曷</t>
  </si>
  <si>
    <t>許葛</t>
  </si>
  <si>
    <t>䫘𠿒喝猲𦤦㿣暍𩡔</t>
  </si>
  <si>
    <t>當割</t>
  </si>
  <si>
    <t>怛𢛁妲呾炟䵣狚笪𦬹靼</t>
  </si>
  <si>
    <t>他達</t>
  </si>
  <si>
    <t>烏葛</t>
  </si>
  <si>
    <t>e</t>
  </si>
  <si>
    <t>盧達</t>
  </si>
  <si>
    <t>la4</t>
  </si>
  <si>
    <t>苦曷</t>
  </si>
  <si>
    <t>渴㵣𤸎䳚嵑磕骹䅥[瞌]</t>
  </si>
  <si>
    <t>唐割</t>
  </si>
  <si>
    <t>達薘</t>
  </si>
  <si>
    <t>da2</t>
  </si>
  <si>
    <t>才割</t>
  </si>
  <si>
    <t>za2</t>
  </si>
  <si>
    <t>五割</t>
  </si>
  <si>
    <t>古達</t>
  </si>
  <si>
    <t>ge</t>
  </si>
  <si>
    <t>桑割</t>
  </si>
  <si>
    <t>躠薩摋𥻦𠱡攃䉈𦼧𨐖|撒|</t>
  </si>
  <si>
    <t>七曷</t>
  </si>
  <si>
    <t>攃[擦]䌨礤</t>
  </si>
  <si>
    <t>奴曷</t>
  </si>
  <si>
    <t>捺𤷈䖧</t>
  </si>
  <si>
    <t>入13末</t>
  </si>
  <si>
    <t>矛割</t>
  </si>
  <si>
    <t>䔾</t>
  </si>
  <si>
    <t>莫撥</t>
  </si>
  <si>
    <t>五活</t>
  </si>
  <si>
    <t>枂</t>
  </si>
  <si>
    <t>藏活</t>
  </si>
  <si>
    <t>柮</t>
  </si>
  <si>
    <t>zuo2</t>
  </si>
  <si>
    <t>北末</t>
  </si>
  <si>
    <t>姊末</t>
  </si>
  <si>
    <t>䰖拶㳨𠛱𨀨𤁢</t>
  </si>
  <si>
    <t>zuo</t>
  </si>
  <si>
    <t>古活</t>
  </si>
  <si>
    <t>guo</t>
  </si>
  <si>
    <t>苦栝</t>
  </si>
  <si>
    <t>闊蛞筈适䟯𤫵</t>
  </si>
  <si>
    <t>kuo</t>
  </si>
  <si>
    <t>徒活</t>
  </si>
  <si>
    <t>duo2</t>
  </si>
  <si>
    <t>呼括</t>
  </si>
  <si>
    <t>huo</t>
  </si>
  <si>
    <t>烏括</t>
  </si>
  <si>
    <t>wo</t>
  </si>
  <si>
    <t>子括</t>
  </si>
  <si>
    <t>繓撮攥</t>
  </si>
  <si>
    <t>普活</t>
  </si>
  <si>
    <t>鏺𢯸𨂩㧊䣪𨡩𣸍𥄱鱍𧘟𦫔䍨𠷑</t>
  </si>
  <si>
    <t>他括</t>
  </si>
  <si>
    <t>tuo</t>
  </si>
  <si>
    <t>郎活</t>
  </si>
  <si>
    <t>捋𠜖蛶㸹㭩</t>
  </si>
  <si>
    <t>丁括</t>
  </si>
  <si>
    <t>duo</t>
  </si>
  <si>
    <t>倉括</t>
  </si>
  <si>
    <t>cuo</t>
  </si>
  <si>
    <t>蒲撥</t>
  </si>
  <si>
    <t>入14黠</t>
  </si>
  <si>
    <t>胡八</t>
  </si>
  <si>
    <t>黠𩪲䕸䦖</t>
  </si>
  <si>
    <t>黠</t>
  </si>
  <si>
    <t>側八</t>
  </si>
  <si>
    <t>札㱜蚻紮𩿤扎</t>
  </si>
  <si>
    <t>zha</t>
  </si>
  <si>
    <t>蒲八</t>
  </si>
  <si>
    <t>拔菝𥎱</t>
  </si>
  <si>
    <t>ba2</t>
  </si>
  <si>
    <t>恪八</t>
  </si>
  <si>
    <t>博拔</t>
  </si>
  <si>
    <t>ba</t>
  </si>
  <si>
    <t>丁滑</t>
  </si>
  <si>
    <t>zhua</t>
  </si>
  <si>
    <t>烏八</t>
  </si>
  <si>
    <t>wa</t>
  </si>
  <si>
    <t>女滑</t>
  </si>
  <si>
    <t>豽貀㕯肭</t>
  </si>
  <si>
    <t>初八</t>
  </si>
  <si>
    <t>古滑</t>
  </si>
  <si>
    <t>劀=𠟽鱊</t>
  </si>
  <si>
    <t>gua</t>
  </si>
  <si>
    <t>古黠</t>
  </si>
  <si>
    <t>jia</t>
  </si>
  <si>
    <t>烏黠</t>
  </si>
  <si>
    <t>堰改揠</t>
  </si>
  <si>
    <t>ya</t>
  </si>
  <si>
    <t>所八</t>
  </si>
  <si>
    <t>莫八</t>
  </si>
  <si>
    <t>ma</t>
  </si>
  <si>
    <t>呼八</t>
  </si>
  <si>
    <t>xia</t>
  </si>
  <si>
    <t>女黠</t>
  </si>
  <si>
    <t>五滑</t>
  </si>
  <si>
    <t>口滑</t>
  </si>
  <si>
    <t>䯇</t>
  </si>
  <si>
    <t>普八</t>
  </si>
  <si>
    <t>pa</t>
  </si>
  <si>
    <t>鄒滑</t>
  </si>
  <si>
    <t>胡瞎</t>
  </si>
  <si>
    <t>齾聐𩮝𡿖</t>
  </si>
  <si>
    <t>𥴭楬磍趏</t>
  </si>
  <si>
    <t>瞎𪗾𩮂㔠</t>
  </si>
  <si>
    <t>獺</t>
  </si>
  <si>
    <t>古䫄</t>
  </si>
  <si>
    <t>刮鴰劀䄆趏</t>
  </si>
  <si>
    <t>下刮</t>
  </si>
  <si>
    <t>丑刮</t>
  </si>
  <si>
    <t>䫄𤁫</t>
  </si>
  <si>
    <t>丁刮</t>
  </si>
  <si>
    <t>數刮</t>
  </si>
  <si>
    <t>刷</t>
  </si>
  <si>
    <t>shua</t>
  </si>
  <si>
    <t>五刮</t>
  </si>
  <si>
    <t>刖䎳㱚䚴</t>
  </si>
  <si>
    <t>初刮</t>
  </si>
  <si>
    <t>䵵㔍</t>
  </si>
  <si>
    <t>女刮</t>
  </si>
  <si>
    <t>捌㭭</t>
  </si>
  <si>
    <t>𪈟擖𩮁猰</t>
  </si>
  <si>
    <t>査鎋</t>
  </si>
  <si>
    <t>zha2</t>
  </si>
  <si>
    <t>哳𢧖𧶇眣</t>
  </si>
  <si>
    <t>而轄</t>
  </si>
  <si>
    <t>𩭿</t>
  </si>
  <si>
    <t>??4-&gt;1</t>
  </si>
  <si>
    <t>入16屑</t>
  </si>
  <si>
    <t>先結</t>
  </si>
  <si>
    <t>12?</t>
  </si>
  <si>
    <t>屑</t>
  </si>
  <si>
    <t>千結</t>
  </si>
  <si>
    <t>古屑</t>
  </si>
  <si>
    <t>子結</t>
  </si>
  <si>
    <t>呼決</t>
  </si>
  <si>
    <t>苦穴</t>
  </si>
  <si>
    <t>闋湀𨴒缺</t>
  </si>
  <si>
    <t>古穴</t>
  </si>
  <si>
    <t>𣬎!</t>
  </si>
  <si>
    <t>胡決</t>
  </si>
  <si>
    <t>於決</t>
  </si>
  <si>
    <t>徒結</t>
  </si>
  <si>
    <t>die2</t>
  </si>
  <si>
    <t>他結</t>
  </si>
  <si>
    <t>tie</t>
  </si>
  <si>
    <t>胡結</t>
  </si>
  <si>
    <t>奴結</t>
  </si>
  <si>
    <t>nie4</t>
  </si>
  <si>
    <t>昨結</t>
  </si>
  <si>
    <t>五結</t>
  </si>
  <si>
    <t>齧霓蜺嵲槷臬嶭臲=隉䘽𡶫闑𡿖</t>
  </si>
  <si>
    <t>莫結</t>
  </si>
  <si>
    <t>mie4</t>
  </si>
  <si>
    <t>方結</t>
  </si>
  <si>
    <t>閉!㢼䋢𩋇𡘴䌘㭭䘷㔡</t>
  </si>
  <si>
    <t>烏結</t>
  </si>
  <si>
    <t>噎䊦㝣蠮𤝱咽</t>
  </si>
  <si>
    <t>苦結</t>
  </si>
  <si>
    <t>猰䫔挈㼤𡔣契栔鍥蛪</t>
  </si>
  <si>
    <t>虎結</t>
  </si>
  <si>
    <t>𡘐㚛䩤擷𢴲褉䙽</t>
  </si>
  <si>
    <t>普蔑</t>
  </si>
  <si>
    <t>蒲結</t>
  </si>
  <si>
    <t>癟!蹩㮰𩓝䭱咇苾馝䏟飶蛂柲𢛎襒</t>
  </si>
  <si>
    <t>bie2</t>
  </si>
  <si>
    <t>丁結</t>
  </si>
  <si>
    <t>窒𥉺蛭㗧咥𨴗𡇓</t>
  </si>
  <si>
    <t>die</t>
  </si>
  <si>
    <t>練結</t>
  </si>
  <si>
    <t>lie4</t>
  </si>
  <si>
    <t>入17薛</t>
  </si>
  <si>
    <t>私列</t>
  </si>
  <si>
    <t>陟列</t>
  </si>
  <si>
    <t>渠列</t>
  </si>
  <si>
    <t>如列</t>
  </si>
  <si>
    <t>熱苶</t>
  </si>
  <si>
    <t>re4</t>
  </si>
  <si>
    <t>旨熱</t>
  </si>
  <si>
    <t>食列</t>
  </si>
  <si>
    <t>she2</t>
  </si>
  <si>
    <t>常列</t>
  </si>
  <si>
    <t>折</t>
  </si>
  <si>
    <t>魚列</t>
  </si>
  <si>
    <t>亡列</t>
  </si>
  <si>
    <t>滅搣</t>
  </si>
  <si>
    <t>丘竭</t>
  </si>
  <si>
    <t>朅揭藒愒𡐤</t>
  </si>
  <si>
    <t>并列</t>
  </si>
  <si>
    <t>情雪</t>
  </si>
  <si>
    <t>絕</t>
  </si>
  <si>
    <t>子悅</t>
  </si>
  <si>
    <t>蕝㔢𨼎</t>
  </si>
  <si>
    <t>相絕</t>
  </si>
  <si>
    <t>雪䨮㡜㨹</t>
  </si>
  <si>
    <t>丑悅</t>
  </si>
  <si>
    <t>𤿫</t>
  </si>
  <si>
    <t>弋雪</t>
  </si>
  <si>
    <t>傾雪</t>
  </si>
  <si>
    <t>缺蒛</t>
  </si>
  <si>
    <t>乙劣</t>
  </si>
  <si>
    <t>噦</t>
  </si>
  <si>
    <t>如劣</t>
  </si>
  <si>
    <t>ruo4</t>
  </si>
  <si>
    <t>失爇</t>
  </si>
  <si>
    <t>ning3</t>
  </si>
  <si>
    <t>胡頂</t>
  </si>
  <si>
    <t>xing4</t>
  </si>
  <si>
    <t>蘇挺</t>
  </si>
  <si>
    <t>醒箵</t>
  </si>
  <si>
    <t>補鼎</t>
  </si>
  <si>
    <t>鞞</t>
  </si>
  <si>
    <t>口迥</t>
  </si>
  <si>
    <t>古挺</t>
  </si>
  <si>
    <t>剄烴</t>
  </si>
  <si>
    <t>匹迥</t>
  </si>
  <si>
    <t>頩</t>
  </si>
  <si>
    <t>ping3</t>
  </si>
  <si>
    <t>力鼎</t>
  </si>
  <si>
    <t>笭冷𦊓</t>
  </si>
  <si>
    <t>蒲迥</t>
  </si>
  <si>
    <t>bing4</t>
  </si>
  <si>
    <t>火迥</t>
  </si>
  <si>
    <t>詗</t>
  </si>
  <si>
    <t>五剄</t>
  </si>
  <si>
    <t>䀴矨</t>
  </si>
  <si>
    <t>上42拯</t>
  </si>
  <si>
    <t>丑拯</t>
  </si>
  <si>
    <t>庱</t>
  </si>
  <si>
    <t>其拯</t>
  </si>
  <si>
    <t>殑</t>
  </si>
  <si>
    <t>色庱</t>
  </si>
  <si>
    <t>上43等</t>
  </si>
  <si>
    <t>多肯</t>
  </si>
  <si>
    <t>等[戥]</t>
  </si>
  <si>
    <t>deng3</t>
  </si>
  <si>
    <t>普等</t>
  </si>
  <si>
    <t>倗剻</t>
  </si>
  <si>
    <t>苦等</t>
  </si>
  <si>
    <t>keng3</t>
  </si>
  <si>
    <t>奴等</t>
  </si>
  <si>
    <t>上44有</t>
  </si>
  <si>
    <t>云久</t>
  </si>
  <si>
    <t>有右䳑友㕛䀁𥁓栯䒴</t>
  </si>
  <si>
    <t>you3</t>
  </si>
  <si>
    <t>有</t>
  </si>
  <si>
    <t>力久</t>
  </si>
  <si>
    <t>liu3</t>
  </si>
  <si>
    <t>女久</t>
  </si>
  <si>
    <t>紐狃鈕杻莥禸扭𢔟䏔𨙺𦱙</t>
  </si>
  <si>
    <t>niu3</t>
  </si>
  <si>
    <t>敕久</t>
  </si>
  <si>
    <t>丑杻杽</t>
  </si>
  <si>
    <t>chou3</t>
  </si>
  <si>
    <t>陟柳</t>
  </si>
  <si>
    <t>zhou3</t>
  </si>
  <si>
    <t>許久</t>
  </si>
  <si>
    <t>朽㱙㽲殠</t>
  </si>
  <si>
    <t>xiu3</t>
  </si>
  <si>
    <t>舉有</t>
  </si>
  <si>
    <t>久九玖灸韭𡚰𨾉</t>
  </si>
  <si>
    <t>jiu3</t>
  </si>
  <si>
    <t>書九</t>
  </si>
  <si>
    <t>手!首𩠐𦣻䭭守</t>
  </si>
  <si>
    <t>shou3</t>
  </si>
  <si>
    <t>昌九</t>
  </si>
  <si>
    <t>在九</t>
  </si>
  <si>
    <t>湫愀</t>
  </si>
  <si>
    <t>jiu4</t>
  </si>
  <si>
    <t>房久</t>
  </si>
  <si>
    <t>負!婦䘀萯蝜阜𨸏𪃓偩𦰺𨹺䧞㷆菩𧌈</t>
  </si>
  <si>
    <t>fou4</t>
  </si>
  <si>
    <t>方久</t>
  </si>
  <si>
    <t>否!缶缹不鴀痞殕𡜊</t>
  </si>
  <si>
    <t>fou3</t>
  </si>
  <si>
    <t>去久</t>
  </si>
  <si>
    <t>糗</t>
  </si>
  <si>
    <t>qiu3</t>
  </si>
  <si>
    <t>人九</t>
  </si>
  <si>
    <t>rou3</t>
  </si>
  <si>
    <t>其九</t>
  </si>
  <si>
    <t>除柳</t>
  </si>
  <si>
    <t>zhou4</t>
  </si>
  <si>
    <t>與久</t>
  </si>
  <si>
    <t>殖酉</t>
  </si>
  <si>
    <t>shou4</t>
  </si>
  <si>
    <t>息有</t>
  </si>
  <si>
    <t>滫糔(䤇)𦄼</t>
  </si>
  <si>
    <t>於柳</t>
  </si>
  <si>
    <t>䬀䱂懮</t>
  </si>
  <si>
    <t>子酉</t>
  </si>
  <si>
    <t>酒</t>
  </si>
  <si>
    <t>𣸈(溲)</t>
  </si>
  <si>
    <t>之九</t>
  </si>
  <si>
    <t>芳否</t>
  </si>
  <si>
    <t>㤱紑𩂆</t>
  </si>
  <si>
    <t>側九</t>
  </si>
  <si>
    <t>掫搊𧌗</t>
  </si>
  <si>
    <t>士九</t>
  </si>
  <si>
    <t>𥣙</t>
  </si>
  <si>
    <t>初九</t>
  </si>
  <si>
    <t>𩋄=𩌄</t>
  </si>
  <si>
    <t>芳婦</t>
  </si>
  <si>
    <t>秠</t>
  </si>
  <si>
    <t>上45厚</t>
  </si>
  <si>
    <t>胡口</t>
  </si>
  <si>
    <t>厚垕後𨒥后郈㖃</t>
  </si>
  <si>
    <t>hou4</t>
  </si>
  <si>
    <t>莫厚</t>
  </si>
  <si>
    <t>mou3</t>
  </si>
  <si>
    <t>蒲口</t>
  </si>
  <si>
    <t>bou4</t>
  </si>
  <si>
    <t>當口</t>
  </si>
  <si>
    <t>dou3</t>
  </si>
  <si>
    <t>天口</t>
  </si>
  <si>
    <t>tou3</t>
  </si>
  <si>
    <t>古厚</t>
  </si>
  <si>
    <t>gou3</t>
  </si>
  <si>
    <t>五口</t>
  </si>
  <si>
    <t>ou3</t>
  </si>
  <si>
    <t>方垢</t>
  </si>
  <si>
    <t>㨐掊</t>
  </si>
  <si>
    <t>bou3</t>
  </si>
  <si>
    <t>乃后</t>
  </si>
  <si>
    <t>nou3</t>
  </si>
  <si>
    <t>蘇后</t>
  </si>
  <si>
    <t>sou3</t>
  </si>
  <si>
    <t>呼后</t>
  </si>
  <si>
    <t>吼吽呴㸸𤘽蚼㖃</t>
  </si>
  <si>
    <t>hou3</t>
  </si>
  <si>
    <t>普后</t>
  </si>
  <si>
    <t>剖婄蔀䳝䯽</t>
  </si>
  <si>
    <t>pou3</t>
  </si>
  <si>
    <t>烏后</t>
  </si>
  <si>
    <t>郎斗</t>
  </si>
  <si>
    <t>lou3</t>
  </si>
  <si>
    <t>子苟</t>
  </si>
  <si>
    <t>走</t>
  </si>
  <si>
    <t>zou3</t>
  </si>
  <si>
    <t>苦后</t>
  </si>
  <si>
    <t>口扣㸸𤘘釦叩𧥣𨙫竘</t>
  </si>
  <si>
    <t>kou3</t>
  </si>
  <si>
    <t>徒口</t>
  </si>
  <si>
    <t>䕆𨪐𠁁揄𩿢襡</t>
  </si>
  <si>
    <t>dou4</t>
  </si>
  <si>
    <t>仕垢</t>
  </si>
  <si>
    <t>鯫</t>
  </si>
  <si>
    <t>蒼苟</t>
  </si>
  <si>
    <t>趣取棷</t>
  </si>
  <si>
    <t>cou3</t>
  </si>
  <si>
    <t>上46黝</t>
  </si>
  <si>
    <t>於糾</t>
  </si>
  <si>
    <t>黝怮䬀蚴泑眑𣢜</t>
  </si>
  <si>
    <t>居黝</t>
  </si>
  <si>
    <t>糾赳朻𨷺(鬮)</t>
  </si>
  <si>
    <t>渠黝</t>
  </si>
  <si>
    <t>蟉</t>
  </si>
  <si>
    <t>上47寑</t>
  </si>
  <si>
    <t>七稔</t>
  </si>
  <si>
    <t>寑寢𡪢梫㾛𡬓𦯈鋟䤐</t>
  </si>
  <si>
    <t>寑</t>
  </si>
  <si>
    <t>直稔</t>
  </si>
  <si>
    <t>丘甚</t>
  </si>
  <si>
    <t>坅</t>
  </si>
  <si>
    <t>力稔</t>
  </si>
  <si>
    <t>斯甚</t>
  </si>
  <si>
    <t>罧伈</t>
  </si>
  <si>
    <t>丑甚</t>
  </si>
  <si>
    <t>踸鍖䫖</t>
  </si>
  <si>
    <t>子朕</t>
  </si>
  <si>
    <t>䤐𡩻䭙䐶</t>
  </si>
  <si>
    <t>如甚</t>
  </si>
  <si>
    <t>章荏</t>
  </si>
  <si>
    <t>枕䪴䫬</t>
  </si>
  <si>
    <t>式任</t>
  </si>
  <si>
    <t>食荏</t>
  </si>
  <si>
    <t>葚𣞵</t>
  </si>
  <si>
    <t>常枕</t>
  </si>
  <si>
    <t>昌枕</t>
  </si>
  <si>
    <t>瀋</t>
  </si>
  <si>
    <t>初朕</t>
  </si>
  <si>
    <t>尼凜</t>
  </si>
  <si>
    <t>拰</t>
  </si>
  <si>
    <t>nin3</t>
  </si>
  <si>
    <t>渠飲</t>
  </si>
  <si>
    <t>居飲</t>
  </si>
  <si>
    <t>錦</t>
  </si>
  <si>
    <t>慈荏</t>
  </si>
  <si>
    <t>蕈</t>
  </si>
  <si>
    <t>牛錦</t>
  </si>
  <si>
    <t>僸趛</t>
  </si>
  <si>
    <t>筆錦</t>
  </si>
  <si>
    <t>稟</t>
  </si>
  <si>
    <t>bin3</t>
  </si>
  <si>
    <t>於錦</t>
  </si>
  <si>
    <t>㱃飲𤃷</t>
  </si>
  <si>
    <t>丕飲</t>
  </si>
  <si>
    <t>品</t>
  </si>
  <si>
    <t>pin3</t>
  </si>
  <si>
    <t>欽錦</t>
  </si>
  <si>
    <t>𩖄顉</t>
  </si>
  <si>
    <t>許錦</t>
  </si>
  <si>
    <t>廞</t>
  </si>
  <si>
    <t>張甚</t>
  </si>
  <si>
    <t>戡㱽</t>
  </si>
  <si>
    <t>以荏</t>
  </si>
  <si>
    <t>潭</t>
  </si>
  <si>
    <t>士㾕</t>
  </si>
  <si>
    <t>𩒣</t>
  </si>
  <si>
    <t>上48感</t>
  </si>
  <si>
    <t>古禫</t>
  </si>
  <si>
    <t>感</t>
  </si>
  <si>
    <t>徒感</t>
  </si>
  <si>
    <t>禫䊤䨢黮窞髧萏𧂄倓𥥦𧡪醰嘾贉譚𣛱</t>
  </si>
  <si>
    <t>烏感</t>
  </si>
  <si>
    <t>an3</t>
  </si>
  <si>
    <t>奴感</t>
  </si>
  <si>
    <t>腩湳䈒𦐃揇萳</t>
  </si>
  <si>
    <t>他感</t>
  </si>
  <si>
    <t>襑𥁺(醓)䏙嗿黮[忐]</t>
  </si>
  <si>
    <t>徂感</t>
  </si>
  <si>
    <t>歜㣅㔆䰼</t>
  </si>
  <si>
    <t>七感</t>
  </si>
  <si>
    <t>can3</t>
  </si>
  <si>
    <t>五感</t>
  </si>
  <si>
    <t>顉㜝嵁</t>
  </si>
  <si>
    <t>子感</t>
  </si>
  <si>
    <t>桑感</t>
  </si>
  <si>
    <t>刪粽</t>
  </si>
  <si>
    <t>苦感</t>
  </si>
  <si>
    <t>胡感</t>
  </si>
  <si>
    <t>盧感</t>
  </si>
  <si>
    <t>纜?</t>
  </si>
  <si>
    <t>都感</t>
  </si>
  <si>
    <t>呼唵</t>
  </si>
  <si>
    <t>䫲</t>
  </si>
  <si>
    <t>上49敢</t>
  </si>
  <si>
    <t>古覽</t>
  </si>
  <si>
    <t>敢𠭖𣪏𢽤橄澉䇞</t>
  </si>
  <si>
    <t>賞敢</t>
  </si>
  <si>
    <t>㶒</t>
  </si>
  <si>
    <t>盧敢</t>
  </si>
  <si>
    <t>吐敢</t>
  </si>
  <si>
    <t>𦵹菼緂𤎥毯𦃖裧𠪚</t>
  </si>
  <si>
    <t>都敢</t>
  </si>
  <si>
    <t>膽紞䃫黵䒞𪆻</t>
  </si>
  <si>
    <t>徒敢</t>
  </si>
  <si>
    <t>噉啖啗澹𥲄淡憺惔</t>
  </si>
  <si>
    <t>倉敢</t>
  </si>
  <si>
    <t>黲</t>
  </si>
  <si>
    <t>謨敢</t>
  </si>
  <si>
    <t>㛧𩛎</t>
  </si>
  <si>
    <t>子敢</t>
  </si>
  <si>
    <t>䭕</t>
  </si>
  <si>
    <t>才敢</t>
  </si>
  <si>
    <t>槧鏨嵌㟛</t>
  </si>
  <si>
    <t>呼覽</t>
  </si>
  <si>
    <t>喊嚂𡒓㯺</t>
  </si>
  <si>
    <t>烏敢</t>
  </si>
  <si>
    <t>口敢</t>
  </si>
  <si>
    <t>𠪚䖔</t>
  </si>
  <si>
    <t>上50琰</t>
  </si>
  <si>
    <t>以冉</t>
  </si>
  <si>
    <t>琰</t>
  </si>
  <si>
    <t>良冉</t>
  </si>
  <si>
    <t>斂撿薟蘞瀲(澰)獫溓嬚䭑羷䌞㰈㯬</t>
  </si>
  <si>
    <t>險獫玁㛍譣憸𩏩嶮</t>
  </si>
  <si>
    <t>方斂</t>
  </si>
  <si>
    <t>貶𦥘</t>
  </si>
  <si>
    <t>占琰</t>
  </si>
  <si>
    <t>颭</t>
  </si>
  <si>
    <t>丘檢</t>
  </si>
  <si>
    <t>魚檢</t>
  </si>
  <si>
    <t>巨險</t>
  </si>
  <si>
    <t>儉芡</t>
  </si>
  <si>
    <t>居奄</t>
  </si>
  <si>
    <t>檢瞼</t>
  </si>
  <si>
    <t>於琰</t>
  </si>
  <si>
    <t>而琰</t>
  </si>
  <si>
    <t>冉姌苒染𩃵䎃柟䣸𥬕𡜉</t>
  </si>
  <si>
    <t>失冉</t>
  </si>
  <si>
    <t>閃!陝睒𧴭𧵏覢㴸㚒𡟨</t>
  </si>
  <si>
    <t>丑琰</t>
  </si>
  <si>
    <t>衣儉</t>
  </si>
  <si>
    <t>奄𩃗䣍㭺閹掩揜裺晻渰罨弇𣃰媕𤗎𡹮𣄉</t>
  </si>
  <si>
    <t>慈染</t>
  </si>
  <si>
    <t>漸𥕌蔪𦾶䟅嚵䤔鏨螹槧</t>
  </si>
  <si>
    <t>七漸</t>
  </si>
  <si>
    <t>憸䤘</t>
  </si>
  <si>
    <t>子冉</t>
  </si>
  <si>
    <t>𩟗</t>
  </si>
  <si>
    <t>謙琰</t>
  </si>
  <si>
    <t>脥</t>
  </si>
  <si>
    <t>時染</t>
  </si>
  <si>
    <t>剡</t>
  </si>
  <si>
    <t>上51忝</t>
  </si>
  <si>
    <t>他玷</t>
  </si>
  <si>
    <t>忝䄼栝銛悿|餂(舔)|</t>
  </si>
  <si>
    <t>乃玷</t>
  </si>
  <si>
    <t>淰㜤𨸱姌</t>
  </si>
  <si>
    <t>多忝</t>
  </si>
  <si>
    <t>點玷𦒻㓠䍄</t>
  </si>
  <si>
    <t>徒玷</t>
  </si>
  <si>
    <t>簟扂𠂼驔橝㶘</t>
  </si>
  <si>
    <t>𠂼 :)</t>
  </si>
  <si>
    <t>苦簟</t>
  </si>
  <si>
    <t>力忝</t>
  </si>
  <si>
    <t>胡忝</t>
  </si>
  <si>
    <t>鼸㺌</t>
  </si>
  <si>
    <t>青忝</t>
  </si>
  <si>
    <t>憯</t>
  </si>
  <si>
    <t>兼玷</t>
  </si>
  <si>
    <t>孂</t>
  </si>
  <si>
    <t>明忝</t>
  </si>
  <si>
    <t>上52儼</t>
  </si>
  <si>
    <t>魚掩</t>
  </si>
  <si>
    <t>欦厱</t>
  </si>
  <si>
    <t>上53豏</t>
  </si>
  <si>
    <t>下斬</t>
  </si>
  <si>
    <t>豏</t>
  </si>
  <si>
    <t>徒減</t>
  </si>
  <si>
    <t>湛㴴偡||</t>
  </si>
  <si>
    <t>苦減</t>
  </si>
  <si>
    <t>㦿𢜩歉撖䫡𣓅槏</t>
  </si>
  <si>
    <t>古斬</t>
  </si>
  <si>
    <t>士減</t>
  </si>
  <si>
    <t>力減</t>
  </si>
  <si>
    <t>側減</t>
  </si>
  <si>
    <t>斬</t>
  </si>
  <si>
    <t>初減</t>
  </si>
  <si>
    <t>䑎䤘</t>
  </si>
  <si>
    <t>火斬</t>
  </si>
  <si>
    <t>所斬</t>
  </si>
  <si>
    <t>乙減</t>
  </si>
  <si>
    <t>黯</t>
  </si>
  <si>
    <t>呼豏</t>
  </si>
  <si>
    <t>喊</t>
  </si>
  <si>
    <t>女減</t>
  </si>
  <si>
    <t>𦊔𦌫淰</t>
  </si>
  <si>
    <t>丑減</t>
  </si>
  <si>
    <t>𠐩旵</t>
  </si>
  <si>
    <t>上54檻</t>
  </si>
  <si>
    <t>胡黤</t>
  </si>
  <si>
    <t>檻艦壏𥽏㔋濫𨏊轞㺝撖</t>
  </si>
  <si>
    <t>丘檻</t>
  </si>
  <si>
    <t>䫡</t>
  </si>
  <si>
    <t>山檻</t>
  </si>
  <si>
    <t>㨻㺑</t>
  </si>
  <si>
    <t>於檻</t>
  </si>
  <si>
    <t>黤𪒠</t>
  </si>
  <si>
    <t>初檻</t>
  </si>
  <si>
    <t>醶</t>
  </si>
  <si>
    <t>荒檻</t>
  </si>
  <si>
    <t>㺖豃</t>
  </si>
  <si>
    <t>仕檻</t>
  </si>
  <si>
    <t>巉</t>
  </si>
  <si>
    <t>上55范</t>
  </si>
  <si>
    <t>範!范軓笵犯𧍙</t>
  </si>
  <si>
    <t>亡范</t>
  </si>
  <si>
    <t>府犯</t>
  </si>
  <si>
    <t>𦜒</t>
  </si>
  <si>
    <t>丘犯</t>
  </si>
  <si>
    <t>凵㧄</t>
  </si>
  <si>
    <t>釩</t>
  </si>
  <si>
    <t>丑犯</t>
  </si>
  <si>
    <t>𠑆𨇧</t>
  </si>
  <si>
    <t>去1送</t>
  </si>
  <si>
    <t>去</t>
  </si>
  <si>
    <t>蘇弄</t>
  </si>
  <si>
    <t>song4</t>
  </si>
  <si>
    <t>送</t>
  </si>
  <si>
    <t>馮貢</t>
  </si>
  <si>
    <t>鳳</t>
  </si>
  <si>
    <t>古送</t>
  </si>
  <si>
    <t>貢贛𣹟虹羾𨹁䇨㔶㯯𧆐</t>
  </si>
  <si>
    <t>gong4</t>
  </si>
  <si>
    <t>盧貢</t>
  </si>
  <si>
    <t>弄𢙱梇礱哢㢅㳥</t>
  </si>
  <si>
    <t>long4</t>
  </si>
  <si>
    <t>多貢</t>
  </si>
  <si>
    <t>苦貢</t>
  </si>
  <si>
    <t>控倥悾鞚空𤗇</t>
  </si>
  <si>
    <t>kong4</t>
  </si>
  <si>
    <t>作弄</t>
  </si>
  <si>
    <t>刪𧩪</t>
  </si>
  <si>
    <t>zong4</t>
  </si>
  <si>
    <t>烏貢</t>
  </si>
  <si>
    <t>瓮甕𦉥罋𪖵</t>
  </si>
  <si>
    <t>weng4</t>
  </si>
  <si>
    <t>千弄</t>
  </si>
  <si>
    <t>cong4</t>
  </si>
  <si>
    <t>徒弄</t>
  </si>
  <si>
    <t>他貢</t>
  </si>
  <si>
    <t>痛</t>
  </si>
  <si>
    <t>tong4</t>
  </si>
  <si>
    <t>仲蟲𩿀</t>
  </si>
  <si>
    <t>方鳳</t>
  </si>
  <si>
    <t>諷風</t>
  </si>
  <si>
    <t>去仲</t>
  </si>
  <si>
    <t>qiong4</t>
  </si>
  <si>
    <t>莫鳳</t>
  </si>
  <si>
    <t>夢!㝱瞢鄸䠢</t>
  </si>
  <si>
    <t>meng4</t>
  </si>
  <si>
    <t>香仲</t>
  </si>
  <si>
    <t>𧽒䠗</t>
  </si>
  <si>
    <t>莫弄</t>
  </si>
  <si>
    <t>𢄐霿艨</t>
  </si>
  <si>
    <t>千仲</t>
  </si>
  <si>
    <t>趥</t>
  </si>
  <si>
    <t>撫鳳</t>
  </si>
  <si>
    <t>賵麷</t>
  </si>
  <si>
    <t>徂送</t>
  </si>
  <si>
    <t>𣀒𠏭</t>
  </si>
  <si>
    <t>陟仲</t>
  </si>
  <si>
    <t>中衷</t>
  </si>
  <si>
    <t>胡貢</t>
  </si>
  <si>
    <t>奴凍</t>
  </si>
  <si>
    <t>nong4</t>
  </si>
  <si>
    <t>之仲</t>
  </si>
  <si>
    <t>衆</t>
  </si>
  <si>
    <t>充仲</t>
  </si>
  <si>
    <t>銃</t>
  </si>
  <si>
    <t>chong4</t>
  </si>
  <si>
    <t>仕仲</t>
  </si>
  <si>
    <t>㓽</t>
  </si>
  <si>
    <t>shong4</t>
  </si>
  <si>
    <t>呼貢</t>
  </si>
  <si>
    <t>烘戇</t>
  </si>
  <si>
    <t>去2宋</t>
  </si>
  <si>
    <t>蘇統</t>
  </si>
  <si>
    <t>宋</t>
  </si>
  <si>
    <t>子宋</t>
  </si>
  <si>
    <t>綜䝋錝</t>
  </si>
  <si>
    <t>他綜</t>
  </si>
  <si>
    <t>統𪎽</t>
  </si>
  <si>
    <t>莫綜</t>
  </si>
  <si>
    <t>雺</t>
  </si>
  <si>
    <t>乎宋</t>
  </si>
  <si>
    <t>䃔㗢</t>
  </si>
  <si>
    <t>去3用</t>
  </si>
  <si>
    <t>余頌</t>
  </si>
  <si>
    <t>用</t>
  </si>
  <si>
    <t>yong4</t>
  </si>
  <si>
    <t>似用</t>
  </si>
  <si>
    <t>扶用</t>
  </si>
  <si>
    <t>俸㡝捀縫</t>
  </si>
  <si>
    <t>渠用</t>
  </si>
  <si>
    <t>共</t>
  </si>
  <si>
    <t>方用</t>
  </si>
  <si>
    <t>葑封</t>
  </si>
  <si>
    <t>居用</t>
  </si>
  <si>
    <t>於用</t>
  </si>
  <si>
    <t>雍灉㙲</t>
  </si>
  <si>
    <t>竹用</t>
  </si>
  <si>
    <t>子用</t>
  </si>
  <si>
    <t>縱瘲</t>
  </si>
  <si>
    <t>丑用</t>
  </si>
  <si>
    <t>而用</t>
  </si>
  <si>
    <t>䩸𩉪𩼅</t>
  </si>
  <si>
    <t>rong4</t>
  </si>
  <si>
    <t>之用</t>
  </si>
  <si>
    <t>種偅㼿</t>
  </si>
  <si>
    <t>柱用</t>
  </si>
  <si>
    <t>重緟𨉢</t>
  </si>
  <si>
    <t>良用</t>
  </si>
  <si>
    <t>區用</t>
  </si>
  <si>
    <t>疾用</t>
  </si>
  <si>
    <t>穠用</t>
  </si>
  <si>
    <t>𢫨</t>
  </si>
  <si>
    <t>去4絳</t>
  </si>
  <si>
    <t>古巷</t>
  </si>
  <si>
    <t>降!絳虹𡲣洚</t>
  </si>
  <si>
    <t>絳</t>
  </si>
  <si>
    <t>胡絳</t>
  </si>
  <si>
    <t>陟降</t>
  </si>
  <si>
    <t>戇</t>
  </si>
  <si>
    <t>zhuang4</t>
  </si>
  <si>
    <t>直絳</t>
  </si>
  <si>
    <t>撞!䡴憧𢤤幢艟</t>
  </si>
  <si>
    <t>丑絳</t>
  </si>
  <si>
    <t>𥈄䚎</t>
  </si>
  <si>
    <t>chuang4</t>
  </si>
  <si>
    <t>士絳</t>
  </si>
  <si>
    <t>漴</t>
  </si>
  <si>
    <t>shuang4</t>
  </si>
  <si>
    <t>匹絳</t>
  </si>
  <si>
    <t>pang4</t>
  </si>
  <si>
    <t>楚絳</t>
  </si>
  <si>
    <t>䎫</t>
  </si>
  <si>
    <t>色絳</t>
  </si>
  <si>
    <t>淙㦼</t>
  </si>
  <si>
    <t>去5寘</t>
  </si>
  <si>
    <t>支義</t>
  </si>
  <si>
    <t>寘忮䚳𢻈伿𡽆伎觶</t>
  </si>
  <si>
    <t>寘</t>
  </si>
  <si>
    <t>毗義</t>
  </si>
  <si>
    <t>避</t>
  </si>
  <si>
    <t>之睡</t>
  </si>
  <si>
    <t>惴𦥻𦦇</t>
  </si>
  <si>
    <t>zhui4</t>
  </si>
  <si>
    <t>力智</t>
  </si>
  <si>
    <t>li4</t>
  </si>
  <si>
    <t>是義</t>
  </si>
  <si>
    <t>豉𢻃𢐂鯷䩃䊓</t>
  </si>
  <si>
    <t>子智</t>
  </si>
  <si>
    <t>積㰣𧂐𦎸</t>
  </si>
  <si>
    <t>zi4</t>
  </si>
  <si>
    <t>斯義</t>
  </si>
  <si>
    <t>爲</t>
  </si>
  <si>
    <t>wei4</t>
  </si>
  <si>
    <t>披義</t>
  </si>
  <si>
    <t>彼義</t>
  </si>
  <si>
    <t>平義</t>
  </si>
  <si>
    <t>累</t>
  </si>
  <si>
    <t>lei4</t>
  </si>
  <si>
    <t>居義</t>
  </si>
  <si>
    <t>寄䐀徛</t>
  </si>
  <si>
    <t>卑義</t>
  </si>
  <si>
    <t>臂</t>
  </si>
  <si>
    <t>奇寄</t>
  </si>
  <si>
    <t>七賜</t>
  </si>
  <si>
    <t>刺㓨㢀朿㡹𧧒莿庛蛓䛋</t>
  </si>
  <si>
    <t>ci4</t>
  </si>
  <si>
    <t>以豉</t>
  </si>
  <si>
    <t>易㑥貤貤伿㒾</t>
  </si>
  <si>
    <t>yi4</t>
  </si>
  <si>
    <t>宜寄</t>
  </si>
  <si>
    <t>匹賜</t>
  </si>
  <si>
    <t>譬㵨</t>
  </si>
  <si>
    <t>疾智</t>
  </si>
  <si>
    <t>漬眥𦎸㧘㱴髊骴胔</t>
  </si>
  <si>
    <t>知義</t>
  </si>
  <si>
    <t>智𣉻潪</t>
  </si>
  <si>
    <t>於義</t>
  </si>
  <si>
    <t>縋槌錘膇硾腄甀</t>
  </si>
  <si>
    <t>吹䶴𥞃</t>
  </si>
  <si>
    <t>chui4</t>
  </si>
  <si>
    <t>香義</t>
  </si>
  <si>
    <t>xi4</t>
  </si>
  <si>
    <t>去智</t>
  </si>
  <si>
    <t>企𢺵跂𨑤蚑吱</t>
  </si>
  <si>
    <t>qi4</t>
  </si>
  <si>
    <t>於賜</t>
  </si>
  <si>
    <t>施智</t>
  </si>
  <si>
    <t>所寄</t>
  </si>
  <si>
    <t>屣灑曬𩌦襹</t>
  </si>
  <si>
    <t>窺瑞</t>
  </si>
  <si>
    <t>觖</t>
  </si>
  <si>
    <t>kui4</t>
  </si>
  <si>
    <t>餧萎䍴𣨙</t>
  </si>
  <si>
    <t>危睡</t>
  </si>
  <si>
    <t>毁</t>
  </si>
  <si>
    <t>於避</t>
  </si>
  <si>
    <t>恚㜇</t>
  </si>
  <si>
    <t>睡瑞䅜𨿠</t>
  </si>
  <si>
    <t>居企</t>
  </si>
  <si>
    <t>而瑞</t>
  </si>
  <si>
    <t>䄲</t>
  </si>
  <si>
    <t>rui4</t>
  </si>
  <si>
    <t>充豉</t>
  </si>
  <si>
    <t>卶</t>
  </si>
  <si>
    <t>chi4</t>
  </si>
  <si>
    <t>思累</t>
  </si>
  <si>
    <t>䅗瀡</t>
  </si>
  <si>
    <t>竹恚</t>
  </si>
  <si>
    <t>娷諈</t>
  </si>
  <si>
    <t>以睡</t>
  </si>
  <si>
    <t>瓗纗䜜贀</t>
  </si>
  <si>
    <t>女恚</t>
  </si>
  <si>
    <t>諉㨅㢻</t>
  </si>
  <si>
    <t>nei4</t>
  </si>
  <si>
    <t>規恚</t>
  </si>
  <si>
    <t>瞡</t>
  </si>
  <si>
    <t>爭義</t>
  </si>
  <si>
    <t>𧙁𤿙</t>
  </si>
  <si>
    <t>呼恚</t>
  </si>
  <si>
    <t>孈</t>
  </si>
  <si>
    <t>卿義</t>
  </si>
  <si>
    <t>㞆掎</t>
  </si>
  <si>
    <t>去6至</t>
  </si>
  <si>
    <t>脂利</t>
  </si>
  <si>
    <t>于愧</t>
  </si>
  <si>
    <t>位</t>
  </si>
  <si>
    <t>明祕</t>
  </si>
  <si>
    <t>mi4</t>
  </si>
  <si>
    <t>徐醉</t>
  </si>
  <si>
    <t>將遂</t>
  </si>
  <si>
    <t>醉檇</t>
  </si>
  <si>
    <t>雖遂</t>
  </si>
  <si>
    <t>力遂</t>
  </si>
  <si>
    <t>兵媚</t>
  </si>
  <si>
    <t>祕(秘)(毖)閟柲䀣䪐邲轡鉍泌鄪費粊䉾𡛗</t>
  </si>
  <si>
    <t>求位</t>
  </si>
  <si>
    <t>匹備</t>
  </si>
  <si>
    <t>平祕</t>
  </si>
  <si>
    <t>俱位</t>
  </si>
  <si>
    <t>所類</t>
  </si>
  <si>
    <t>帥率</t>
  </si>
  <si>
    <t>shuai4</t>
  </si>
  <si>
    <t>丘愧</t>
  </si>
  <si>
    <t>許位</t>
  </si>
  <si>
    <t>豷燹</t>
  </si>
  <si>
    <t>常利</t>
  </si>
  <si>
    <t>力至</t>
  </si>
  <si>
    <t>女利</t>
  </si>
  <si>
    <t>膩𦡸䁊䣵</t>
  </si>
  <si>
    <t>ni4</t>
  </si>
  <si>
    <t>匹寐</t>
  </si>
  <si>
    <t>屁=䊧</t>
  </si>
  <si>
    <t>魚器</t>
  </si>
  <si>
    <t>劓</t>
  </si>
  <si>
    <t>陟利</t>
  </si>
  <si>
    <t>致懫疐𢷐𨆫質躓𨎌輊騺䞃𣱐懥㨖駤</t>
  </si>
  <si>
    <t>詰利</t>
  </si>
  <si>
    <t>直利</t>
  </si>
  <si>
    <t>彌二</t>
  </si>
  <si>
    <t>寐媢</t>
  </si>
  <si>
    <t>丑利</t>
  </si>
  <si>
    <t>几利</t>
  </si>
  <si>
    <t>其冀</t>
  </si>
  <si>
    <t>其季</t>
  </si>
  <si>
    <t>七醉</t>
  </si>
  <si>
    <t>cui4</t>
  </si>
  <si>
    <t>而至</t>
  </si>
  <si>
    <t>er4</t>
  </si>
  <si>
    <t>資四</t>
  </si>
  <si>
    <t>恣𣣌</t>
  </si>
  <si>
    <t>七四</t>
  </si>
  <si>
    <t>次䳐佽䰍絘𩾔𧊒𣣌䯸</t>
  </si>
  <si>
    <t>息利</t>
  </si>
  <si>
    <t>去冀</t>
  </si>
  <si>
    <t>器</t>
  </si>
  <si>
    <t>居悸</t>
  </si>
  <si>
    <t>季瞡</t>
  </si>
  <si>
    <t>毗至</t>
  </si>
  <si>
    <t>鼻比枇𤹝坒襣䃾䫁䑄芘</t>
  </si>
  <si>
    <t>香季</t>
  </si>
  <si>
    <t>必至</t>
  </si>
  <si>
    <t>痹畀庇𦸣䃾比</t>
  </si>
  <si>
    <t>秦醉</t>
  </si>
  <si>
    <t>徒四</t>
  </si>
  <si>
    <t>地=墬</t>
  </si>
  <si>
    <t>羊至</t>
  </si>
  <si>
    <t>神至</t>
  </si>
  <si>
    <t>疾二</t>
  </si>
  <si>
    <t>自嫉</t>
  </si>
  <si>
    <t>直類</t>
  </si>
  <si>
    <t>墜懟鎚</t>
  </si>
  <si>
    <t>尺類</t>
  </si>
  <si>
    <t>出</t>
  </si>
  <si>
    <t>以醉</t>
  </si>
  <si>
    <t>遺𤀷𢣘蜼瞶𧔥䗽</t>
  </si>
  <si>
    <t>火季</t>
  </si>
  <si>
    <t>侐</t>
  </si>
  <si>
    <t>追萃</t>
  </si>
  <si>
    <t>轛</t>
  </si>
  <si>
    <t>充自</t>
  </si>
  <si>
    <t>痓</t>
  </si>
  <si>
    <t>矢利</t>
  </si>
  <si>
    <t>屍䛈</t>
  </si>
  <si>
    <t>楚愧</t>
  </si>
  <si>
    <t>㿷</t>
  </si>
  <si>
    <t>chuai4</t>
  </si>
  <si>
    <t>釋類</t>
  </si>
  <si>
    <t>㽷𥤼</t>
  </si>
  <si>
    <t>去7志</t>
  </si>
  <si>
    <t>職吏</t>
  </si>
  <si>
    <t>直吏</t>
  </si>
  <si>
    <t>值植治㨁𠍜</t>
  </si>
  <si>
    <t>gao1</t>
  </si>
  <si>
    <t>魯刀</t>
  </si>
  <si>
    <t>呼毛</t>
  </si>
  <si>
    <t>蒿𧯌撓薧薅茠𣐾</t>
  </si>
  <si>
    <t>hao1</t>
  </si>
  <si>
    <t>莫袍</t>
  </si>
  <si>
    <t>毛髦芼𣹪旄氂楙枆酕堥</t>
  </si>
  <si>
    <t>土刀</t>
  </si>
  <si>
    <t>tao1</t>
  </si>
  <si>
    <t>都勞</t>
  </si>
  <si>
    <t>dao1</t>
  </si>
  <si>
    <t>蘇遭</t>
  </si>
  <si>
    <t>sao1</t>
  </si>
  <si>
    <t>博毛</t>
  </si>
  <si>
    <t>徒刀</t>
  </si>
  <si>
    <t>tao2</t>
  </si>
  <si>
    <t>作曹</t>
  </si>
  <si>
    <t>zao1</t>
  </si>
  <si>
    <t>五勞</t>
  </si>
  <si>
    <t>ao2</t>
  </si>
  <si>
    <t>昨勞</t>
  </si>
  <si>
    <t>cao2</t>
  </si>
  <si>
    <t>於刀</t>
  </si>
  <si>
    <t>𤏶(熝)䥝鏖</t>
  </si>
  <si>
    <t>ao1</t>
  </si>
  <si>
    <t>奴刀</t>
  </si>
  <si>
    <t>苦刀</t>
  </si>
  <si>
    <t>尻訄</t>
  </si>
  <si>
    <t>kao1</t>
  </si>
  <si>
    <t>七刀</t>
  </si>
  <si>
    <t>操幧𢻥㡟</t>
  </si>
  <si>
    <t>cao1</t>
  </si>
  <si>
    <t>普袍</t>
  </si>
  <si>
    <t>㯱藨䫽㲏</t>
  </si>
  <si>
    <t>下平7歌</t>
  </si>
  <si>
    <t>歌</t>
  </si>
  <si>
    <t>古俄</t>
  </si>
  <si>
    <t>果</t>
  </si>
  <si>
    <t>ge1</t>
  </si>
  <si>
    <t>七何</t>
  </si>
  <si>
    <t>蹉瑳搓磋溠𪘓傞</t>
  </si>
  <si>
    <t>cha</t>
  </si>
  <si>
    <t>ca</t>
  </si>
  <si>
    <t>cuo1</t>
  </si>
  <si>
    <t>得何</t>
  </si>
  <si>
    <t>多𦰿𦷛|茤|</t>
  </si>
  <si>
    <t>ta</t>
  </si>
  <si>
    <t>duo1</t>
  </si>
  <si>
    <t>素何</t>
  </si>
  <si>
    <t>sa</t>
  </si>
  <si>
    <t>suo1</t>
  </si>
  <si>
    <t>徒河</t>
  </si>
  <si>
    <t>da</t>
  </si>
  <si>
    <t>tuo2</t>
  </si>
  <si>
    <t>昨何</t>
  </si>
  <si>
    <t>za</t>
  </si>
  <si>
    <t>cuo2</t>
  </si>
  <si>
    <t>五何</t>
  </si>
  <si>
    <t>e2</t>
  </si>
  <si>
    <t>託何</t>
  </si>
  <si>
    <t>tuo1</t>
  </si>
  <si>
    <t>魯何</t>
  </si>
  <si>
    <t>luo2</t>
  </si>
  <si>
    <t>諾何</t>
  </si>
  <si>
    <t>挪!那儺㔮𤘟𠹈𡖔𩴓臡</t>
  </si>
  <si>
    <t>nuo2</t>
  </si>
  <si>
    <t>胡歌</t>
  </si>
  <si>
    <t>he2</t>
  </si>
  <si>
    <t>虎何</t>
  </si>
  <si>
    <t>he1</t>
  </si>
  <si>
    <t>苦何</t>
  </si>
  <si>
    <t>珂軻𠳊䯊</t>
  </si>
  <si>
    <t>ke1</t>
  </si>
  <si>
    <t>烏何</t>
  </si>
  <si>
    <t>e1</t>
  </si>
  <si>
    <t>下平8戈</t>
  </si>
  <si>
    <t>戈</t>
  </si>
  <si>
    <t>古禾</t>
  </si>
  <si>
    <t>kua</t>
  </si>
  <si>
    <t>guo1</t>
  </si>
  <si>
    <t>七戈</t>
  </si>
  <si>
    <t>遳</t>
  </si>
  <si>
    <t>chua</t>
  </si>
  <si>
    <t>丁戈</t>
  </si>
  <si>
    <t>蘇禾</t>
  </si>
  <si>
    <t>*上或做2山</t>
  </si>
  <si>
    <t>薄波</t>
  </si>
  <si>
    <t>po2</t>
  </si>
  <si>
    <t>徒和</t>
  </si>
  <si>
    <t>㸰碢堶</t>
  </si>
  <si>
    <t>莫婆</t>
  </si>
  <si>
    <t>摩魔磨劘𩞁𥂓𡡉䯢𦟟=𦣆䭩</t>
  </si>
  <si>
    <t>mo2</t>
  </si>
  <si>
    <t>昨禾</t>
  </si>
  <si>
    <t>五禾</t>
  </si>
  <si>
    <t>wo2</t>
  </si>
  <si>
    <t>土禾</t>
  </si>
  <si>
    <t>落戈</t>
  </si>
  <si>
    <t>奴禾</t>
  </si>
  <si>
    <t>捼䎠</t>
  </si>
  <si>
    <t>博禾</t>
  </si>
  <si>
    <t>bo1</t>
  </si>
  <si>
    <t>滂禾</t>
  </si>
  <si>
    <t>頗𨸭坡玻</t>
  </si>
  <si>
    <t>po1</t>
  </si>
  <si>
    <t>huo2</t>
  </si>
  <si>
    <t>苦禾</t>
  </si>
  <si>
    <t>kuo1</t>
  </si>
  <si>
    <t>烏禾</t>
  </si>
  <si>
    <t>wo1</t>
  </si>
  <si>
    <t>許𦚢</t>
  </si>
  <si>
    <t>xue1</t>
  </si>
  <si>
    <t>於靴</t>
  </si>
  <si>
    <t>𦚢𠏃</t>
  </si>
  <si>
    <t>yue1</t>
  </si>
  <si>
    <t>去靴</t>
  </si>
  <si>
    <t>𩨷𩨭</t>
  </si>
  <si>
    <t>que1</t>
  </si>
  <si>
    <t>求迦</t>
  </si>
  <si>
    <t>伽茄枷</t>
  </si>
  <si>
    <t>qie2</t>
  </si>
  <si>
    <t>丘伽</t>
  </si>
  <si>
    <t>佉呿㰦𠋧</t>
  </si>
  <si>
    <t>qia</t>
  </si>
  <si>
    <t>居伽</t>
  </si>
  <si>
    <t>迦</t>
  </si>
  <si>
    <t>醋伽</t>
  </si>
  <si>
    <t>脞㛗</t>
  </si>
  <si>
    <t>子𩩆</t>
  </si>
  <si>
    <t>侳𩛠</t>
  </si>
  <si>
    <t>jue1</t>
  </si>
  <si>
    <t>巨靴</t>
  </si>
  <si>
    <t>瘸</t>
  </si>
  <si>
    <t>que2</t>
  </si>
  <si>
    <t>縷𩨭</t>
  </si>
  <si>
    <t>𦣛</t>
  </si>
  <si>
    <t>lve2</t>
  </si>
  <si>
    <t>下平9麻</t>
  </si>
  <si>
    <t>麻</t>
  </si>
  <si>
    <t>莫霞</t>
  </si>
  <si>
    <t>假</t>
  </si>
  <si>
    <t>麻蟆痲犘𪓹𩔶𥂓㦄</t>
  </si>
  <si>
    <t>ma2</t>
  </si>
  <si>
    <t>尺遮</t>
  </si>
  <si>
    <t>車硨</t>
  </si>
  <si>
    <t>che1</t>
  </si>
  <si>
    <t>式車</t>
  </si>
  <si>
    <t>she1</t>
  </si>
  <si>
    <t>以遮</t>
  </si>
  <si>
    <t>正奢</t>
  </si>
  <si>
    <t>遮𠌮㸙諸</t>
  </si>
  <si>
    <t>zhe1</t>
  </si>
  <si>
    <t>子邪</t>
  </si>
  <si>
    <t>嗟𧨁罝蒫謯瘥𨲠袓㜘怚𣩈䦈</t>
  </si>
  <si>
    <t>食遮</t>
  </si>
  <si>
    <t>che2</t>
  </si>
  <si>
    <t>華驊鋘=鏵=釫樺崋划鷨𧑍|譁[嘩]|</t>
  </si>
  <si>
    <t>古華</t>
  </si>
  <si>
    <t>瓜騧緺蝸媧婐㧓</t>
  </si>
  <si>
    <r>
      <t>總(</t>
    </r>
    <r>
      <rPr>
        <sz val="14"/>
        <rFont val="宋体"/>
        <charset val="134"/>
      </rPr>
      <t>緫</t>
    </r>
    <r>
      <rPr>
        <sz val="14"/>
        <rFont val="MingLiU"/>
        <family val="3"/>
      </rPr>
      <t>)</t>
    </r>
    <r>
      <rPr>
        <sz val="14"/>
        <rFont val="宋体"/>
        <charset val="134"/>
      </rPr>
      <t>揔</t>
    </r>
    <r>
      <rPr>
        <sz val="14"/>
        <rFont val="MingLiU"/>
        <family val="3"/>
      </rPr>
      <t>(摠)𢝰蓯㢔𩮀蓯𩱛猣翪䁓㷓𢉛𨍈</t>
    </r>
    <r>
      <rPr>
        <sz val="14"/>
        <rFont val="宋体"/>
        <charset val="134"/>
      </rPr>
      <t>偬</t>
    </r>
  </si>
  <si>
    <r>
      <t>蓊滃暡郺</t>
    </r>
    <r>
      <rPr>
        <sz val="14"/>
        <rFont val="宋体"/>
        <charset val="134"/>
      </rPr>
      <t>勜</t>
    </r>
    <r>
      <rPr>
        <sz val="14"/>
        <rFont val="MingLiU"/>
        <family val="3"/>
      </rPr>
      <t>䈵䐥塕𤌏|嗡|</t>
    </r>
  </si>
  <si>
    <r>
      <t>曨襱巃</t>
    </r>
    <r>
      <rPr>
        <sz val="14"/>
        <rFont val="宋体"/>
        <charset val="134"/>
      </rPr>
      <t>竉</t>
    </r>
    <r>
      <rPr>
        <sz val="14"/>
        <rFont val="MingLiU"/>
        <family val="3"/>
      </rPr>
      <t>籠攏𢤱儱</t>
    </r>
    <r>
      <rPr>
        <sz val="14"/>
        <rFont val="宋体"/>
        <charset val="134"/>
      </rPr>
      <t>龓</t>
    </r>
  </si>
  <si>
    <r>
      <t>動𨔝酮姛</t>
    </r>
    <r>
      <rPr>
        <sz val="14"/>
        <rFont val="宋体"/>
        <charset val="134"/>
      </rPr>
      <t>眮</t>
    </r>
    <r>
      <rPr>
        <sz val="14"/>
        <rFont val="MingLiU"/>
        <family val="3"/>
      </rPr>
      <t>詷桶挏硐</t>
    </r>
  </si>
  <si>
    <r>
      <t>腫種踵</t>
    </r>
    <r>
      <rPr>
        <sz val="14"/>
        <rFont val="宋体"/>
        <charset val="134"/>
      </rPr>
      <t>歱</t>
    </r>
    <r>
      <rPr>
        <sz val="14"/>
        <rFont val="MingLiU"/>
        <family val="3"/>
      </rPr>
      <t>㣫</t>
    </r>
    <r>
      <rPr>
        <sz val="14"/>
        <rFont val="宋体"/>
        <charset val="134"/>
      </rPr>
      <t>喠</t>
    </r>
  </si>
  <si>
    <r>
      <t>寵𧼙</t>
    </r>
    <r>
      <rPr>
        <sz val="14"/>
        <rFont val="宋体"/>
        <charset val="134"/>
      </rPr>
      <t>埫</t>
    </r>
  </si>
  <si>
    <r>
      <t>隴</t>
    </r>
    <r>
      <rPr>
        <sz val="14"/>
        <rFont val="宋体"/>
        <charset val="134"/>
      </rPr>
      <t>壠</t>
    </r>
    <r>
      <rPr>
        <sz val="14"/>
        <rFont val="MingLiU"/>
        <family val="3"/>
      </rPr>
      <t>[壟]㙙</t>
    </r>
  </si>
  <si>
    <r>
      <t>宂</t>
    </r>
    <r>
      <rPr>
        <sz val="14"/>
        <rFont val="MingLiU"/>
        <family val="3"/>
      </rPr>
      <t>(冗)</t>
    </r>
    <r>
      <rPr>
        <sz val="14"/>
        <rFont val="宋体"/>
        <charset val="134"/>
      </rPr>
      <t>穁</t>
    </r>
    <r>
      <rPr>
        <sz val="14"/>
        <rFont val="MingLiU"/>
        <family val="3"/>
      </rPr>
      <t>䢇𣭲氄軵𤘺𪕎𢫨𨍷</t>
    </r>
    <r>
      <rPr>
        <sz val="14"/>
        <rFont val="宋体"/>
        <charset val="134"/>
      </rPr>
      <t>搑</t>
    </r>
    <r>
      <rPr>
        <sz val="14"/>
        <rFont val="MingLiU"/>
        <family val="3"/>
      </rPr>
      <t>|𡊫</t>
    </r>
  </si>
  <si>
    <r>
      <t>勇恿涌[湧]甬踊[踴]</t>
    </r>
    <r>
      <rPr>
        <sz val="14"/>
        <rFont val="宋体"/>
        <charset val="134"/>
      </rPr>
      <t>慂</t>
    </r>
    <r>
      <rPr>
        <sz val="14"/>
        <rFont val="MingLiU"/>
        <family val="3"/>
      </rPr>
      <t>𧻹塎悀埇溶蛹傛𧗴俑</t>
    </r>
  </si>
  <si>
    <r>
      <t>尰</t>
    </r>
    <r>
      <rPr>
        <sz val="14"/>
        <rFont val="宋体"/>
        <charset val="134"/>
      </rPr>
      <t>瘇</t>
    </r>
    <r>
      <rPr>
        <sz val="14"/>
        <rFont val="MingLiU"/>
        <family val="3"/>
      </rPr>
      <t>𢡹</t>
    </r>
  </si>
  <si>
    <r>
      <t>拱拲䂬鞏蛬孓珙廾𢪒㤨𢸁㼦㧬䡗䱋栱輁</t>
    </r>
    <r>
      <rPr>
        <sz val="14"/>
        <rFont val="宋体"/>
        <charset val="134"/>
      </rPr>
      <t>巩</t>
    </r>
  </si>
  <si>
    <r>
      <t>悚竦慫聳傱𦄼</t>
    </r>
    <r>
      <rPr>
        <sz val="14"/>
        <rFont val="宋体"/>
        <charset val="134"/>
      </rPr>
      <t>㩳</t>
    </r>
    <r>
      <rPr>
        <sz val="14"/>
        <rFont val="MingLiU"/>
        <family val="3"/>
      </rPr>
      <t>駷愯䙕</t>
    </r>
  </si>
  <si>
    <r>
      <t>洶</t>
    </r>
    <r>
      <rPr>
        <sz val="14"/>
        <rFont val="宋体"/>
        <charset val="134"/>
      </rPr>
      <t>詾</t>
    </r>
    <r>
      <rPr>
        <sz val="14"/>
        <rFont val="MingLiU"/>
        <family val="3"/>
      </rPr>
      <t>兇</t>
    </r>
  </si>
  <si>
    <r>
      <t>𨿿</t>
    </r>
    <r>
      <rPr>
        <sz val="14"/>
        <rFont val="宋体"/>
        <charset val="134"/>
      </rPr>
      <t>喠</t>
    </r>
  </si>
  <si>
    <r>
      <t>㭋棒棓玤蚌</t>
    </r>
    <r>
      <rPr>
        <sz val="14"/>
        <rFont val="宋体"/>
        <charset val="134"/>
      </rPr>
      <t>蜯</t>
    </r>
    <r>
      <rPr>
        <sz val="14"/>
        <rFont val="MingLiU"/>
        <family val="3"/>
      </rPr>
      <t>𢗒䎧</t>
    </r>
  </si>
  <si>
    <r>
      <t>紙</t>
    </r>
    <r>
      <rPr>
        <sz val="14"/>
        <rFont val="宋体"/>
        <charset val="134"/>
      </rPr>
      <t>帋</t>
    </r>
    <r>
      <rPr>
        <sz val="14"/>
        <rFont val="MingLiU"/>
        <family val="3"/>
      </rPr>
      <t>只坻軹枳咫扺𣲵砥坁汦</t>
    </r>
    <r>
      <rPr>
        <sz val="14"/>
        <rFont val="宋体"/>
        <charset val="134"/>
      </rPr>
      <t>抧</t>
    </r>
    <r>
      <rPr>
        <sz val="14"/>
        <rFont val="MingLiU"/>
        <family val="3"/>
      </rPr>
      <t>恀䅩䳅</t>
    </r>
  </si>
  <si>
    <r>
      <t>彼柀</t>
    </r>
    <r>
      <rPr>
        <sz val="14"/>
        <rFont val="宋体"/>
        <charset val="134"/>
      </rPr>
      <t>佊</t>
    </r>
    <r>
      <rPr>
        <sz val="14"/>
        <rFont val="MingLiU"/>
        <family val="3"/>
      </rPr>
      <t>㗗𠐌</t>
    </r>
  </si>
  <si>
    <r>
      <t>毁</t>
    </r>
    <r>
      <rPr>
        <sz val="14"/>
        <rFont val="MingLiU"/>
        <family val="3"/>
      </rPr>
      <t>(毀)燬檓毇𥶵𠷏譭㩓烜𡢕</t>
    </r>
  </si>
  <si>
    <r>
      <t>詭垝䣀(</t>
    </r>
    <r>
      <rPr>
        <sz val="14"/>
        <rFont val="宋体"/>
        <charset val="134"/>
      </rPr>
      <t>陒</t>
    </r>
    <r>
      <rPr>
        <sz val="14"/>
        <rFont val="MingLiU"/>
        <family val="3"/>
      </rPr>
      <t>)</t>
    </r>
    <r>
      <rPr>
        <sz val="14"/>
        <rFont val="宋体"/>
        <charset val="134"/>
      </rPr>
      <t>攱</t>
    </r>
    <r>
      <rPr>
        <sz val="14"/>
        <rFont val="MingLiU"/>
        <family val="3"/>
      </rPr>
      <t>䤥詭觤</t>
    </r>
    <r>
      <rPr>
        <sz val="14"/>
        <rFont val="宋体"/>
        <charset val="134"/>
      </rPr>
      <t>恑</t>
    </r>
    <r>
      <rPr>
        <sz val="14"/>
        <rFont val="MingLiU"/>
        <family val="3"/>
      </rPr>
      <t>蛫祪庪䃽庋洈蟡𪀗姽桅佹</t>
    </r>
  </si>
  <si>
    <r>
      <t>累!絫樏䉂</t>
    </r>
    <r>
      <rPr>
        <sz val="14"/>
        <rFont val="宋体"/>
        <charset val="134"/>
      </rPr>
      <t>厽垒</t>
    </r>
  </si>
  <si>
    <r>
      <t>倚猗椅旖</t>
    </r>
    <r>
      <rPr>
        <sz val="14"/>
        <rFont val="宋体"/>
        <charset val="134"/>
      </rPr>
      <t>輢</t>
    </r>
  </si>
  <si>
    <r>
      <t>蔿</t>
    </r>
    <r>
      <rPr>
        <sz val="14"/>
        <rFont val="MingLiU"/>
        <family val="3"/>
      </rPr>
      <t>鄬儰䧦𤾸𤺉䦱薳寪</t>
    </r>
  </si>
  <si>
    <r>
      <t>蘂</t>
    </r>
    <r>
      <rPr>
        <sz val="14"/>
        <rFont val="MingLiU"/>
        <family val="3"/>
      </rPr>
      <t>蕊</t>
    </r>
    <r>
      <rPr>
        <sz val="14"/>
        <rFont val="宋体"/>
        <charset val="134"/>
      </rPr>
      <t>甤</t>
    </r>
    <r>
      <rPr>
        <sz val="14"/>
        <rFont val="MingLiU"/>
        <family val="3"/>
      </rPr>
      <t>繠</t>
    </r>
  </si>
  <si>
    <r>
      <t>徙</t>
    </r>
    <r>
      <rPr>
        <sz val="14"/>
        <rFont val="宋体"/>
        <charset val="134"/>
      </rPr>
      <t>壐</t>
    </r>
    <r>
      <rPr>
        <sz val="14"/>
        <rFont val="MingLiU"/>
        <family val="3"/>
      </rPr>
      <t>璽𠈈𢇌</t>
    </r>
  </si>
  <si>
    <r>
      <t>酏迆匜衪扡</t>
    </r>
    <r>
      <rPr>
        <sz val="14"/>
        <rFont val="宋体"/>
        <charset val="134"/>
      </rPr>
      <t>肔</t>
    </r>
    <r>
      <rPr>
        <sz val="14"/>
        <rFont val="MingLiU"/>
        <family val="3"/>
      </rPr>
      <t>崺㥴孈</t>
    </r>
  </si>
  <si>
    <r>
      <t>躧</t>
    </r>
    <r>
      <rPr>
        <sz val="14"/>
        <rFont val="MingLiU"/>
        <family val="3"/>
      </rPr>
      <t>𩎉灑纚縰釃𩌦屣</t>
    </r>
    <r>
      <rPr>
        <sz val="14"/>
        <rFont val="宋体"/>
        <charset val="134"/>
      </rPr>
      <t>矖</t>
    </r>
    <r>
      <rPr>
        <sz val="14"/>
        <rFont val="MingLiU"/>
        <family val="3"/>
      </rPr>
      <t>簁|蓰|</t>
    </r>
  </si>
  <si>
    <r>
      <t>爾尒(</t>
    </r>
    <r>
      <rPr>
        <sz val="14"/>
        <rFont val="宋体"/>
        <charset val="134"/>
      </rPr>
      <t>尔</t>
    </r>
    <r>
      <rPr>
        <sz val="14"/>
        <rFont val="MingLiU"/>
        <family val="3"/>
      </rPr>
      <t>)邇</t>
    </r>
    <r>
      <rPr>
        <sz val="14"/>
        <rFont val="宋体"/>
        <charset val="134"/>
      </rPr>
      <t>迩</t>
    </r>
  </si>
  <si>
    <r>
      <t>渳弭濔瀰</t>
    </r>
    <r>
      <rPr>
        <sz val="14"/>
        <rFont val="宋体"/>
        <charset val="134"/>
      </rPr>
      <t>芈</t>
    </r>
    <r>
      <rPr>
        <sz val="14"/>
        <rFont val="MingLiU"/>
        <family val="3"/>
      </rPr>
      <t>(羋)敉</t>
    </r>
    <r>
      <rPr>
        <sz val="14"/>
        <rFont val="宋体"/>
        <charset val="134"/>
      </rPr>
      <t>侎</t>
    </r>
    <r>
      <rPr>
        <sz val="14"/>
        <rFont val="MingLiU"/>
        <family val="3"/>
      </rPr>
      <t>葞蝆䦵㥝[咪][咩]</t>
    </r>
  </si>
  <si>
    <r>
      <t>侈姼𡚼鉹誃㢋㢁</t>
    </r>
    <r>
      <rPr>
        <sz val="14"/>
        <rFont val="宋体"/>
        <charset val="134"/>
      </rPr>
      <t>垑</t>
    </r>
    <r>
      <rPr>
        <sz val="14"/>
        <rFont val="MingLiU"/>
        <family val="3"/>
      </rPr>
      <t>懘㶴</t>
    </r>
    <r>
      <rPr>
        <sz val="14"/>
        <rFont val="宋体"/>
        <charset val="134"/>
      </rPr>
      <t>袳</t>
    </r>
    <r>
      <rPr>
        <sz val="14"/>
        <rFont val="MingLiU"/>
        <family val="3"/>
      </rPr>
      <t>袲𧰲恀哆</t>
    </r>
  </si>
  <si>
    <r>
      <t>紫訿訾</t>
    </r>
    <r>
      <rPr>
        <sz val="14"/>
        <rFont val="宋体"/>
        <charset val="134"/>
      </rPr>
      <t>啙</t>
    </r>
    <r>
      <rPr>
        <sz val="14"/>
        <rFont val="MingLiU"/>
        <family val="3"/>
      </rPr>
      <t>𣸆跐茈呰㧗</t>
    </r>
  </si>
  <si>
    <r>
      <t>舓</t>
    </r>
    <r>
      <rPr>
        <sz val="14"/>
        <rFont val="MingLiU"/>
        <family val="3"/>
      </rPr>
      <t>舐𦧇𤜣</t>
    </r>
  </si>
  <si>
    <r>
      <t>㱟</t>
    </r>
    <r>
      <rPr>
        <sz val="14"/>
        <rFont val="宋体"/>
        <charset val="134"/>
      </rPr>
      <t>紴</t>
    </r>
    <r>
      <rPr>
        <sz val="14"/>
        <rFont val="MingLiU"/>
        <family val="3"/>
      </rPr>
      <t>披</t>
    </r>
  </si>
  <si>
    <r>
      <t>諀庀</t>
    </r>
    <r>
      <rPr>
        <sz val="14"/>
        <rFont val="宋体"/>
        <charset val="134"/>
      </rPr>
      <t>吡</t>
    </r>
    <r>
      <rPr>
        <sz val="14"/>
        <rFont val="MingLiU"/>
        <family val="3"/>
      </rPr>
      <t>疕仳䚹</t>
    </r>
  </si>
  <si>
    <r>
      <t>旨指恉祁䛗厎砥</t>
    </r>
    <r>
      <rPr>
        <sz val="14"/>
        <rFont val="宋体"/>
        <charset val="134"/>
      </rPr>
      <t>茋</t>
    </r>
  </si>
  <si>
    <r>
      <t>視</t>
    </r>
    <r>
      <rPr>
        <sz val="14"/>
        <rFont val="宋体"/>
        <charset val="134"/>
      </rPr>
      <t>眡眎</t>
    </r>
  </si>
  <si>
    <r>
      <t>鄙</t>
    </r>
    <r>
      <rPr>
        <sz val="14"/>
        <rFont val="宋体"/>
        <charset val="134"/>
      </rPr>
      <t>啚娝</t>
    </r>
    <r>
      <rPr>
        <sz val="14"/>
        <rFont val="MingLiU"/>
        <family val="3"/>
      </rPr>
      <t>痞</t>
    </r>
  </si>
  <si>
    <r>
      <t>壘蜼</t>
    </r>
    <r>
      <rPr>
        <sz val="14"/>
        <rFont val="宋体"/>
        <charset val="134"/>
      </rPr>
      <t>猚</t>
    </r>
    <r>
      <rPr>
        <sz val="14"/>
        <rFont val="MingLiU"/>
        <family val="3"/>
      </rPr>
      <t>櫐</t>
    </r>
    <r>
      <rPr>
        <sz val="14"/>
        <rFont val="宋体"/>
        <charset val="134"/>
      </rPr>
      <t>蘽</t>
    </r>
    <r>
      <rPr>
        <sz val="14"/>
        <rFont val="MingLiU"/>
        <family val="3"/>
      </rPr>
      <t>㶟𡻭轠_xD868_鸓藟誄耒讄𤢹</t>
    </r>
  </si>
  <si>
    <r>
      <t>蕊</t>
    </r>
    <r>
      <rPr>
        <sz val="14"/>
        <rFont val="宋体"/>
        <charset val="134"/>
      </rPr>
      <t>甤</t>
    </r>
    <r>
      <rPr>
        <sz val="14"/>
        <rFont val="MingLiU"/>
        <family val="3"/>
      </rPr>
      <t>繠</t>
    </r>
  </si>
  <si>
    <r>
      <t>濢噿</t>
    </r>
    <r>
      <rPr>
        <sz val="14"/>
        <rFont val="宋体"/>
        <charset val="134"/>
      </rPr>
      <t>臎</t>
    </r>
    <r>
      <rPr>
        <sz val="14"/>
        <rFont val="MingLiU"/>
        <family val="3"/>
      </rPr>
      <t>嗺</t>
    </r>
  </si>
  <si>
    <r>
      <t>黹</t>
    </r>
    <r>
      <rPr>
        <sz val="14"/>
        <rFont val="宋体"/>
        <charset val="134"/>
      </rPr>
      <t>夂</t>
    </r>
    <r>
      <rPr>
        <sz val="14"/>
        <rFont val="MingLiU"/>
        <family val="3"/>
      </rPr>
      <t>(𢾫）㨖</t>
    </r>
  </si>
  <si>
    <r>
      <t>止畤沚</t>
    </r>
    <r>
      <rPr>
        <sz val="14"/>
        <rFont val="宋体"/>
        <charset val="134"/>
      </rPr>
      <t>洔茝</t>
    </r>
    <r>
      <rPr>
        <sz val="14"/>
        <rFont val="MingLiU"/>
        <family val="3"/>
      </rPr>
      <t>趾址阯芷厎</t>
    </r>
  </si>
  <si>
    <r>
      <t>喜</t>
    </r>
    <r>
      <rPr>
        <sz val="14"/>
        <rFont val="宋体"/>
        <charset val="134"/>
      </rPr>
      <t>憙</t>
    </r>
    <r>
      <rPr>
        <sz val="14"/>
        <rFont val="MingLiU"/>
        <family val="3"/>
      </rPr>
      <t>蟢</t>
    </r>
  </si>
  <si>
    <r>
      <t>以㠯巳(已)苡</t>
    </r>
    <r>
      <rPr>
        <sz val="14"/>
        <rFont val="宋体"/>
        <charset val="134"/>
      </rPr>
      <t>苢</t>
    </r>
    <r>
      <rPr>
        <sz val="14"/>
        <rFont val="MingLiU"/>
        <family val="3"/>
      </rPr>
      <t>佁</t>
    </r>
    <r>
      <rPr>
        <sz val="14"/>
        <rFont val="宋体"/>
        <charset val="134"/>
      </rPr>
      <t>攺</t>
    </r>
  </si>
  <si>
    <r>
      <t>似</t>
    </r>
    <r>
      <rPr>
        <sz val="14"/>
        <rFont val="宋体"/>
        <charset val="134"/>
      </rPr>
      <t>佀</t>
    </r>
    <r>
      <rPr>
        <sz val="14"/>
        <rFont val="MingLiU"/>
        <family val="3"/>
      </rPr>
      <t>祀𥘰</t>
    </r>
    <r>
      <rPr>
        <sz val="14"/>
        <rFont val="宋体"/>
        <charset val="134"/>
      </rPr>
      <t>禩</t>
    </r>
    <r>
      <rPr>
        <sz val="14"/>
        <rFont val="MingLiU"/>
        <family val="3"/>
      </rPr>
      <t>姒巳耜𦓨汜洍</t>
    </r>
    <r>
      <rPr>
        <sz val="14"/>
        <rFont val="宋体"/>
        <charset val="134"/>
      </rPr>
      <t>泤攺</t>
    </r>
    <r>
      <rPr>
        <sz val="14"/>
        <rFont val="MingLiU"/>
        <family val="3"/>
      </rPr>
      <t>鈶𪊍</t>
    </r>
  </si>
  <si>
    <r>
      <t>歭跱峙痔㣥</t>
    </r>
    <r>
      <rPr>
        <sz val="14"/>
        <rFont val="宋体"/>
        <charset val="134"/>
      </rPr>
      <t>洔</t>
    </r>
    <r>
      <rPr>
        <sz val="14"/>
        <rFont val="MingLiU"/>
        <family val="3"/>
      </rPr>
      <t>畤</t>
    </r>
    <r>
      <rPr>
        <sz val="14"/>
        <rFont val="宋体"/>
        <charset val="134"/>
      </rPr>
      <t>秲</t>
    </r>
    <r>
      <rPr>
        <sz val="14"/>
        <rFont val="MingLiU"/>
        <family val="3"/>
      </rPr>
      <t>庤</t>
    </r>
  </si>
  <si>
    <r>
      <t>起邔杞屺</t>
    </r>
    <r>
      <rPr>
        <sz val="14"/>
        <rFont val="宋体"/>
        <charset val="134"/>
      </rPr>
      <t>玘</t>
    </r>
    <r>
      <rPr>
        <sz val="14"/>
        <rFont val="MingLiU"/>
        <family val="3"/>
      </rPr>
      <t>芑</t>
    </r>
  </si>
  <si>
    <r>
      <t>士仕</t>
    </r>
    <r>
      <rPr>
        <sz val="14"/>
        <rFont val="宋体"/>
        <charset val="134"/>
      </rPr>
      <t>柹</t>
    </r>
    <r>
      <rPr>
        <sz val="14"/>
        <rFont val="MingLiU"/>
        <family val="3"/>
      </rPr>
      <t>(柿)戺=𢨪</t>
    </r>
  </si>
  <si>
    <r>
      <t>俟</t>
    </r>
    <r>
      <rPr>
        <sz val="14"/>
        <rFont val="宋体"/>
        <charset val="134"/>
      </rPr>
      <t>竢</t>
    </r>
    <r>
      <rPr>
        <sz val="14"/>
        <rFont val="MingLiU"/>
        <family val="3"/>
      </rPr>
      <t>涘騃𥾩𥏳𢓪</t>
    </r>
  </si>
  <si>
    <r>
      <t>子㜽仔</t>
    </r>
    <r>
      <rPr>
        <sz val="14"/>
        <rFont val="宋体"/>
        <charset val="134"/>
      </rPr>
      <t>虸</t>
    </r>
    <r>
      <rPr>
        <sz val="14"/>
        <rFont val="MingLiU"/>
        <family val="3"/>
      </rPr>
      <t>耔</t>
    </r>
    <r>
      <rPr>
        <sz val="14"/>
        <rFont val="宋体"/>
        <charset val="134"/>
      </rPr>
      <t>秄</t>
    </r>
    <r>
      <rPr>
        <sz val="14"/>
        <rFont val="MingLiU"/>
        <family val="3"/>
      </rPr>
      <t>梓杍</t>
    </r>
  </si>
  <si>
    <r>
      <t>擬儗薿</t>
    </r>
    <r>
      <rPr>
        <sz val="14"/>
        <rFont val="宋体"/>
        <charset val="134"/>
      </rPr>
      <t>孴</t>
    </r>
    <r>
      <rPr>
        <sz val="14"/>
        <rFont val="MingLiU"/>
        <family val="3"/>
      </rPr>
      <t>譺𥣖</t>
    </r>
  </si>
  <si>
    <r>
      <t>譩</t>
    </r>
    <r>
      <rPr>
        <sz val="14"/>
        <rFont val="MingLiU"/>
        <family val="3"/>
      </rPr>
      <t>醷</t>
    </r>
  </si>
  <si>
    <r>
      <t>你)!</t>
    </r>
    <r>
      <rPr>
        <sz val="14"/>
        <rFont val="宋体"/>
        <charset val="134"/>
      </rPr>
      <t>伱聻</t>
    </r>
  </si>
  <si>
    <r>
      <t>扆㥋</t>
    </r>
    <r>
      <rPr>
        <sz val="14"/>
        <rFont val="宋体"/>
        <charset val="134"/>
      </rPr>
      <t>庡</t>
    </r>
    <r>
      <rPr>
        <sz val="14"/>
        <rFont val="MingLiU"/>
        <family val="3"/>
      </rPr>
      <t>僾偯靉</t>
    </r>
  </si>
  <si>
    <r>
      <t>韙煒暐偉瑋葦椲韡𩘚</t>
    </r>
    <r>
      <rPr>
        <sz val="14"/>
        <rFont val="宋体"/>
        <charset val="134"/>
      </rPr>
      <t>媁愇</t>
    </r>
    <r>
      <rPr>
        <sz val="14"/>
        <rFont val="MingLiU"/>
        <family val="3"/>
      </rPr>
      <t>鍏𢯷</t>
    </r>
  </si>
  <si>
    <r>
      <t>豨(狶)俙𪖥</t>
    </r>
    <r>
      <rPr>
        <sz val="14"/>
        <rFont val="宋体"/>
        <charset val="134"/>
      </rPr>
      <t>霼</t>
    </r>
    <r>
      <rPr>
        <sz val="14"/>
        <rFont val="MingLiU"/>
        <family val="3"/>
      </rPr>
      <t>唏</t>
    </r>
  </si>
  <si>
    <r>
      <t>磈</t>
    </r>
    <r>
      <rPr>
        <sz val="14"/>
        <rFont val="宋体"/>
        <charset val="134"/>
      </rPr>
      <t>嵔</t>
    </r>
  </si>
  <si>
    <r>
      <t>語圉敔圄衙齬鋙禦篽</t>
    </r>
    <r>
      <rPr>
        <sz val="14"/>
        <rFont val="宋体"/>
        <charset val="134"/>
      </rPr>
      <t>籞</t>
    </r>
    <r>
      <rPr>
        <sz val="14"/>
        <rFont val="MingLiU"/>
        <family val="3"/>
      </rPr>
      <t>蘌䥏</t>
    </r>
  </si>
  <si>
    <r>
      <t>吕</t>
    </r>
    <r>
      <rPr>
        <sz val="14"/>
        <rFont val="MingLiU"/>
        <family val="3"/>
      </rPr>
      <t>(呂)膂旅𥰠祣穭梠儢侶(</t>
    </r>
    <r>
      <rPr>
        <sz val="14"/>
        <rFont val="宋体"/>
        <charset val="134"/>
      </rPr>
      <t>侣</t>
    </r>
    <r>
      <rPr>
        <sz val="14"/>
        <rFont val="MingLiU"/>
        <family val="3"/>
      </rPr>
      <t>)㭚郘絽𢈚[鋁]</t>
    </r>
  </si>
  <si>
    <r>
      <t>佇</t>
    </r>
    <r>
      <rPr>
        <sz val="14"/>
        <rFont val="宋体"/>
        <charset val="134"/>
      </rPr>
      <t>竚</t>
    </r>
    <r>
      <rPr>
        <sz val="14"/>
        <rFont val="MingLiU"/>
        <family val="3"/>
      </rPr>
      <t>茅苧紵杼羜宁眝</t>
    </r>
  </si>
  <si>
    <r>
      <t>䰞</t>
    </r>
    <r>
      <rPr>
        <sz val="14"/>
        <rFont val="宋体"/>
        <charset val="134"/>
      </rPr>
      <t>煑</t>
    </r>
    <r>
      <rPr>
        <sz val="14"/>
        <rFont val="MingLiU"/>
        <family val="3"/>
      </rPr>
      <t>(煮)陼渚</t>
    </r>
  </si>
  <si>
    <r>
      <t>汝</t>
    </r>
    <r>
      <rPr>
        <sz val="14"/>
        <rFont val="宋体"/>
        <charset val="134"/>
      </rPr>
      <t>肗</t>
    </r>
    <r>
      <rPr>
        <sz val="14"/>
        <rFont val="MingLiU"/>
        <family val="3"/>
      </rPr>
      <t>茹㼋𪏮𡫽</t>
    </r>
  </si>
  <si>
    <r>
      <t>貯𡪄𢁼褚𤲑䍆著</t>
    </r>
    <r>
      <rPr>
        <sz val="14"/>
        <rFont val="宋体"/>
        <charset val="134"/>
      </rPr>
      <t>詝</t>
    </r>
    <r>
      <rPr>
        <sz val="14"/>
        <rFont val="MingLiU"/>
        <family val="3"/>
      </rPr>
      <t>䘢</t>
    </r>
  </si>
  <si>
    <r>
      <t>楮</t>
    </r>
    <r>
      <rPr>
        <sz val="14"/>
        <rFont val="宋体"/>
        <charset val="134"/>
      </rPr>
      <t>柠</t>
    </r>
    <r>
      <rPr>
        <sz val="14"/>
        <rFont val="MingLiU"/>
        <family val="3"/>
      </rPr>
      <t>褚</t>
    </r>
  </si>
  <si>
    <r>
      <t>巨拒秬距𧣒炬粔𧇽虡鐻鉅(</t>
    </r>
    <r>
      <rPr>
        <sz val="14"/>
        <rFont val="宋体"/>
        <charset val="134"/>
      </rPr>
      <t>钜</t>
    </r>
    <r>
      <rPr>
        <sz val="14"/>
        <rFont val="MingLiU"/>
        <family val="3"/>
      </rPr>
      <t>)苣駏𦼫𦊐詎</t>
    </r>
    <r>
      <rPr>
        <sz val="14"/>
        <rFont val="宋体"/>
        <charset val="134"/>
      </rPr>
      <t>歫</t>
    </r>
    <r>
      <rPr>
        <sz val="14"/>
        <rFont val="MingLiU"/>
        <family val="3"/>
      </rPr>
      <t>䶙</t>
    </r>
  </si>
  <si>
    <r>
      <t>所𠩄糈</t>
    </r>
    <r>
      <rPr>
        <sz val="14"/>
        <rFont val="宋体"/>
        <charset val="134"/>
      </rPr>
      <t>齭盨</t>
    </r>
    <r>
      <rPr>
        <sz val="14"/>
        <rFont val="MingLiU"/>
        <family val="3"/>
      </rPr>
      <t>䝪疋</t>
    </r>
  </si>
  <si>
    <r>
      <t>楚礎</t>
    </r>
    <r>
      <rPr>
        <sz val="14"/>
        <rFont val="宋体"/>
        <charset val="134"/>
      </rPr>
      <t>齭齼</t>
    </r>
    <r>
      <rPr>
        <sz val="14"/>
        <rFont val="MingLiU"/>
        <family val="3"/>
      </rPr>
      <t>濋𪓐䙘</t>
    </r>
    <r>
      <rPr>
        <sz val="14"/>
        <rFont val="宋体"/>
        <charset val="134"/>
      </rPr>
      <t>憷</t>
    </r>
  </si>
  <si>
    <r>
      <t>舉莒櫸筥柜𥴧𧺹䢹𠢈</t>
    </r>
    <r>
      <rPr>
        <sz val="14"/>
        <rFont val="宋体"/>
        <charset val="134"/>
      </rPr>
      <t>弆</t>
    </r>
  </si>
  <si>
    <r>
      <t>去麮</t>
    </r>
    <r>
      <rPr>
        <sz val="14"/>
        <rFont val="宋体"/>
        <charset val="134"/>
      </rPr>
      <t>弆</t>
    </r>
    <r>
      <rPr>
        <sz val="14"/>
        <rFont val="MingLiU"/>
        <family val="3"/>
      </rPr>
      <t>𧉧𥿇</t>
    </r>
  </si>
  <si>
    <r>
      <t>羽禹雨宇㝢瑀祤栩鄅頨楀萭䣁</t>
    </r>
    <r>
      <rPr>
        <sz val="14"/>
        <rFont val="宋体"/>
        <charset val="134"/>
      </rPr>
      <t>聥</t>
    </r>
    <r>
      <rPr>
        <sz val="14"/>
        <rFont val="MingLiU"/>
        <family val="3"/>
      </rPr>
      <t>䨞</t>
    </r>
  </si>
  <si>
    <r>
      <t>甫脯斧頫俯府腑簠黼蜅</t>
    </r>
    <r>
      <rPr>
        <sz val="14"/>
        <rFont val="宋体"/>
        <charset val="134"/>
      </rPr>
      <t>俌</t>
    </r>
    <r>
      <rPr>
        <sz val="14"/>
        <rFont val="MingLiU"/>
        <family val="3"/>
      </rPr>
      <t>父郙</t>
    </r>
  </si>
  <si>
    <r>
      <t>武舞</t>
    </r>
    <r>
      <rPr>
        <sz val="14"/>
        <rFont val="宋体"/>
        <charset val="134"/>
      </rPr>
      <t>儛</t>
    </r>
    <r>
      <rPr>
        <sz val="14"/>
        <rFont val="MingLiU"/>
        <family val="3"/>
      </rPr>
      <t>嫵侮𦌬憮㒇</t>
    </r>
    <r>
      <rPr>
        <sz val="14"/>
        <rFont val="宋体"/>
        <charset val="134"/>
      </rPr>
      <t>珷</t>
    </r>
    <r>
      <rPr>
        <sz val="14"/>
        <rFont val="MingLiU"/>
        <family val="3"/>
      </rPr>
      <t>碔廡𢋑甒潕鵡䳇𢜮膴瞴</t>
    </r>
    <r>
      <rPr>
        <sz val="14"/>
        <rFont val="宋体"/>
        <charset val="134"/>
      </rPr>
      <t>娬敄</t>
    </r>
    <r>
      <rPr>
        <sz val="14"/>
        <rFont val="MingLiU"/>
        <family val="3"/>
      </rPr>
      <t>䒉䍙𤍍|嘸</t>
    </r>
  </si>
  <si>
    <r>
      <t>父輔䩉𩒺腐𩾿滏䭸㕮蚥㾈</t>
    </r>
    <r>
      <rPr>
        <sz val="14"/>
        <rFont val="宋体"/>
        <charset val="134"/>
      </rPr>
      <t>秿鬴</t>
    </r>
    <r>
      <rPr>
        <sz val="14"/>
        <rFont val="MingLiU"/>
        <family val="3"/>
      </rPr>
      <t>釜䪔|嘸</t>
    </r>
  </si>
  <si>
    <r>
      <t>撫𢻬弣𠛺拊殕䋨</t>
    </r>
    <r>
      <rPr>
        <sz val="14"/>
        <rFont val="宋体"/>
        <charset val="134"/>
      </rPr>
      <t>俌</t>
    </r>
    <r>
      <rPr>
        <sz val="14"/>
        <rFont val="MingLiU"/>
        <family val="3"/>
      </rPr>
      <t>剖䌗䯽𠟌䞤</t>
    </r>
  </si>
  <si>
    <r>
      <t>豎</t>
    </r>
    <r>
      <rPr>
        <sz val="14"/>
        <rFont val="宋体"/>
        <charset val="134"/>
      </rPr>
      <t>竪</t>
    </r>
    <r>
      <rPr>
        <sz val="14"/>
        <rFont val="MingLiU"/>
        <family val="3"/>
      </rPr>
      <t>樹裋</t>
    </r>
  </si>
  <si>
    <r>
      <t>主麈枓</t>
    </r>
    <r>
      <rPr>
        <sz val="14"/>
        <rFont val="宋体"/>
        <charset val="134"/>
      </rPr>
      <t>宔</t>
    </r>
    <r>
      <rPr>
        <sz val="14"/>
        <rFont val="MingLiU"/>
        <family val="3"/>
      </rPr>
      <t>炷</t>
    </r>
  </si>
  <si>
    <r>
      <t>拄柱</t>
    </r>
    <r>
      <rPr>
        <sz val="14"/>
        <rFont val="宋体"/>
        <charset val="134"/>
      </rPr>
      <t>丶</t>
    </r>
    <r>
      <rPr>
        <sz val="14"/>
        <rFont val="MingLiU"/>
        <family val="3"/>
      </rPr>
      <t>𪐴</t>
    </r>
  </si>
  <si>
    <r>
      <t>矩</t>
    </r>
    <r>
      <rPr>
        <sz val="14"/>
        <rFont val="宋体"/>
        <charset val="134"/>
      </rPr>
      <t>榘</t>
    </r>
    <r>
      <rPr>
        <sz val="14"/>
        <rFont val="MingLiU"/>
        <family val="3"/>
      </rPr>
      <t>踽枸萭</t>
    </r>
    <r>
      <rPr>
        <sz val="14"/>
        <rFont val="宋体"/>
        <charset val="134"/>
      </rPr>
      <t>聥</t>
    </r>
    <r>
      <rPr>
        <sz val="14"/>
        <rFont val="MingLiU"/>
        <family val="3"/>
      </rPr>
      <t>䅓𦐛楀蒟椇</t>
    </r>
  </si>
  <si>
    <r>
      <t>杜肚</t>
    </r>
    <r>
      <rPr>
        <sz val="14"/>
        <rFont val="宋体"/>
        <charset val="134"/>
      </rPr>
      <t>荰</t>
    </r>
    <r>
      <rPr>
        <sz val="14"/>
        <rFont val="MingLiU"/>
        <family val="3"/>
      </rPr>
      <t>土</t>
    </r>
    <r>
      <rPr>
        <sz val="14"/>
        <rFont val="宋体"/>
        <charset val="134"/>
      </rPr>
      <t>靯</t>
    </r>
    <r>
      <rPr>
        <sz val="14"/>
        <rFont val="MingLiU"/>
        <family val="3"/>
      </rPr>
      <t>𤬪𡍨𢾖𥀁</t>
    </r>
  </si>
  <si>
    <r>
      <t>魯櫓滷虜擄㢚𢲸</t>
    </r>
    <r>
      <rPr>
        <sz val="14"/>
        <rFont val="宋体"/>
        <charset val="134"/>
      </rPr>
      <t>樐</t>
    </r>
    <r>
      <rPr>
        <sz val="14"/>
        <rFont val="MingLiU"/>
        <family val="3"/>
      </rPr>
      <t>艣鐪蓾𧀦鹵㔪鏀㭩䲐</t>
    </r>
  </si>
  <si>
    <r>
      <t>覩</t>
    </r>
    <r>
      <rPr>
        <sz val="14"/>
        <rFont val="MingLiU"/>
        <family val="3"/>
      </rPr>
      <t>睹</t>
    </r>
    <r>
      <rPr>
        <sz val="14"/>
        <rFont val="宋体"/>
        <charset val="134"/>
      </rPr>
      <t>暏</t>
    </r>
    <r>
      <rPr>
        <sz val="14"/>
        <rFont val="MingLiU"/>
        <family val="3"/>
      </rPr>
      <t>𥀁賭堵肚帾楮䁈㕆</t>
    </r>
  </si>
  <si>
    <r>
      <t>古</t>
    </r>
    <r>
      <rPr>
        <sz val="14"/>
        <rFont val="宋体"/>
        <charset val="134"/>
      </rPr>
      <t>皷</t>
    </r>
    <r>
      <rPr>
        <sz val="14"/>
        <rFont val="MingLiU"/>
        <family val="3"/>
      </rPr>
      <t>鼓(</t>
    </r>
    <r>
      <rPr>
        <sz val="14"/>
        <rFont val="宋体"/>
        <charset val="134"/>
      </rPr>
      <t>鼔</t>
    </r>
    <r>
      <rPr>
        <sz val="14"/>
        <rFont val="MingLiU"/>
        <family val="3"/>
      </rPr>
      <t>)瞽股𦙶罟蠱估盬鈷羖𦍩詁牯賈夃沽</t>
    </r>
    <r>
      <rPr>
        <sz val="14"/>
        <rFont val="宋体"/>
        <charset val="134"/>
      </rPr>
      <t>焸</t>
    </r>
    <r>
      <rPr>
        <sz val="14"/>
        <rFont val="MingLiU"/>
        <family val="3"/>
      </rPr>
      <t>𠒂𥂩</t>
    </r>
  </si>
  <si>
    <r>
      <t>五午</t>
    </r>
    <r>
      <rPr>
        <sz val="14"/>
        <rFont val="宋体"/>
        <charset val="134"/>
      </rPr>
      <t>旿</t>
    </r>
    <r>
      <rPr>
        <sz val="14"/>
        <rFont val="MingLiU"/>
        <family val="3"/>
      </rPr>
      <t>伍仵</t>
    </r>
  </si>
  <si>
    <r>
      <t>粗駔</t>
    </r>
    <r>
      <rPr>
        <sz val="14"/>
        <rFont val="宋体"/>
        <charset val="134"/>
      </rPr>
      <t>伹</t>
    </r>
    <r>
      <rPr>
        <sz val="14"/>
        <rFont val="MingLiU"/>
        <family val="3"/>
      </rPr>
      <t>麆觕</t>
    </r>
  </si>
  <si>
    <r>
      <t>虎琥戽滸𨛵</t>
    </r>
    <r>
      <rPr>
        <sz val="14"/>
        <rFont val="宋体"/>
        <charset val="134"/>
      </rPr>
      <t>萀</t>
    </r>
    <r>
      <rPr>
        <sz val="14"/>
        <rFont val="MingLiU"/>
        <family val="3"/>
      </rPr>
      <t>䗂</t>
    </r>
  </si>
  <si>
    <r>
      <t>隖</t>
    </r>
    <r>
      <rPr>
        <sz val="14"/>
        <rFont val="MingLiU"/>
        <family val="3"/>
      </rPr>
      <t>塢鄔</t>
    </r>
    <r>
      <rPr>
        <sz val="14"/>
        <rFont val="宋体"/>
        <charset val="134"/>
      </rPr>
      <t>瑦</t>
    </r>
    <r>
      <rPr>
        <sz val="14"/>
        <rFont val="MingLiU"/>
        <family val="3"/>
      </rPr>
      <t>䃖𢄓</t>
    </r>
    <r>
      <rPr>
        <sz val="14"/>
        <rFont val="宋体"/>
        <charset val="134"/>
      </rPr>
      <t>溩</t>
    </r>
    <r>
      <rPr>
        <sz val="14"/>
        <rFont val="MingLiU"/>
        <family val="3"/>
      </rPr>
      <t>䡧𧽋䛩|埡</t>
    </r>
  </si>
  <si>
    <r>
      <t>戶(</t>
    </r>
    <r>
      <rPr>
        <sz val="14"/>
        <rFont val="宋体"/>
        <charset val="134"/>
      </rPr>
      <t>戸户</t>
    </r>
    <r>
      <rPr>
        <sz val="14"/>
        <rFont val="MingLiU"/>
        <family val="3"/>
      </rPr>
      <t>)楛扈怙鄠</t>
    </r>
    <r>
      <rPr>
        <sz val="14"/>
        <rFont val="宋体"/>
        <charset val="134"/>
      </rPr>
      <t>帍</t>
    </r>
    <r>
      <rPr>
        <sz val="14"/>
        <rFont val="MingLiU"/>
        <family val="3"/>
      </rPr>
      <t>祜昈𡻮岵芐雇𩿇𪄮𨛸婟戽㕆洿𡜂酤滬</t>
    </r>
    <r>
      <rPr>
        <sz val="14"/>
        <rFont val="宋体"/>
        <charset val="134"/>
      </rPr>
      <t>簄</t>
    </r>
  </si>
  <si>
    <r>
      <t>禮</t>
    </r>
    <r>
      <rPr>
        <sz val="14"/>
        <rFont val="宋体"/>
        <charset val="134"/>
      </rPr>
      <t>礼</t>
    </r>
    <r>
      <rPr>
        <sz val="14"/>
        <rFont val="MingLiU"/>
        <family val="3"/>
      </rPr>
      <t>𥴡蠡𦫈澧醴鱧=鱺𩽵欚</t>
    </r>
    <r>
      <rPr>
        <sz val="14"/>
        <rFont val="宋体"/>
        <charset val="134"/>
      </rPr>
      <t>盠</t>
    </r>
    <r>
      <rPr>
        <sz val="14"/>
        <rFont val="MingLiU"/>
        <family val="3"/>
      </rPr>
      <t>劙豊𣀷欐</t>
    </r>
  </si>
  <si>
    <r>
      <t>體</t>
    </r>
    <r>
      <rPr>
        <sz val="14"/>
        <rFont val="宋体"/>
        <charset val="134"/>
      </rPr>
      <t>軆</t>
    </r>
    <r>
      <rPr>
        <sz val="14"/>
        <rFont val="MingLiU"/>
        <family val="3"/>
      </rPr>
      <t>醍涕䪆</t>
    </r>
    <r>
      <rPr>
        <sz val="14"/>
        <rFont val="宋体"/>
        <charset val="134"/>
      </rPr>
      <t>挮</t>
    </r>
    <r>
      <rPr>
        <sz val="14"/>
        <rFont val="MingLiU"/>
        <family val="3"/>
      </rPr>
      <t>緹𣈡</t>
    </r>
  </si>
  <si>
    <r>
      <t>濟㧗䍤癠</t>
    </r>
    <r>
      <rPr>
        <sz val="14"/>
        <rFont val="宋体"/>
        <charset val="134"/>
      </rPr>
      <t>夘</t>
    </r>
  </si>
  <si>
    <r>
      <t>啓</t>
    </r>
    <r>
      <rPr>
        <sz val="14"/>
        <rFont val="MingLiU"/>
        <family val="3"/>
      </rPr>
      <t>(啟)棨綮</t>
    </r>
    <r>
      <rPr>
        <sz val="14"/>
        <rFont val="宋体"/>
        <charset val="134"/>
      </rPr>
      <t>卟</t>
    </r>
    <r>
      <rPr>
        <sz val="14"/>
        <rFont val="MingLiU"/>
        <family val="3"/>
      </rPr>
      <t>䭬稽</t>
    </r>
    <r>
      <rPr>
        <sz val="14"/>
        <rFont val="宋体"/>
        <charset val="134"/>
      </rPr>
      <t>晵闙启</t>
    </r>
    <r>
      <rPr>
        <sz val="14"/>
        <rFont val="MingLiU"/>
        <family val="3"/>
      </rPr>
      <t>䏿㒅䡔</t>
    </r>
  </si>
  <si>
    <r>
      <t>徯謑𥰥𦩶涀𧨍</t>
    </r>
    <r>
      <rPr>
        <sz val="14"/>
        <rFont val="宋体"/>
        <charset val="134"/>
      </rPr>
      <t>匸</t>
    </r>
    <r>
      <rPr>
        <sz val="14"/>
        <rFont val="MingLiU"/>
        <family val="3"/>
      </rPr>
      <t>𥉐</t>
    </r>
  </si>
  <si>
    <r>
      <t>米眯䋛</t>
    </r>
    <r>
      <rPr>
        <sz val="14"/>
        <rFont val="宋体"/>
        <charset val="134"/>
      </rPr>
      <t>洣</t>
    </r>
    <r>
      <rPr>
        <sz val="14"/>
        <rFont val="MingLiU"/>
        <family val="3"/>
      </rPr>
      <t>蔝𡬍䱊</t>
    </r>
  </si>
  <si>
    <r>
      <t>買嘪</t>
    </r>
    <r>
      <rPr>
        <sz val="14"/>
        <rFont val="宋体"/>
        <charset val="134"/>
      </rPr>
      <t>蕒</t>
    </r>
    <r>
      <rPr>
        <sz val="14"/>
        <rFont val="MingLiU"/>
        <family val="3"/>
      </rPr>
      <t>鷶㵋</t>
    </r>
  </si>
  <si>
    <r>
      <t>矮㢊</t>
    </r>
    <r>
      <rPr>
        <sz val="14"/>
        <rFont val="宋体"/>
        <charset val="134"/>
      </rPr>
      <t>躷</t>
    </r>
  </si>
  <si>
    <r>
      <t>灑𩌦</t>
    </r>
    <r>
      <rPr>
        <sz val="14"/>
        <rFont val="宋体"/>
        <charset val="134"/>
      </rPr>
      <t>躧</t>
    </r>
  </si>
  <si>
    <r>
      <t>箉</t>
    </r>
    <r>
      <rPr>
        <sz val="14"/>
        <rFont val="MingLiU"/>
        <family val="3"/>
      </rPr>
      <t>拐</t>
    </r>
  </si>
  <si>
    <r>
      <t>賄𧶅䏨燘悔</t>
    </r>
    <r>
      <rPr>
        <sz val="14"/>
        <rFont val="宋体"/>
        <charset val="134"/>
      </rPr>
      <t>蛕</t>
    </r>
    <r>
      <rPr>
        <sz val="14"/>
        <rFont val="MingLiU"/>
        <family val="3"/>
      </rPr>
      <t>㷄</t>
    </r>
  </si>
  <si>
    <r>
      <t>猥腲</t>
    </r>
    <r>
      <rPr>
        <sz val="14"/>
        <rFont val="宋体"/>
        <charset val="134"/>
      </rPr>
      <t>嵔</t>
    </r>
    <r>
      <rPr>
        <sz val="14"/>
        <rFont val="MingLiU"/>
        <family val="3"/>
      </rPr>
      <t>鍡㛱碨𥓔㱬㞇𨝀</t>
    </r>
  </si>
  <si>
    <r>
      <t>磥磊癗𡾋礧䣂</t>
    </r>
    <r>
      <rPr>
        <sz val="14"/>
        <rFont val="宋体"/>
        <charset val="134"/>
      </rPr>
      <t>鑘</t>
    </r>
    <r>
      <rPr>
        <sz val="14"/>
        <rFont val="MingLiU"/>
        <family val="3"/>
      </rPr>
      <t>㵽郲𡼊蕾儡𨻾𦢏頛櫑</t>
    </r>
  </si>
  <si>
    <r>
      <t>錞瀢</t>
    </r>
    <r>
      <rPr>
        <sz val="14"/>
        <rFont val="宋体"/>
        <charset val="134"/>
      </rPr>
      <t>陮</t>
    </r>
    <r>
      <rPr>
        <sz val="14"/>
        <rFont val="MingLiU"/>
        <family val="3"/>
      </rPr>
      <t>𨯝𦶏</t>
    </r>
  </si>
  <si>
    <r>
      <t>罪!</t>
    </r>
    <r>
      <rPr>
        <sz val="14"/>
        <rFont val="宋体"/>
        <charset val="134"/>
      </rPr>
      <t>辠</t>
    </r>
    <r>
      <rPr>
        <sz val="14"/>
        <rFont val="MingLiU"/>
        <family val="3"/>
      </rPr>
      <t>㠑</t>
    </r>
  </si>
  <si>
    <r>
      <t>腿!</t>
    </r>
    <r>
      <rPr>
        <sz val="14"/>
        <rFont val="宋体"/>
        <charset val="134"/>
      </rPr>
      <t>骽聉</t>
    </r>
    <r>
      <rPr>
        <sz val="14"/>
        <rFont val="MingLiU"/>
        <family val="3"/>
      </rPr>
      <t>僓</t>
    </r>
    <r>
      <rPr>
        <sz val="14"/>
        <rFont val="宋体"/>
        <charset val="134"/>
      </rPr>
      <t>脮</t>
    </r>
    <r>
      <rPr>
        <sz val="14"/>
        <rFont val="MingLiU"/>
        <family val="3"/>
      </rPr>
      <t>㟎㱣㞂</t>
    </r>
  </si>
  <si>
    <r>
      <t>𦞙䇏𡑈頧</t>
    </r>
    <r>
      <rPr>
        <sz val="14"/>
        <rFont val="宋体"/>
        <charset val="134"/>
      </rPr>
      <t>謉</t>
    </r>
  </si>
  <si>
    <r>
      <t>餧餒浽娞𩗔</t>
    </r>
    <r>
      <rPr>
        <sz val="14"/>
        <rFont val="宋体"/>
        <charset val="134"/>
      </rPr>
      <t>鮾脮</t>
    </r>
    <r>
      <rPr>
        <sz val="14"/>
        <rFont val="MingLiU"/>
        <family val="3"/>
      </rPr>
      <t>㼏</t>
    </r>
  </si>
  <si>
    <r>
      <t>頠</t>
    </r>
    <r>
      <rPr>
        <sz val="14"/>
        <rFont val="宋体"/>
        <charset val="134"/>
      </rPr>
      <t>顡</t>
    </r>
    <r>
      <rPr>
        <sz val="14"/>
        <rFont val="MingLiU"/>
        <family val="3"/>
      </rPr>
      <t>隗峞嵬䫥䃬</t>
    </r>
  </si>
  <si>
    <r>
      <t>皠</t>
    </r>
    <r>
      <rPr>
        <sz val="14"/>
        <rFont val="MingLiU"/>
        <family val="3"/>
      </rPr>
      <t>𣿒𣿓漼璀𥼺䊫</t>
    </r>
  </si>
  <si>
    <r>
      <t>嶊</t>
    </r>
    <r>
      <rPr>
        <sz val="14"/>
        <rFont val="宋体"/>
        <charset val="134"/>
      </rPr>
      <t>洅</t>
    </r>
  </si>
  <si>
    <r>
      <t>改頦</t>
    </r>
    <r>
      <rPr>
        <sz val="14"/>
        <rFont val="宋体"/>
        <charset val="134"/>
      </rPr>
      <t>絠</t>
    </r>
  </si>
  <si>
    <r>
      <t>䆀</t>
    </r>
    <r>
      <rPr>
        <sz val="14"/>
        <rFont val="宋体"/>
        <charset val="134"/>
      </rPr>
      <t>脄</t>
    </r>
  </si>
  <si>
    <r>
      <t>軫縝胗疹畛賑㐱鬒</t>
    </r>
    <r>
      <rPr>
        <sz val="14"/>
        <rFont val="宋体"/>
        <charset val="134"/>
      </rPr>
      <t>槇</t>
    </r>
    <r>
      <rPr>
        <sz val="14"/>
        <rFont val="MingLiU"/>
        <family val="3"/>
      </rPr>
      <t>紾縝𦕑診袗裖</t>
    </r>
    <r>
      <rPr>
        <sz val="14"/>
        <rFont val="宋体"/>
        <charset val="134"/>
      </rPr>
      <t>敐</t>
    </r>
    <r>
      <rPr>
        <sz val="14"/>
        <rFont val="MingLiU"/>
        <family val="3"/>
      </rPr>
      <t>眕䪾黰駗𣞟稹𠘱</t>
    </r>
  </si>
  <si>
    <r>
      <t>矤</t>
    </r>
    <r>
      <rPr>
        <sz val="14"/>
        <rFont val="MingLiU"/>
        <family val="3"/>
      </rPr>
      <t>矧</t>
    </r>
    <r>
      <rPr>
        <sz val="14"/>
        <rFont val="宋体"/>
        <charset val="134"/>
      </rPr>
      <t>訠</t>
    </r>
    <r>
      <rPr>
        <sz val="14"/>
        <rFont val="MingLiU"/>
        <family val="3"/>
      </rPr>
      <t>哂</t>
    </r>
    <r>
      <rPr>
        <sz val="14"/>
        <rFont val="宋体"/>
        <charset val="134"/>
      </rPr>
      <t>弞頣</t>
    </r>
  </si>
  <si>
    <r>
      <t>嶙僯𩕔橉</t>
    </r>
    <r>
      <rPr>
        <sz val="14"/>
        <rFont val="宋体"/>
        <charset val="134"/>
      </rPr>
      <t>撛</t>
    </r>
  </si>
  <si>
    <r>
      <t>窘</t>
    </r>
    <r>
      <rPr>
        <sz val="14"/>
        <rFont val="宋体"/>
        <charset val="134"/>
      </rPr>
      <t>僒</t>
    </r>
    <r>
      <rPr>
        <sz val="14"/>
        <rFont val="MingLiU"/>
        <family val="3"/>
      </rPr>
      <t>莙㖥㻒箘菌䐃蔨蜠</t>
    </r>
  </si>
  <si>
    <r>
      <t>引𢎢蚓螾</t>
    </r>
    <r>
      <rPr>
        <sz val="14"/>
        <rFont val="宋体"/>
        <charset val="134"/>
      </rPr>
      <t>弞</t>
    </r>
    <r>
      <rPr>
        <sz val="14"/>
        <rFont val="MingLiU"/>
        <family val="3"/>
      </rPr>
      <t>𠻤𢯼䏖</t>
    </r>
    <r>
      <rPr>
        <sz val="14"/>
        <rFont val="宋体"/>
        <charset val="134"/>
      </rPr>
      <t>濥廴</t>
    </r>
    <r>
      <rPr>
        <sz val="14"/>
        <rFont val="MingLiU"/>
        <family val="3"/>
      </rPr>
      <t>戭縯鈏靷</t>
    </r>
  </si>
  <si>
    <r>
      <t>愍</t>
    </r>
    <r>
      <rPr>
        <sz val="14"/>
        <rFont val="宋体"/>
        <charset val="134"/>
      </rPr>
      <t>慜</t>
    </r>
    <r>
      <rPr>
        <sz val="14"/>
        <rFont val="MingLiU"/>
        <family val="3"/>
      </rPr>
      <t>憫閔(湣)敏敃暋潣簢𥴲𤛎𦌡𨏵</t>
    </r>
    <r>
      <rPr>
        <sz val="14"/>
        <rFont val="宋体"/>
        <charset val="134"/>
      </rPr>
      <t>鰵</t>
    </r>
  </si>
  <si>
    <r>
      <t>殞溳</t>
    </r>
    <r>
      <rPr>
        <sz val="14"/>
        <rFont val="宋体"/>
        <charset val="134"/>
      </rPr>
      <t>磒</t>
    </r>
    <r>
      <rPr>
        <sz val="14"/>
        <rFont val="MingLiU"/>
        <family val="3"/>
      </rPr>
      <t>隕霣</t>
    </r>
    <r>
      <rPr>
        <sz val="14"/>
        <rFont val="宋体"/>
        <charset val="134"/>
      </rPr>
      <t>愪</t>
    </r>
    <r>
      <rPr>
        <sz val="14"/>
        <rFont val="MingLiU"/>
        <family val="3"/>
      </rPr>
      <t>荺</t>
    </r>
  </si>
  <si>
    <r>
      <t>尹䪳允狁馻</t>
    </r>
    <r>
      <rPr>
        <sz val="14"/>
        <rFont val="宋体"/>
        <charset val="134"/>
      </rPr>
      <t>玧</t>
    </r>
    <r>
      <rPr>
        <sz val="14"/>
        <rFont val="MingLiU"/>
        <family val="3"/>
      </rPr>
      <t>𡴞𧉃</t>
    </r>
  </si>
  <si>
    <r>
      <t>筍</t>
    </r>
    <r>
      <rPr>
        <sz val="14"/>
        <rFont val="宋体"/>
        <charset val="134"/>
      </rPr>
      <t>笋</t>
    </r>
    <r>
      <rPr>
        <sz val="14"/>
        <rFont val="MingLiU"/>
        <family val="3"/>
      </rPr>
      <t>𠣬鵻隼</t>
    </r>
    <r>
      <rPr>
        <sz val="14"/>
        <rFont val="宋体"/>
        <charset val="134"/>
      </rPr>
      <t>箰</t>
    </r>
    <r>
      <rPr>
        <sz val="14"/>
        <rFont val="MingLiU"/>
        <family val="3"/>
      </rPr>
      <t>簨𥯗𣕍(栒)</t>
    </r>
  </si>
  <si>
    <r>
      <t>蠢𢧨䐏踳惷𦚧偆</t>
    </r>
    <r>
      <rPr>
        <sz val="14"/>
        <rFont val="宋体"/>
        <charset val="134"/>
      </rPr>
      <t>僢</t>
    </r>
    <r>
      <rPr>
        <sz val="14"/>
        <rFont val="MingLiU"/>
        <family val="3"/>
      </rPr>
      <t>𢾎</t>
    </r>
  </si>
  <si>
    <r>
      <t>耣</t>
    </r>
    <r>
      <rPr>
        <sz val="14"/>
        <rFont val="MingLiU"/>
        <family val="3"/>
      </rPr>
      <t>𦓾</t>
    </r>
  </si>
  <si>
    <r>
      <t>脪</t>
    </r>
    <r>
      <rPr>
        <sz val="14"/>
        <rFont val="MingLiU"/>
        <family val="3"/>
      </rPr>
      <t>㾙</t>
    </r>
  </si>
  <si>
    <r>
      <t>吻𦝮刎抆</t>
    </r>
    <r>
      <rPr>
        <sz val="14"/>
        <rFont val="宋体"/>
        <charset val="134"/>
      </rPr>
      <t>伆勽</t>
    </r>
    <r>
      <rPr>
        <sz val="14"/>
        <rFont val="MingLiU"/>
        <family val="3"/>
      </rPr>
      <t>𦮶</t>
    </r>
  </si>
  <si>
    <r>
      <t>憤𢤬扮㿎鼢蚡墳魵</t>
    </r>
    <r>
      <rPr>
        <sz val="14"/>
        <rFont val="宋体"/>
        <charset val="134"/>
      </rPr>
      <t>鱝</t>
    </r>
    <r>
      <rPr>
        <sz val="14"/>
        <rFont val="MingLiU"/>
        <family val="3"/>
      </rPr>
      <t>弅轒膹𢅯坋</t>
    </r>
  </si>
  <si>
    <r>
      <t>惲</t>
    </r>
    <r>
      <rPr>
        <sz val="14"/>
        <rFont val="宋体"/>
        <charset val="134"/>
      </rPr>
      <t>蕰藴</t>
    </r>
    <r>
      <rPr>
        <sz val="14"/>
        <rFont val="MingLiU"/>
        <family val="3"/>
      </rPr>
      <t>韞</t>
    </r>
    <r>
      <rPr>
        <sz val="14"/>
        <rFont val="宋体"/>
        <charset val="134"/>
      </rPr>
      <t>緼</t>
    </r>
    <r>
      <rPr>
        <sz val="14"/>
        <rFont val="MingLiU"/>
        <family val="3"/>
      </rPr>
      <t>褞䡝賱</t>
    </r>
    <r>
      <rPr>
        <sz val="14"/>
        <rFont val="宋体"/>
        <charset val="134"/>
      </rPr>
      <t>醖</t>
    </r>
    <r>
      <rPr>
        <sz val="14"/>
        <rFont val="MingLiU"/>
        <family val="3"/>
      </rPr>
      <t>(醞)</t>
    </r>
    <r>
      <rPr>
        <sz val="14"/>
        <rFont val="宋体"/>
        <charset val="134"/>
      </rPr>
      <t>揾</t>
    </r>
  </si>
  <si>
    <r>
      <t>齳</t>
    </r>
    <r>
      <rPr>
        <sz val="14"/>
        <rFont val="MingLiU"/>
        <family val="3"/>
      </rPr>
      <t>齫</t>
    </r>
    <r>
      <rPr>
        <sz val="14"/>
        <rFont val="宋体"/>
        <charset val="134"/>
      </rPr>
      <t>夽喗</t>
    </r>
    <r>
      <rPr>
        <sz val="14"/>
        <rFont val="MingLiU"/>
        <family val="3"/>
      </rPr>
      <t>𧼐</t>
    </r>
  </si>
  <si>
    <r>
      <t>隱</t>
    </r>
    <r>
      <rPr>
        <sz val="14"/>
        <rFont val="宋体"/>
        <charset val="134"/>
      </rPr>
      <t>磤</t>
    </r>
    <r>
      <rPr>
        <sz val="14"/>
        <rFont val="MingLiU"/>
        <family val="3"/>
      </rPr>
      <t>(癮)𤻘㥯</t>
    </r>
    <r>
      <rPr>
        <sz val="14"/>
        <rFont val="宋体"/>
        <charset val="134"/>
      </rPr>
      <t>嶾</t>
    </r>
    <r>
      <rPr>
        <sz val="14"/>
        <rFont val="MingLiU"/>
        <family val="3"/>
      </rPr>
      <t>㐆</t>
    </r>
    <r>
      <rPr>
        <sz val="14"/>
        <rFont val="宋体"/>
        <charset val="134"/>
      </rPr>
      <t>嶾</t>
    </r>
    <r>
      <rPr>
        <sz val="14"/>
        <rFont val="MingLiU"/>
        <family val="3"/>
      </rPr>
      <t>㶏</t>
    </r>
    <r>
      <rPr>
        <sz val="14"/>
        <rFont val="宋体"/>
        <charset val="134"/>
      </rPr>
      <t>櫽</t>
    </r>
    <r>
      <rPr>
        <sz val="14"/>
        <rFont val="MingLiU"/>
        <family val="3"/>
      </rPr>
      <t>䌥𨏈</t>
    </r>
    <r>
      <rPr>
        <sz val="14"/>
        <rFont val="宋体"/>
        <charset val="134"/>
      </rPr>
      <t>乚</t>
    </r>
  </si>
  <si>
    <r>
      <t>謹𪏴㹏槿堇𡎸</t>
    </r>
    <r>
      <rPr>
        <sz val="14"/>
        <rFont val="宋体"/>
        <charset val="134"/>
      </rPr>
      <t>漌</t>
    </r>
    <r>
      <rPr>
        <sz val="14"/>
        <rFont val="MingLiU"/>
        <family val="3"/>
      </rPr>
      <t>慬巹𧯷</t>
    </r>
    <r>
      <rPr>
        <sz val="14"/>
        <rFont val="宋体"/>
        <charset val="134"/>
      </rPr>
      <t>菦</t>
    </r>
  </si>
  <si>
    <r>
      <t>齔(</t>
    </r>
    <r>
      <rPr>
        <sz val="14"/>
        <rFont val="宋体"/>
        <charset val="134"/>
      </rPr>
      <t>齓</t>
    </r>
    <r>
      <rPr>
        <sz val="14"/>
        <rFont val="MingLiU"/>
        <family val="3"/>
      </rPr>
      <t>)</t>
    </r>
  </si>
  <si>
    <r>
      <t>𧥜巘𪗛</t>
    </r>
    <r>
      <rPr>
        <sz val="14"/>
        <rFont val="宋体"/>
        <charset val="134"/>
      </rPr>
      <t>屵</t>
    </r>
  </si>
  <si>
    <r>
      <t>反䡊阪</t>
    </r>
    <r>
      <rPr>
        <sz val="14"/>
        <rFont val="宋体"/>
        <charset val="134"/>
      </rPr>
      <t>坂</t>
    </r>
    <r>
      <rPr>
        <sz val="14"/>
        <rFont val="MingLiU"/>
        <family val="3"/>
      </rPr>
      <t>返橎</t>
    </r>
  </si>
  <si>
    <r>
      <t>暅</t>
    </r>
    <r>
      <rPr>
        <sz val="14"/>
        <rFont val="MingLiU"/>
        <family val="3"/>
      </rPr>
      <t>䁔咺烜愃𧡩諼</t>
    </r>
  </si>
  <si>
    <r>
      <t>混</t>
    </r>
    <r>
      <rPr>
        <sz val="14"/>
        <rFont val="宋体"/>
        <charset val="134"/>
      </rPr>
      <t>鯶</t>
    </r>
    <r>
      <rPr>
        <sz val="14"/>
        <rFont val="MingLiU"/>
        <family val="3"/>
      </rPr>
      <t>渾緷焜倱棍䫟睔㮯䚠𨡫䧰掍</t>
    </r>
    <r>
      <rPr>
        <sz val="14"/>
        <rFont val="宋体"/>
        <charset val="134"/>
      </rPr>
      <t>睴</t>
    </r>
    <r>
      <rPr>
        <sz val="14"/>
        <rFont val="MingLiU"/>
        <family val="3"/>
      </rPr>
      <t>煇</t>
    </r>
  </si>
  <si>
    <r>
      <t>本(</t>
    </r>
    <r>
      <rPr>
        <sz val="14"/>
        <rFont val="宋体"/>
        <charset val="134"/>
      </rPr>
      <t>夲</t>
    </r>
    <r>
      <rPr>
        <sz val="14"/>
        <rFont val="MingLiU"/>
        <family val="3"/>
      </rPr>
      <t>)畚𤲙笨㡷苯</t>
    </r>
  </si>
  <si>
    <r>
      <t>𩩌𧞢</t>
    </r>
    <r>
      <rPr>
        <sz val="14"/>
        <rFont val="宋体"/>
        <charset val="134"/>
      </rPr>
      <t>衮</t>
    </r>
    <r>
      <rPr>
        <sz val="14"/>
        <rFont val="MingLiU"/>
        <family val="3"/>
      </rPr>
      <t>(袞)緄鯀輥緷</t>
    </r>
    <r>
      <rPr>
        <sz val="14"/>
        <rFont val="宋体"/>
        <charset val="134"/>
      </rPr>
      <t>蓘</t>
    </r>
    <r>
      <rPr>
        <sz val="14"/>
        <rFont val="MingLiU"/>
        <family val="3"/>
      </rPr>
      <t>惃</t>
    </r>
    <r>
      <rPr>
        <sz val="14"/>
        <rFont val="宋体"/>
        <charset val="134"/>
      </rPr>
      <t>丨</t>
    </r>
    <r>
      <rPr>
        <sz val="14"/>
        <rFont val="MingLiU"/>
        <family val="3"/>
      </rPr>
      <t>䃂錕|滾|</t>
    </r>
  </si>
  <si>
    <r>
      <t>畽𤊯吨</t>
    </r>
    <r>
      <rPr>
        <sz val="14"/>
        <rFont val="宋体"/>
        <charset val="134"/>
      </rPr>
      <t>黗</t>
    </r>
  </si>
  <si>
    <r>
      <t>閫壼𡈋</t>
    </r>
    <r>
      <rPr>
        <sz val="14"/>
        <rFont val="宋体"/>
        <charset val="134"/>
      </rPr>
      <t>稇</t>
    </r>
    <r>
      <rPr>
        <sz val="14"/>
        <rFont val="MingLiU"/>
        <family val="3"/>
      </rPr>
      <t>裍悃𩑔梱齫硱</t>
    </r>
  </si>
  <si>
    <r>
      <t>獖</t>
    </r>
    <r>
      <rPr>
        <sz val="14"/>
        <rFont val="MingLiU"/>
        <family val="3"/>
      </rPr>
      <t>笨[夯]㨧体</t>
    </r>
  </si>
  <si>
    <r>
      <t>䫀</t>
    </r>
    <r>
      <rPr>
        <sz val="14"/>
        <rFont val="宋体"/>
        <charset val="134"/>
      </rPr>
      <t>詪</t>
    </r>
  </si>
  <si>
    <r>
      <t>旱𡷛</t>
    </r>
    <r>
      <rPr>
        <sz val="14"/>
        <rFont val="宋体"/>
        <charset val="134"/>
      </rPr>
      <t>皔</t>
    </r>
    <r>
      <rPr>
        <sz val="14"/>
        <rFont val="MingLiU"/>
        <family val="3"/>
      </rPr>
      <t>䓍䛞</t>
    </r>
  </si>
  <si>
    <r>
      <t>亶𤺺嬗笪疸觛狚</t>
    </r>
    <r>
      <rPr>
        <sz val="14"/>
        <rFont val="宋体"/>
        <charset val="134"/>
      </rPr>
      <t>担</t>
    </r>
  </si>
  <si>
    <r>
      <t>散𢽳𢿨</t>
    </r>
    <r>
      <rPr>
        <sz val="14"/>
        <rFont val="宋体"/>
        <charset val="134"/>
      </rPr>
      <t>饊糤</t>
    </r>
    <r>
      <rPr>
        <sz val="14"/>
        <rFont val="MingLiU"/>
        <family val="3"/>
      </rPr>
      <t>鏾繖䉈傘𣀧𢄻</t>
    </r>
  </si>
  <si>
    <r>
      <t>瓉</t>
    </r>
    <r>
      <rPr>
        <sz val="14"/>
        <rFont val="MingLiU"/>
        <family val="3"/>
      </rPr>
      <t>(瓚)趲禶</t>
    </r>
  </si>
  <si>
    <r>
      <t>趕!笴簳皯稈</t>
    </r>
    <r>
      <rPr>
        <sz val="14"/>
        <rFont val="宋体"/>
        <charset val="134"/>
      </rPr>
      <t>秆仠</t>
    </r>
    <r>
      <rPr>
        <sz val="14"/>
        <rFont val="MingLiU"/>
        <family val="3"/>
      </rPr>
      <t>稈</t>
    </r>
    <r>
      <rPr>
        <sz val="14"/>
        <rFont val="宋体"/>
        <charset val="134"/>
      </rPr>
      <t>秆仠</t>
    </r>
    <r>
      <rPr>
        <sz val="14"/>
        <rFont val="MingLiU"/>
        <family val="3"/>
      </rPr>
      <t>矸</t>
    </r>
    <r>
      <rPr>
        <sz val="14"/>
        <rFont val="宋体"/>
        <charset val="134"/>
      </rPr>
      <t>衦</t>
    </r>
    <r>
      <rPr>
        <sz val="14"/>
        <rFont val="MingLiU"/>
        <family val="3"/>
      </rPr>
      <t>|</t>
    </r>
    <r>
      <rPr>
        <sz val="14"/>
        <rFont val="宋体"/>
        <charset val="134"/>
      </rPr>
      <t>擀</t>
    </r>
    <r>
      <rPr>
        <sz val="14"/>
        <rFont val="MingLiU"/>
        <family val="3"/>
      </rPr>
      <t>|</t>
    </r>
  </si>
  <si>
    <r>
      <t>緩澣浣綄㬊䁔𧡩梡棵𧶲</t>
    </r>
    <r>
      <rPr>
        <sz val="14"/>
        <rFont val="宋体"/>
        <charset val="134"/>
      </rPr>
      <t>鰀嵈</t>
    </r>
    <r>
      <rPr>
        <sz val="14"/>
        <rFont val="MingLiU"/>
        <family val="3"/>
      </rPr>
      <t>晥䈠</t>
    </r>
  </si>
  <si>
    <r>
      <t>碗(</t>
    </r>
    <r>
      <rPr>
        <sz val="14"/>
        <rFont val="宋体"/>
        <charset val="134"/>
      </rPr>
      <t>椀</t>
    </r>
    <r>
      <rPr>
        <sz val="14"/>
        <rFont val="MingLiU"/>
        <family val="3"/>
      </rPr>
      <t>)</t>
    </r>
    <r>
      <rPr>
        <sz val="14"/>
        <rFont val="宋体"/>
        <charset val="134"/>
      </rPr>
      <t>盌</t>
    </r>
  </si>
  <si>
    <r>
      <t>疃</t>
    </r>
    <r>
      <rPr>
        <sz val="14"/>
        <rFont val="MingLiU"/>
        <family val="3"/>
      </rPr>
      <t>𤲫瘓䠪䜝𢣎𩏇</t>
    </r>
  </si>
  <si>
    <r>
      <t>管筦脘</t>
    </r>
    <r>
      <rPr>
        <sz val="14"/>
        <rFont val="宋体"/>
        <charset val="134"/>
      </rPr>
      <t>輨</t>
    </r>
    <r>
      <rPr>
        <sz val="14"/>
        <rFont val="MingLiU"/>
        <family val="3"/>
      </rPr>
      <t>盥琯痯悹䩪錧䗆䘾</t>
    </r>
  </si>
  <si>
    <r>
      <t>款</t>
    </r>
    <r>
      <rPr>
        <sz val="14"/>
        <rFont val="宋体"/>
        <charset val="134"/>
      </rPr>
      <t>歀欵</t>
    </r>
    <r>
      <rPr>
        <sz val="14"/>
        <rFont val="MingLiU"/>
        <family val="3"/>
      </rPr>
      <t>窾䥗梡棵䲌</t>
    </r>
  </si>
  <si>
    <r>
      <t>煗</t>
    </r>
    <r>
      <rPr>
        <sz val="14"/>
        <rFont val="MingLiU"/>
        <family val="3"/>
      </rPr>
      <t>暖煖餪㬉渜</t>
    </r>
    <r>
      <rPr>
        <sz val="14"/>
        <rFont val="宋体"/>
        <charset val="134"/>
      </rPr>
      <t>稬</t>
    </r>
  </si>
  <si>
    <r>
      <t>纂䂎</t>
    </r>
    <r>
      <rPr>
        <sz val="14"/>
        <rFont val="宋体"/>
        <charset val="134"/>
      </rPr>
      <t>纉</t>
    </r>
    <r>
      <rPr>
        <sz val="14"/>
        <rFont val="MingLiU"/>
        <family val="3"/>
      </rPr>
      <t>(纘)儹籫</t>
    </r>
    <r>
      <rPr>
        <sz val="14"/>
        <rFont val="宋体"/>
        <charset val="134"/>
      </rPr>
      <t>鄼繤</t>
    </r>
    <r>
      <rPr>
        <sz val="14"/>
        <rFont val="MingLiU"/>
        <family val="3"/>
      </rPr>
      <t>𦆈</t>
    </r>
  </si>
  <si>
    <r>
      <t>滿懣𢟮𥲈</t>
    </r>
    <r>
      <rPr>
        <sz val="14"/>
        <rFont val="宋体"/>
        <charset val="134"/>
      </rPr>
      <t>鏋</t>
    </r>
  </si>
  <si>
    <r>
      <t>粄䉽䬳</t>
    </r>
    <r>
      <rPr>
        <sz val="14"/>
        <rFont val="宋体"/>
        <charset val="134"/>
      </rPr>
      <t>瓪</t>
    </r>
    <r>
      <rPr>
        <sz val="14"/>
        <rFont val="MingLiU"/>
        <family val="3"/>
      </rPr>
      <t>昄</t>
    </r>
  </si>
  <si>
    <r>
      <t>板!版蝂</t>
    </r>
    <r>
      <rPr>
        <sz val="14"/>
        <rFont val="宋体"/>
        <charset val="134"/>
      </rPr>
      <t>瓪</t>
    </r>
    <r>
      <rPr>
        <sz val="14"/>
        <rFont val="MingLiU"/>
        <family val="3"/>
      </rPr>
      <t>昄鈑|舨</t>
    </r>
  </si>
  <si>
    <r>
      <t>䩆</t>
    </r>
    <r>
      <rPr>
        <sz val="14"/>
        <rFont val="宋体"/>
        <charset val="134"/>
      </rPr>
      <t>拃</t>
    </r>
    <r>
      <rPr>
        <sz val="14"/>
        <rFont val="MingLiU"/>
        <family val="3"/>
      </rPr>
      <t>䎒</t>
    </r>
  </si>
  <si>
    <r>
      <t>僩憪𤡥捍</t>
    </r>
    <r>
      <rPr>
        <sz val="14"/>
        <rFont val="宋体"/>
        <charset val="134"/>
      </rPr>
      <t>橌</t>
    </r>
  </si>
  <si>
    <r>
      <t>產(</t>
    </r>
    <r>
      <rPr>
        <sz val="14"/>
        <rFont val="宋体"/>
        <charset val="134"/>
      </rPr>
      <t>産</t>
    </r>
    <r>
      <rPr>
        <sz val="14"/>
        <rFont val="MingLiU"/>
        <family val="3"/>
      </rPr>
      <t>)簅</t>
    </r>
    <r>
      <rPr>
        <sz val="14"/>
        <rFont val="宋体"/>
        <charset val="134"/>
      </rPr>
      <t>摌</t>
    </r>
    <r>
      <rPr>
        <sz val="14"/>
        <rFont val="MingLiU"/>
        <family val="3"/>
      </rPr>
      <t>㹌嵼汕滻㦃𥽽𩥮</t>
    </r>
  </si>
  <si>
    <r>
      <t>簡㶕</t>
    </r>
    <r>
      <rPr>
        <sz val="14"/>
        <rFont val="宋体"/>
        <charset val="134"/>
      </rPr>
      <t>僴</t>
    </r>
    <r>
      <rPr>
        <sz val="14"/>
        <rFont val="MingLiU"/>
        <family val="3"/>
      </rPr>
      <t>𧟉柬暕揀</t>
    </r>
  </si>
  <si>
    <r>
      <t>剗</t>
    </r>
    <r>
      <rPr>
        <sz val="14"/>
        <rFont val="MingLiU"/>
        <family val="3"/>
      </rPr>
      <t>鏟丳羼㦃䐮</t>
    </r>
  </si>
  <si>
    <r>
      <t>棧㟞</t>
    </r>
    <r>
      <rPr>
        <sz val="14"/>
        <rFont val="宋体"/>
        <charset val="134"/>
      </rPr>
      <t>嶘</t>
    </r>
    <r>
      <rPr>
        <sz val="14"/>
        <rFont val="MingLiU"/>
        <family val="3"/>
      </rPr>
      <t>轏孱𠊩輚虥</t>
    </r>
  </si>
  <si>
    <r>
      <t>銑洗跣毨姺燹</t>
    </r>
    <r>
      <rPr>
        <sz val="14"/>
        <rFont val="宋体"/>
        <charset val="134"/>
      </rPr>
      <t>箲</t>
    </r>
    <r>
      <rPr>
        <sz val="14"/>
        <rFont val="MingLiU"/>
        <family val="3"/>
      </rPr>
      <t>筅㭠𦭶𩶤[冼](筅)</t>
    </r>
  </si>
  <si>
    <r>
      <t>典蕇𩒝錪𥮏[碘]|</t>
    </r>
    <r>
      <rPr>
        <sz val="14"/>
        <rFont val="宋体"/>
        <charset val="134"/>
      </rPr>
      <t>敟</t>
    </r>
    <r>
      <rPr>
        <sz val="14"/>
        <rFont val="MingLiU"/>
        <family val="3"/>
      </rPr>
      <t>琠婰䵤</t>
    </r>
  </si>
  <si>
    <r>
      <t>繭</t>
    </r>
    <r>
      <rPr>
        <sz val="14"/>
        <rFont val="宋体"/>
        <charset val="134"/>
      </rPr>
      <t>絸蠒</t>
    </r>
    <r>
      <rPr>
        <sz val="14"/>
        <rFont val="MingLiU"/>
        <family val="3"/>
      </rPr>
      <t>𥀹趼𢆞𡘸</t>
    </r>
    <r>
      <rPr>
        <sz val="14"/>
        <rFont val="宋体"/>
        <charset val="134"/>
      </rPr>
      <t>垷</t>
    </r>
    <r>
      <rPr>
        <sz val="14"/>
        <rFont val="MingLiU"/>
        <family val="3"/>
      </rPr>
      <t>筧襺𢺃挸𢹕</t>
    </r>
  </si>
  <si>
    <r>
      <t>峴</t>
    </r>
    <r>
      <rPr>
        <sz val="14"/>
        <rFont val="宋体"/>
        <charset val="134"/>
      </rPr>
      <t>臔哯</t>
    </r>
    <r>
      <rPr>
        <sz val="14"/>
        <rFont val="MingLiU"/>
        <family val="3"/>
      </rPr>
      <t>晛</t>
    </r>
    <r>
      <rPr>
        <sz val="14"/>
        <rFont val="宋体"/>
        <charset val="134"/>
      </rPr>
      <t>垷</t>
    </r>
    <r>
      <rPr>
        <sz val="14"/>
        <rFont val="MingLiU"/>
        <family val="3"/>
      </rPr>
      <t>蜆俔顈䵤睍</t>
    </r>
    <r>
      <rPr>
        <sz val="14"/>
        <rFont val="宋体"/>
        <charset val="134"/>
      </rPr>
      <t>詪</t>
    </r>
    <r>
      <rPr>
        <sz val="14"/>
        <rFont val="MingLiU"/>
        <family val="3"/>
      </rPr>
      <t>㦓嫢</t>
    </r>
  </si>
  <si>
    <r>
      <t>㨠</t>
    </r>
    <r>
      <rPr>
        <sz val="14"/>
        <rFont val="宋体"/>
        <charset val="134"/>
      </rPr>
      <t>芇</t>
    </r>
    <r>
      <rPr>
        <sz val="14"/>
        <rFont val="MingLiU"/>
        <family val="3"/>
      </rPr>
      <t>丏眄</t>
    </r>
  </si>
  <si>
    <r>
      <t>撚涊</t>
    </r>
    <r>
      <rPr>
        <sz val="14"/>
        <rFont val="宋体"/>
        <charset val="134"/>
      </rPr>
      <t>蹨</t>
    </r>
    <r>
      <rPr>
        <sz val="14"/>
        <rFont val="MingLiU"/>
        <family val="3"/>
      </rPr>
      <t>跈</t>
    </r>
  </si>
  <si>
    <r>
      <t>扁!編匾緶𦄒萹𥣰(</t>
    </r>
    <r>
      <rPr>
        <sz val="14"/>
        <rFont val="宋体"/>
        <charset val="134"/>
      </rPr>
      <t>藊</t>
    </r>
    <r>
      <rPr>
        <sz val="14"/>
        <rFont val="MingLiU"/>
        <family val="3"/>
      </rPr>
      <t>)𥤓惼碥</t>
    </r>
    <r>
      <rPr>
        <sz val="14"/>
        <rFont val="宋体"/>
        <charset val="134"/>
      </rPr>
      <t>糄</t>
    </r>
  </si>
  <si>
    <r>
      <t>泫鉉琄贙</t>
    </r>
    <r>
      <rPr>
        <sz val="14"/>
        <rFont val="宋体"/>
        <charset val="134"/>
      </rPr>
      <t>埍</t>
    </r>
    <r>
      <rPr>
        <sz val="14"/>
        <rFont val="MingLiU"/>
        <family val="3"/>
      </rPr>
      <t>(妶)𦇏䀏𥌭鞙䩙䧎𨊼𩉥䭴</t>
    </r>
  </si>
  <si>
    <r>
      <t>𡿨畎𤰝</t>
    </r>
    <r>
      <rPr>
        <sz val="14"/>
        <rFont val="宋体"/>
        <charset val="134"/>
      </rPr>
      <t>詃埍</t>
    </r>
    <r>
      <rPr>
        <sz val="14"/>
        <rFont val="MingLiU"/>
        <family val="3"/>
      </rPr>
      <t>罥</t>
    </r>
    <r>
      <rPr>
        <sz val="14"/>
        <rFont val="宋体"/>
        <charset val="134"/>
      </rPr>
      <t>羂</t>
    </r>
    <r>
      <rPr>
        <sz val="14"/>
        <rFont val="MingLiU"/>
        <family val="3"/>
      </rPr>
      <t>汱</t>
    </r>
  </si>
  <si>
    <r>
      <t>獮𤣝𥙮鮮</t>
    </r>
    <r>
      <rPr>
        <sz val="14"/>
        <rFont val="宋体"/>
        <charset val="134"/>
      </rPr>
      <t>尠</t>
    </r>
    <r>
      <rPr>
        <sz val="14"/>
        <rFont val="MingLiU"/>
        <family val="3"/>
      </rPr>
      <t>尟癬燹𤐨䉳廯𧕇蘚</t>
    </r>
  </si>
  <si>
    <r>
      <t>善</t>
    </r>
    <r>
      <rPr>
        <sz val="14"/>
        <rFont val="宋体"/>
        <charset val="134"/>
      </rPr>
      <t>譱</t>
    </r>
    <r>
      <rPr>
        <sz val="14"/>
        <rFont val="MingLiU"/>
        <family val="3"/>
      </rPr>
      <t>墠</t>
    </r>
    <r>
      <rPr>
        <sz val="14"/>
        <rFont val="宋体"/>
        <charset val="134"/>
      </rPr>
      <t>鱓</t>
    </r>
    <r>
      <rPr>
        <sz val="14"/>
        <rFont val="MingLiU"/>
        <family val="3"/>
      </rPr>
      <t>蟺(</t>
    </r>
    <r>
      <rPr>
        <sz val="14"/>
        <rFont val="宋体"/>
        <charset val="134"/>
      </rPr>
      <t>蟮</t>
    </r>
    <r>
      <rPr>
        <sz val="14"/>
        <rFont val="MingLiU"/>
        <family val="3"/>
      </rPr>
      <t>)單</t>
    </r>
    <r>
      <rPr>
        <sz val="14"/>
        <rFont val="宋体"/>
        <charset val="134"/>
      </rPr>
      <t>僐</t>
    </r>
    <r>
      <rPr>
        <sz val="14"/>
        <rFont val="MingLiU"/>
        <family val="3"/>
      </rPr>
      <t>鄯墡</t>
    </r>
    <r>
      <rPr>
        <sz val="14"/>
        <rFont val="宋体"/>
        <charset val="134"/>
      </rPr>
      <t>磰</t>
    </r>
    <r>
      <rPr>
        <sz val="14"/>
        <rFont val="MingLiU"/>
        <family val="3"/>
      </rPr>
      <t>𪍶</t>
    </r>
  </si>
  <si>
    <r>
      <t>蹨</t>
    </r>
    <r>
      <rPr>
        <sz val="14"/>
        <rFont val="MingLiU"/>
        <family val="3"/>
      </rPr>
      <t>橪戁熯㒄</t>
    </r>
  </si>
  <si>
    <r>
      <t>齴巘</t>
    </r>
    <r>
      <rPr>
        <sz val="14"/>
        <rFont val="宋体"/>
        <charset val="134"/>
      </rPr>
      <t>遃</t>
    </r>
    <r>
      <rPr>
        <sz val="14"/>
        <rFont val="MingLiU"/>
        <family val="3"/>
      </rPr>
      <t>嵃讞𤫣甗</t>
    </r>
  </si>
  <si>
    <r>
      <t>辯</t>
    </r>
    <r>
      <rPr>
        <sz val="14"/>
        <rFont val="宋体"/>
        <charset val="134"/>
      </rPr>
      <t>辡</t>
    </r>
    <r>
      <rPr>
        <sz val="14"/>
        <rFont val="MingLiU"/>
        <family val="3"/>
      </rPr>
      <t>辨𧦪諞</t>
    </r>
  </si>
  <si>
    <r>
      <t>緬沔</t>
    </r>
    <r>
      <rPr>
        <sz val="14"/>
        <rFont val="宋体"/>
        <charset val="134"/>
      </rPr>
      <t>汅</t>
    </r>
    <r>
      <rPr>
        <sz val="14"/>
        <rFont val="MingLiU"/>
        <family val="3"/>
      </rPr>
      <t>湎愐黽𩋠偭</t>
    </r>
    <r>
      <rPr>
        <sz val="14"/>
        <rFont val="宋体"/>
        <charset val="134"/>
      </rPr>
      <t>勔</t>
    </r>
    <r>
      <rPr>
        <sz val="14"/>
        <rFont val="MingLiU"/>
        <family val="3"/>
      </rPr>
      <t>𢃮</t>
    </r>
  </si>
  <si>
    <r>
      <t>雋</t>
    </r>
    <r>
      <rPr>
        <sz val="14"/>
        <rFont val="宋体"/>
        <charset val="134"/>
      </rPr>
      <t>隽</t>
    </r>
    <r>
      <rPr>
        <sz val="14"/>
        <rFont val="MingLiU"/>
        <family val="3"/>
      </rPr>
      <t>𤺻吮𦼱</t>
    </r>
  </si>
  <si>
    <r>
      <t>辡</t>
    </r>
    <r>
      <rPr>
        <sz val="14"/>
        <rFont val="MingLiU"/>
        <family val="3"/>
      </rPr>
      <t>䁵</t>
    </r>
    <r>
      <rPr>
        <sz val="14"/>
        <rFont val="宋体"/>
        <charset val="134"/>
      </rPr>
      <t>覸</t>
    </r>
    <r>
      <rPr>
        <sz val="14"/>
        <rFont val="MingLiU"/>
        <family val="3"/>
      </rPr>
      <t>鴘</t>
    </r>
  </si>
  <si>
    <r>
      <t>兖</t>
    </r>
    <r>
      <rPr>
        <sz val="14"/>
        <rFont val="MingLiU"/>
        <family val="3"/>
      </rPr>
      <t>(兗)</t>
    </r>
    <r>
      <rPr>
        <sz val="14"/>
        <rFont val="宋体"/>
        <charset val="134"/>
      </rPr>
      <t>渷</t>
    </r>
    <r>
      <rPr>
        <sz val="14"/>
        <rFont val="MingLiU"/>
        <family val="3"/>
      </rPr>
      <t>沇𢯻抁萒馻㕣𦁙𩘍</t>
    </r>
  </si>
  <si>
    <r>
      <t>軟!</t>
    </r>
    <r>
      <rPr>
        <sz val="14"/>
        <rFont val="宋体"/>
        <charset val="134"/>
      </rPr>
      <t>輭</t>
    </r>
    <r>
      <rPr>
        <sz val="14"/>
        <rFont val="MingLiU"/>
        <family val="3"/>
      </rPr>
      <t>蝡㮕䓴</t>
    </r>
    <r>
      <rPr>
        <sz val="14"/>
        <rFont val="宋体"/>
        <charset val="134"/>
      </rPr>
      <t>碝瑌愞腝</t>
    </r>
    <r>
      <rPr>
        <sz val="14"/>
        <rFont val="MingLiU"/>
        <family val="3"/>
      </rPr>
      <t>䞂耎𢘎㞋</t>
    </r>
    <r>
      <rPr>
        <sz val="14"/>
        <rFont val="宋体"/>
        <charset val="134"/>
      </rPr>
      <t>偄</t>
    </r>
    <r>
      <rPr>
        <sz val="14"/>
        <rFont val="MingLiU"/>
        <family val="3"/>
      </rPr>
      <t>㼱𠤦𤲬緛</t>
    </r>
  </si>
  <si>
    <r>
      <t>膞</t>
    </r>
    <r>
      <rPr>
        <sz val="14"/>
        <rFont val="宋体"/>
        <charset val="134"/>
      </rPr>
      <t>腨</t>
    </r>
    <r>
      <rPr>
        <sz val="14"/>
        <rFont val="MingLiU"/>
        <family val="3"/>
      </rPr>
      <t>鄟𡭐歂踹𦺲</t>
    </r>
  </si>
  <si>
    <r>
      <t>篆瑑沌摶𦁆䧘</t>
    </r>
    <r>
      <rPr>
        <sz val="14"/>
        <rFont val="宋体"/>
        <charset val="134"/>
      </rPr>
      <t>堟</t>
    </r>
  </si>
  <si>
    <r>
      <t>剸剬</t>
    </r>
    <r>
      <rPr>
        <sz val="14"/>
        <rFont val="宋体"/>
        <charset val="134"/>
      </rPr>
      <t>孨</t>
    </r>
    <r>
      <rPr>
        <sz val="14"/>
        <rFont val="MingLiU"/>
        <family val="3"/>
      </rPr>
      <t>鱄</t>
    </r>
    <r>
      <rPr>
        <sz val="14"/>
        <rFont val="宋体"/>
        <charset val="134"/>
      </rPr>
      <t>竱</t>
    </r>
    <r>
      <rPr>
        <sz val="14"/>
        <rFont val="MingLiU"/>
        <family val="3"/>
      </rPr>
      <t>膞𨷱𡇰𦓝</t>
    </r>
  </si>
  <si>
    <r>
      <t>皎</t>
    </r>
    <r>
      <rPr>
        <sz val="14"/>
        <rFont val="宋体"/>
        <charset val="134"/>
      </rPr>
      <t>璬</t>
    </r>
    <r>
      <rPr>
        <sz val="14"/>
        <rFont val="MingLiU"/>
        <family val="3"/>
      </rPr>
      <t>𢅎䥵㿟皦恔繳𨶪</t>
    </r>
    <r>
      <rPr>
        <sz val="14"/>
        <rFont val="宋体"/>
        <charset val="134"/>
      </rPr>
      <t>晈</t>
    </r>
    <r>
      <rPr>
        <sz val="14"/>
        <rFont val="MingLiU"/>
        <family val="3"/>
      </rPr>
      <t>䘨儌</t>
    </r>
  </si>
  <si>
    <r>
      <t>鳥𢁕㣿蔦釕扚𧜣䄪𠄏|鵃䄪窵</t>
    </r>
    <r>
      <rPr>
        <sz val="14"/>
        <rFont val="宋体"/>
        <charset val="134"/>
      </rPr>
      <t>隝</t>
    </r>
    <r>
      <rPr>
        <sz val="14"/>
        <rFont val="MingLiU"/>
        <family val="3"/>
      </rPr>
      <t>佻䲽伄[屌]</t>
    </r>
  </si>
  <si>
    <r>
      <t>了蓼瞭镽鄝繚憭䑠</t>
    </r>
    <r>
      <rPr>
        <sz val="14"/>
        <rFont val="宋体"/>
        <charset val="134"/>
      </rPr>
      <t>爒</t>
    </r>
    <r>
      <rPr>
        <sz val="14"/>
        <rFont val="MingLiU"/>
        <family val="3"/>
      </rPr>
      <t>𢄺𥗀撩𤁸𧘈</t>
    </r>
  </si>
  <si>
    <r>
      <t>曉䥵</t>
    </r>
    <r>
      <rPr>
        <sz val="14"/>
        <rFont val="宋体"/>
        <charset val="134"/>
      </rPr>
      <t>皢</t>
    </r>
    <r>
      <rPr>
        <sz val="14"/>
        <rFont val="MingLiU"/>
        <family val="3"/>
      </rPr>
      <t>膮</t>
    </r>
  </si>
  <si>
    <r>
      <t>杳窅窈偠騕𩡻𨱧葽㫏鴢</t>
    </r>
    <r>
      <rPr>
        <sz val="14"/>
        <rFont val="宋体"/>
        <charset val="134"/>
      </rPr>
      <t>婹</t>
    </r>
    <r>
      <rPr>
        <sz val="14"/>
        <rFont val="MingLiU"/>
        <family val="3"/>
      </rPr>
      <t>㫐䆞𡧮苭</t>
    </r>
  </si>
  <si>
    <r>
      <t>肇</t>
    </r>
    <r>
      <rPr>
        <sz val="14"/>
        <rFont val="宋体"/>
        <charset val="134"/>
      </rPr>
      <t>肁</t>
    </r>
    <r>
      <rPr>
        <sz val="14"/>
        <rFont val="MingLiU"/>
        <family val="3"/>
      </rPr>
      <t>兆趙旐狣䍮鮡駣垗𠧞_xD85D_</t>
    </r>
  </si>
  <si>
    <r>
      <t>夭殀芺</t>
    </r>
    <r>
      <rPr>
        <sz val="14"/>
        <rFont val="宋体"/>
        <charset val="134"/>
      </rPr>
      <t>仸</t>
    </r>
  </si>
  <si>
    <r>
      <t>𪍑</t>
    </r>
    <r>
      <rPr>
        <sz val="14"/>
        <rFont val="宋体"/>
        <charset val="134"/>
      </rPr>
      <t>麨</t>
    </r>
    <r>
      <rPr>
        <sz val="14"/>
        <rFont val="MingLiU"/>
        <family val="3"/>
      </rPr>
      <t>弨楢眧</t>
    </r>
  </si>
  <si>
    <r>
      <t>紹</t>
    </r>
    <r>
      <rPr>
        <sz val="14"/>
        <rFont val="宋体"/>
        <charset val="134"/>
      </rPr>
      <t>綤佋</t>
    </r>
    <r>
      <rPr>
        <sz val="14"/>
        <rFont val="MingLiU"/>
        <family val="3"/>
      </rPr>
      <t>袑䙼</t>
    </r>
  </si>
  <si>
    <r>
      <t>矯鱎䚩</t>
    </r>
    <r>
      <rPr>
        <sz val="14"/>
        <rFont val="宋体"/>
        <charset val="134"/>
      </rPr>
      <t>敽</t>
    </r>
    <r>
      <rPr>
        <sz val="14"/>
        <rFont val="MingLiU"/>
        <family val="3"/>
      </rPr>
      <t>撟嬌𥃧蟜譑𨝰</t>
    </r>
    <r>
      <rPr>
        <sz val="14"/>
        <rFont val="宋体"/>
        <charset val="134"/>
      </rPr>
      <t>孂</t>
    </r>
    <r>
      <rPr>
        <sz val="14"/>
        <rFont val="MingLiU"/>
        <family val="3"/>
      </rPr>
      <t>蹻</t>
    </r>
  </si>
  <si>
    <r>
      <t>悄愀</t>
    </r>
    <r>
      <rPr>
        <sz val="14"/>
        <rFont val="宋体"/>
        <charset val="134"/>
      </rPr>
      <t>釥</t>
    </r>
  </si>
  <si>
    <r>
      <t>繚燎𢻢</t>
    </r>
    <r>
      <rPr>
        <sz val="14"/>
        <rFont val="宋体"/>
        <charset val="134"/>
      </rPr>
      <t>璙</t>
    </r>
    <r>
      <rPr>
        <sz val="14"/>
        <rFont val="MingLiU"/>
        <family val="3"/>
      </rPr>
      <t>憭</t>
    </r>
    <r>
      <rPr>
        <sz val="14"/>
        <rFont val="宋体"/>
        <charset val="134"/>
      </rPr>
      <t>爒</t>
    </r>
    <r>
      <rPr>
        <sz val="14"/>
        <rFont val="MingLiU"/>
        <family val="3"/>
      </rPr>
      <t>僚䩍嫽</t>
    </r>
  </si>
  <si>
    <r>
      <t>卯</t>
    </r>
    <r>
      <rPr>
        <sz val="14"/>
        <rFont val="宋体"/>
        <charset val="134"/>
      </rPr>
      <t>戼緢</t>
    </r>
    <r>
      <rPr>
        <sz val="14"/>
        <rFont val="MingLiU"/>
        <family val="3"/>
      </rPr>
      <t>泖昴媌茆</t>
    </r>
  </si>
  <si>
    <r>
      <t>搞]!絞狡佼攪䕧筊𢯴鉸𥂔姣</t>
    </r>
    <r>
      <rPr>
        <sz val="14"/>
        <rFont val="宋体"/>
        <charset val="134"/>
      </rPr>
      <t>烄</t>
    </r>
    <r>
      <rPr>
        <sz val="14"/>
        <rFont val="MingLiU"/>
        <family val="3"/>
      </rPr>
      <t>𢽻䀊䉰㽱</t>
    </r>
  </si>
  <si>
    <r>
      <t>拗鴢𢂊𥃯</t>
    </r>
    <r>
      <rPr>
        <sz val="14"/>
        <rFont val="宋体"/>
        <charset val="134"/>
      </rPr>
      <t>狕</t>
    </r>
  </si>
  <si>
    <r>
      <t>鮑</t>
    </r>
    <r>
      <rPr>
        <sz val="14"/>
        <rFont val="宋体"/>
        <charset val="134"/>
      </rPr>
      <t>骲</t>
    </r>
    <r>
      <rPr>
        <sz val="14"/>
        <rFont val="MingLiU"/>
        <family val="3"/>
      </rPr>
      <t>𡂟鞄</t>
    </r>
  </si>
  <si>
    <r>
      <t>齩</t>
    </r>
    <r>
      <rPr>
        <sz val="14"/>
        <rFont val="MingLiU"/>
        <family val="3"/>
      </rPr>
      <t>(咬）</t>
    </r>
  </si>
  <si>
    <r>
      <t>吵!</t>
    </r>
    <r>
      <rPr>
        <sz val="14"/>
        <rFont val="宋体"/>
        <charset val="134"/>
      </rPr>
      <t>煼</t>
    </r>
    <r>
      <rPr>
        <sz val="14"/>
        <rFont val="MingLiU"/>
        <family val="3"/>
      </rPr>
      <t>𩱦𤌉炒謅𩱈|抄𩈎</t>
    </r>
    <r>
      <rPr>
        <sz val="14"/>
        <rFont val="宋体"/>
        <charset val="134"/>
      </rPr>
      <t>㥮仯</t>
    </r>
  </si>
  <si>
    <r>
      <t>晧</t>
    </r>
    <r>
      <rPr>
        <sz val="14"/>
        <rFont val="MingLiU"/>
        <family val="3"/>
      </rPr>
      <t>(皓)昊昦</t>
    </r>
    <r>
      <rPr>
        <sz val="14"/>
        <rFont val="宋体"/>
        <charset val="134"/>
      </rPr>
      <t>暭</t>
    </r>
    <r>
      <rPr>
        <sz val="14"/>
        <rFont val="MingLiU"/>
        <family val="3"/>
      </rPr>
      <t>鎬浩顥灝鰝</t>
    </r>
    <r>
      <rPr>
        <sz val="14"/>
        <rFont val="宋体"/>
        <charset val="134"/>
      </rPr>
      <t>夰</t>
    </r>
    <r>
      <rPr>
        <sz val="14"/>
        <rFont val="MingLiU"/>
        <family val="3"/>
      </rPr>
      <t>薃鄗𨛴𧇼𥢑滈</t>
    </r>
  </si>
  <si>
    <r>
      <t>道</t>
    </r>
    <r>
      <rPr>
        <sz val="14"/>
        <rFont val="宋体"/>
        <charset val="134"/>
      </rPr>
      <t>衟</t>
    </r>
    <r>
      <rPr>
        <sz val="14"/>
        <rFont val="MingLiU"/>
        <family val="3"/>
      </rPr>
      <t>𡬲稻駣𣜦𨱵</t>
    </r>
  </si>
  <si>
    <r>
      <t>腦!</t>
    </r>
    <r>
      <rPr>
        <sz val="14"/>
        <rFont val="宋体"/>
        <charset val="134"/>
      </rPr>
      <t>堖</t>
    </r>
    <r>
      <rPr>
        <sz val="14"/>
        <rFont val="MingLiU"/>
        <family val="3"/>
      </rPr>
      <t>(</t>
    </r>
    <r>
      <rPr>
        <sz val="14"/>
        <rFont val="宋体"/>
        <charset val="134"/>
      </rPr>
      <t>匘</t>
    </r>
    <r>
      <rPr>
        <sz val="14"/>
        <rFont val="MingLiU"/>
        <family val="3"/>
      </rPr>
      <t>)𠜶惱</t>
    </r>
    <r>
      <rPr>
        <sz val="14"/>
        <rFont val="宋体"/>
        <charset val="134"/>
      </rPr>
      <t>碯</t>
    </r>
    <r>
      <rPr>
        <sz val="14"/>
        <rFont val="MingLiU"/>
        <family val="3"/>
      </rPr>
      <t>𨱵㺁𧳦㛴|瑙</t>
    </r>
  </si>
  <si>
    <r>
      <t>草艸懆慅騲𠹊</t>
    </r>
    <r>
      <rPr>
        <sz val="14"/>
        <rFont val="宋体"/>
        <charset val="134"/>
      </rPr>
      <t>愺</t>
    </r>
  </si>
  <si>
    <r>
      <t>早澡藻</t>
    </r>
    <r>
      <rPr>
        <sz val="14"/>
        <rFont val="宋体"/>
        <charset val="134"/>
      </rPr>
      <t>薻</t>
    </r>
    <r>
      <rPr>
        <sz val="14"/>
        <rFont val="MingLiU"/>
        <family val="3"/>
      </rPr>
      <t>𧎮蚤䲃璪璅棗繰繅</t>
    </r>
  </si>
  <si>
    <r>
      <t>皁(皂)𦯑造</t>
    </r>
    <r>
      <rPr>
        <sz val="14"/>
        <rFont val="宋体"/>
        <charset val="134"/>
      </rPr>
      <t>艁</t>
    </r>
  </si>
  <si>
    <r>
      <t>暠𣓌杲</t>
    </r>
    <r>
      <rPr>
        <sz val="14"/>
        <rFont val="宋体"/>
        <charset val="134"/>
      </rPr>
      <t>稾</t>
    </r>
    <r>
      <rPr>
        <sz val="14"/>
        <rFont val="MingLiU"/>
        <family val="3"/>
      </rPr>
      <t>(稿)</t>
    </r>
    <r>
      <rPr>
        <sz val="14"/>
        <rFont val="宋体"/>
        <charset val="134"/>
      </rPr>
      <t>藳夰</t>
    </r>
    <r>
      <rPr>
        <sz val="14"/>
        <rFont val="MingLiU"/>
        <family val="3"/>
      </rPr>
      <t>縞</t>
    </r>
    <r>
      <rPr>
        <sz val="14"/>
        <rFont val="宋体"/>
        <charset val="134"/>
      </rPr>
      <t>槀</t>
    </r>
    <r>
      <rPr>
        <sz val="14"/>
        <rFont val="MingLiU"/>
        <family val="3"/>
      </rPr>
      <t>㚖</t>
    </r>
    <r>
      <rPr>
        <sz val="14"/>
        <rFont val="宋体"/>
        <charset val="134"/>
      </rPr>
      <t>菒</t>
    </r>
    <r>
      <rPr>
        <sz val="14"/>
        <rFont val="MingLiU"/>
        <family val="3"/>
      </rPr>
      <t>𥓖</t>
    </r>
  </si>
  <si>
    <r>
      <t>蓩䓮媢</t>
    </r>
    <r>
      <rPr>
        <sz val="14"/>
        <rFont val="宋体"/>
        <charset val="134"/>
      </rPr>
      <t>冃</t>
    </r>
  </si>
  <si>
    <r>
      <t>寶</t>
    </r>
    <r>
      <rPr>
        <sz val="14"/>
        <rFont val="宋体"/>
        <charset val="134"/>
      </rPr>
      <t>珤</t>
    </r>
    <r>
      <rPr>
        <sz val="14"/>
        <rFont val="MingLiU"/>
        <family val="3"/>
      </rPr>
      <t>保𡥀</t>
    </r>
    <r>
      <rPr>
        <sz val="14"/>
        <rFont val="宋体"/>
        <charset val="134"/>
      </rPr>
      <t>堢</t>
    </r>
    <r>
      <rPr>
        <sz val="14"/>
        <rFont val="MingLiU"/>
        <family val="3"/>
      </rPr>
      <t>堡褓</t>
    </r>
    <r>
      <rPr>
        <sz val="14"/>
        <rFont val="宋体"/>
        <charset val="134"/>
      </rPr>
      <t>緥</t>
    </r>
    <r>
      <rPr>
        <sz val="14"/>
        <rFont val="MingLiU"/>
        <family val="3"/>
      </rPr>
      <t>鴇葆駂䎂</t>
    </r>
    <r>
      <rPr>
        <sz val="14"/>
        <rFont val="宋体"/>
        <charset val="134"/>
      </rPr>
      <t>宲賲</t>
    </r>
    <r>
      <rPr>
        <sz val="14"/>
        <rFont val="MingLiU"/>
        <family val="3"/>
      </rPr>
      <t>𠤏</t>
    </r>
  </si>
  <si>
    <r>
      <t>襖镺懊䐿芺䴠媼(</t>
    </r>
    <r>
      <rPr>
        <sz val="14"/>
        <rFont val="宋体"/>
        <charset val="134"/>
      </rPr>
      <t>媪</t>
    </r>
    <r>
      <rPr>
        <sz val="14"/>
        <rFont val="MingLiU"/>
        <family val="3"/>
      </rPr>
      <t>)燠夭㤇郩蝹䯠𪁾</t>
    </r>
  </si>
  <si>
    <r>
      <t>考(攷)栲槁祰洘</t>
    </r>
    <r>
      <rPr>
        <sz val="14"/>
        <rFont val="宋体"/>
        <charset val="134"/>
      </rPr>
      <t>燺</t>
    </r>
    <r>
      <rPr>
        <sz val="14"/>
        <rFont val="MingLiU"/>
        <family val="3"/>
      </rPr>
      <t>(烤)</t>
    </r>
    <r>
      <rPr>
        <sz val="14"/>
        <rFont val="宋体"/>
        <charset val="134"/>
      </rPr>
      <t>丂</t>
    </r>
    <r>
      <rPr>
        <sz val="14"/>
        <rFont val="MingLiU"/>
        <family val="3"/>
      </rPr>
      <t>䯪薧|拷𥬯撟𣩅㼥|</t>
    </r>
  </si>
  <si>
    <r>
      <t>縒娑</t>
    </r>
    <r>
      <rPr>
        <sz val="14"/>
        <rFont val="宋体"/>
        <charset val="134"/>
      </rPr>
      <t>褨</t>
    </r>
  </si>
  <si>
    <r>
      <t>舵!爹柁陊沱詑袉</t>
    </r>
    <r>
      <rPr>
        <sz val="14"/>
        <rFont val="宋体"/>
        <charset val="134"/>
      </rPr>
      <t>拕</t>
    </r>
    <r>
      <rPr>
        <sz val="14"/>
        <rFont val="MingLiU"/>
        <family val="3"/>
      </rPr>
      <t>𣵻</t>
    </r>
  </si>
  <si>
    <r>
      <t>我</t>
    </r>
    <r>
      <rPr>
        <sz val="14"/>
        <rFont val="宋体"/>
        <charset val="134"/>
      </rPr>
      <t>騀</t>
    </r>
    <r>
      <rPr>
        <sz val="14"/>
        <rFont val="MingLiU"/>
        <family val="3"/>
      </rPr>
      <t>𩒰㧴硪</t>
    </r>
  </si>
  <si>
    <r>
      <t>㰁欏砢</t>
    </r>
    <r>
      <rPr>
        <sz val="14"/>
        <rFont val="宋体"/>
        <charset val="134"/>
      </rPr>
      <t>曪</t>
    </r>
    <r>
      <rPr>
        <sz val="14"/>
        <rFont val="MingLiU"/>
        <family val="3"/>
      </rPr>
      <t>𣂞=剆𩝢㦬𠻡</t>
    </r>
  </si>
  <si>
    <r>
      <t>𨵌椏</t>
    </r>
    <r>
      <rPr>
        <sz val="14"/>
        <rFont val="宋体"/>
        <charset val="134"/>
      </rPr>
      <t>妸娿</t>
    </r>
    <r>
      <rPr>
        <sz val="14"/>
        <rFont val="MingLiU"/>
        <family val="3"/>
      </rPr>
      <t>𣘨㫊𧙃</t>
    </r>
  </si>
  <si>
    <r>
      <t>果</t>
    </r>
    <r>
      <rPr>
        <sz val="14"/>
        <rFont val="宋体"/>
        <charset val="134"/>
      </rPr>
      <t>菓</t>
    </r>
    <r>
      <rPr>
        <sz val="14"/>
        <rFont val="MingLiU"/>
        <family val="3"/>
      </rPr>
      <t>猓輠鐹划裹蜾惈䴹粿|錁</t>
    </r>
    <r>
      <rPr>
        <sz val="14"/>
        <rFont val="宋体"/>
        <charset val="134"/>
      </rPr>
      <t>餜</t>
    </r>
    <r>
      <rPr>
        <sz val="14"/>
        <rFont val="MingLiU"/>
        <family val="3"/>
      </rPr>
      <t>|</t>
    </r>
  </si>
  <si>
    <r>
      <t>埵鬌</t>
    </r>
    <r>
      <rPr>
        <sz val="14"/>
        <rFont val="宋体"/>
        <charset val="134"/>
      </rPr>
      <t>挆</t>
    </r>
    <r>
      <rPr>
        <sz val="14"/>
        <rFont val="MingLiU"/>
        <family val="3"/>
      </rPr>
      <t>朵</t>
    </r>
    <r>
      <rPr>
        <sz val="14"/>
        <rFont val="宋体"/>
        <charset val="134"/>
      </rPr>
      <t>朶</t>
    </r>
    <r>
      <rPr>
        <sz val="14"/>
        <rFont val="MingLiU"/>
        <family val="3"/>
      </rPr>
      <t>綞揣鍺𦀉(𥿰)𨹄(𨹃)䤪(𨦃)𩊜𥠄㪜</t>
    </r>
    <r>
      <rPr>
        <sz val="14"/>
        <rFont val="宋体"/>
        <charset val="134"/>
      </rPr>
      <t>褍</t>
    </r>
    <r>
      <rPr>
        <sz val="14"/>
        <rFont val="MingLiU"/>
        <family val="3"/>
      </rPr>
      <t>[躲]</t>
    </r>
  </si>
  <si>
    <r>
      <t>鎖瑣</t>
    </r>
    <r>
      <rPr>
        <sz val="14"/>
        <rFont val="宋体"/>
        <charset val="134"/>
      </rPr>
      <t>溑</t>
    </r>
    <r>
      <rPr>
        <sz val="14"/>
        <rFont val="MingLiU"/>
        <family val="3"/>
      </rPr>
      <t>惢𧴪葰䵀𩹳𥔭𨝉*𢱡䈗</t>
    </r>
  </si>
  <si>
    <r>
      <t>墮垛𤬾䅜𥬲(𥬸)𥳔𩊜䤻</t>
    </r>
    <r>
      <rPr>
        <sz val="14"/>
        <rFont val="宋体"/>
        <charset val="134"/>
      </rPr>
      <t>憜</t>
    </r>
    <r>
      <rPr>
        <sz val="14"/>
        <rFont val="MingLiU"/>
        <family val="3"/>
      </rPr>
      <t>惰嫷鬌䲊嶞</t>
    </r>
  </si>
  <si>
    <r>
      <t>妥</t>
    </r>
    <r>
      <rPr>
        <sz val="14"/>
        <rFont val="宋体"/>
        <charset val="134"/>
      </rPr>
      <t>媠</t>
    </r>
    <r>
      <rPr>
        <sz val="14"/>
        <rFont val="MingLiU"/>
        <family val="3"/>
      </rPr>
      <t>隋䲊㟎𨼰*墮橢</t>
    </r>
    <r>
      <rPr>
        <sz val="14"/>
        <rFont val="宋体"/>
        <charset val="134"/>
      </rPr>
      <t>鵎</t>
    </r>
  </si>
  <si>
    <r>
      <t>麼𣋟</t>
    </r>
    <r>
      <rPr>
        <sz val="14"/>
        <rFont val="宋体"/>
        <charset val="134"/>
      </rPr>
      <t>懡</t>
    </r>
    <r>
      <rPr>
        <sz val="14"/>
        <rFont val="MingLiU"/>
        <family val="3"/>
      </rPr>
      <t>[嬤]</t>
    </r>
  </si>
  <si>
    <r>
      <t>裸(</t>
    </r>
    <r>
      <rPr>
        <sz val="14"/>
        <rFont val="宋体"/>
        <charset val="134"/>
      </rPr>
      <t>倮</t>
    </r>
    <r>
      <rPr>
        <sz val="14"/>
        <rFont val="MingLiU"/>
        <family val="3"/>
      </rPr>
      <t>)𧝹</t>
    </r>
    <r>
      <rPr>
        <sz val="14"/>
        <rFont val="宋体"/>
        <charset val="134"/>
      </rPr>
      <t>躶</t>
    </r>
    <r>
      <rPr>
        <sz val="14"/>
        <rFont val="MingLiU"/>
        <family val="3"/>
      </rPr>
      <t>臝卵瘰𤼠蓏蠃|𦝠</t>
    </r>
  </si>
  <si>
    <r>
      <t>跛簸</t>
    </r>
    <r>
      <rPr>
        <sz val="14"/>
        <rFont val="宋体"/>
        <charset val="134"/>
      </rPr>
      <t>駊</t>
    </r>
    <r>
      <rPr>
        <sz val="14"/>
        <rFont val="MingLiU"/>
        <family val="3"/>
      </rPr>
      <t>㝿</t>
    </r>
  </si>
  <si>
    <r>
      <t>叵</t>
    </r>
    <r>
      <rPr>
        <sz val="14"/>
        <rFont val="宋体"/>
        <charset val="134"/>
      </rPr>
      <t>駊</t>
    </r>
    <r>
      <rPr>
        <sz val="14"/>
        <rFont val="MingLiU"/>
        <family val="3"/>
      </rPr>
      <t>頗𡽠</t>
    </r>
  </si>
  <si>
    <r>
      <t>火</t>
    </r>
    <r>
      <rPr>
        <sz val="14"/>
        <rFont val="宋体"/>
        <charset val="134"/>
      </rPr>
      <t>邩</t>
    </r>
  </si>
  <si>
    <r>
      <t>馬碼(瑪)䣕罵(</t>
    </r>
    <r>
      <rPr>
        <sz val="14"/>
        <rFont val="宋体"/>
        <charset val="134"/>
      </rPr>
      <t>駡</t>
    </r>
    <r>
      <rPr>
        <sz val="14"/>
        <rFont val="MingLiU"/>
        <family val="3"/>
      </rPr>
      <t>)𥧓鷌[螞]</t>
    </r>
    <r>
      <rPr>
        <sz val="14"/>
        <rFont val="宋体"/>
        <charset val="134"/>
      </rPr>
      <t>鰢</t>
    </r>
  </si>
  <si>
    <r>
      <t>野</t>
    </r>
    <r>
      <rPr>
        <sz val="14"/>
        <rFont val="宋体"/>
        <charset val="134"/>
      </rPr>
      <t>壄</t>
    </r>
    <r>
      <rPr>
        <sz val="14"/>
        <rFont val="MingLiU"/>
        <family val="3"/>
      </rPr>
      <t>也冶</t>
    </r>
    <r>
      <rPr>
        <sz val="14"/>
        <rFont val="宋体"/>
        <charset val="134"/>
      </rPr>
      <t>虵</t>
    </r>
  </si>
  <si>
    <r>
      <t>假!檟榎嘏</t>
    </r>
    <r>
      <rPr>
        <sz val="14"/>
        <rFont val="宋体"/>
        <charset val="134"/>
      </rPr>
      <t>叚</t>
    </r>
    <r>
      <rPr>
        <sz val="14"/>
        <rFont val="MingLiU"/>
        <family val="3"/>
      </rPr>
      <t>賈斝瘕椵婽</t>
    </r>
  </si>
  <si>
    <r>
      <t>啞</t>
    </r>
    <r>
      <rPr>
        <sz val="14"/>
        <rFont val="宋体"/>
        <charset val="134"/>
      </rPr>
      <t>瘂</t>
    </r>
    <r>
      <rPr>
        <sz val="14"/>
        <rFont val="MingLiU"/>
        <family val="3"/>
      </rPr>
      <t>𤺘</t>
    </r>
  </si>
  <si>
    <r>
      <t>下</t>
    </r>
    <r>
      <rPr>
        <sz val="14"/>
        <rFont val="宋体"/>
        <charset val="134"/>
      </rPr>
      <t>丅</t>
    </r>
    <r>
      <rPr>
        <sz val="14"/>
        <rFont val="MingLiU"/>
        <family val="3"/>
      </rPr>
      <t>夏廈</t>
    </r>
  </si>
  <si>
    <r>
      <t>姐抯</t>
    </r>
    <r>
      <rPr>
        <sz val="14"/>
        <rFont val="宋体"/>
        <charset val="134"/>
      </rPr>
      <t>飷</t>
    </r>
  </si>
  <si>
    <r>
      <t>踝稞𡱏𦖍</t>
    </r>
    <r>
      <rPr>
        <sz val="14"/>
        <rFont val="宋体"/>
        <charset val="134"/>
      </rPr>
      <t>黊</t>
    </r>
    <r>
      <rPr>
        <sz val="14"/>
        <rFont val="MingLiU"/>
        <family val="3"/>
      </rPr>
      <t>蘳觟𩸄𢦚輠䴹</t>
    </r>
  </si>
  <si>
    <r>
      <t>寡</t>
    </r>
    <r>
      <rPr>
        <sz val="14"/>
        <rFont val="宋体"/>
        <charset val="134"/>
      </rPr>
      <t>冎</t>
    </r>
    <r>
      <rPr>
        <sz val="14"/>
        <rFont val="MingLiU"/>
        <family val="3"/>
      </rPr>
      <t>剮𣑍𠊰𠁥䈑|𥦛𨀩</t>
    </r>
  </si>
  <si>
    <r>
      <t>瓦</t>
    </r>
    <r>
      <rPr>
        <sz val="14"/>
        <rFont val="宋体"/>
        <charset val="134"/>
      </rPr>
      <t>邷</t>
    </r>
  </si>
  <si>
    <r>
      <t>奼|</t>
    </r>
    <r>
      <rPr>
        <sz val="14"/>
        <rFont val="宋体"/>
        <charset val="134"/>
      </rPr>
      <t>姹</t>
    </r>
    <r>
      <rPr>
        <sz val="14"/>
        <rFont val="MingLiU"/>
        <family val="3"/>
      </rPr>
      <t>|</t>
    </r>
  </si>
  <si>
    <r>
      <t>養痒癢瀁蝆(蛘)</t>
    </r>
    <r>
      <rPr>
        <sz val="14"/>
        <rFont val="宋体"/>
        <charset val="134"/>
      </rPr>
      <t>勨</t>
    </r>
    <r>
      <rPr>
        <sz val="14"/>
        <rFont val="MingLiU"/>
        <family val="3"/>
      </rPr>
      <t>𧓲</t>
    </r>
  </si>
  <si>
    <r>
      <t>像象蟓橡襐</t>
    </r>
    <r>
      <rPr>
        <sz val="14"/>
        <rFont val="宋体"/>
        <charset val="134"/>
      </rPr>
      <t>勨</t>
    </r>
    <r>
      <rPr>
        <sz val="14"/>
        <rFont val="MingLiU"/>
        <family val="3"/>
      </rPr>
      <t>鱌潒𨖶𦺨</t>
    </r>
    <r>
      <rPr>
        <sz val="14"/>
        <rFont val="宋体"/>
        <charset val="134"/>
      </rPr>
      <t>嶑</t>
    </r>
  </si>
  <si>
    <r>
      <t xml:space="preserve">兩!㒳 </t>
    </r>
    <r>
      <rPr>
        <sz val="14"/>
        <rFont val="宋体"/>
        <charset val="134"/>
      </rPr>
      <t>脼</t>
    </r>
    <r>
      <rPr>
        <sz val="14"/>
        <rFont val="MingLiU"/>
        <family val="3"/>
      </rPr>
      <t>𣓈緉</t>
    </r>
    <r>
      <rPr>
        <sz val="14"/>
        <rFont val="宋体"/>
        <charset val="134"/>
      </rPr>
      <t>蜽</t>
    </r>
    <r>
      <rPr>
        <sz val="14"/>
        <rFont val="MingLiU"/>
        <family val="3"/>
      </rPr>
      <t>魎㔝|𠓜䓣倆裲</t>
    </r>
    <r>
      <rPr>
        <sz val="14"/>
        <rFont val="宋体"/>
        <charset val="134"/>
      </rPr>
      <t>掚</t>
    </r>
  </si>
  <si>
    <r>
      <t>鞅柍秧䬬</t>
    </r>
    <r>
      <rPr>
        <sz val="14"/>
        <rFont val="宋体"/>
        <charset val="134"/>
      </rPr>
      <t>詇</t>
    </r>
    <r>
      <rPr>
        <sz val="14"/>
        <rFont val="MingLiU"/>
        <family val="3"/>
      </rPr>
      <t>岟</t>
    </r>
    <r>
      <rPr>
        <sz val="14"/>
        <rFont val="宋体"/>
        <charset val="134"/>
      </rPr>
      <t>駚</t>
    </r>
    <r>
      <rPr>
        <sz val="14"/>
        <rFont val="MingLiU"/>
        <family val="3"/>
      </rPr>
      <t>炴𧵌怏紻</t>
    </r>
  </si>
  <si>
    <r>
      <t>勥</t>
    </r>
    <r>
      <rPr>
        <sz val="14"/>
        <rFont val="MingLiU"/>
        <family val="3"/>
      </rPr>
      <t>彊</t>
    </r>
    <r>
      <rPr>
        <sz val="14"/>
        <rFont val="宋体"/>
        <charset val="134"/>
      </rPr>
      <t>弜誩滰</t>
    </r>
  </si>
  <si>
    <r>
      <t>響饗蠁䖮</t>
    </r>
    <r>
      <rPr>
        <sz val="14"/>
        <rFont val="宋体"/>
        <charset val="134"/>
      </rPr>
      <t>亯</t>
    </r>
    <r>
      <rPr>
        <sz val="14"/>
        <rFont val="MingLiU"/>
        <family val="3"/>
      </rPr>
      <t>亨(享)嚮曏</t>
    </r>
  </si>
  <si>
    <r>
      <t>敞𢠵氅𪅶廠䟫</t>
    </r>
    <r>
      <rPr>
        <sz val="14"/>
        <rFont val="宋体"/>
        <charset val="134"/>
      </rPr>
      <t>僘</t>
    </r>
  </si>
  <si>
    <r>
      <t>繦</t>
    </r>
    <r>
      <rPr>
        <sz val="14"/>
        <rFont val="MingLiU"/>
        <family val="3"/>
      </rPr>
      <t>(繈)鏹襁膙憼</t>
    </r>
  </si>
  <si>
    <r>
      <t>网網罔輞</t>
    </r>
    <r>
      <rPr>
        <sz val="14"/>
        <rFont val="宋体"/>
        <charset val="134"/>
      </rPr>
      <t>棢</t>
    </r>
    <r>
      <rPr>
        <sz val="14"/>
        <rFont val="MingLiU"/>
        <family val="3"/>
      </rPr>
      <t>惘菵</t>
    </r>
    <r>
      <rPr>
        <sz val="14"/>
        <rFont val="宋体"/>
        <charset val="134"/>
      </rPr>
      <t>誷</t>
    </r>
    <r>
      <rPr>
        <sz val="14"/>
        <rFont val="MingLiU"/>
        <family val="3"/>
      </rPr>
      <t>𡔞𦖉</t>
    </r>
    <r>
      <rPr>
        <sz val="14"/>
        <rFont val="宋体"/>
        <charset val="134"/>
      </rPr>
      <t>蛧</t>
    </r>
    <r>
      <rPr>
        <sz val="14"/>
        <rFont val="MingLiU"/>
        <family val="3"/>
      </rPr>
      <t>魍</t>
    </r>
  </si>
  <si>
    <r>
      <t>怳𧧢(𧧮</t>
    </r>
    <r>
      <rPr>
        <sz val="14"/>
        <rFont val="宋体"/>
        <charset val="134"/>
      </rPr>
      <t>詤</t>
    </r>
    <r>
      <rPr>
        <sz val="14"/>
        <rFont val="MingLiU"/>
        <family val="3"/>
      </rPr>
      <t>謊)</t>
    </r>
  </si>
  <si>
    <r>
      <t>搶=</t>
    </r>
    <r>
      <rPr>
        <sz val="14"/>
        <rFont val="宋体"/>
        <charset val="134"/>
      </rPr>
      <t>摤</t>
    </r>
  </si>
  <si>
    <r>
      <t>上</t>
    </r>
    <r>
      <rPr>
        <sz val="14"/>
        <rFont val="宋体"/>
        <charset val="134"/>
      </rPr>
      <t>丄</t>
    </r>
  </si>
  <si>
    <r>
      <t>駔</t>
    </r>
    <r>
      <rPr>
        <sz val="14"/>
        <rFont val="宋体"/>
        <charset val="134"/>
      </rPr>
      <t>驡</t>
    </r>
    <r>
      <rPr>
        <sz val="14"/>
        <rFont val="MingLiU"/>
        <family val="3"/>
      </rPr>
      <t>髒</t>
    </r>
  </si>
  <si>
    <r>
      <t>曭儻</t>
    </r>
    <r>
      <rPr>
        <sz val="14"/>
        <rFont val="宋体"/>
        <charset val="134"/>
      </rPr>
      <t>偒</t>
    </r>
    <r>
      <rPr>
        <sz val="14"/>
        <rFont val="MingLiU"/>
        <family val="3"/>
      </rPr>
      <t>戃矘帑𣎲𥯕㼒㿩爣攩|倘踼|[躺][淌]惝|</t>
    </r>
  </si>
  <si>
    <r>
      <t>莽茻壾䁳䒎㬒䥈</t>
    </r>
    <r>
      <rPr>
        <sz val="14"/>
        <rFont val="宋体"/>
        <charset val="134"/>
      </rPr>
      <t>蠎</t>
    </r>
    <r>
      <rPr>
        <sz val="14"/>
        <rFont val="MingLiU"/>
        <family val="3"/>
      </rPr>
      <t>(蟒)漭㟐</t>
    </r>
  </si>
  <si>
    <r>
      <t>黨讜欓䣣𧅗|</t>
    </r>
    <r>
      <rPr>
        <sz val="14"/>
        <rFont val="宋体"/>
        <charset val="134"/>
      </rPr>
      <t>灙</t>
    </r>
    <r>
      <rPr>
        <sz val="14"/>
        <rFont val="MingLiU"/>
        <family val="3"/>
      </rPr>
      <t>攩党瓽儻𥤗蕩擋</t>
    </r>
  </si>
  <si>
    <r>
      <t>朗</t>
    </r>
    <r>
      <rPr>
        <sz val="14"/>
        <rFont val="宋体"/>
        <charset val="134"/>
      </rPr>
      <t>朖</t>
    </r>
    <r>
      <rPr>
        <sz val="14"/>
        <rFont val="MingLiU"/>
        <family val="3"/>
      </rPr>
      <t>誏俍崀榔㝗</t>
    </r>
  </si>
  <si>
    <r>
      <t>坱姎映泱</t>
    </r>
    <r>
      <rPr>
        <sz val="14"/>
        <rFont val="宋体"/>
        <charset val="134"/>
      </rPr>
      <t>咉</t>
    </r>
    <r>
      <rPr>
        <sz val="14"/>
        <rFont val="MingLiU"/>
        <family val="3"/>
      </rPr>
      <t>醠䇦</t>
    </r>
    <r>
      <rPr>
        <sz val="14"/>
        <rFont val="宋体"/>
        <charset val="134"/>
      </rPr>
      <t>駚</t>
    </r>
    <r>
      <rPr>
        <sz val="14"/>
        <rFont val="MingLiU"/>
        <family val="3"/>
      </rPr>
      <t>軮盎</t>
    </r>
  </si>
  <si>
    <r>
      <t>慷</t>
    </r>
    <r>
      <rPr>
        <sz val="14"/>
        <rFont val="宋体"/>
        <charset val="134"/>
      </rPr>
      <t>忼</t>
    </r>
    <r>
      <rPr>
        <sz val="14"/>
        <rFont val="MingLiU"/>
        <family val="3"/>
      </rPr>
      <t>骯𡻚䡉㝩懭*</t>
    </r>
  </si>
  <si>
    <r>
      <t>晃幌</t>
    </r>
    <r>
      <rPr>
        <sz val="14"/>
        <rFont val="宋体"/>
        <charset val="134"/>
      </rPr>
      <t>櫎</t>
    </r>
    <r>
      <rPr>
        <sz val="14"/>
        <rFont val="MingLiU"/>
        <family val="3"/>
      </rPr>
      <t>榥滉攩皝</t>
    </r>
  </si>
  <si>
    <r>
      <t>髈</t>
    </r>
    <r>
      <rPr>
        <sz val="14"/>
        <rFont val="MingLiU"/>
        <family val="3"/>
      </rPr>
      <t>䒍</t>
    </r>
  </si>
  <si>
    <r>
      <t>慌爌𡧽䁜㬻𣆖𧧢(</t>
    </r>
    <r>
      <rPr>
        <sz val="14"/>
        <rFont val="宋体"/>
        <charset val="134"/>
      </rPr>
      <t>詤</t>
    </r>
    <r>
      <rPr>
        <sz val="14"/>
        <rFont val="MingLiU"/>
        <family val="3"/>
      </rPr>
      <t>謊)</t>
    </r>
  </si>
  <si>
    <r>
      <t>懬</t>
    </r>
    <r>
      <rPr>
        <sz val="14"/>
        <rFont val="MingLiU"/>
        <family val="3"/>
      </rPr>
      <t>䡉爌</t>
    </r>
  </si>
  <si>
    <r>
      <t>丙</t>
    </r>
    <r>
      <rPr>
        <sz val="14"/>
        <rFont val="宋体"/>
        <charset val="134"/>
      </rPr>
      <t>昞</t>
    </r>
    <r>
      <rPr>
        <sz val="14"/>
        <rFont val="MingLiU"/>
        <family val="3"/>
      </rPr>
      <t>怲邴炳秉窉苪蛃</t>
    </r>
  </si>
  <si>
    <r>
      <t>影璟</t>
    </r>
    <r>
      <rPr>
        <sz val="14"/>
        <rFont val="宋体"/>
        <charset val="134"/>
      </rPr>
      <t>璄</t>
    </r>
    <r>
      <rPr>
        <sz val="14"/>
        <rFont val="MingLiU"/>
        <family val="3"/>
      </rPr>
      <t>䭘摬㲟𠝟𩘑</t>
    </r>
  </si>
  <si>
    <r>
      <t>永</t>
    </r>
    <r>
      <rPr>
        <sz val="14"/>
        <rFont val="宋体"/>
        <charset val="134"/>
      </rPr>
      <t>栐</t>
    </r>
  </si>
  <si>
    <r>
      <t>礦</t>
    </r>
    <r>
      <rPr>
        <sz val="14"/>
        <rFont val="宋体"/>
        <charset val="134"/>
      </rPr>
      <t>鑛</t>
    </r>
    <r>
      <rPr>
        <sz val="14"/>
        <rFont val="MingLiU"/>
        <family val="3"/>
      </rPr>
      <t>𨥥𪍿䵃獷穬</t>
    </r>
  </si>
  <si>
    <r>
      <t>浜</t>
    </r>
    <r>
      <rPr>
        <sz val="14"/>
        <rFont val="MingLiU"/>
        <family val="3"/>
      </rPr>
      <t>㑟𧚭</t>
    </r>
  </si>
  <si>
    <r>
      <t>䁝浻</t>
    </r>
    <r>
      <rPr>
        <sz val="14"/>
        <rFont val="宋体"/>
        <charset val="134"/>
      </rPr>
      <t>奣</t>
    </r>
  </si>
  <si>
    <r>
      <t>卝</t>
    </r>
    <r>
      <rPr>
        <sz val="14"/>
        <rFont val="MingLiU"/>
        <family val="3"/>
      </rPr>
      <t>澋</t>
    </r>
  </si>
  <si>
    <r>
      <t>𠊧(</t>
    </r>
    <r>
      <rPr>
        <sz val="14"/>
        <rFont val="宋体"/>
        <charset val="134"/>
      </rPr>
      <t>傡</t>
    </r>
    <r>
      <rPr>
        <sz val="14"/>
        <rFont val="MingLiU"/>
        <family val="3"/>
      </rPr>
      <t>併)𩶁蠯螷</t>
    </r>
  </si>
  <si>
    <r>
      <t>靜睜靖</t>
    </r>
    <r>
      <rPr>
        <sz val="14"/>
        <rFont val="宋体"/>
        <charset val="134"/>
      </rPr>
      <t>妌</t>
    </r>
    <r>
      <rPr>
        <sz val="14"/>
        <rFont val="MingLiU"/>
        <family val="3"/>
      </rPr>
      <t>婧</t>
    </r>
    <r>
      <rPr>
        <sz val="14"/>
        <rFont val="宋体"/>
        <charset val="134"/>
      </rPr>
      <t>穽</t>
    </r>
    <r>
      <rPr>
        <sz val="14"/>
        <rFont val="MingLiU"/>
        <family val="3"/>
      </rPr>
      <t>阱猙𩇕竫</t>
    </r>
  </si>
  <si>
    <r>
      <t>逞騁裎悜䩶</t>
    </r>
    <r>
      <rPr>
        <sz val="14"/>
        <rFont val="宋体"/>
        <charset val="134"/>
      </rPr>
      <t>睈</t>
    </r>
  </si>
  <si>
    <r>
      <t>領嶺</t>
    </r>
    <r>
      <rPr>
        <sz val="14"/>
        <rFont val="宋体"/>
        <charset val="134"/>
      </rPr>
      <t>阾</t>
    </r>
    <r>
      <rPr>
        <sz val="14"/>
        <rFont val="MingLiU"/>
        <family val="3"/>
      </rPr>
      <t>柃</t>
    </r>
    <r>
      <rPr>
        <sz val="14"/>
        <rFont val="宋体"/>
        <charset val="134"/>
      </rPr>
      <t>袊</t>
    </r>
    <r>
      <rPr>
        <sz val="14"/>
        <rFont val="MingLiU"/>
        <family val="3"/>
      </rPr>
      <t>䕘</t>
    </r>
  </si>
  <si>
    <t>魚陵</t>
  </si>
  <si>
    <t>凝</t>
  </si>
  <si>
    <t>興𨞾</t>
  </si>
  <si>
    <t>2?</t>
  </si>
  <si>
    <t>處陵</t>
  </si>
  <si>
    <t>其矜</t>
  </si>
  <si>
    <t>殑䔷</t>
  </si>
  <si>
    <t>山矜</t>
  </si>
  <si>
    <t>㱡</t>
  </si>
  <si>
    <t>綺兢</t>
  </si>
  <si>
    <t>硱</t>
  </si>
  <si>
    <t>丑升</t>
  </si>
  <si>
    <t>仕兢</t>
  </si>
  <si>
    <t>磳</t>
  </si>
  <si>
    <t>披冰</t>
  </si>
  <si>
    <t>砯</t>
  </si>
  <si>
    <t>下平17登</t>
  </si>
  <si>
    <t>登</t>
  </si>
  <si>
    <t>都滕</t>
  </si>
  <si>
    <t>登璒燈簦㲪䔲㽅䳾</t>
  </si>
  <si>
    <t>deng1</t>
  </si>
  <si>
    <t>魯登</t>
  </si>
  <si>
    <t>leng2</t>
  </si>
  <si>
    <t>蘇增</t>
  </si>
  <si>
    <t>僧鬙䒏</t>
  </si>
  <si>
    <t>seng1</t>
  </si>
  <si>
    <t>北滕</t>
  </si>
  <si>
    <t>崩</t>
  </si>
  <si>
    <t>作滕</t>
  </si>
  <si>
    <t>zeng1</t>
  </si>
  <si>
    <t>武登</t>
  </si>
  <si>
    <t>瞢蕄䒐(𦱛)</t>
  </si>
  <si>
    <t>昨楞</t>
  </si>
  <si>
    <t>層曾䁬</t>
  </si>
  <si>
    <t>ceng2</t>
  </si>
  <si>
    <t>步崩</t>
  </si>
  <si>
    <t>朋堋鵬棚倗鬅</t>
  </si>
  <si>
    <t>胡肱</t>
  </si>
  <si>
    <t>弘鞃苰</t>
  </si>
  <si>
    <t>古弘</t>
  </si>
  <si>
    <t>肱𩉦</t>
  </si>
  <si>
    <t>呼肱</t>
  </si>
  <si>
    <t>薨𠐿𩖉𩙛𤃫</t>
  </si>
  <si>
    <t>奴登</t>
  </si>
  <si>
    <t>能</t>
  </si>
  <si>
    <t>徒登</t>
  </si>
  <si>
    <t>teng2</t>
  </si>
  <si>
    <t>胡登</t>
  </si>
  <si>
    <t>恒𢛢峘</t>
  </si>
  <si>
    <t>古恒</t>
  </si>
  <si>
    <t>搄縆絙</t>
  </si>
  <si>
    <t>他登</t>
  </si>
  <si>
    <t>teng1</t>
  </si>
  <si>
    <t>普朋</t>
  </si>
  <si>
    <t>漰堋</t>
  </si>
  <si>
    <t>下平18尤</t>
  </si>
  <si>
    <t>尤</t>
  </si>
  <si>
    <t>羽求</t>
  </si>
  <si>
    <t>流</t>
  </si>
  <si>
    <t>you2</t>
  </si>
  <si>
    <t>於求</t>
  </si>
  <si>
    <t>you1</t>
  </si>
  <si>
    <t>力求</t>
  </si>
  <si>
    <t>liu2</t>
  </si>
  <si>
    <t>七由</t>
  </si>
  <si>
    <t>qiu1</t>
  </si>
  <si>
    <t>以周</t>
  </si>
  <si>
    <t>語求</t>
  </si>
  <si>
    <t>牛</t>
  </si>
  <si>
    <t>即由</t>
  </si>
  <si>
    <t>jiu1</t>
  </si>
  <si>
    <t>自秋</t>
  </si>
  <si>
    <t>11-&gt;10</t>
  </si>
  <si>
    <t>qiu2</t>
  </si>
  <si>
    <t>息流</t>
  </si>
  <si>
    <t>脩修羞𩛢𩝧䡭樇|饈</t>
  </si>
  <si>
    <t>xiu1</t>
  </si>
  <si>
    <t>丑鳩</t>
  </si>
  <si>
    <t>抽𢭆㨨婤𥈌惆瘳妯</t>
  </si>
  <si>
    <t>chou1</t>
  </si>
  <si>
    <t>去秋</t>
  </si>
  <si>
    <t>恘(𠁫)㲃惆</t>
  </si>
  <si>
    <t>赤周</t>
  </si>
  <si>
    <t>職流</t>
  </si>
  <si>
    <t>zhou1</t>
  </si>
  <si>
    <t>市流</t>
  </si>
  <si>
    <t>chou2</t>
  </si>
  <si>
    <t>耳由</t>
  </si>
  <si>
    <t>rou2</t>
  </si>
  <si>
    <t>式州</t>
  </si>
  <si>
    <t>收</t>
  </si>
  <si>
    <t>shou1</t>
  </si>
  <si>
    <t>去鳩</t>
  </si>
  <si>
    <t>匹尤</t>
  </si>
  <si>
    <t>fou1</t>
  </si>
  <si>
    <t>居求</t>
  </si>
  <si>
    <t>甫鳩</t>
  </si>
  <si>
    <t>所鳩</t>
  </si>
  <si>
    <t>楚鳩</t>
  </si>
  <si>
    <t>側鳩</t>
  </si>
  <si>
    <t>士尤</t>
  </si>
  <si>
    <t>愁㵞</t>
  </si>
  <si>
    <t>許尤</t>
  </si>
  <si>
    <t>似尤</t>
  </si>
  <si>
    <t>xiu2</t>
  </si>
  <si>
    <t>直由</t>
  </si>
  <si>
    <t>張流</t>
  </si>
  <si>
    <t>巨鳩</t>
  </si>
  <si>
    <t>縛謀</t>
  </si>
  <si>
    <t>fou2</t>
  </si>
  <si>
    <t>莫浮</t>
  </si>
  <si>
    <t>miu2</t>
  </si>
  <si>
    <t>下平19侯</t>
  </si>
  <si>
    <t>侯</t>
  </si>
  <si>
    <t>hou2</t>
  </si>
  <si>
    <t>烏侯</t>
  </si>
  <si>
    <t>ou1</t>
  </si>
  <si>
    <t>奴鉤</t>
  </si>
  <si>
    <t>羺獳䰰䨲</t>
  </si>
  <si>
    <t>nou2</t>
  </si>
  <si>
    <t>落侯</t>
  </si>
  <si>
    <t>lou2</t>
  </si>
  <si>
    <t>速侯</t>
  </si>
  <si>
    <t>sou1</t>
  </si>
  <si>
    <t>恪侯</t>
  </si>
  <si>
    <t>kou1</t>
  </si>
  <si>
    <t>呼侯</t>
  </si>
  <si>
    <t>齁𪅺</t>
  </si>
  <si>
    <t>hou1</t>
  </si>
  <si>
    <t>子侯</t>
  </si>
  <si>
    <t>𣠏緅陬掫棷</t>
  </si>
  <si>
    <t>zou1</t>
  </si>
  <si>
    <t>託侯</t>
  </si>
  <si>
    <t>tou1</t>
  </si>
  <si>
    <t>度侯</t>
  </si>
  <si>
    <t>tou2</t>
  </si>
  <si>
    <t>五婁</t>
  </si>
  <si>
    <t>齵</t>
  </si>
  <si>
    <t>ou2</t>
  </si>
  <si>
    <t>古侯</t>
  </si>
  <si>
    <t>gou1</t>
  </si>
  <si>
    <t>當侯</t>
  </si>
  <si>
    <t>dou1</t>
  </si>
  <si>
    <t>徂鉤</t>
  </si>
  <si>
    <t>㔌鯫</t>
  </si>
  <si>
    <t>cou2</t>
  </si>
  <si>
    <t>薄侯</t>
  </si>
  <si>
    <t>pou2</t>
  </si>
  <si>
    <t>千侯</t>
  </si>
  <si>
    <t>䜅</t>
  </si>
  <si>
    <t>cou1</t>
  </si>
  <si>
    <t>亡侯</t>
  </si>
  <si>
    <t>呣</t>
  </si>
  <si>
    <t>mou2</t>
  </si>
  <si>
    <t>下平20幽</t>
  </si>
  <si>
    <t>幽</t>
  </si>
  <si>
    <t>於虯</t>
  </si>
  <si>
    <t>幽泑呦𣢜𧍘怮𢆶</t>
  </si>
  <si>
    <t>yu</t>
  </si>
  <si>
    <t>刪攸</t>
  </si>
  <si>
    <t>渠幽</t>
  </si>
  <si>
    <t>虯觩璆觓鷚蟉𤙠</t>
  </si>
  <si>
    <t>甫烋</t>
  </si>
  <si>
    <t>彪髟驫</t>
  </si>
  <si>
    <t>力幽</t>
  </si>
  <si>
    <t>鏐蟉</t>
  </si>
  <si>
    <t>居虯</t>
  </si>
  <si>
    <t>樛𠃚𦭺朻㽱</t>
  </si>
  <si>
    <t>皮彪</t>
  </si>
  <si>
    <t>淲瀌𩖛</t>
  </si>
  <si>
    <t>子幽</t>
  </si>
  <si>
    <t>稵</t>
  </si>
  <si>
    <t>山幽</t>
  </si>
  <si>
    <t>犙</t>
  </si>
  <si>
    <t>語虯</t>
  </si>
  <si>
    <t>聱</t>
  </si>
  <si>
    <t>香幽</t>
  </si>
  <si>
    <t>武彪</t>
  </si>
  <si>
    <t>繆鷚䋷</t>
  </si>
  <si>
    <t>下平21侵</t>
  </si>
  <si>
    <t>侵A</t>
  </si>
  <si>
    <t>七林</t>
  </si>
  <si>
    <t>深</t>
  </si>
  <si>
    <t>侵𢔀駸浸䜷𥍯綅</t>
  </si>
  <si>
    <t>侵</t>
  </si>
  <si>
    <t>徐林</t>
  </si>
  <si>
    <t>xin2</t>
  </si>
  <si>
    <t>力尋</t>
  </si>
  <si>
    <t>侵B</t>
  </si>
  <si>
    <t>丑林</t>
  </si>
  <si>
    <t>琛棽綝郴䑣𥉨賝</t>
  </si>
  <si>
    <t>職深</t>
  </si>
  <si>
    <t>斟針鍼𪈁箴葴瑊鱵㘰</t>
  </si>
  <si>
    <t>直深</t>
  </si>
  <si>
    <t>知林</t>
  </si>
  <si>
    <t>碪砧椹枮坫</t>
  </si>
  <si>
    <t>氏任</t>
  </si>
  <si>
    <t>如林</t>
  </si>
  <si>
    <t>任鵀恁壬紝銋䛘</t>
  </si>
  <si>
    <t>式針</t>
  </si>
  <si>
    <t>深𦸂</t>
  </si>
  <si>
    <t>餘針</t>
  </si>
  <si>
    <t>息林</t>
  </si>
  <si>
    <t>心𦁍𨊳杺</t>
  </si>
  <si>
    <t>挹淫</t>
  </si>
  <si>
    <t>愔韾</t>
  </si>
  <si>
    <t>子心</t>
  </si>
  <si>
    <t>昨淫</t>
  </si>
  <si>
    <t>𩷒䰼鬵嶜梣埐𣜣鈂灊䤁|岑</t>
  </si>
  <si>
    <t>女心</t>
  </si>
  <si>
    <t>䛘䋻(紝)鵀</t>
  </si>
  <si>
    <t>巨金</t>
  </si>
  <si>
    <t>傷遇</t>
  </si>
  <si>
    <t>戍腧輸隃𧼯䩱䠼㲓</t>
  </si>
  <si>
    <t>羊戍</t>
  </si>
  <si>
    <t>裕覦諭喻籲䘱𣈯</t>
  </si>
  <si>
    <t>而遇</t>
  </si>
  <si>
    <t>孺擩㹘</t>
  </si>
  <si>
    <t>3？</t>
  </si>
  <si>
    <t>芳遇</t>
  </si>
  <si>
    <t>亡遇</t>
  </si>
  <si>
    <t>wu4</t>
  </si>
  <si>
    <t>子句</t>
  </si>
  <si>
    <t>緅足</t>
  </si>
  <si>
    <t>其遇</t>
  </si>
  <si>
    <t>懼具臞|颶|</t>
  </si>
  <si>
    <t>王遇</t>
  </si>
  <si>
    <t>芋雨羽吁䨒</t>
  </si>
  <si>
    <t>才句</t>
  </si>
  <si>
    <t>色句</t>
  </si>
  <si>
    <t>方遇</t>
  </si>
  <si>
    <t>七句</t>
  </si>
  <si>
    <t>娶趣</t>
  </si>
  <si>
    <t>中句</t>
  </si>
  <si>
    <t>註鉒駐軴住壴𨙔咮亍</t>
  </si>
  <si>
    <t>區遇</t>
  </si>
  <si>
    <t>驅𤛐</t>
  </si>
  <si>
    <t>芻注</t>
  </si>
  <si>
    <t>菆䜴䐢</t>
  </si>
  <si>
    <t>丑注</t>
  </si>
  <si>
    <t>䦌𢨸</t>
  </si>
  <si>
    <t>思句</t>
  </si>
  <si>
    <t>尠</t>
  </si>
  <si>
    <t>良遇</t>
  </si>
  <si>
    <t>屢𡀿</t>
  </si>
  <si>
    <t>去11暮</t>
  </si>
  <si>
    <t>莫故</t>
  </si>
  <si>
    <t>暮慕募墓慔𥰻</t>
  </si>
  <si>
    <t>mu4</t>
  </si>
  <si>
    <t>徒故</t>
  </si>
  <si>
    <t>渡斁鍍度𥯖</t>
  </si>
  <si>
    <t>洛故</t>
  </si>
  <si>
    <t>lu4</t>
  </si>
  <si>
    <t>當故</t>
  </si>
  <si>
    <t>湯故</t>
  </si>
  <si>
    <t>兔!菟吐鵵</t>
  </si>
  <si>
    <t>tu4</t>
  </si>
  <si>
    <t>古暮</t>
  </si>
  <si>
    <t>gu4</t>
  </si>
  <si>
    <t>五故</t>
  </si>
  <si>
    <t>胡誤</t>
  </si>
  <si>
    <t>桑故</t>
  </si>
  <si>
    <t>su4</t>
  </si>
  <si>
    <t>昨誤</t>
  </si>
  <si>
    <t>乃故</t>
  </si>
  <si>
    <t>怒!笯</t>
  </si>
  <si>
    <t>nu4</t>
  </si>
  <si>
    <t>布圃佈抪𠜙𧉩</t>
  </si>
  <si>
    <t>烏路</t>
  </si>
  <si>
    <t>汙惡噁䜑|埡</t>
  </si>
  <si>
    <t>普故</t>
  </si>
  <si>
    <t>pu4</t>
  </si>
  <si>
    <t>倉故</t>
  </si>
  <si>
    <t>錯!厝措醋㳻</t>
  </si>
  <si>
    <t>cu4</t>
  </si>
  <si>
    <t>苦故</t>
  </si>
  <si>
    <t>ku4</t>
  </si>
  <si>
    <t>薄故</t>
  </si>
  <si>
    <t>荒故</t>
  </si>
  <si>
    <t>謼戽</t>
  </si>
  <si>
    <t>臧祚</t>
  </si>
  <si>
    <t>作(做)</t>
  </si>
  <si>
    <t>去12霽</t>
  </si>
  <si>
    <t>子計</t>
  </si>
  <si>
    <t>霽隮躋濟擠䰏䶓穧</t>
  </si>
  <si>
    <t>霽</t>
  </si>
  <si>
    <t>都計</t>
  </si>
  <si>
    <t>在詣</t>
  </si>
  <si>
    <t>劑!嚌穧𨣧眥齊齌癠懠𪊆</t>
  </si>
  <si>
    <t>他計</t>
  </si>
  <si>
    <t>ti4</t>
  </si>
  <si>
    <t>特計</t>
  </si>
  <si>
    <t>七計</t>
  </si>
  <si>
    <t>蘇計</t>
  </si>
  <si>
    <t>五計</t>
  </si>
  <si>
    <t>詣𢏗羿𦐧睨栺盻𧡎甈堄霓</t>
  </si>
  <si>
    <t>古詣</t>
  </si>
  <si>
    <t>胡計</t>
  </si>
  <si>
    <t>苦計</t>
  </si>
  <si>
    <t>契栔罊䏿蟿𦩣𢢞𡢖䫔䁈|恝</t>
  </si>
  <si>
    <t>於計</t>
  </si>
  <si>
    <t>莫計</t>
  </si>
  <si>
    <t>謎㩢</t>
  </si>
  <si>
    <t>博計</t>
  </si>
  <si>
    <t>胡桂</t>
  </si>
  <si>
    <t>10-&gt;13</t>
  </si>
  <si>
    <t>古惠</t>
  </si>
  <si>
    <t>桂昋炅炔筀罣𤰮𣧎䳏</t>
  </si>
  <si>
    <t>呼惠</t>
  </si>
  <si>
    <t>匹詣</t>
  </si>
  <si>
    <t>蒲計</t>
  </si>
  <si>
    <t>郎計</t>
  </si>
  <si>
    <t>奴計</t>
  </si>
  <si>
    <t>呼計</t>
  </si>
  <si>
    <t>㰥㚛殢</t>
  </si>
  <si>
    <t>去13祭</t>
  </si>
  <si>
    <t>祭A</t>
  </si>
  <si>
    <t>子例</t>
  </si>
  <si>
    <t>祭際穄鰶穧㦣𩯷</t>
  </si>
  <si>
    <t>相銳</t>
  </si>
  <si>
    <t>祭B</t>
  </si>
  <si>
    <t>于歲</t>
  </si>
  <si>
    <t>而銳</t>
  </si>
  <si>
    <t>之銳</t>
  </si>
  <si>
    <t>贅𠭥</t>
  </si>
  <si>
    <t>山芮</t>
  </si>
  <si>
    <t>𠻜</t>
  </si>
  <si>
    <t>此芮</t>
  </si>
  <si>
    <t>以芮</t>
  </si>
  <si>
    <t>陟衛</t>
  </si>
  <si>
    <t>舒芮</t>
  </si>
  <si>
    <t>稅說裞蛻帨𢄢涗䬽䭨</t>
  </si>
  <si>
    <t>毗祭</t>
  </si>
  <si>
    <t>獘(弊)斃幣㡀敝</t>
  </si>
  <si>
    <t>楚稅</t>
  </si>
  <si>
    <t>㯔毳𣃍竁</t>
  </si>
  <si>
    <t>祥歲</t>
  </si>
  <si>
    <t>必袂</t>
  </si>
  <si>
    <t>蔽鄨鷩彆</t>
  </si>
  <si>
    <t>居衛</t>
  </si>
  <si>
    <t>劌鱖𠜾𨇙蹶𤜂</t>
  </si>
  <si>
    <t>彌獘</t>
  </si>
  <si>
    <t>袂</t>
  </si>
  <si>
    <t>所例</t>
  </si>
  <si>
    <t>㡜鎩蔱</t>
  </si>
  <si>
    <t>尺制</t>
  </si>
  <si>
    <t>征例</t>
  </si>
  <si>
    <t>制𠛐𦜗製淛䎺晢䇽𢝃㝂䱥䀸狾𥍭䩢䭁𤴟迣</t>
  </si>
  <si>
    <t>時制</t>
  </si>
  <si>
    <t>逝忕觢噬誓𣂯筮簭澨銴遾𧻸𦚨</t>
  </si>
  <si>
    <t>餘制</t>
  </si>
  <si>
    <t>於罽</t>
  </si>
  <si>
    <t>䋵瘞餲𦝲䔽</t>
  </si>
  <si>
    <t>魚祭</t>
  </si>
  <si>
    <t>直例</t>
  </si>
  <si>
    <t>力制</t>
  </si>
  <si>
    <t>去例</t>
  </si>
  <si>
    <t>憩𡳅䔾愒揭甈[螅]</t>
  </si>
  <si>
    <t>舒制</t>
  </si>
  <si>
    <t>居例</t>
  </si>
  <si>
    <t>竹例</t>
  </si>
  <si>
    <t>㿃</t>
  </si>
  <si>
    <t>其憩</t>
  </si>
  <si>
    <t>偈</t>
  </si>
  <si>
    <t>啜</t>
  </si>
  <si>
    <t>丑例</t>
  </si>
  <si>
    <t>除芮</t>
  </si>
  <si>
    <t>𨮱</t>
  </si>
  <si>
    <t>牛例</t>
  </si>
  <si>
    <t>㓷</t>
  </si>
  <si>
    <t>子芮</t>
  </si>
  <si>
    <t>蕝𧑎㨹</t>
  </si>
  <si>
    <t>匹蔽</t>
  </si>
  <si>
    <t>潎</t>
  </si>
  <si>
    <t>去20廢</t>
  </si>
  <si>
    <t>廢</t>
  </si>
  <si>
    <t>丘吠</t>
  </si>
  <si>
    <t>𥏙</t>
  </si>
  <si>
    <t>隊</t>
  </si>
  <si>
    <t>呼吠？</t>
  </si>
  <si>
    <t>䂕</t>
  </si>
  <si>
    <t>去14泰</t>
  </si>
  <si>
    <t>泰</t>
  </si>
  <si>
    <t>他蓋</t>
  </si>
  <si>
    <t>tai4</t>
  </si>
  <si>
    <t>古太</t>
  </si>
  <si>
    <t>gai4</t>
  </si>
  <si>
    <t>五蓋</t>
  </si>
  <si>
    <t>艾𧰿鴱[哎]</t>
  </si>
  <si>
    <t>ai4</t>
  </si>
  <si>
    <t>於蓋</t>
  </si>
  <si>
    <t>奴帶</t>
  </si>
  <si>
    <t>柰奈㲡𩹟渿</t>
  </si>
  <si>
    <t>nai4</t>
  </si>
  <si>
    <t>徒蓋</t>
  </si>
  <si>
    <t>大汏軑㐲𪐝䲦忕釱</t>
  </si>
  <si>
    <t>胡蓋</t>
  </si>
  <si>
    <t>害夆妎𢞐</t>
  </si>
  <si>
    <t>當蓋</t>
  </si>
  <si>
    <t>帶跢㿃蹛𢄔艜㯂</t>
  </si>
  <si>
    <t>貝沛𨙶䟺㸬伂䰽𣬪𥄔𢂏鋇芾狽伂</t>
  </si>
  <si>
    <t>普蓋</t>
  </si>
  <si>
    <t>霈浿沛𥄔㤄</t>
  </si>
  <si>
    <t>pei4</t>
  </si>
  <si>
    <t>黃外</t>
  </si>
  <si>
    <t>會䢈𨘇禬繪|檜</t>
  </si>
  <si>
    <t>杜外</t>
  </si>
  <si>
    <t>古外</t>
  </si>
  <si>
    <t>祖外</t>
  </si>
  <si>
    <t>最𢃒𧎹</t>
  </si>
  <si>
    <t>呼會</t>
  </si>
  <si>
    <t>𧬨噦翽鐬渙濊</t>
  </si>
  <si>
    <t>苦會</t>
  </si>
  <si>
    <t>𥢶</t>
  </si>
  <si>
    <t>郎外</t>
  </si>
  <si>
    <t>五會</t>
  </si>
  <si>
    <t>外</t>
  </si>
  <si>
    <t>丁外</t>
  </si>
  <si>
    <t>祋</t>
  </si>
  <si>
    <t>烏外</t>
  </si>
  <si>
    <t>才外</t>
  </si>
  <si>
    <t>蕞𥳣</t>
  </si>
  <si>
    <t>先外</t>
  </si>
  <si>
    <t>𥕸𣩡𥊴</t>
  </si>
  <si>
    <t>麤最</t>
  </si>
  <si>
    <t>蒲蓋</t>
  </si>
  <si>
    <t>旆䟺軷</t>
  </si>
  <si>
    <t>苦蓋</t>
  </si>
  <si>
    <t>磕䳚轄愒溘𥎆𩫀㪡𨜴</t>
  </si>
  <si>
    <t>kai4</t>
  </si>
  <si>
    <t>倉大</t>
  </si>
  <si>
    <t>蔡𣞖𪇭</t>
  </si>
  <si>
    <t>cai4</t>
  </si>
  <si>
    <t>落蓋</t>
  </si>
  <si>
    <t>lai4</t>
  </si>
  <si>
    <t>呼艾</t>
  </si>
  <si>
    <t>餀𤵽𩹄𦤦㺔</t>
  </si>
  <si>
    <t>他外</t>
  </si>
  <si>
    <t>莫貝</t>
  </si>
  <si>
    <t>昧沬枺</t>
  </si>
  <si>
    <t>mei4</t>
  </si>
  <si>
    <t>七外</t>
  </si>
  <si>
    <t>𦦣</t>
  </si>
  <si>
    <t>去15卦</t>
  </si>
  <si>
    <t>古賣</t>
  </si>
  <si>
    <t>卦挂掛詿罣𡐠[褂]</t>
  </si>
  <si>
    <t>gua4</t>
  </si>
  <si>
    <t>卦</t>
  </si>
  <si>
    <t>古隘</t>
  </si>
  <si>
    <t>懈解繲賹廨薢㾏</t>
  </si>
  <si>
    <t>賹？</t>
  </si>
  <si>
    <t>jia4</t>
  </si>
  <si>
    <t>胡懈</t>
  </si>
  <si>
    <t>邂解</t>
  </si>
  <si>
    <t>莫懈</t>
  </si>
  <si>
    <t>賣</t>
  </si>
  <si>
    <t>mai4</t>
  </si>
  <si>
    <t>胡卦</t>
  </si>
  <si>
    <t>楚懈</t>
  </si>
  <si>
    <t>chai4</t>
  </si>
  <si>
    <t>五懈</t>
  </si>
  <si>
    <t>睚</t>
  </si>
  <si>
    <t>ya4</t>
  </si>
  <si>
    <t>火懈</t>
  </si>
  <si>
    <t>謑</t>
  </si>
  <si>
    <t>方卦</t>
  </si>
  <si>
    <t>庍</t>
  </si>
  <si>
    <t>bai4</t>
  </si>
  <si>
    <t>傍卦</t>
  </si>
  <si>
    <t>粺稗𪐄杷</t>
  </si>
  <si>
    <t>士懈</t>
  </si>
  <si>
    <t>匹卦</t>
  </si>
  <si>
    <t>派𠂢𥿯𣏕㵺㭛𣝁𣎵</t>
  </si>
  <si>
    <t>pai4</t>
  </si>
  <si>
    <t>側賣</t>
  </si>
  <si>
    <t>債</t>
  </si>
  <si>
    <t>苦賣</t>
  </si>
  <si>
    <t>𡢖𨛖</t>
  </si>
  <si>
    <t>qia4</t>
  </si>
  <si>
    <t>所賣</t>
  </si>
  <si>
    <t>曬䵘𨢦汛洒</t>
  </si>
  <si>
    <t>shai4</t>
  </si>
  <si>
    <t>呼卦</t>
  </si>
  <si>
    <t>諣</t>
  </si>
  <si>
    <t>方賣</t>
  </si>
  <si>
    <t>㠔</t>
  </si>
  <si>
    <t>竹賣</t>
  </si>
  <si>
    <t>去16怪</t>
  </si>
  <si>
    <t>古壞</t>
  </si>
  <si>
    <t>kuai4</t>
  </si>
  <si>
    <t>烏界</t>
  </si>
  <si>
    <t>噫呃</t>
  </si>
  <si>
    <t>ye4</t>
  </si>
  <si>
    <t>側界</t>
  </si>
  <si>
    <t>瘵祭𨝋</t>
  </si>
  <si>
    <t>古拜</t>
  </si>
  <si>
    <t>jie4</t>
  </si>
  <si>
    <t>女介</t>
  </si>
  <si>
    <t>褹</t>
  </si>
  <si>
    <t>許介</t>
  </si>
  <si>
    <t>胡介</t>
  </si>
  <si>
    <t>五介</t>
  </si>
  <si>
    <t>𦗐𢟰譺𧏹</t>
  </si>
  <si>
    <t>苦怪</t>
  </si>
  <si>
    <t>博怪</t>
  </si>
  <si>
    <t>拜!𢷎扒</t>
  </si>
  <si>
    <t>普拜</t>
  </si>
  <si>
    <t>湃浿</t>
  </si>
  <si>
    <t>胡怪</t>
  </si>
  <si>
    <t>壞𡎯蘾</t>
  </si>
  <si>
    <t>huai4</t>
  </si>
  <si>
    <t>五怪</t>
  </si>
  <si>
    <t>聵=𦖥𩔀</t>
  </si>
  <si>
    <t>wai4</t>
  </si>
  <si>
    <t>蒲拜</t>
  </si>
  <si>
    <t>𢟡憊韝𣡖𤸶棑㶔𦩋</t>
  </si>
  <si>
    <t>莫拜</t>
  </si>
  <si>
    <t>䀛韎𧱘</t>
  </si>
  <si>
    <t>火怪</t>
  </si>
  <si>
    <t>所拜</t>
  </si>
  <si>
    <t>鎩殺𧜁閷</t>
  </si>
  <si>
    <t>苦戒</t>
  </si>
  <si>
    <t>烗劾𤈪揩</t>
  </si>
  <si>
    <t>qie4</t>
  </si>
  <si>
    <t>辿怪</t>
  </si>
  <si>
    <t>顡</t>
  </si>
  <si>
    <t>去17夬</t>
  </si>
  <si>
    <t>夬</t>
  </si>
  <si>
    <t>夬獪䈛</t>
  </si>
  <si>
    <t>guai4</t>
  </si>
  <si>
    <t>苦夬</t>
  </si>
  <si>
    <t>快噲駃𥵊璯[筷]</t>
  </si>
  <si>
    <t>莫話</t>
  </si>
  <si>
    <t>下快</t>
  </si>
  <si>
    <t>話</t>
  </si>
  <si>
    <t>薄邁</t>
  </si>
  <si>
    <t>烏快</t>
  </si>
  <si>
    <t>楚夬</t>
  </si>
  <si>
    <t>嘬䴝𣤌𠽶</t>
  </si>
  <si>
    <t>古喝</t>
  </si>
  <si>
    <t>犗𧜅</t>
  </si>
  <si>
    <t>丑犗</t>
  </si>
  <si>
    <t>於犗</t>
  </si>
  <si>
    <t>喝餲嗄䬵欬</t>
  </si>
  <si>
    <t>所犗</t>
  </si>
  <si>
    <t>𠱡？</t>
  </si>
  <si>
    <t>除邁</t>
  </si>
  <si>
    <t>𦤧</t>
  </si>
  <si>
    <t>火犗</t>
  </si>
  <si>
    <t>䜕𦤬</t>
  </si>
  <si>
    <t>火夬</t>
  </si>
  <si>
    <t>咶</t>
  </si>
  <si>
    <t>補邁</t>
  </si>
  <si>
    <t>敗</t>
  </si>
  <si>
    <t>倉夬</t>
  </si>
  <si>
    <t>啐</t>
  </si>
  <si>
    <t>cuai4</t>
  </si>
  <si>
    <t>寨砦</t>
  </si>
  <si>
    <t>何犗</t>
  </si>
  <si>
    <t>㕢</t>
  </si>
  <si>
    <t>去18隊</t>
  </si>
  <si>
    <t>徒對</t>
  </si>
  <si>
    <t>蒲昧</t>
  </si>
  <si>
    <t>莫佩</t>
  </si>
  <si>
    <t>妹昧眛每痗瑁黴莓䍙脢䆀</t>
  </si>
  <si>
    <t>滂佩</t>
  </si>
  <si>
    <t>都隊</t>
  </si>
  <si>
    <t>對𡭊碓𣝉轛𠏮</t>
  </si>
  <si>
    <t>倅淬焠䃀啐</t>
  </si>
  <si>
    <t>子對</t>
  </si>
  <si>
    <t>晬祽𪓌綷𢃒捘夎</t>
  </si>
  <si>
    <t>烏繢</t>
  </si>
  <si>
    <t>𩲄㕈隈</t>
  </si>
  <si>
    <t>退𢓴𨓤㥆𡯵</t>
  </si>
  <si>
    <t>tui4</t>
  </si>
  <si>
    <t>古對</t>
  </si>
  <si>
    <t>胡對</t>
  </si>
  <si>
    <t>苦對</t>
  </si>
  <si>
    <t>碎𤭢誶啐繀</t>
  </si>
  <si>
    <t>奴對</t>
  </si>
  <si>
    <t>盧對</t>
  </si>
  <si>
    <t>補妹</t>
  </si>
  <si>
    <t>背輩誖|褙|</t>
  </si>
  <si>
    <t>五對</t>
  </si>
  <si>
    <t>磑</t>
  </si>
  <si>
    <t>胡輩</t>
  </si>
  <si>
    <t>蚚</t>
  </si>
  <si>
    <t>去19代</t>
  </si>
  <si>
    <t>徒耐</t>
  </si>
  <si>
    <t>作代</t>
  </si>
  <si>
    <t>載再縡𨚵𩛥䵧</t>
  </si>
  <si>
    <t>莫代</t>
  </si>
  <si>
    <t>先代</t>
  </si>
  <si>
    <t>sai4</t>
  </si>
  <si>
    <t>他代</t>
  </si>
  <si>
    <t>古代</t>
  </si>
  <si>
    <t>烏代</t>
  </si>
  <si>
    <t>愛㤅𢟪僾𥴨薆曖靉璦</t>
  </si>
  <si>
    <t>瀣㤥劾</t>
  </si>
  <si>
    <t>奴代</t>
  </si>
  <si>
    <t>耐螚鼐能佴𣉘耏</t>
  </si>
  <si>
    <t>都代</t>
  </si>
  <si>
    <t>戴</t>
  </si>
  <si>
    <t>落代</t>
  </si>
  <si>
    <t>倉代</t>
  </si>
  <si>
    <t>菜埰棌䰂䐆</t>
  </si>
  <si>
    <t>昨代</t>
  </si>
  <si>
    <t>載裁纔在酨栽𣿐</t>
  </si>
  <si>
    <t>海愛</t>
  </si>
  <si>
    <t>儗</t>
  </si>
  <si>
    <t>方肺</t>
  </si>
  <si>
    <t>方廢?</t>
  </si>
  <si>
    <t>於廢</t>
  </si>
  <si>
    <t>穢薉濊獩饖䮹</t>
  </si>
  <si>
    <t>符廢</t>
  </si>
  <si>
    <t>吠茷𩵥鼣</t>
  </si>
  <si>
    <t>許穢</t>
  </si>
  <si>
    <t>喙𤸁𣨶𧾣餯顪</t>
  </si>
  <si>
    <t>渠穢</t>
  </si>
  <si>
    <t>𤜂</t>
  </si>
  <si>
    <t>魚肺</t>
  </si>
  <si>
    <t>刈乂㲼㣻𩾘艾䖊䢃</t>
  </si>
  <si>
    <t>去21震</t>
  </si>
  <si>
    <t>章刃</t>
  </si>
  <si>
    <t>震振賑娠侲挋袗𩒉䟴䢻䳲</t>
  </si>
  <si>
    <t>震</t>
  </si>
  <si>
    <t>息晉</t>
  </si>
  <si>
    <t>xin4</t>
  </si>
  <si>
    <t>而振</t>
  </si>
  <si>
    <t>ren4</t>
  </si>
  <si>
    <t>羊晉</t>
  </si>
  <si>
    <t>yin4</t>
  </si>
  <si>
    <t>良刃</t>
  </si>
  <si>
    <t>lin4</t>
  </si>
  <si>
    <t>必刃</t>
  </si>
  <si>
    <t>儐擯殯鬢覕𧸈䚔</t>
  </si>
  <si>
    <t>直刃</t>
  </si>
  <si>
    <t>陣!敶陳診𨳌</t>
  </si>
  <si>
    <t>時刃</t>
  </si>
  <si>
    <t>試刃</t>
  </si>
  <si>
    <t>眒抻阠</t>
  </si>
  <si>
    <t>去刃</t>
  </si>
  <si>
    <t>qin4</t>
  </si>
  <si>
    <t>徐刃</t>
  </si>
  <si>
    <t>賮燼藎濜|贐</t>
  </si>
  <si>
    <t>?</t>
  </si>
  <si>
    <t>魚覲</t>
  </si>
  <si>
    <t>即刃</t>
  </si>
  <si>
    <t>許覲</t>
  </si>
  <si>
    <t>陟刃</t>
  </si>
  <si>
    <t>渠遴</t>
  </si>
  <si>
    <t>去21焮*</t>
  </si>
  <si>
    <t>初覲</t>
  </si>
  <si>
    <t>櫬瀙嚫䞋襯儭齔</t>
  </si>
  <si>
    <t>chen4</t>
  </si>
  <si>
    <t>問</t>
  </si>
  <si>
    <t>於刃</t>
  </si>
  <si>
    <t>丑刃</t>
  </si>
  <si>
    <t>疢趁</t>
  </si>
  <si>
    <t>撫刃</t>
  </si>
  <si>
    <t>𣎵𨷚䚔</t>
  </si>
  <si>
    <t>pin4</t>
  </si>
  <si>
    <t>七遴</t>
  </si>
  <si>
    <t>羌印</t>
  </si>
  <si>
    <t>螼</t>
  </si>
  <si>
    <t>去22稕</t>
  </si>
  <si>
    <t>九峻</t>
  </si>
  <si>
    <t>呁𧥺</t>
  </si>
  <si>
    <t>之閏</t>
  </si>
  <si>
    <t>稕𦽑諄𥇜盹訰</t>
  </si>
  <si>
    <t>zhun4</t>
  </si>
  <si>
    <t>私閏</t>
  </si>
  <si>
    <t>xun4</t>
  </si>
  <si>
    <t>辭閏</t>
  </si>
  <si>
    <t>殉徇侚𢓈</t>
  </si>
  <si>
    <t>子峻</t>
  </si>
  <si>
    <t>舒閏</t>
  </si>
  <si>
    <t>舜䑞蕣瞬瞚眴䀢鬊</t>
  </si>
  <si>
    <t>如順</t>
  </si>
  <si>
    <t>run4</t>
  </si>
  <si>
    <t>食閏</t>
  </si>
  <si>
    <t>順揗</t>
  </si>
  <si>
    <t>去23問</t>
  </si>
  <si>
    <t>亡運</t>
  </si>
  <si>
    <t>wen4</t>
  </si>
  <si>
    <t>王問</t>
  </si>
  <si>
    <t>yun4</t>
  </si>
  <si>
    <t>許運</t>
  </si>
  <si>
    <t>匹問</t>
  </si>
  <si>
    <t>湓忿魵瀵</t>
  </si>
  <si>
    <t>方問</t>
  </si>
  <si>
    <t>糞𥽒𡊅拚僨奮瀵㱵</t>
  </si>
  <si>
    <t>於問</t>
  </si>
  <si>
    <t>居運</t>
  </si>
  <si>
    <t>渠運</t>
  </si>
  <si>
    <t>郡</t>
  </si>
  <si>
    <t>扶問</t>
  </si>
  <si>
    <t>分(份)㿎𢅯秎坋</t>
  </si>
  <si>
    <t>去24焮</t>
  </si>
  <si>
    <t>香靳</t>
  </si>
  <si>
    <t>居焮</t>
  </si>
  <si>
    <t>巨靳</t>
  </si>
  <si>
    <t>近</t>
  </si>
  <si>
    <t>於靳</t>
  </si>
  <si>
    <t>吾靳</t>
  </si>
  <si>
    <t>垽</t>
  </si>
  <si>
    <t>去25願</t>
  </si>
  <si>
    <t>魚怨</t>
  </si>
  <si>
    <t>yuan4</t>
  </si>
  <si>
    <t>願</t>
  </si>
  <si>
    <t>於願</t>
  </si>
  <si>
    <t>怨䛄</t>
  </si>
  <si>
    <t>方願</t>
  </si>
  <si>
    <t>販畈</t>
  </si>
  <si>
    <t>去願</t>
  </si>
  <si>
    <t>quan4</t>
  </si>
  <si>
    <t>無販</t>
  </si>
  <si>
    <t>原䨲右下無點</t>
  </si>
  <si>
    <t>wan4</t>
  </si>
  <si>
    <t>符万</t>
  </si>
  <si>
    <t>芳万</t>
  </si>
  <si>
    <t>嬔㽹𨠒𡗹𣀔㤆娩𡚪㪻汳</t>
  </si>
  <si>
    <t>居万</t>
  </si>
  <si>
    <t>於建</t>
  </si>
  <si>
    <t>堰鄢郾䞁傿褗㰽漹嫣𡙷|躽匽椻</t>
  </si>
  <si>
    <t>16-&gt;10</t>
  </si>
  <si>
    <t>yan4</t>
  </si>
  <si>
    <t>許建</t>
  </si>
  <si>
    <t>獻憲𧾨瀗</t>
  </si>
  <si>
    <t>於許</t>
  </si>
  <si>
    <t>𢮁𩩘</t>
  </si>
  <si>
    <t>居許</t>
  </si>
  <si>
    <t>ju3</t>
  </si>
  <si>
    <t>敘緒藇序漵抒嶼鱮鱮𨣦𡱣</t>
  </si>
  <si>
    <t>xu4</t>
  </si>
  <si>
    <t>羌舉</t>
  </si>
  <si>
    <t>qu3</t>
  </si>
  <si>
    <t>神與</t>
  </si>
  <si>
    <t>紓抒杼</t>
  </si>
  <si>
    <t>承與</t>
  </si>
  <si>
    <t>墅!野</t>
  </si>
  <si>
    <t>七與</t>
  </si>
  <si>
    <t>𥅗</t>
  </si>
  <si>
    <t>子與</t>
  </si>
  <si>
    <t>苴咀䃊</t>
  </si>
  <si>
    <t>上9麌</t>
  </si>
  <si>
    <t>虞矩</t>
  </si>
  <si>
    <t>麌俁噳</t>
  </si>
  <si>
    <t>麌</t>
  </si>
  <si>
    <t>王矩</t>
  </si>
  <si>
    <t>慈庾</t>
  </si>
  <si>
    <t>聚鄹</t>
  </si>
  <si>
    <t>方矩</t>
  </si>
  <si>
    <t>fu3</t>
  </si>
  <si>
    <t>文甫</t>
  </si>
  <si>
    <t>wu3</t>
  </si>
  <si>
    <t>扶雨</t>
  </si>
  <si>
    <t>fu4</t>
  </si>
  <si>
    <t>芳武</t>
  </si>
  <si>
    <t>直主</t>
  </si>
  <si>
    <t>柱跓嵀</t>
  </si>
  <si>
    <t>況羽</t>
  </si>
  <si>
    <t>詡𦀒𠳲(冔)姁栩珝欨祤咻喣䧁煦</t>
  </si>
  <si>
    <t>臣庾</t>
  </si>
  <si>
    <t>以主</t>
  </si>
  <si>
    <t>庾窳𥦠抌㥚𦺮愈瘉(癒)㼌貐楰斞</t>
  </si>
  <si>
    <t>之庾</t>
  </si>
  <si>
    <t>於武</t>
  </si>
  <si>
    <t>傴噢迂</t>
  </si>
  <si>
    <t>驅雨</t>
  </si>
  <si>
    <t>齲踽竘</t>
  </si>
  <si>
    <t>知庾</t>
  </si>
  <si>
    <t>而主</t>
  </si>
  <si>
    <t>乳擩醹</t>
  </si>
  <si>
    <t>其矩</t>
  </si>
  <si>
    <t>窶貗</t>
  </si>
  <si>
    <t>所矩</t>
  </si>
  <si>
    <t>數籔</t>
  </si>
  <si>
    <t>俱雨</t>
  </si>
  <si>
    <t>七庾</t>
  </si>
  <si>
    <t>取</t>
  </si>
  <si>
    <t>力主</t>
  </si>
  <si>
    <t>縷𨻻僂褸簍嶁謱慺漊𪈜㜢𦳭蔞</t>
  </si>
  <si>
    <t>相庾</t>
  </si>
  <si>
    <t>𦄼䅡</t>
  </si>
  <si>
    <t>鶵禹</t>
  </si>
  <si>
    <t>䝒𧱛</t>
  </si>
  <si>
    <t>上10姥</t>
  </si>
  <si>
    <t>莫補</t>
  </si>
  <si>
    <t>姥莽媽峔䥈𢜮</t>
  </si>
  <si>
    <t>mu3</t>
  </si>
  <si>
    <t>他魯</t>
  </si>
  <si>
    <t>土吐稌芏</t>
  </si>
  <si>
    <t>tu3</t>
  </si>
  <si>
    <t>徒古</t>
  </si>
  <si>
    <t>du4</t>
  </si>
  <si>
    <t>郎古</t>
  </si>
  <si>
    <t>刪轤</t>
  </si>
  <si>
    <t>lu3</t>
  </si>
  <si>
    <t>采古</t>
  </si>
  <si>
    <t>蔖𧆓</t>
  </si>
  <si>
    <t>cu3</t>
  </si>
  <si>
    <t>當古</t>
  </si>
  <si>
    <t>du3</t>
  </si>
  <si>
    <t>gu3</t>
  </si>
  <si>
    <t>疑古</t>
  </si>
  <si>
    <t>裴古</t>
  </si>
  <si>
    <t>簿部</t>
  </si>
  <si>
    <t>bu4</t>
  </si>
  <si>
    <t>徂古</t>
  </si>
  <si>
    <t>zu4</t>
  </si>
  <si>
    <t>則古</t>
  </si>
  <si>
    <t>祖珇組蒩靻䔃</t>
  </si>
  <si>
    <t>zu3</t>
  </si>
  <si>
    <t>呼古</t>
  </si>
  <si>
    <t>hu3</t>
  </si>
  <si>
    <t>安古</t>
  </si>
  <si>
    <t>康杜</t>
  </si>
  <si>
    <t>苦䇢</t>
  </si>
  <si>
    <t>ku3</t>
  </si>
  <si>
    <t>奴古</t>
  </si>
  <si>
    <t>弩!怒砮努𧉭|孥|</t>
  </si>
  <si>
    <t>nu3</t>
  </si>
  <si>
    <t>侯古</t>
  </si>
  <si>
    <t>hu4</t>
  </si>
  <si>
    <t>滂古</t>
  </si>
  <si>
    <t>普溥誧浦烳</t>
  </si>
  <si>
    <t>pu3</t>
  </si>
  <si>
    <t>博古</t>
  </si>
  <si>
    <t>補譜圃</t>
  </si>
  <si>
    <t>bu3</t>
  </si>
  <si>
    <t>上11薺</t>
  </si>
  <si>
    <t>徂禮</t>
  </si>
  <si>
    <t>薺𩶆鱭癠呰</t>
  </si>
  <si>
    <t>薺</t>
  </si>
  <si>
    <t>他禮</t>
  </si>
  <si>
    <t>ti3</t>
  </si>
  <si>
    <t>匹米</t>
  </si>
  <si>
    <t>䫌</t>
  </si>
  <si>
    <t>子禮</t>
  </si>
  <si>
    <t>都禮</t>
  </si>
  <si>
    <t>邸底詆䏄坻抵牴觝柢弤㪆堤軧</t>
  </si>
  <si>
    <t>di3</t>
  </si>
  <si>
    <t>徒禮</t>
  </si>
  <si>
    <t>弟娣悌䑯遞㼵媞</t>
  </si>
  <si>
    <t>di4</t>
  </si>
  <si>
    <t>奴禮</t>
  </si>
  <si>
    <t>禰嬭䦵苨𩋪𦰫瀰坭𩯨薾檷鑈𩍦</t>
  </si>
  <si>
    <t>先禮</t>
  </si>
  <si>
    <t>洗洒</t>
  </si>
  <si>
    <t>千禮</t>
  </si>
  <si>
    <t>泚玼緀皉</t>
  </si>
  <si>
    <t>康禮</t>
  </si>
  <si>
    <t>胡禮</t>
  </si>
  <si>
    <t>莫禮</t>
  </si>
  <si>
    <t>傍禮</t>
  </si>
  <si>
    <t>陛梐髀䯗㙄𦸣𤙞𠈺</t>
  </si>
  <si>
    <t>烏弟</t>
  </si>
  <si>
    <t>𠯋䚷</t>
  </si>
  <si>
    <t>堄㪒掜觬䘽晲</t>
  </si>
  <si>
    <t>補米</t>
  </si>
  <si>
    <t>㪏𤽊</t>
  </si>
  <si>
    <t>上12蟹</t>
  </si>
  <si>
    <t>胡買</t>
  </si>
  <si>
    <t>蟹䲒𨼬解獬澥嶰</t>
  </si>
  <si>
    <t>xia4</t>
  </si>
  <si>
    <t>莫蟹</t>
  </si>
  <si>
    <t>mai3</t>
  </si>
  <si>
    <t>苦蟹</t>
  </si>
  <si>
    <t>䒓𡢖(𦞉)</t>
  </si>
  <si>
    <t>qia3</t>
  </si>
  <si>
    <t>宅買</t>
  </si>
  <si>
    <t>廌豸𧳋</t>
  </si>
  <si>
    <t>zhai4</t>
  </si>
  <si>
    <t>奴蟹</t>
  </si>
  <si>
    <t>嬭(奶)㚷</t>
  </si>
  <si>
    <t>nai3</t>
  </si>
  <si>
    <t>薄蟹</t>
  </si>
  <si>
    <t>罷矲猈𢟡(憊)䥯㔥</t>
  </si>
  <si>
    <t>bai3</t>
  </si>
  <si>
    <t>烏蟹</t>
  </si>
  <si>
    <t>ya3</t>
  </si>
  <si>
    <t>北買</t>
  </si>
  <si>
    <t>擺捭</t>
  </si>
  <si>
    <t>佳買</t>
  </si>
  <si>
    <t>解薢檞</t>
  </si>
  <si>
    <t>jia3</t>
  </si>
  <si>
    <t>所蟹</t>
  </si>
  <si>
    <t>shai3</t>
  </si>
  <si>
    <t>乖買</t>
  </si>
  <si>
    <t>𠁥柺𡐠</t>
  </si>
  <si>
    <t>gua3</t>
  </si>
  <si>
    <t>丈夥</t>
  </si>
  <si>
    <t>㧳</t>
  </si>
  <si>
    <t>zhuai4</t>
  </si>
  <si>
    <t>懷𠁥</t>
  </si>
  <si>
    <t>夥</t>
  </si>
  <si>
    <t>hua4</t>
  </si>
  <si>
    <t>花夥</t>
  </si>
  <si>
    <t>扮</t>
  </si>
  <si>
    <t>hua3</t>
  </si>
  <si>
    <t>求蟹</t>
  </si>
  <si>
    <t>上13駭</t>
  </si>
  <si>
    <t>侯楷</t>
  </si>
  <si>
    <t>駭絯侅駴</t>
  </si>
  <si>
    <t>xie4</t>
  </si>
  <si>
    <t>苦駭</t>
  </si>
  <si>
    <t>楷𠢲𥏪鍇</t>
  </si>
  <si>
    <t>qie3</t>
  </si>
  <si>
    <t>五駭</t>
  </si>
  <si>
    <t>騃娾𤶗𧡋</t>
  </si>
  <si>
    <t>ye3</t>
  </si>
  <si>
    <t>於駭</t>
  </si>
  <si>
    <t>挨唉</t>
  </si>
  <si>
    <t>上14賄</t>
  </si>
  <si>
    <t>呼罪</t>
  </si>
  <si>
    <t>賄</t>
  </si>
  <si>
    <t>烏賄</t>
  </si>
  <si>
    <t>落猥</t>
  </si>
  <si>
    <t>徒猥</t>
  </si>
  <si>
    <t>dui4</t>
  </si>
  <si>
    <t>徂賄</t>
  </si>
  <si>
    <t>武罪</t>
  </si>
  <si>
    <t>浼=潣每挴燘䜸</t>
  </si>
  <si>
    <t>mei3</t>
  </si>
  <si>
    <t>吐猥</t>
  </si>
  <si>
    <t>tui3</t>
  </si>
  <si>
    <t>胡罪</t>
  </si>
  <si>
    <t>瘣溾㱱䜋匯廆䕇輠𨝀</t>
  </si>
  <si>
    <t>hui4</t>
  </si>
  <si>
    <t>口猥</t>
  </si>
  <si>
    <t>䫥㚍顝傀磈</t>
  </si>
  <si>
    <t>都罪</t>
  </si>
  <si>
    <t>dui3</t>
  </si>
  <si>
    <t>奴罪</t>
  </si>
  <si>
    <t>nei3</t>
  </si>
  <si>
    <t>陟賄</t>
  </si>
  <si>
    <t>𩬳</t>
  </si>
  <si>
    <t>五罪</t>
  </si>
  <si>
    <t>七罪</t>
  </si>
  <si>
    <t>蒲罪</t>
  </si>
  <si>
    <t>琲痱𢳁</t>
  </si>
  <si>
    <t>bei4</t>
  </si>
  <si>
    <t>子罪</t>
  </si>
  <si>
    <t>于罪</t>
  </si>
  <si>
    <t>倄</t>
  </si>
  <si>
    <t>上15海</t>
  </si>
  <si>
    <t>呼改</t>
  </si>
  <si>
    <t>海醢橀</t>
  </si>
  <si>
    <t>hai3</t>
  </si>
  <si>
    <t>苦亥</t>
  </si>
  <si>
    <t>愷凱颽塏暟鎧䐩闓輆</t>
  </si>
  <si>
    <t>kai3</t>
  </si>
  <si>
    <t>作亥</t>
  </si>
  <si>
    <t>宰載縡䏁</t>
  </si>
  <si>
    <t>zai3</t>
  </si>
  <si>
    <t>徒亥</t>
  </si>
  <si>
    <t>待!駘殆怠迨紿詒軩𨽿𠷂䈚</t>
  </si>
  <si>
    <t>dai4</t>
  </si>
  <si>
    <t>奴亥</t>
  </si>
  <si>
    <t>乃迺鼐</t>
  </si>
  <si>
    <t>古亥</t>
  </si>
  <si>
    <t>gai3</t>
  </si>
  <si>
    <t>胡改</t>
  </si>
  <si>
    <t>亥侅㧡𥩲[氦]</t>
  </si>
  <si>
    <t>hai4</t>
  </si>
  <si>
    <t>匹愷</t>
  </si>
  <si>
    <t>啡</t>
  </si>
  <si>
    <t>pei3</t>
  </si>
  <si>
    <t>倉宰</t>
  </si>
  <si>
    <t>采採[睬]綵寀彩㥒䰂</t>
  </si>
  <si>
    <t>cai3</t>
  </si>
  <si>
    <t>昌紿</t>
  </si>
  <si>
    <t>茝</t>
  </si>
  <si>
    <t>多改</t>
  </si>
  <si>
    <t>等[歹][傣]</t>
  </si>
  <si>
    <t>dai3</t>
  </si>
  <si>
    <t>莫亥</t>
  </si>
  <si>
    <t>昨宰</t>
  </si>
  <si>
    <t>在</t>
  </si>
  <si>
    <t>zai4</t>
  </si>
  <si>
    <t>普乃</t>
  </si>
  <si>
    <t>俖朏</t>
  </si>
  <si>
    <t>於改</t>
  </si>
  <si>
    <t>欸㕈毐挨</t>
  </si>
  <si>
    <t>ai3</t>
  </si>
  <si>
    <t>夷在</t>
  </si>
  <si>
    <t>佁</t>
  </si>
  <si>
    <t>他亥</t>
  </si>
  <si>
    <t>㘆</t>
  </si>
  <si>
    <t>tai3</t>
  </si>
  <si>
    <t>如亥</t>
  </si>
  <si>
    <t>疓</t>
  </si>
  <si>
    <t>來改</t>
  </si>
  <si>
    <t>𨦂唻</t>
  </si>
  <si>
    <t>lai3</t>
  </si>
  <si>
    <t>與改</t>
  </si>
  <si>
    <t>䑂𦚪</t>
  </si>
  <si>
    <t>薄亥</t>
  </si>
  <si>
    <t>倍菩蓓</t>
  </si>
  <si>
    <t>上16軫</t>
  </si>
  <si>
    <t>章忍</t>
  </si>
  <si>
    <t>zhen3</t>
  </si>
  <si>
    <t>軫</t>
  </si>
  <si>
    <t>丑忍</t>
  </si>
  <si>
    <t>辴</t>
  </si>
  <si>
    <t>chen3</t>
  </si>
  <si>
    <t>時忍</t>
  </si>
  <si>
    <t>腎蜃祳脤㰮鋠</t>
  </si>
  <si>
    <t>shen4</t>
  </si>
  <si>
    <t>而軫</t>
  </si>
  <si>
    <t>忍荵涊</t>
  </si>
  <si>
    <t>ren3</t>
  </si>
  <si>
    <t>式忍</t>
  </si>
  <si>
    <t>shen3</t>
  </si>
  <si>
    <t>良忍</t>
  </si>
  <si>
    <t>lin3</t>
  </si>
  <si>
    <t>直引</t>
  </si>
  <si>
    <t>紖䏖䀕眹</t>
  </si>
  <si>
    <t>zhen4</t>
  </si>
  <si>
    <t>居忍</t>
  </si>
  <si>
    <t>緊胗𦜌𤷌</t>
  </si>
  <si>
    <t>jin3</t>
  </si>
  <si>
    <t>慈忍</t>
  </si>
  <si>
    <t>盡濜</t>
  </si>
  <si>
    <t>jin4</t>
  </si>
  <si>
    <t>即忍</t>
  </si>
  <si>
    <t>㯸盡</t>
  </si>
  <si>
    <t>毗忍</t>
  </si>
  <si>
    <t>牝髕臏猵</t>
  </si>
  <si>
    <t>bin4</t>
  </si>
  <si>
    <t>宜引</t>
  </si>
  <si>
    <t>釿磭𪙤齗听</t>
  </si>
  <si>
    <t>yin3</t>
  </si>
  <si>
    <t>七忍</t>
  </si>
  <si>
    <t>笉</t>
  </si>
  <si>
    <t>qin3</t>
  </si>
  <si>
    <t>渠殞</t>
  </si>
  <si>
    <t>jun4</t>
  </si>
  <si>
    <t>余忍</t>
  </si>
  <si>
    <t>眉殞</t>
  </si>
  <si>
    <t>min3</t>
  </si>
  <si>
    <t>武盡</t>
  </si>
  <si>
    <t>泯𤿕僶笢黽澠䟨刡𨍌䐇</t>
  </si>
  <si>
    <t>于敏</t>
  </si>
  <si>
    <t>yun3</t>
  </si>
  <si>
    <t>上17準</t>
  </si>
  <si>
    <t>xu</t>
  </si>
  <si>
    <t>上平1東</t>
  </si>
  <si>
    <t>端</t>
  </si>
  <si>
    <t>一</t>
  </si>
  <si>
    <t>開</t>
  </si>
  <si>
    <t>東</t>
  </si>
  <si>
    <t>平</t>
  </si>
  <si>
    <t>德紅</t>
  </si>
  <si>
    <t>通</t>
  </si>
  <si>
    <t>dong1</t>
  </si>
  <si>
    <t>定</t>
  </si>
  <si>
    <t>徒紅</t>
  </si>
  <si>
    <t>tong2</t>
  </si>
  <si>
    <t>知</t>
  </si>
  <si>
    <t>三</t>
  </si>
  <si>
    <t>陟弓</t>
  </si>
  <si>
    <t>中衷忠𦬕</t>
  </si>
  <si>
    <t>zhong1</t>
  </si>
  <si>
    <t>澄</t>
  </si>
  <si>
    <t>直弓</t>
  </si>
  <si>
    <t>蟲沖种盅爞𦬕翀</t>
  </si>
  <si>
    <t>chong2</t>
  </si>
  <si>
    <t>章</t>
  </si>
  <si>
    <t>職戎</t>
  </si>
  <si>
    <t>徹</t>
  </si>
  <si>
    <t>敕中</t>
  </si>
  <si>
    <t>忡浺盅</t>
  </si>
  <si>
    <t>chong1</t>
  </si>
  <si>
    <t>崇</t>
  </si>
  <si>
    <t>鋤弓</t>
  </si>
  <si>
    <t>心</t>
  </si>
  <si>
    <t>息弓</t>
  </si>
  <si>
    <t>嵩崧娀菘硹𪀚㣝𧊕𨱿</t>
  </si>
  <si>
    <t>song1</t>
  </si>
  <si>
    <t>日</t>
  </si>
  <si>
    <t>如融</t>
  </si>
  <si>
    <t>戎𢦦㭜𥬪𠈋茙駥狨絨</t>
  </si>
  <si>
    <t>rong2</t>
  </si>
  <si>
    <t>見</t>
  </si>
  <si>
    <t>居戎</t>
  </si>
  <si>
    <t>jiong1</t>
  </si>
  <si>
    <t>以</t>
  </si>
  <si>
    <t>以戎</t>
  </si>
  <si>
    <t>融肜瀜</t>
  </si>
  <si>
    <t>yong2</t>
  </si>
  <si>
    <t>云</t>
  </si>
  <si>
    <t>羽弓</t>
  </si>
  <si>
    <t>雄熊</t>
  </si>
  <si>
    <t>明</t>
  </si>
  <si>
    <t>莫中</t>
  </si>
  <si>
    <t>meng2</t>
  </si>
  <si>
    <t>溪</t>
  </si>
  <si>
    <t>去宮</t>
  </si>
  <si>
    <t>qiong1</t>
  </si>
  <si>
    <t>群</t>
  </si>
  <si>
    <t>渠弓</t>
  </si>
  <si>
    <t>窮藭𥨪</t>
  </si>
  <si>
    <t>qiong2</t>
  </si>
  <si>
    <t>並</t>
  </si>
  <si>
    <t>房戎</t>
  </si>
  <si>
    <t>馮堸汎芃𨝭渢梵</t>
  </si>
  <si>
    <t>feng2</t>
  </si>
  <si>
    <t>幫</t>
  </si>
  <si>
    <t>方戎</t>
  </si>
  <si>
    <t>風飌楓猦偑檒𧆉|瘋|</t>
  </si>
  <si>
    <t>feng1</t>
  </si>
  <si>
    <t>滂</t>
  </si>
  <si>
    <t>敷空</t>
  </si>
  <si>
    <t>昌</t>
  </si>
  <si>
    <t>昌終</t>
  </si>
  <si>
    <t>充珫茺㤝䘪𪎽㳘</t>
  </si>
  <si>
    <t>來</t>
  </si>
  <si>
    <t>力中</t>
  </si>
  <si>
    <t>long2</t>
  </si>
  <si>
    <t>苦紅</t>
  </si>
  <si>
    <t>kong1</t>
  </si>
  <si>
    <t>古紅</t>
  </si>
  <si>
    <t>gong1</t>
  </si>
  <si>
    <t>莫紅</t>
  </si>
  <si>
    <t>盧紅</t>
  </si>
  <si>
    <t>匣</t>
  </si>
  <si>
    <t>hong2</t>
  </si>
  <si>
    <t>從</t>
  </si>
  <si>
    <t>徂紅</t>
  </si>
  <si>
    <t>cong2</t>
  </si>
  <si>
    <t>影</t>
  </si>
  <si>
    <t>烏紅</t>
  </si>
  <si>
    <t>翁螉䱵蓊䈵䩺㮬𩔚</t>
  </si>
  <si>
    <t>weng1</t>
  </si>
  <si>
    <t>清</t>
  </si>
  <si>
    <t>倉紅</t>
  </si>
  <si>
    <t>cong1</t>
  </si>
  <si>
    <t>透</t>
  </si>
  <si>
    <t>他紅</t>
  </si>
  <si>
    <t>通蓪侗恫痌曈俑𧳆𨀜</t>
  </si>
  <si>
    <t>tong1</t>
  </si>
  <si>
    <t>精</t>
  </si>
  <si>
    <t>子紅</t>
  </si>
  <si>
    <t>zong1</t>
  </si>
  <si>
    <t>薄紅</t>
  </si>
  <si>
    <t>蓬𥭗篷髼蜂芃𧚋韸䮾𩖛</t>
  </si>
  <si>
    <t>peng2</t>
  </si>
  <si>
    <t>曉</t>
  </si>
  <si>
    <t>呼東</t>
  </si>
  <si>
    <t>hong1</t>
  </si>
  <si>
    <t>疑</t>
  </si>
  <si>
    <t>五東</t>
  </si>
  <si>
    <t>㟅</t>
  </si>
  <si>
    <t>weng2</t>
  </si>
  <si>
    <t>蘇公</t>
  </si>
  <si>
    <t>上平2冬</t>
  </si>
  <si>
    <t>冬</t>
  </si>
  <si>
    <t>都宗</t>
  </si>
  <si>
    <t>徒冬</t>
  </si>
  <si>
    <t>藏宗</t>
  </si>
  <si>
    <t>泥</t>
  </si>
  <si>
    <t>奴冬</t>
  </si>
  <si>
    <t>nong2</t>
  </si>
  <si>
    <t>古冬</t>
  </si>
  <si>
    <t>攻釭</t>
  </si>
  <si>
    <t>䃔洚㗢𩘎</t>
  </si>
  <si>
    <t>力冬</t>
  </si>
  <si>
    <t>䃧䥢𣫣</t>
  </si>
  <si>
    <t>作冬</t>
  </si>
  <si>
    <t>宗倧</t>
  </si>
  <si>
    <t>私宗</t>
  </si>
  <si>
    <t>鬆䯳</t>
  </si>
  <si>
    <t>他冬</t>
  </si>
  <si>
    <t>炵</t>
  </si>
  <si>
    <t>上平3鍾</t>
  </si>
  <si>
    <t>鍾</t>
  </si>
  <si>
    <t>職容</t>
  </si>
  <si>
    <t>力鍾</t>
  </si>
  <si>
    <t>書</t>
  </si>
  <si>
    <t>書容</t>
  </si>
  <si>
    <t>shong1</t>
  </si>
  <si>
    <t>邪</t>
  </si>
  <si>
    <t>祥容</t>
  </si>
  <si>
    <t>松㮤淞訟</t>
  </si>
  <si>
    <t>song2</t>
  </si>
  <si>
    <t>尺容</t>
  </si>
  <si>
    <t>餘封</t>
  </si>
  <si>
    <t>府容</t>
  </si>
  <si>
    <t>許容</t>
  </si>
  <si>
    <t>xiong1</t>
  </si>
  <si>
    <t>魚容</t>
  </si>
  <si>
    <t>顒𩤛鰅喁</t>
  </si>
  <si>
    <t>於容</t>
  </si>
  <si>
    <t>邕雍噰嗈郺澭灉癰罋廱饔壅雝𪄉㻾𧴗|蕹</t>
  </si>
  <si>
    <t>yong1</t>
  </si>
  <si>
    <t>娘</t>
  </si>
  <si>
    <t>女容</t>
  </si>
  <si>
    <t>直容</t>
  </si>
  <si>
    <t>疾容</t>
  </si>
  <si>
    <t>丑凶</t>
  </si>
  <si>
    <t>符容</t>
  </si>
  <si>
    <t>敷容</t>
  </si>
  <si>
    <t>即容</t>
  </si>
  <si>
    <t>而容</t>
  </si>
  <si>
    <t>渠容</t>
  </si>
  <si>
    <t>蛩邛舼𦨰輁𦭭𥳎䂬蛬𠌖𩬰桏䅃𤤶𩢽筇</t>
  </si>
  <si>
    <t>常</t>
  </si>
  <si>
    <t>蜀庸</t>
  </si>
  <si>
    <t>九容</t>
  </si>
  <si>
    <t>息恭</t>
  </si>
  <si>
    <t>七恭</t>
  </si>
  <si>
    <t>樅鏦從暰䗥瑽摐䐫𥡬𧺣鬆𨑪</t>
  </si>
  <si>
    <t>曲恭</t>
  </si>
  <si>
    <t>銎𥳎</t>
  </si>
  <si>
    <t>上平4江</t>
  </si>
  <si>
    <t>二</t>
  </si>
  <si>
    <t>江</t>
  </si>
  <si>
    <t>古雙</t>
  </si>
  <si>
    <t>江扛杠茳釭矼豇肛玒𧢸䜫</t>
  </si>
  <si>
    <t>jiang1</t>
  </si>
  <si>
    <t>莫江</t>
  </si>
  <si>
    <t>mang2</t>
  </si>
  <si>
    <t>女江</t>
  </si>
  <si>
    <t>𦗳𣰊涳噥𩟊鬞䁸𪆯</t>
  </si>
  <si>
    <t>nang2</t>
  </si>
  <si>
    <t>初</t>
  </si>
  <si>
    <t>楚江</t>
  </si>
  <si>
    <t>chuang1</t>
  </si>
  <si>
    <t>博江</t>
  </si>
  <si>
    <t>邦=𤰫梆垹</t>
  </si>
  <si>
    <t>bang1</t>
  </si>
  <si>
    <t>下江</t>
  </si>
  <si>
    <t>xiang2</t>
  </si>
  <si>
    <t>匹江</t>
  </si>
  <si>
    <t>pang1</t>
  </si>
  <si>
    <t>呂江</t>
  </si>
  <si>
    <t>瀧䮾</t>
  </si>
  <si>
    <t>lang2</t>
  </si>
  <si>
    <t>生</t>
  </si>
  <si>
    <t>所江</t>
  </si>
  <si>
    <t>雙艭䉶𢥠䝄瀧𨇯</t>
  </si>
  <si>
    <t>shuang1</t>
  </si>
  <si>
    <t>薄江</t>
  </si>
  <si>
    <t>pang2</t>
  </si>
  <si>
    <t>許江</t>
  </si>
  <si>
    <t>xiang1</t>
  </si>
  <si>
    <t>握江</t>
  </si>
  <si>
    <t>胦</t>
  </si>
  <si>
    <t>yang1</t>
  </si>
  <si>
    <t>苦江</t>
  </si>
  <si>
    <t>qiang1</t>
  </si>
  <si>
    <t>宅江</t>
  </si>
  <si>
    <t>chuang2</t>
  </si>
  <si>
    <t>丑江</t>
  </si>
  <si>
    <t>憃䚎𥡟䄝𧜧</t>
  </si>
  <si>
    <t>都江</t>
  </si>
  <si>
    <t>樁𣻛</t>
  </si>
  <si>
    <t>zhuang1</t>
  </si>
  <si>
    <t>五江</t>
  </si>
  <si>
    <t>yang2</t>
  </si>
  <si>
    <t>士江</t>
  </si>
  <si>
    <t>淙鬃㼻𩞐</t>
  </si>
  <si>
    <t>上平5支</t>
  </si>
  <si>
    <t>支A</t>
  </si>
  <si>
    <t>章移</t>
  </si>
  <si>
    <t>止</t>
  </si>
  <si>
    <t>zhi1</t>
  </si>
  <si>
    <t>支</t>
  </si>
  <si>
    <t>弋支</t>
  </si>
  <si>
    <t>yi2</t>
  </si>
  <si>
    <t>合</t>
  </si>
  <si>
    <t>支B</t>
  </si>
  <si>
    <t>薳支</t>
  </si>
  <si>
    <t>ye</t>
  </si>
  <si>
    <t>wei2</t>
  </si>
  <si>
    <t>gui1</t>
  </si>
  <si>
    <t>𪎮麾噅𩻟䧦撝</t>
  </si>
  <si>
    <t>hui1</t>
  </si>
  <si>
    <t>逶𣨙萎㮃覣痿蜲倭委䴧蟡</t>
  </si>
  <si>
    <t>wei1</t>
  </si>
  <si>
    <t>mi2</t>
  </si>
  <si>
    <t>許規</t>
  </si>
  <si>
    <t>隳!隓墮眭觿睢䜐鑴蘳</t>
  </si>
  <si>
    <t>直垂</t>
  </si>
  <si>
    <t>鬌錘甀</t>
  </si>
  <si>
    <t>chui2</t>
  </si>
  <si>
    <t>羸𡰠(𡰟)</t>
  </si>
  <si>
    <t>lei2</t>
  </si>
  <si>
    <t>昌垂</t>
  </si>
  <si>
    <t>{表古文</t>
  </si>
  <si>
    <t>chui1</t>
  </si>
  <si>
    <t>敷羈</t>
  </si>
  <si>
    <t>pi1</t>
  </si>
  <si>
    <t>pie</t>
  </si>
  <si>
    <t>bi1</t>
  </si>
  <si>
    <t>隨隋𥶻</t>
  </si>
  <si>
    <t>sui2</t>
  </si>
  <si>
    <t>虧</t>
  </si>
  <si>
    <t>kui1</t>
  </si>
  <si>
    <t>去隨</t>
  </si>
  <si>
    <t>窺!闚</t>
  </si>
  <si>
    <t>渠羈</t>
  </si>
  <si>
    <t>qi2</t>
  </si>
  <si>
    <t>巨支</t>
  </si>
  <si>
    <t>許羈</t>
  </si>
  <si>
    <t>19-&gt;18</t>
  </si>
  <si>
    <t>xi1</t>
  </si>
  <si>
    <t>去奇</t>
  </si>
  <si>
    <t>㩻觭踦㱦崎𦖊碕𤘌㥓䗁攲[崎][榿]</t>
  </si>
  <si>
    <t>qi1</t>
  </si>
  <si>
    <t>魚羈</t>
  </si>
  <si>
    <t>符羈</t>
  </si>
  <si>
    <t>皮疲郫罷㯅犤</t>
  </si>
  <si>
    <t>bie</t>
  </si>
  <si>
    <t>pi2</t>
  </si>
  <si>
    <t>是支</t>
  </si>
  <si>
    <t>chi2</t>
  </si>
  <si>
    <t>汝移</t>
  </si>
  <si>
    <t>兒𠒆唲婼</t>
  </si>
  <si>
    <t>婼羌</t>
  </si>
  <si>
    <t>er2</t>
  </si>
  <si>
    <t>呂支</t>
  </si>
  <si>
    <t>li2</t>
  </si>
  <si>
    <t>疾移</t>
  </si>
  <si>
    <t>ci2</t>
  </si>
  <si>
    <t>即移</t>
  </si>
  <si>
    <t>zi1</t>
  </si>
  <si>
    <t>居宜</t>
  </si>
  <si>
    <t>ji1</t>
  </si>
  <si>
    <t>府移</t>
  </si>
  <si>
    <t>符支</t>
  </si>
  <si>
    <t>式支</t>
  </si>
  <si>
    <t>shi1</t>
  </si>
  <si>
    <t>息移</t>
  </si>
  <si>
    <t>si1</t>
  </si>
  <si>
    <t>楚宜</t>
  </si>
  <si>
    <t>差縒嵯𪙉</t>
  </si>
  <si>
    <t>chi1</t>
  </si>
  <si>
    <t>丑知</t>
  </si>
  <si>
    <t>武移</t>
  </si>
  <si>
    <t>此移</t>
  </si>
  <si>
    <t>ci1</t>
  </si>
  <si>
    <t>陟移</t>
  </si>
  <si>
    <t>於離</t>
  </si>
  <si>
    <t>漪猗椅旖禕陭欹㾨犄𩕲檹</t>
  </si>
  <si>
    <t>qie</t>
  </si>
  <si>
    <t>yi1</t>
  </si>
  <si>
    <t>直離</t>
  </si>
  <si>
    <t>馳趍池簃篪䶵踟褫䪧䶔誃傂䞾</t>
  </si>
  <si>
    <t>14-&gt;13</t>
  </si>
  <si>
    <t>眭</t>
  </si>
  <si>
    <t>sui1</t>
  </si>
  <si>
    <t>危㕒洈峗</t>
  </si>
  <si>
    <t>香支</t>
  </si>
  <si>
    <t>xie</t>
  </si>
  <si>
    <t>所宜</t>
  </si>
  <si>
    <t>山垂</t>
  </si>
  <si>
    <t>䪎䭨</t>
  </si>
  <si>
    <t>shuai1</t>
  </si>
  <si>
    <t>人垂</t>
  </si>
  <si>
    <t>痿䬐</t>
  </si>
  <si>
    <t>rui2</t>
  </si>
  <si>
    <t>姊移</t>
  </si>
  <si>
    <t>厜觜惢纗嫢㭰</t>
  </si>
  <si>
    <t>居隋</t>
  </si>
  <si>
    <t>劑㭰𦸺臇𤎱㷷</t>
  </si>
  <si>
    <t>zui1</t>
  </si>
  <si>
    <t>楚危</t>
  </si>
  <si>
    <t>chuai1</t>
  </si>
  <si>
    <t>竹垂</t>
  </si>
  <si>
    <t>腄箠㩾</t>
  </si>
  <si>
    <t>zhui1</t>
  </si>
  <si>
    <t>子垂</t>
  </si>
  <si>
    <t>䮔</t>
  </si>
  <si>
    <t>叱支</t>
  </si>
  <si>
    <t>眵䌳</t>
  </si>
  <si>
    <t>莊</t>
  </si>
  <si>
    <t>側移</t>
  </si>
  <si>
    <t>齜</t>
  </si>
  <si>
    <t>匹支</t>
  </si>
  <si>
    <t>𤿎</t>
  </si>
  <si>
    <t>悅吹</t>
  </si>
  <si>
    <t>䔺𩁌蠵欈𧲚䝐</t>
  </si>
  <si>
    <t>士移</t>
  </si>
  <si>
    <t>齹</t>
  </si>
  <si>
    <t>上平6脂</t>
  </si>
  <si>
    <t>脂A</t>
  </si>
  <si>
    <t>旨夷</t>
  </si>
  <si>
    <t>以脂</t>
  </si>
  <si>
    <t>ji</t>
  </si>
  <si>
    <t>脂B</t>
  </si>
  <si>
    <t>疏夷</t>
  </si>
  <si>
    <t>房脂</t>
  </si>
  <si>
    <t>bi</t>
  </si>
  <si>
    <t>即夷</t>
  </si>
  <si>
    <t>資!咨粢𪗉𪗋𧞓諮姿齍澬𣳩齎蒫𩆂𩄠</t>
  </si>
  <si>
    <t>居夷</t>
  </si>
  <si>
    <t>飢机肌虮</t>
  </si>
  <si>
    <t>處脂</t>
  </si>
  <si>
    <t>丑飢</t>
  </si>
  <si>
    <t>取私</t>
  </si>
  <si>
    <t>郪趑𨌅趀𧾒𧠵𡰾𡳠蠀</t>
  </si>
  <si>
    <t>疾資</t>
  </si>
  <si>
    <t>女夷</t>
  </si>
  <si>
    <t>ni2</t>
  </si>
  <si>
    <t>直尼</t>
  </si>
  <si>
    <t>息夷</t>
  </si>
  <si>
    <t>式之</t>
  </si>
  <si>
    <t>尸鳲屍蓍</t>
  </si>
  <si>
    <t>渠脂</t>
  </si>
  <si>
    <t>於脂</t>
  </si>
  <si>
    <t>伊咿黝黟𧉅</t>
  </si>
  <si>
    <t>力脂</t>
  </si>
  <si>
    <t>渠隹</t>
  </si>
  <si>
    <t>葵鄈楑𩹍𢜽𦝢䳫𧍜</t>
  </si>
  <si>
    <t>kui2</t>
  </si>
  <si>
    <t>陟隹</t>
  </si>
  <si>
    <t>居追</t>
  </si>
  <si>
    <t>龜𪚦𤕣䟸螝騩|頄鱖</t>
  </si>
  <si>
    <t>儒隹</t>
  </si>
  <si>
    <t>所追</t>
  </si>
  <si>
    <t>衰[摔]榱𤸬</t>
  </si>
  <si>
    <t>以追</t>
  </si>
  <si>
    <t>力追</t>
  </si>
  <si>
    <t>息遺</t>
  </si>
  <si>
    <t>渠追</t>
  </si>
  <si>
    <t>武悲</t>
  </si>
  <si>
    <t>府眉</t>
  </si>
  <si>
    <t>悲</t>
  </si>
  <si>
    <t>職追</t>
  </si>
  <si>
    <t>錐隹𪋇騅㮅䶆萑鵻</t>
  </si>
  <si>
    <t>視隹</t>
  </si>
  <si>
    <t>誰脽䜅</t>
  </si>
  <si>
    <t>洧悲</t>
  </si>
  <si>
    <t>帷</t>
  </si>
  <si>
    <t>yi</t>
  </si>
  <si>
    <t>符悲</t>
  </si>
  <si>
    <t>敷悲</t>
  </si>
  <si>
    <t>許維</t>
  </si>
  <si>
    <t>直追</t>
  </si>
  <si>
    <t>叉隹</t>
  </si>
  <si>
    <t>推蓷</t>
  </si>
  <si>
    <t>丁尼</t>
  </si>
  <si>
    <t>胝氐秪䜉||</t>
  </si>
  <si>
    <t>匹夷</t>
  </si>
  <si>
    <t>醉綏</t>
  </si>
  <si>
    <t>嶉檇</t>
  </si>
  <si>
    <t>丘追</t>
  </si>
  <si>
    <t>巋蘬</t>
  </si>
  <si>
    <t>牛肌</t>
  </si>
  <si>
    <t>狋</t>
  </si>
  <si>
    <t>喜夷</t>
  </si>
  <si>
    <t>xi</t>
  </si>
  <si>
    <t>上平7之</t>
  </si>
  <si>
    <t>之</t>
  </si>
  <si>
    <t>止而</t>
  </si>
  <si>
    <t>之芝臸㞢</t>
  </si>
  <si>
    <t>與之</t>
  </si>
  <si>
    <t>市之</t>
  </si>
  <si>
    <t>語其</t>
  </si>
  <si>
    <t>疑嶷觺</t>
  </si>
  <si>
    <t>楚持</t>
  </si>
  <si>
    <t>輜颸</t>
  </si>
  <si>
    <t>渠之</t>
  </si>
  <si>
    <t>書之</t>
  </si>
  <si>
    <t>詩邿齝𪗪䀢</t>
  </si>
  <si>
    <t>如之</t>
  </si>
  <si>
    <t>去其</t>
  </si>
  <si>
    <t>欺娸䫥䫏𠐾魌僛𪅾𪀩䶞抾</t>
  </si>
  <si>
    <t>居之</t>
  </si>
  <si>
    <t>6？</t>
  </si>
  <si>
    <t>si2</t>
  </si>
  <si>
    <t>里之</t>
  </si>
  <si>
    <t>側持</t>
  </si>
  <si>
    <t>許其</t>
  </si>
  <si>
    <t>於其</t>
  </si>
  <si>
    <t>qi</t>
  </si>
  <si>
    <t>丑之</t>
  </si>
  <si>
    <t>癡齝笞痴</t>
  </si>
  <si>
    <t>直之</t>
  </si>
  <si>
    <t>治持莉</t>
  </si>
  <si>
    <t>赤之</t>
  </si>
  <si>
    <t>疾之</t>
  </si>
  <si>
    <t>子之</t>
  </si>
  <si>
    <t>士之</t>
  </si>
  <si>
    <t>茬(茌)</t>
  </si>
  <si>
    <t>俟</t>
  </si>
  <si>
    <t>俟甾</t>
  </si>
  <si>
    <t>漦</t>
  </si>
  <si>
    <t>丘之</t>
  </si>
  <si>
    <t>抾</t>
  </si>
  <si>
    <t>式其</t>
  </si>
  <si>
    <t>䀵</t>
  </si>
  <si>
    <t>上平8微</t>
  </si>
  <si>
    <t>微</t>
  </si>
  <si>
    <t>無非</t>
  </si>
  <si>
    <t>許歸</t>
  </si>
  <si>
    <t>雨非</t>
  </si>
  <si>
    <t>芳非</t>
  </si>
  <si>
    <t>霏䬠妃䩁婓裶𥇖菲騑</t>
  </si>
  <si>
    <t>fei1</t>
  </si>
  <si>
    <t>甫微</t>
  </si>
  <si>
    <t>符非</t>
  </si>
  <si>
    <t>肥腓䈈淝𤷂痱蜰𩇯蟦賁裴</t>
  </si>
  <si>
    <t>fei2</t>
  </si>
  <si>
    <t>於非</t>
  </si>
  <si>
    <t>渠希</t>
  </si>
  <si>
    <t>居依</t>
  </si>
  <si>
    <t>香衣</t>
  </si>
  <si>
    <t>希晞莃鵗睎稀豨𧻶桸烯俙欷|浠</t>
  </si>
  <si>
    <t>於希</t>
  </si>
  <si>
    <t>魚衣</t>
  </si>
  <si>
    <t>沂溰</t>
  </si>
  <si>
    <t>語韋</t>
  </si>
  <si>
    <t>巍犩</t>
  </si>
  <si>
    <t>舉韋</t>
  </si>
  <si>
    <t>歸=㱕騩[皈]</t>
  </si>
  <si>
    <t>丘韋</t>
  </si>
  <si>
    <t>蘬𧢦</t>
  </si>
  <si>
    <t>上平9魚</t>
  </si>
  <si>
    <t>魚</t>
  </si>
  <si>
    <t>語居</t>
  </si>
  <si>
    <t>遇</t>
  </si>
  <si>
    <t>魚漁齬鋙衙䲆𩼪䰻䁩</t>
  </si>
  <si>
    <t>䲆(上下)</t>
  </si>
  <si>
    <t>yu2</t>
  </si>
  <si>
    <t>楚居</t>
  </si>
  <si>
    <t>初𠿝</t>
  </si>
  <si>
    <t>chu1</t>
  </si>
  <si>
    <t>傷魚</t>
  </si>
  <si>
    <t>書瑹舒紓鵨𦺗𨛭</t>
  </si>
  <si>
    <t>shu1</t>
  </si>
  <si>
    <t>九魚</t>
  </si>
  <si>
    <t>居𡨢据裾琚䝻鶋車崌蜛椐涺𦱅腒</t>
  </si>
  <si>
    <t>ju1</t>
  </si>
  <si>
    <t>強魚</t>
  </si>
  <si>
    <t>qu2</t>
  </si>
  <si>
    <t>以諸</t>
  </si>
  <si>
    <t>相居</t>
  </si>
  <si>
    <t>胥䱬䈝稰楈藇諝㥠湑蝑揟</t>
  </si>
  <si>
    <t>xu1</t>
  </si>
  <si>
    <t>七余</t>
  </si>
  <si>
    <t>qu1</t>
  </si>
  <si>
    <t>士魚</t>
  </si>
  <si>
    <t>chu2</t>
  </si>
  <si>
    <t>丑居</t>
  </si>
  <si>
    <t>攄摴㯉[樗]筡</t>
  </si>
  <si>
    <t>所葅</t>
  </si>
  <si>
    <t>朽居</t>
  </si>
  <si>
    <t>似魚</t>
  </si>
  <si>
    <t>xu2</t>
  </si>
  <si>
    <t>央居</t>
  </si>
  <si>
    <t>yu1</t>
  </si>
  <si>
    <t>陟魚</t>
  </si>
  <si>
    <t>zhu1</t>
  </si>
  <si>
    <t>力居</t>
  </si>
  <si>
    <t>lv2</t>
  </si>
  <si>
    <t>章魚</t>
  </si>
  <si>
    <t>諸櫧㶆藷䃴蠩𧄔</t>
  </si>
  <si>
    <t>直魚</t>
  </si>
  <si>
    <t>除躇儲涂篨𦿀宁㾻著滁蒢屠藸</t>
  </si>
  <si>
    <t>人諸</t>
  </si>
  <si>
    <t>如洳茹𨚴鴽𨾵蒘𡫾</t>
  </si>
  <si>
    <t>ru2</t>
  </si>
  <si>
    <t>子魚</t>
  </si>
  <si>
    <t>且蛆苴沮</t>
  </si>
  <si>
    <t>去魚</t>
  </si>
  <si>
    <t>側魚</t>
  </si>
  <si>
    <t>菹沮䶥𧄗</t>
  </si>
  <si>
    <t>署魚</t>
  </si>
  <si>
    <t>蜍𧄔(稌)</t>
  </si>
  <si>
    <r>
      <t>活𣽅䄆越鬠佸</t>
    </r>
    <r>
      <rPr>
        <sz val="14"/>
        <rFont val="宋体"/>
        <charset val="134"/>
      </rPr>
      <t>秳</t>
    </r>
    <r>
      <rPr>
        <sz val="14"/>
        <rFont val="MingLiU"/>
        <family val="3"/>
      </rPr>
      <t>姡</t>
    </r>
  </si>
  <si>
    <r>
      <t>奪𡙜</t>
    </r>
    <r>
      <rPr>
        <sz val="14"/>
        <rFont val="宋体"/>
        <charset val="134"/>
      </rPr>
      <t>敚</t>
    </r>
    <r>
      <rPr>
        <sz val="14"/>
        <rFont val="MingLiU"/>
        <family val="3"/>
      </rPr>
      <t>(敓)脫挩莌</t>
    </r>
    <r>
      <rPr>
        <sz val="14"/>
        <rFont val="宋体"/>
        <charset val="134"/>
      </rPr>
      <t>痥</t>
    </r>
    <r>
      <rPr>
        <sz val="14"/>
        <rFont val="MingLiU"/>
        <family val="3"/>
      </rPr>
      <t>鮵</t>
    </r>
  </si>
  <si>
    <r>
      <t>豁𧯆</t>
    </r>
    <r>
      <rPr>
        <sz val="14"/>
        <rFont val="宋体"/>
        <charset val="134"/>
      </rPr>
      <t>奯</t>
    </r>
    <r>
      <rPr>
        <sz val="14"/>
        <rFont val="MingLiU"/>
        <family val="3"/>
      </rPr>
      <t>濊𤃴泧𣁳眓</t>
    </r>
  </si>
  <si>
    <r>
      <t>斡焥䩊</t>
    </r>
    <r>
      <rPr>
        <sz val="14"/>
        <rFont val="宋体"/>
        <charset val="134"/>
      </rPr>
      <t>捾</t>
    </r>
    <r>
      <rPr>
        <sz val="14"/>
        <rFont val="MingLiU"/>
        <family val="3"/>
      </rPr>
      <t>𣁳</t>
    </r>
    <r>
      <rPr>
        <sz val="14"/>
        <rFont val="宋体"/>
        <charset val="134"/>
      </rPr>
      <t>嬒</t>
    </r>
    <r>
      <rPr>
        <sz val="14"/>
        <rFont val="MingLiU"/>
        <family val="3"/>
      </rPr>
      <t>䁊睕𥄗</t>
    </r>
  </si>
  <si>
    <r>
      <t>侻挩脫莌</t>
    </r>
    <r>
      <rPr>
        <sz val="14"/>
        <rFont val="宋体"/>
        <charset val="134"/>
      </rPr>
      <t>棁</t>
    </r>
  </si>
  <si>
    <r>
      <t>掇剟鵽腏祋咄裰</t>
    </r>
    <r>
      <rPr>
        <sz val="14"/>
        <rFont val="宋体"/>
        <charset val="134"/>
      </rPr>
      <t>敠</t>
    </r>
  </si>
  <si>
    <r>
      <t>撮</t>
    </r>
    <r>
      <rPr>
        <sz val="14"/>
        <rFont val="宋体"/>
        <charset val="134"/>
      </rPr>
      <t>襊</t>
    </r>
  </si>
  <si>
    <r>
      <t>拔!跋䟛𧺡𧺺魃𢇷軷䣮</t>
    </r>
    <r>
      <rPr>
        <sz val="14"/>
        <rFont val="宋体"/>
        <charset val="134"/>
      </rPr>
      <t>馛炦颰</t>
    </r>
    <r>
      <rPr>
        <sz val="14"/>
        <rFont val="MingLiU"/>
        <family val="3"/>
      </rPr>
      <t>癹</t>
    </r>
    <r>
      <rPr>
        <sz val="14"/>
        <rFont val="宋体"/>
        <charset val="134"/>
      </rPr>
      <t>妭</t>
    </r>
    <r>
      <rPr>
        <sz val="14"/>
        <rFont val="MingLiU"/>
        <family val="3"/>
      </rPr>
      <t>犮䚨 胈鈸䳊䮂菝</t>
    </r>
    <r>
      <rPr>
        <sz val="14"/>
        <rFont val="宋体"/>
        <charset val="134"/>
      </rPr>
      <t>坺</t>
    </r>
    <r>
      <rPr>
        <sz val="14"/>
        <rFont val="MingLiU"/>
        <family val="3"/>
      </rPr>
      <t>𩃶茇䯋</t>
    </r>
  </si>
  <si>
    <r>
      <t>𤫶(</t>
    </r>
    <r>
      <rPr>
        <sz val="14"/>
        <rFont val="宋体"/>
        <charset val="134"/>
      </rPr>
      <t>葜</t>
    </r>
    <r>
      <rPr>
        <sz val="14"/>
        <rFont val="MingLiU"/>
        <family val="3"/>
      </rPr>
      <t>)擖劼</t>
    </r>
    <r>
      <rPr>
        <sz val="14"/>
        <rFont val="宋体"/>
        <charset val="134"/>
      </rPr>
      <t>鬝</t>
    </r>
    <r>
      <rPr>
        <sz val="14"/>
        <rFont val="MingLiU"/>
        <family val="3"/>
      </rPr>
      <t>𩮁𠛉㓤硈𦸉䂒咭𢼣</t>
    </r>
  </si>
  <si>
    <r>
      <t>滑猾䱻</t>
    </r>
    <r>
      <rPr>
        <sz val="14"/>
        <rFont val="宋体"/>
        <charset val="134"/>
      </rPr>
      <t>磆</t>
    </r>
    <r>
      <rPr>
        <sz val="14"/>
        <rFont val="MingLiU"/>
        <family val="3"/>
      </rPr>
      <t>螖䴳𧽌鶻</t>
    </r>
  </si>
  <si>
    <r>
      <t>八𩡩朳捌扒㺴䤢</t>
    </r>
    <r>
      <rPr>
        <sz val="14"/>
        <rFont val="宋体"/>
        <charset val="134"/>
      </rPr>
      <t>哵玐釟</t>
    </r>
  </si>
  <si>
    <r>
      <t>窡</t>
    </r>
    <r>
      <rPr>
        <sz val="14"/>
        <rFont val="MingLiU"/>
        <family val="3"/>
      </rPr>
      <t>𠿡</t>
    </r>
    <r>
      <rPr>
        <sz val="14"/>
        <rFont val="宋体"/>
        <charset val="134"/>
      </rPr>
      <t>娺</t>
    </r>
    <r>
      <rPr>
        <sz val="14"/>
        <rFont val="MingLiU"/>
        <family val="3"/>
      </rPr>
      <t>鵽</t>
    </r>
    <r>
      <rPr>
        <sz val="14"/>
        <rFont val="宋体"/>
        <charset val="134"/>
      </rPr>
      <t>聉</t>
    </r>
  </si>
  <si>
    <r>
      <t>婠𣁳嗢䯉穵[挖]</t>
    </r>
    <r>
      <rPr>
        <sz val="14"/>
        <rFont val="宋体"/>
        <charset val="134"/>
      </rPr>
      <t>嗗</t>
    </r>
  </si>
  <si>
    <r>
      <t>𪙻䕓察</t>
    </r>
    <r>
      <rPr>
        <sz val="14"/>
        <rFont val="宋体"/>
        <charset val="134"/>
      </rPr>
      <t>詧</t>
    </r>
    <r>
      <rPr>
        <sz val="14"/>
        <rFont val="MingLiU"/>
        <family val="3"/>
      </rPr>
      <t>𣘤𥉻𩴳|</t>
    </r>
    <r>
      <rPr>
        <sz val="14"/>
        <rFont val="宋体"/>
        <charset val="134"/>
      </rPr>
      <t>檫</t>
    </r>
  </si>
  <si>
    <r>
      <t>戛扴</t>
    </r>
    <r>
      <rPr>
        <sz val="14"/>
        <rFont val="宋体"/>
        <charset val="134"/>
      </rPr>
      <t>圿稭</t>
    </r>
    <r>
      <rPr>
        <sz val="14"/>
        <rFont val="MingLiU"/>
        <family val="3"/>
      </rPr>
      <t>鴶楔秸骱鞂砎</t>
    </r>
    <r>
      <rPr>
        <sz val="14"/>
        <rFont val="宋体"/>
        <charset val="134"/>
      </rPr>
      <t>忦</t>
    </r>
    <r>
      <rPr>
        <sz val="14"/>
        <rFont val="MingLiU"/>
        <family val="3"/>
      </rPr>
      <t>嘎𠜵𪃈袺㮖磍頡|恝</t>
    </r>
  </si>
  <si>
    <r>
      <t>軋圠揠</t>
    </r>
    <r>
      <rPr>
        <sz val="14"/>
        <rFont val="宋体"/>
        <charset val="134"/>
      </rPr>
      <t>嫼</t>
    </r>
    <r>
      <rPr>
        <sz val="14"/>
        <rFont val="MingLiU"/>
        <family val="3"/>
      </rPr>
      <t>䝟猰穵𥈔䰲窫</t>
    </r>
  </si>
  <si>
    <r>
      <t>殺煞鎩𣻑帴蔱</t>
    </r>
    <r>
      <rPr>
        <sz val="14"/>
        <rFont val="宋体"/>
        <charset val="134"/>
      </rPr>
      <t>榝</t>
    </r>
  </si>
  <si>
    <r>
      <t>㑻䀣齂䯦𪒜</t>
    </r>
    <r>
      <rPr>
        <sz val="14"/>
        <rFont val="宋体"/>
        <charset val="134"/>
      </rPr>
      <t>睰</t>
    </r>
    <r>
      <rPr>
        <sz val="14"/>
        <rFont val="MingLiU"/>
        <family val="3"/>
      </rPr>
      <t>礣</t>
    </r>
  </si>
  <si>
    <r>
      <t>傄</t>
    </r>
    <r>
      <rPr>
        <sz val="14"/>
        <rFont val="MingLiU"/>
        <family val="3"/>
      </rPr>
      <t>䀨</t>
    </r>
  </si>
  <si>
    <r>
      <t>痆</t>
    </r>
    <r>
      <rPr>
        <sz val="14"/>
        <rFont val="MingLiU"/>
        <family val="3"/>
      </rPr>
      <t>𤷈𧞍</t>
    </r>
  </si>
  <si>
    <r>
      <t>𦤙</t>
    </r>
    <r>
      <rPr>
        <sz val="14"/>
        <rFont val="宋体"/>
        <charset val="134"/>
      </rPr>
      <t>聉</t>
    </r>
    <r>
      <rPr>
        <sz val="14"/>
        <rFont val="MingLiU"/>
        <family val="3"/>
      </rPr>
      <t>𦘍</t>
    </r>
  </si>
  <si>
    <r>
      <t>汃𪗔</t>
    </r>
    <r>
      <rPr>
        <sz val="14"/>
        <rFont val="宋体"/>
        <charset val="134"/>
      </rPr>
      <t>碒</t>
    </r>
    <r>
      <rPr>
        <sz val="14"/>
        <rFont val="MingLiU"/>
        <family val="3"/>
      </rPr>
      <t>𨋐|叭|</t>
    </r>
  </si>
  <si>
    <r>
      <t>鎋</t>
    </r>
    <r>
      <rPr>
        <sz val="14"/>
        <rFont val="MingLiU"/>
        <family val="3"/>
      </rPr>
      <t>舝轄𪗾鶷砎𧕱𤪍𦵯𡑧縖𩝛𥰶𠢆𢮟</t>
    </r>
  </si>
  <si>
    <r>
      <t>𪆰䦪𡇼咀</t>
    </r>
    <r>
      <rPr>
        <sz val="14"/>
        <rFont val="宋体"/>
        <charset val="134"/>
      </rPr>
      <t>劜</t>
    </r>
  </si>
  <si>
    <r>
      <t>刹</t>
    </r>
    <r>
      <rPr>
        <sz val="14"/>
        <rFont val="MingLiU"/>
        <family val="3"/>
      </rPr>
      <t>䓭</t>
    </r>
  </si>
  <si>
    <r>
      <t>頢</t>
    </r>
    <r>
      <rPr>
        <sz val="14"/>
        <rFont val="MingLiU"/>
        <family val="3"/>
      </rPr>
      <t>𤁪𦧠</t>
    </r>
    <r>
      <rPr>
        <sz val="14"/>
        <rFont val="宋体"/>
        <charset val="134"/>
      </rPr>
      <t>敌</t>
    </r>
    <r>
      <rPr>
        <sz val="14"/>
        <rFont val="MingLiU"/>
        <family val="3"/>
      </rPr>
      <t>舌(𠯑)姡咶</t>
    </r>
  </si>
  <si>
    <r>
      <t>鵽錣</t>
    </r>
    <r>
      <rPr>
        <sz val="14"/>
        <rFont val="宋体"/>
        <charset val="134"/>
      </rPr>
      <t>窡娺</t>
    </r>
  </si>
  <si>
    <r>
      <t>𥗥</t>
    </r>
    <r>
      <rPr>
        <sz val="14"/>
        <rFont val="宋体"/>
        <charset val="134"/>
      </rPr>
      <t>帓</t>
    </r>
    <r>
      <rPr>
        <sz val="14"/>
        <rFont val="MingLiU"/>
        <family val="3"/>
      </rPr>
      <t>帕㩢</t>
    </r>
  </si>
  <si>
    <r>
      <t>妠𤬷</t>
    </r>
    <r>
      <rPr>
        <sz val="14"/>
        <rFont val="宋体"/>
        <charset val="134"/>
      </rPr>
      <t>袦</t>
    </r>
  </si>
  <si>
    <r>
      <t>𨰉(鍘)</t>
    </r>
    <r>
      <rPr>
        <sz val="14"/>
        <rFont val="宋体"/>
        <charset val="134"/>
      </rPr>
      <t>耫</t>
    </r>
    <r>
      <rPr>
        <sz val="14"/>
        <rFont val="MingLiU"/>
        <family val="3"/>
      </rPr>
      <t>㳐</t>
    </r>
  </si>
  <si>
    <r>
      <t>屑楔揳𨇨榍</t>
    </r>
    <r>
      <rPr>
        <sz val="14"/>
        <rFont val="宋体"/>
        <charset val="134"/>
      </rPr>
      <t>糏</t>
    </r>
    <r>
      <rPr>
        <sz val="14"/>
        <rFont val="MingLiU"/>
        <family val="3"/>
      </rPr>
      <t>僁偰㴽𦵱𦞚㨝</t>
    </r>
  </si>
  <si>
    <r>
      <t>切㗫𪙇竊柣沏䟙</t>
    </r>
    <r>
      <rPr>
        <sz val="14"/>
        <rFont val="宋体"/>
        <charset val="134"/>
      </rPr>
      <t>詧</t>
    </r>
  </si>
  <si>
    <r>
      <t>結絜潔䥛鍥桔𣚃𧾯𪃈袺拮狤</t>
    </r>
    <r>
      <rPr>
        <sz val="14"/>
        <rFont val="宋体"/>
        <charset val="134"/>
      </rPr>
      <t>魝</t>
    </r>
    <r>
      <rPr>
        <sz val="14"/>
        <rFont val="MingLiU"/>
        <family val="3"/>
      </rPr>
      <t>𡔣𧍩</t>
    </r>
  </si>
  <si>
    <r>
      <t>節𢎛[</t>
    </r>
    <r>
      <rPr>
        <sz val="14"/>
        <rFont val="宋体"/>
        <charset val="134"/>
      </rPr>
      <t>卩</t>
    </r>
    <r>
      <rPr>
        <sz val="14"/>
        <rFont val="MingLiU"/>
        <family val="3"/>
      </rPr>
      <t>]癤蝍楶𤁢㸅𡴺𩯰䲙幯𠬨𧞩</t>
    </r>
  </si>
  <si>
    <r>
      <t>血𥅧䆷䆝䦑泬</t>
    </r>
    <r>
      <rPr>
        <sz val="14"/>
        <rFont val="宋体"/>
        <charset val="134"/>
      </rPr>
      <t>疦</t>
    </r>
    <r>
      <rPr>
        <sz val="14"/>
        <rFont val="MingLiU"/>
        <family val="3"/>
      </rPr>
      <t>瞲決䛎䒸</t>
    </r>
    <r>
      <rPr>
        <sz val="14"/>
        <rFont val="宋体"/>
        <charset val="134"/>
      </rPr>
      <t>坹</t>
    </r>
  </si>
  <si>
    <r>
      <t>決(</t>
    </r>
    <r>
      <rPr>
        <sz val="14"/>
        <rFont val="宋体"/>
        <charset val="134"/>
      </rPr>
      <t>决</t>
    </r>
    <r>
      <rPr>
        <sz val="14"/>
        <rFont val="MingLiU"/>
        <family val="3"/>
      </rPr>
      <t>)！玦潏䀗譎訣𧤾觼鐍駃𦯊芵赽</t>
    </r>
    <r>
      <rPr>
        <sz val="14"/>
        <rFont val="宋体"/>
        <charset val="134"/>
      </rPr>
      <t>鴂</t>
    </r>
    <r>
      <rPr>
        <sz val="14"/>
        <rFont val="MingLiU"/>
        <family val="3"/>
      </rPr>
      <t>鈌𣬎 觖騤㭈</t>
    </r>
    <r>
      <rPr>
        <sz val="14"/>
        <rFont val="宋体"/>
        <charset val="134"/>
      </rPr>
      <t>疦</t>
    </r>
    <r>
      <rPr>
        <sz val="14"/>
        <rFont val="MingLiU"/>
        <family val="3"/>
      </rPr>
      <t>蚗趹憰𧝃䏐抉</t>
    </r>
  </si>
  <si>
    <r>
      <t>穴</t>
    </r>
    <r>
      <rPr>
        <sz val="14"/>
        <rFont val="宋体"/>
        <charset val="134"/>
      </rPr>
      <t>坹</t>
    </r>
    <r>
      <rPr>
        <sz val="14"/>
        <rFont val="MingLiU"/>
        <family val="3"/>
      </rPr>
      <t>䋉袕</t>
    </r>
  </si>
  <si>
    <r>
      <t>抉䆕</t>
    </r>
    <r>
      <rPr>
        <sz val="14"/>
        <rFont val="宋体"/>
        <charset val="134"/>
      </rPr>
      <t>妜</t>
    </r>
    <r>
      <rPr>
        <sz val="14"/>
        <rFont val="MingLiU"/>
        <family val="3"/>
      </rPr>
      <t>焆𥈾䆢</t>
    </r>
  </si>
  <si>
    <r>
      <t>姪眣昳胅凸垤耋迭跌絰驖嵽軼䭿𨳺瓞咥墆</t>
    </r>
    <r>
      <rPr>
        <sz val="14"/>
        <rFont val="宋体"/>
        <charset val="134"/>
      </rPr>
      <t>戜</t>
    </r>
    <r>
      <rPr>
        <sz val="14"/>
        <rFont val="MingLiU"/>
        <family val="3"/>
      </rPr>
      <t>苵镻䳀荎𪗻𢲼</t>
    </r>
    <r>
      <rPr>
        <sz val="14"/>
        <rFont val="宋体"/>
        <charset val="134"/>
      </rPr>
      <t>恎</t>
    </r>
    <r>
      <rPr>
        <sz val="14"/>
        <rFont val="MingLiU"/>
        <family val="3"/>
      </rPr>
      <t>詄</t>
    </r>
    <r>
      <rPr>
        <sz val="14"/>
        <rFont val="宋体"/>
        <charset val="134"/>
      </rPr>
      <t>摕</t>
    </r>
    <r>
      <rPr>
        <sz val="14"/>
        <rFont val="MingLiU"/>
        <family val="3"/>
      </rPr>
      <t>𪀒𠽧𡼄泆𥑇</t>
    </r>
    <r>
      <rPr>
        <sz val="14"/>
        <rFont val="宋体"/>
        <charset val="134"/>
      </rPr>
      <t>趃</t>
    </r>
    <r>
      <rPr>
        <sz val="14"/>
        <rFont val="MingLiU"/>
        <family val="3"/>
      </rPr>
      <t>㦅</t>
    </r>
  </si>
  <si>
    <r>
      <t>鐵銕僣餮</t>
    </r>
    <r>
      <rPr>
        <sz val="14"/>
        <rFont val="宋体"/>
        <charset val="134"/>
      </rPr>
      <t>飻</t>
    </r>
    <r>
      <rPr>
        <sz val="14"/>
        <rFont val="MingLiU"/>
        <family val="3"/>
      </rPr>
      <t>蛈𢶋驖</t>
    </r>
  </si>
  <si>
    <r>
      <t>纈䦖擷𢴲頡頁齕紇襭絜𥊯𧀺𪕯</t>
    </r>
    <r>
      <rPr>
        <sz val="14"/>
        <rFont val="宋体"/>
        <charset val="134"/>
      </rPr>
      <t>翓</t>
    </r>
    <r>
      <rPr>
        <sz val="14"/>
        <rFont val="MingLiU"/>
        <family val="3"/>
      </rPr>
      <t>䐼㹂奊籺𨵪𥢹覈</t>
    </r>
  </si>
  <si>
    <r>
      <t>涅(</t>
    </r>
    <r>
      <rPr>
        <sz val="14"/>
        <rFont val="宋体"/>
        <charset val="134"/>
      </rPr>
      <t>湼</t>
    </r>
    <r>
      <rPr>
        <sz val="14"/>
        <rFont val="MingLiU"/>
        <family val="3"/>
      </rPr>
      <t>)捏(</t>
    </r>
    <r>
      <rPr>
        <sz val="14"/>
        <rFont val="宋体"/>
        <charset val="134"/>
      </rPr>
      <t>揑</t>
    </r>
    <r>
      <rPr>
        <sz val="14"/>
        <rFont val="MingLiU"/>
        <family val="3"/>
      </rPr>
      <t>)𦵐𡍤</t>
    </r>
    <r>
      <rPr>
        <sz val="14"/>
        <rFont val="宋体"/>
        <charset val="134"/>
      </rPr>
      <t>圼</t>
    </r>
    <r>
      <rPr>
        <sz val="14"/>
        <rFont val="MingLiU"/>
        <family val="3"/>
      </rPr>
      <t>篞苶𥔄𤶚㖏𦛠</t>
    </r>
    <r>
      <rPr>
        <sz val="14"/>
        <rFont val="宋体"/>
        <charset val="134"/>
      </rPr>
      <t>菍</t>
    </r>
  </si>
  <si>
    <r>
      <t>𢧵(截)𧾢𡴺巀</t>
    </r>
    <r>
      <rPr>
        <sz val="14"/>
        <rFont val="宋体"/>
        <charset val="134"/>
      </rPr>
      <t>蠞</t>
    </r>
    <r>
      <rPr>
        <sz val="14"/>
        <rFont val="MingLiU"/>
        <family val="3"/>
      </rPr>
      <t>䕙𩟦</t>
    </r>
  </si>
  <si>
    <r>
      <t>蔑懱𧂝(䁾)㩢蠛篾幭鱴𥾝衊䩏㒝𥉓𤊾覕𪇴𥣫</t>
    </r>
    <r>
      <rPr>
        <sz val="14"/>
        <rFont val="宋体"/>
        <charset val="134"/>
      </rPr>
      <t>鴓</t>
    </r>
    <r>
      <rPr>
        <sz val="14"/>
        <rFont val="MingLiU"/>
        <family val="3"/>
      </rPr>
      <t>瀎𥸴𥌨粖𩱷</t>
    </r>
  </si>
  <si>
    <r>
      <t>撆丿</t>
    </r>
    <r>
      <rPr>
        <sz val="14"/>
        <rFont val="MingLiU"/>
        <family val="3"/>
      </rPr>
      <t>𢠳瞥䭱䋢嫳䫾</t>
    </r>
    <r>
      <rPr>
        <sz val="14"/>
        <rFont val="宋体"/>
        <charset val="134"/>
      </rPr>
      <t>鐅暼</t>
    </r>
  </si>
  <si>
    <r>
      <t>𥸸戾捩綟唳𥃎</t>
    </r>
    <r>
      <rPr>
        <sz val="14"/>
        <rFont val="宋体"/>
        <charset val="134"/>
      </rPr>
      <t>夨</t>
    </r>
  </si>
  <si>
    <r>
      <t>薛䥍紲</t>
    </r>
    <r>
      <rPr>
        <sz val="14"/>
        <rFont val="宋体"/>
        <charset val="134"/>
      </rPr>
      <t>緤</t>
    </r>
    <r>
      <rPr>
        <sz val="14"/>
        <rFont val="MingLiU"/>
        <family val="3"/>
      </rPr>
      <t>褻</t>
    </r>
    <r>
      <rPr>
        <sz val="14"/>
        <rFont val="宋体"/>
        <charset val="134"/>
      </rPr>
      <t>辥</t>
    </r>
    <r>
      <rPr>
        <sz val="14"/>
        <rFont val="MingLiU"/>
        <family val="3"/>
      </rPr>
      <t>泄渫</t>
    </r>
    <r>
      <rPr>
        <sz val="14"/>
        <rFont val="宋体"/>
        <charset val="134"/>
      </rPr>
      <t>禼</t>
    </r>
    <r>
      <rPr>
        <sz val="14"/>
        <rFont val="MingLiU"/>
        <family val="3"/>
      </rPr>
      <t>𥜿媟齛䊝𣽒𣊓</t>
    </r>
    <r>
      <rPr>
        <sz val="14"/>
        <rFont val="宋体"/>
        <charset val="134"/>
      </rPr>
      <t>絬</t>
    </r>
    <r>
      <rPr>
        <sz val="14"/>
        <rFont val="MingLiU"/>
        <family val="3"/>
      </rPr>
      <t>㡜疶㔎|絏|</t>
    </r>
  </si>
  <si>
    <r>
      <t>列𠛱迾蛚鮤烈洌冽裂茢颲鴷栵㤠</t>
    </r>
    <r>
      <rPr>
        <sz val="14"/>
        <rFont val="宋体"/>
        <charset val="134"/>
      </rPr>
      <t>挒</t>
    </r>
    <r>
      <rPr>
        <sz val="14"/>
        <rFont val="MingLiU"/>
        <family val="3"/>
      </rPr>
      <t>𩢾𡊻𡿪姴䅀[趔]</t>
    </r>
  </si>
  <si>
    <r>
      <t>哲悊</t>
    </r>
    <r>
      <rPr>
        <sz val="14"/>
        <rFont val="宋体"/>
        <charset val="134"/>
      </rPr>
      <t>喆嚞</t>
    </r>
    <r>
      <rPr>
        <sz val="14"/>
        <rFont val="MingLiU"/>
        <family val="3"/>
      </rPr>
      <t>蜇</t>
    </r>
  </si>
  <si>
    <r>
      <t>傑桀竭碣楬榤揭渴嵥滐</t>
    </r>
    <r>
      <rPr>
        <sz val="14"/>
        <rFont val="宋体"/>
        <charset val="134"/>
      </rPr>
      <t>櫭</t>
    </r>
    <r>
      <rPr>
        <sz val="14"/>
        <rFont val="MingLiU"/>
        <family val="3"/>
      </rPr>
      <t>偈杰</t>
    </r>
    <r>
      <rPr>
        <sz val="14"/>
        <rFont val="宋体"/>
        <charset val="134"/>
      </rPr>
      <t>搩</t>
    </r>
  </si>
  <si>
    <r>
      <t>晢</t>
    </r>
    <r>
      <rPr>
        <sz val="14"/>
        <rFont val="宋体"/>
        <charset val="134"/>
      </rPr>
      <t>晣</t>
    </r>
    <r>
      <rPr>
        <sz val="14"/>
        <rFont val="MingLiU"/>
        <family val="3"/>
      </rPr>
      <t>浙折靼𩍕䩢䏳䀿</t>
    </r>
  </si>
  <si>
    <r>
      <t>舌揲</t>
    </r>
    <r>
      <rPr>
        <sz val="14"/>
        <rFont val="宋体"/>
        <charset val="134"/>
      </rPr>
      <t>蛥</t>
    </r>
    <r>
      <rPr>
        <sz val="14"/>
        <rFont val="MingLiU"/>
        <family val="3"/>
      </rPr>
      <t>鞨</t>
    </r>
  </si>
  <si>
    <r>
      <t>孼</t>
    </r>
    <r>
      <rPr>
        <sz val="14"/>
        <rFont val="MingLiU"/>
        <family val="3"/>
      </rPr>
      <t>(孽)糱讞𤅊𧕏(蠥)㜸闑𡴎钀</t>
    </r>
    <r>
      <rPr>
        <sz val="14"/>
        <rFont val="宋体"/>
        <charset val="134"/>
      </rPr>
      <t>蘖</t>
    </r>
    <r>
      <rPr>
        <sz val="14"/>
        <rFont val="MingLiU"/>
        <family val="3"/>
      </rPr>
      <t>(櫱)䶬䡾</t>
    </r>
  </si>
  <si>
    <r>
      <t>憋!鷩</t>
    </r>
    <r>
      <rPr>
        <sz val="14"/>
        <rFont val="宋体"/>
        <charset val="134"/>
      </rPr>
      <t>鼈</t>
    </r>
    <r>
      <rPr>
        <sz val="14"/>
        <rFont val="MingLiU"/>
        <family val="3"/>
      </rPr>
      <t>虌鄨𡐞䳤[鱉]</t>
    </r>
  </si>
  <si>
    <r>
      <t>悅說閱蛻</t>
    </r>
    <r>
      <rPr>
        <sz val="14"/>
        <rFont val="宋体"/>
        <charset val="134"/>
      </rPr>
      <t>娧</t>
    </r>
    <r>
      <rPr>
        <sz val="14"/>
        <rFont val="MingLiU"/>
        <family val="3"/>
      </rPr>
      <t>𧀲䓲</t>
    </r>
  </si>
  <si>
    <r>
      <t>爇</t>
    </r>
    <r>
      <rPr>
        <sz val="14"/>
        <rFont val="宋体"/>
        <charset val="134"/>
      </rPr>
      <t>焫蜹</t>
    </r>
    <r>
      <rPr>
        <sz val="14"/>
        <rFont val="MingLiU"/>
        <family val="3"/>
      </rPr>
      <t>㨎㕯[蚋]</t>
    </r>
  </si>
  <si>
    <r>
      <t>拙</t>
    </r>
    <r>
      <rPr>
        <sz val="14"/>
        <rFont val="宋体"/>
        <charset val="134"/>
      </rPr>
      <t>炪</t>
    </r>
    <r>
      <rPr>
        <sz val="14"/>
        <rFont val="MingLiU"/>
        <family val="3"/>
      </rPr>
      <t>䂐梲蝃準䫎𠭴䪼𨢬䖦</t>
    </r>
  </si>
  <si>
    <r>
      <t>輟畷惙餟罬剟醊啜䟾綴掇腏𩋁</t>
    </r>
    <r>
      <rPr>
        <sz val="14"/>
        <rFont val="宋体"/>
        <charset val="134"/>
      </rPr>
      <t>叕</t>
    </r>
    <r>
      <rPr>
        <sz val="14"/>
        <rFont val="MingLiU"/>
        <family val="3"/>
      </rPr>
      <t>𧖀</t>
    </r>
  </si>
  <si>
    <r>
      <t>劣𢚃埒䟹鋝脟㸹蛶㲕</t>
    </r>
    <r>
      <rPr>
        <sz val="14"/>
        <rFont val="宋体"/>
        <charset val="134"/>
      </rPr>
      <t>浖</t>
    </r>
    <r>
      <rPr>
        <sz val="14"/>
        <rFont val="MingLiU"/>
        <family val="3"/>
      </rPr>
      <t>哷㭩𦓤</t>
    </r>
  </si>
  <si>
    <r>
      <t>别</t>
    </r>
    <r>
      <rPr>
        <sz val="14"/>
        <rFont val="MingLiU"/>
        <family val="3"/>
      </rPr>
      <t>[別]𡷘</t>
    </r>
  </si>
  <si>
    <r>
      <t>䇷𧧸</t>
    </r>
    <r>
      <rPr>
        <sz val="14"/>
        <rFont val="宋体"/>
        <charset val="134"/>
      </rPr>
      <t>莂</t>
    </r>
    <r>
      <rPr>
        <sz val="14"/>
        <rFont val="MingLiU"/>
        <family val="3"/>
      </rPr>
      <t>扒</t>
    </r>
    <r>
      <rPr>
        <sz val="14"/>
        <rFont val="宋体"/>
        <charset val="134"/>
      </rPr>
      <t>别</t>
    </r>
  </si>
  <si>
    <r>
      <t>𥄎𩖶𣧡</t>
    </r>
    <r>
      <rPr>
        <sz val="14"/>
        <rFont val="宋体"/>
        <charset val="134"/>
      </rPr>
      <t>烕</t>
    </r>
    <r>
      <rPr>
        <sz val="14"/>
        <rFont val="MingLiU"/>
        <family val="3"/>
      </rPr>
      <t>𦐋吷</t>
    </r>
  </si>
  <si>
    <r>
      <t>膬絟𥕹</t>
    </r>
    <r>
      <rPr>
        <sz val="14"/>
        <rFont val="宋体"/>
        <charset val="134"/>
      </rPr>
      <t>敠</t>
    </r>
  </si>
  <si>
    <r>
      <t>撤!屮硩徹䚢</t>
    </r>
    <r>
      <rPr>
        <sz val="14"/>
        <rFont val="宋体"/>
        <charset val="134"/>
      </rPr>
      <t>聅</t>
    </r>
    <r>
      <rPr>
        <sz val="14"/>
        <rFont val="MingLiU"/>
        <family val="3"/>
      </rPr>
      <t>䒆</t>
    </r>
  </si>
  <si>
    <r>
      <t>娎</t>
    </r>
    <r>
      <rPr>
        <sz val="14"/>
        <rFont val="MingLiU"/>
        <family val="3"/>
      </rPr>
      <t>焎</t>
    </r>
  </si>
  <si>
    <r>
      <t>藥躍礿禴蘥鑰𩱲瀹𤅢𤄶爚櫟龠䋤𠩃(</t>
    </r>
    <r>
      <rPr>
        <sz val="14"/>
        <rFont val="宋体"/>
        <charset val="134"/>
      </rPr>
      <t>屵</t>
    </r>
    <r>
      <rPr>
        <sz val="14"/>
        <rFont val="MingLiU"/>
        <family val="3"/>
      </rPr>
      <t>)</t>
    </r>
    <r>
      <rPr>
        <sz val="14"/>
        <rFont val="宋体"/>
        <charset val="134"/>
      </rPr>
      <t>敫</t>
    </r>
    <r>
      <rPr>
        <sz val="14"/>
        <rFont val="MingLiU"/>
        <family val="3"/>
      </rPr>
      <t>籥𢅹𥌺𧕋</t>
    </r>
    <r>
      <rPr>
        <sz val="14"/>
        <rFont val="宋体"/>
        <charset val="134"/>
      </rPr>
      <t>纅</t>
    </r>
    <r>
      <rPr>
        <sz val="14"/>
        <rFont val="MingLiU"/>
        <family val="3"/>
      </rPr>
      <t>鸙㜰𤒀䟑㿑𨷲𧢢䠯𨈋䖃</t>
    </r>
  </si>
  <si>
    <r>
      <t>略(</t>
    </r>
    <r>
      <rPr>
        <sz val="14"/>
        <rFont val="宋体"/>
        <charset val="134"/>
      </rPr>
      <t>畧</t>
    </r>
    <r>
      <rPr>
        <sz val="14"/>
        <rFont val="MingLiU"/>
        <family val="3"/>
      </rPr>
      <t>)䌎擽掠㗉䂮𧎾䀩䛚|㨼[撂]𪀡藥詻</t>
    </r>
  </si>
  <si>
    <r>
      <t>腳</t>
    </r>
    <r>
      <rPr>
        <sz val="14"/>
        <rFont val="宋体"/>
        <charset val="134"/>
      </rPr>
      <t>脚</t>
    </r>
    <r>
      <rPr>
        <sz val="14"/>
        <rFont val="MingLiU"/>
        <family val="3"/>
      </rPr>
      <t>蹻卻屩</t>
    </r>
  </si>
  <si>
    <r>
      <t>灼斫彴㣿勺酌繳焯䅵妁謶𥯩</t>
    </r>
    <r>
      <rPr>
        <sz val="14"/>
        <rFont val="宋体"/>
        <charset val="134"/>
      </rPr>
      <t>犳</t>
    </r>
    <r>
      <rPr>
        <sz val="14"/>
        <rFont val="MingLiU"/>
        <family val="3"/>
      </rPr>
      <t>䶂𧘑禚|禚</t>
    </r>
  </si>
  <si>
    <r>
      <t>若弱鄀箬蒻楉溺䐞惹</t>
    </r>
    <r>
      <rPr>
        <sz val="14"/>
        <rFont val="宋体"/>
        <charset val="134"/>
      </rPr>
      <t>叒</t>
    </r>
    <r>
      <rPr>
        <sz val="14"/>
        <rFont val="MingLiU"/>
        <family val="3"/>
      </rPr>
      <t>𨀝</t>
    </r>
  </si>
  <si>
    <r>
      <t>綽</t>
    </r>
    <r>
      <rPr>
        <sz val="14"/>
        <rFont val="宋体"/>
        <charset val="134"/>
      </rPr>
      <t>繛</t>
    </r>
    <r>
      <rPr>
        <sz val="14"/>
        <rFont val="MingLiU"/>
        <family val="3"/>
      </rPr>
      <t>婥磭</t>
    </r>
  </si>
  <si>
    <r>
      <t>卻</t>
    </r>
    <r>
      <rPr>
        <sz val="14"/>
        <rFont val="宋体"/>
        <charset val="134"/>
      </rPr>
      <t>却</t>
    </r>
    <r>
      <rPr>
        <sz val="14"/>
        <rFont val="MingLiU"/>
        <family val="3"/>
      </rPr>
      <t>𨟠𤷽</t>
    </r>
  </si>
  <si>
    <r>
      <t>妁勺汋杓</t>
    </r>
    <r>
      <rPr>
        <sz val="14"/>
        <rFont val="宋体"/>
        <charset val="134"/>
      </rPr>
      <t>仢</t>
    </r>
    <r>
      <rPr>
        <sz val="14"/>
        <rFont val="MingLiU"/>
        <family val="3"/>
      </rPr>
      <t>芍</t>
    </r>
  </si>
  <si>
    <r>
      <t>㲋𤟭婼逴</t>
    </r>
    <r>
      <rPr>
        <sz val="14"/>
        <rFont val="宋体"/>
        <charset val="134"/>
      </rPr>
      <t>辵蠚</t>
    </r>
  </si>
  <si>
    <r>
      <t>鵲舄</t>
    </r>
    <r>
      <rPr>
        <sz val="14"/>
        <rFont val="宋体"/>
        <charset val="134"/>
      </rPr>
      <t>趞</t>
    </r>
    <r>
      <rPr>
        <sz val="14"/>
        <rFont val="MingLiU"/>
        <family val="3"/>
      </rPr>
      <t>㹱碏芍皵踖䇎䱜</t>
    </r>
  </si>
  <si>
    <r>
      <t>嬳</t>
    </r>
    <r>
      <rPr>
        <sz val="14"/>
        <rFont val="MingLiU"/>
        <family val="3"/>
      </rPr>
      <t>𡤬</t>
    </r>
    <r>
      <rPr>
        <sz val="14"/>
        <rFont val="宋体"/>
        <charset val="134"/>
      </rPr>
      <t>彠</t>
    </r>
    <r>
      <rPr>
        <sz val="14"/>
        <rFont val="MingLiU"/>
        <family val="3"/>
      </rPr>
      <t>臒</t>
    </r>
  </si>
  <si>
    <r>
      <t>䂄</t>
    </r>
    <r>
      <rPr>
        <sz val="14"/>
        <rFont val="宋体"/>
        <charset val="134"/>
      </rPr>
      <t>矆</t>
    </r>
    <r>
      <rPr>
        <sz val="14"/>
        <rFont val="MingLiU"/>
        <family val="3"/>
      </rPr>
      <t>彏戄</t>
    </r>
  </si>
  <si>
    <r>
      <t>籰</t>
    </r>
    <r>
      <rPr>
        <sz val="14"/>
        <rFont val="MingLiU"/>
        <family val="3"/>
      </rPr>
      <t>𧤽𧅚𥸘䢲</t>
    </r>
  </si>
  <si>
    <r>
      <t>芍著𥖛櫡</t>
    </r>
    <r>
      <rPr>
        <sz val="14"/>
        <rFont val="宋体"/>
        <charset val="134"/>
      </rPr>
      <t>鐯</t>
    </r>
    <r>
      <rPr>
        <sz val="14"/>
        <rFont val="MingLiU"/>
        <family val="3"/>
      </rPr>
      <t>𣃈</t>
    </r>
    <r>
      <rPr>
        <sz val="14"/>
        <rFont val="宋体"/>
        <charset val="134"/>
      </rPr>
      <t>擆</t>
    </r>
  </si>
  <si>
    <r>
      <t>鐸剫度𢜬踱</t>
    </r>
    <r>
      <rPr>
        <sz val="14"/>
        <rFont val="宋体"/>
        <charset val="134"/>
      </rPr>
      <t>凙</t>
    </r>
    <r>
      <rPr>
        <sz val="14"/>
        <rFont val="MingLiU"/>
        <family val="3"/>
      </rPr>
      <t>襗𩑒𧩧𩍜䐾㤞喥</t>
    </r>
    <r>
      <rPr>
        <sz val="14"/>
        <rFont val="宋体"/>
        <charset val="134"/>
      </rPr>
      <t>仛</t>
    </r>
    <r>
      <rPr>
        <sz val="14"/>
        <rFont val="MingLiU"/>
        <family val="3"/>
      </rPr>
      <t>𨍏</t>
    </r>
  </si>
  <si>
    <r>
      <t>落絡烙洛珞酪樂𩂣轢</t>
    </r>
    <r>
      <rPr>
        <sz val="14"/>
        <rFont val="宋体"/>
        <charset val="134"/>
      </rPr>
      <t>笿</t>
    </r>
    <r>
      <rPr>
        <sz val="14"/>
        <rFont val="MingLiU"/>
        <family val="3"/>
      </rPr>
      <t>硌駱𤽼𩊚㓢鉻馲𩧐鮥䶅雒𣛗𧭥躒鵅𤻲𣧳𤽥挌𪇱濼袼䀩𨏒</t>
    </r>
  </si>
  <si>
    <r>
      <t>託</t>
    </r>
    <r>
      <rPr>
        <sz val="14"/>
        <rFont val="宋体"/>
        <charset val="134"/>
      </rPr>
      <t>袥</t>
    </r>
    <r>
      <rPr>
        <sz val="14"/>
        <rFont val="MingLiU"/>
        <family val="3"/>
      </rPr>
      <t>橐魠籜𣔳(柝)𣟄拓[托]馲𩧐𨂫蘀𦚈侂飥魄沰矺[乇]籜</t>
    </r>
  </si>
  <si>
    <r>
      <t>作迮柞</t>
    </r>
    <r>
      <rPr>
        <sz val="14"/>
        <rFont val="宋体"/>
        <charset val="134"/>
      </rPr>
      <t>糳</t>
    </r>
    <r>
      <rPr>
        <sz val="14"/>
        <rFont val="MingLiU"/>
        <family val="3"/>
      </rPr>
      <t>鑿㘀</t>
    </r>
  </si>
  <si>
    <r>
      <t>錯厝䱜</t>
    </r>
    <r>
      <rPr>
        <sz val="14"/>
        <rFont val="宋体"/>
        <charset val="134"/>
      </rPr>
      <t>逪</t>
    </r>
    <r>
      <rPr>
        <sz val="14"/>
        <rFont val="MingLiU"/>
        <family val="3"/>
      </rPr>
      <t>剒縒</t>
    </r>
    <r>
      <rPr>
        <sz val="14"/>
        <rFont val="宋体"/>
        <charset val="134"/>
      </rPr>
      <t>莡</t>
    </r>
  </si>
  <si>
    <r>
      <t>恪=㤩=</t>
    </r>
    <r>
      <rPr>
        <sz val="14"/>
        <rFont val="宋体"/>
        <charset val="134"/>
      </rPr>
      <t>愙</t>
    </r>
  </si>
  <si>
    <r>
      <t>咢愕鄂諤𠟎𧊜𧍞</t>
    </r>
    <r>
      <rPr>
        <sz val="14"/>
        <rFont val="宋体"/>
        <charset val="134"/>
      </rPr>
      <t>遌</t>
    </r>
    <r>
      <rPr>
        <sz val="14"/>
        <rFont val="MingLiU"/>
        <family val="3"/>
      </rPr>
      <t>萼鍔𡅡崿鶚</t>
    </r>
    <r>
      <rPr>
        <sz val="14"/>
        <rFont val="宋体"/>
        <charset val="134"/>
      </rPr>
      <t>鰐</t>
    </r>
    <r>
      <rPr>
        <sz val="14"/>
        <rFont val="MingLiU"/>
        <family val="3"/>
      </rPr>
      <t>(鱷)噩㗁齶顎𡾙鑩</t>
    </r>
    <r>
      <rPr>
        <sz val="14"/>
        <rFont val="宋体"/>
        <charset val="134"/>
      </rPr>
      <t>偔</t>
    </r>
    <r>
      <rPr>
        <sz val="14"/>
        <rFont val="MingLiU"/>
        <family val="3"/>
      </rPr>
      <t>堮𡓐㮙</t>
    </r>
    <r>
      <rPr>
        <sz val="14"/>
        <rFont val="宋体"/>
        <charset val="134"/>
      </rPr>
      <t>湂</t>
    </r>
  </si>
  <si>
    <r>
      <t>𩔈</t>
    </r>
    <r>
      <rPr>
        <sz val="14"/>
        <rFont val="宋体"/>
        <charset val="134"/>
      </rPr>
      <t>奤</t>
    </r>
    <r>
      <rPr>
        <sz val="14"/>
        <rFont val="MingLiU"/>
        <family val="3"/>
      </rPr>
      <t>濼䨰粕膊𦢸䪙搏胉蒪𥴮𦿍𦥭𦐦</t>
    </r>
  </si>
  <si>
    <r>
      <t xml:space="preserve">薄!泊亳箔 </t>
    </r>
    <r>
      <rPr>
        <sz val="14"/>
        <rFont val="宋体"/>
        <charset val="134"/>
      </rPr>
      <t>礴</t>
    </r>
    <r>
      <rPr>
        <sz val="14"/>
        <rFont val="MingLiU"/>
        <family val="3"/>
      </rPr>
      <t>簿𩍿鑮踄𩽛䭦</t>
    </r>
  </si>
  <si>
    <r>
      <t>𦞦鄗壑㕡</t>
    </r>
    <r>
      <rPr>
        <sz val="14"/>
        <rFont val="宋体"/>
        <charset val="134"/>
      </rPr>
      <t>蠚</t>
    </r>
    <r>
      <rPr>
        <sz val="14"/>
        <rFont val="MingLiU"/>
        <family val="3"/>
      </rPr>
      <t>謞郝鰝熇嗃矐</t>
    </r>
  </si>
  <si>
    <r>
      <t>涸鶴</t>
    </r>
    <r>
      <rPr>
        <sz val="14"/>
        <rFont val="宋体"/>
        <charset val="134"/>
      </rPr>
      <t>貈</t>
    </r>
    <r>
      <rPr>
        <sz val="14"/>
        <rFont val="MingLiU"/>
        <family val="3"/>
      </rPr>
      <t>貉</t>
    </r>
    <r>
      <rPr>
        <sz val="14"/>
        <rFont val="宋体"/>
        <charset val="134"/>
      </rPr>
      <t>狢</t>
    </r>
    <r>
      <rPr>
        <sz val="14"/>
        <rFont val="MingLiU"/>
        <family val="3"/>
      </rPr>
      <t>𠗂佫䮤𥉑䅂䶅</t>
    </r>
  </si>
  <si>
    <r>
      <t>昨酢莋怍𣫞鑿笮筰柞㸲岝䎰</t>
    </r>
    <r>
      <rPr>
        <sz val="14"/>
        <rFont val="宋体"/>
        <charset val="134"/>
      </rPr>
      <t>飵</t>
    </r>
    <r>
      <rPr>
        <sz val="14"/>
        <rFont val="MingLiU"/>
        <family val="3"/>
      </rPr>
      <t>𦁎𢂃</t>
    </r>
    <r>
      <rPr>
        <sz val="14"/>
        <rFont val="宋体"/>
        <charset val="134"/>
      </rPr>
      <t>鈼秨</t>
    </r>
    <r>
      <rPr>
        <sz val="14"/>
        <rFont val="MingLiU"/>
        <family val="3"/>
      </rPr>
      <t>砟葃</t>
    </r>
    <r>
      <rPr>
        <sz val="14"/>
        <rFont val="宋体"/>
        <charset val="134"/>
      </rPr>
      <t>鈼</t>
    </r>
  </si>
  <si>
    <r>
      <t>博(</t>
    </r>
    <r>
      <rPr>
        <sz val="14"/>
        <rFont val="宋体"/>
        <charset val="134"/>
      </rPr>
      <t>愽</t>
    </r>
    <r>
      <rPr>
        <sz val="14"/>
        <rFont val="MingLiU"/>
        <family val="3"/>
      </rPr>
      <t>)髆搏爆鎛㗘𪙍襮鑮簙䗚猼䍸欂𩌏溥䶈餺䙏𥴮</t>
    </r>
  </si>
  <si>
    <r>
      <t>霍靃霩䁨藿矐彉</t>
    </r>
    <r>
      <rPr>
        <sz val="14"/>
        <rFont val="宋体"/>
        <charset val="134"/>
      </rPr>
      <t>彍</t>
    </r>
    <r>
      <rPr>
        <sz val="14"/>
        <rFont val="MingLiU"/>
        <family val="3"/>
      </rPr>
      <t>攉瀖</t>
    </r>
    <r>
      <rPr>
        <sz val="14"/>
        <rFont val="宋体"/>
        <charset val="134"/>
      </rPr>
      <t>劐癨</t>
    </r>
  </si>
  <si>
    <r>
      <t>郭𩫏𨟍崞</t>
    </r>
    <r>
      <rPr>
        <sz val="14"/>
        <rFont val="宋体"/>
        <charset val="134"/>
      </rPr>
      <t>椁</t>
    </r>
    <r>
      <rPr>
        <sz val="14"/>
        <rFont val="MingLiU"/>
        <family val="3"/>
      </rPr>
      <t>槨彉</t>
    </r>
    <r>
      <rPr>
        <sz val="14"/>
        <rFont val="宋体"/>
        <charset val="134"/>
      </rPr>
      <t>彍</t>
    </r>
    <r>
      <rPr>
        <sz val="14"/>
        <rFont val="MingLiU"/>
        <family val="3"/>
      </rPr>
      <t>埻𦘅</t>
    </r>
  </si>
  <si>
    <r>
      <t>雘蠖臒</t>
    </r>
    <r>
      <rPr>
        <sz val="14"/>
        <rFont val="宋体"/>
        <charset val="134"/>
      </rPr>
      <t>鸌嬳</t>
    </r>
    <r>
      <rPr>
        <sz val="14"/>
        <rFont val="MingLiU"/>
        <family val="3"/>
      </rPr>
      <t>𩟓</t>
    </r>
  </si>
  <si>
    <r>
      <t>廓鞹漷𠠎籗</t>
    </r>
    <r>
      <rPr>
        <sz val="14"/>
        <rFont val="宋体"/>
        <charset val="134"/>
      </rPr>
      <t>噋</t>
    </r>
  </si>
  <si>
    <r>
      <t>陌</t>
    </r>
    <r>
      <rPr>
        <sz val="14"/>
        <rFont val="宋体"/>
        <charset val="134"/>
      </rPr>
      <t>帞</t>
    </r>
    <r>
      <rPr>
        <sz val="14"/>
        <rFont val="MingLiU"/>
        <family val="3"/>
      </rPr>
      <t>袹𡠜㱳貘蛨貊佰驀㹮𩢷嗼貉</t>
    </r>
    <r>
      <rPr>
        <sz val="14"/>
        <rFont val="宋体"/>
        <charset val="134"/>
      </rPr>
      <t>洦</t>
    </r>
    <r>
      <rPr>
        <sz val="14"/>
        <rFont val="MingLiU"/>
        <family val="3"/>
      </rPr>
      <t>𢫦𧻙銆</t>
    </r>
  </si>
  <si>
    <r>
      <t>磔虴舴𤜤𪄱馲𩑒𪐏嫡𥧮</t>
    </r>
    <r>
      <rPr>
        <sz val="14"/>
        <rFont val="宋体"/>
        <charset val="134"/>
      </rPr>
      <t>杔</t>
    </r>
    <r>
      <rPr>
        <sz val="14"/>
        <rFont val="MingLiU"/>
        <family val="3"/>
      </rPr>
      <t>|乇</t>
    </r>
  </si>
  <si>
    <r>
      <t>白帛舶</t>
    </r>
    <r>
      <rPr>
        <sz val="14"/>
        <rFont val="宋体"/>
        <charset val="134"/>
      </rPr>
      <t>鮊</t>
    </r>
    <r>
      <rPr>
        <sz val="14"/>
        <rFont val="MingLiU"/>
        <family val="3"/>
      </rPr>
      <t>𦰬</t>
    </r>
  </si>
  <si>
    <r>
      <t>伯迫</t>
    </r>
    <r>
      <rPr>
        <sz val="14"/>
        <rFont val="宋体"/>
        <charset val="134"/>
      </rPr>
      <t>敀</t>
    </r>
    <r>
      <rPr>
        <sz val="14"/>
        <rFont val="MingLiU"/>
        <family val="3"/>
      </rPr>
      <t>百柏</t>
    </r>
    <r>
      <rPr>
        <sz val="14"/>
        <rFont val="宋体"/>
        <charset val="134"/>
      </rPr>
      <t>湐</t>
    </r>
    <r>
      <rPr>
        <sz val="14"/>
        <rFont val="MingLiU"/>
        <family val="3"/>
      </rPr>
      <t>(</t>
    </r>
    <r>
      <rPr>
        <sz val="14"/>
        <rFont val="宋体"/>
        <charset val="134"/>
      </rPr>
      <t>栢</t>
    </r>
    <r>
      <rPr>
        <sz val="14"/>
        <rFont val="MingLiU"/>
        <family val="3"/>
      </rPr>
      <t>)𦯉㼟</t>
    </r>
  </si>
  <si>
    <r>
      <t>嘖窄笮</t>
    </r>
    <r>
      <rPr>
        <sz val="14"/>
        <rFont val="宋体"/>
        <charset val="134"/>
      </rPr>
      <t>諎</t>
    </r>
    <r>
      <rPr>
        <sz val="14"/>
        <rFont val="MingLiU"/>
        <family val="3"/>
      </rPr>
      <t>迮㳻舴蚱</t>
    </r>
  </si>
  <si>
    <r>
      <t>齚</t>
    </r>
    <r>
      <rPr>
        <sz val="14"/>
        <rFont val="MingLiU"/>
        <family val="3"/>
      </rPr>
      <t>齰咋</t>
    </r>
    <r>
      <rPr>
        <sz val="14"/>
        <rFont val="宋体"/>
        <charset val="134"/>
      </rPr>
      <t>泎</t>
    </r>
    <r>
      <rPr>
        <sz val="14"/>
        <rFont val="MingLiU"/>
        <family val="3"/>
      </rPr>
      <t>岝</t>
    </r>
  </si>
  <si>
    <r>
      <t>額</t>
    </r>
    <r>
      <rPr>
        <sz val="14"/>
        <rFont val="宋体"/>
        <charset val="134"/>
      </rPr>
      <t>頟</t>
    </r>
    <r>
      <rPr>
        <sz val="14"/>
        <rFont val="MingLiU"/>
        <family val="3"/>
      </rPr>
      <t>䱮峉詻䩹</t>
    </r>
  </si>
  <si>
    <r>
      <t>逆</t>
    </r>
    <r>
      <rPr>
        <sz val="14"/>
        <rFont val="宋体"/>
        <charset val="134"/>
      </rPr>
      <t>屰</t>
    </r>
    <r>
      <rPr>
        <sz val="14"/>
        <rFont val="MingLiU"/>
        <family val="3"/>
      </rPr>
      <t>縌㘙𥿬𠱘</t>
    </r>
  </si>
  <si>
    <r>
      <t>客喀(咳)</t>
    </r>
    <r>
      <rPr>
        <sz val="14"/>
        <rFont val="宋体"/>
        <charset val="134"/>
      </rPr>
      <t>礊揢</t>
    </r>
  </si>
  <si>
    <r>
      <t>拍魄怕皛</t>
    </r>
    <r>
      <rPr>
        <sz val="14"/>
        <rFont val="宋体"/>
        <charset val="134"/>
      </rPr>
      <t>敀</t>
    </r>
    <r>
      <rPr>
        <sz val="14"/>
        <rFont val="MingLiU"/>
        <family val="3"/>
      </rPr>
      <t>𠓗珀𧻙𤖼</t>
    </r>
    <r>
      <rPr>
        <sz val="14"/>
        <rFont val="宋体"/>
        <charset val="134"/>
      </rPr>
      <t>洦</t>
    </r>
  </si>
  <si>
    <r>
      <t>赫</t>
    </r>
    <r>
      <rPr>
        <sz val="14"/>
        <rFont val="宋体"/>
        <charset val="134"/>
      </rPr>
      <t>爀</t>
    </r>
    <r>
      <rPr>
        <sz val="14"/>
        <rFont val="MingLiU"/>
        <family val="3"/>
      </rPr>
      <t>嚇𥋿𢅰</t>
    </r>
  </si>
  <si>
    <r>
      <t>垎</t>
    </r>
    <r>
      <rPr>
        <sz val="14"/>
        <rFont val="MingLiU"/>
        <family val="3"/>
      </rPr>
      <t>䞦楁𨍇</t>
    </r>
  </si>
  <si>
    <r>
      <t>格𢓜茖骼觡𩹺鵅挌㦴(㪾)</t>
    </r>
    <r>
      <rPr>
        <sz val="14"/>
        <rFont val="宋体"/>
        <charset val="134"/>
      </rPr>
      <t>蛒</t>
    </r>
    <r>
      <rPr>
        <sz val="14"/>
        <rFont val="MingLiU"/>
        <family val="3"/>
      </rPr>
      <t>𪌣𢼛𩹿鉻</t>
    </r>
  </si>
  <si>
    <r>
      <t>擭濩</t>
    </r>
    <r>
      <rPr>
        <sz val="14"/>
        <rFont val="宋体"/>
        <charset val="134"/>
      </rPr>
      <t>彠</t>
    </r>
    <r>
      <rPr>
        <sz val="14"/>
        <rFont val="MingLiU"/>
        <family val="3"/>
      </rPr>
      <t>䪝㠛</t>
    </r>
  </si>
  <si>
    <r>
      <t>蹃</t>
    </r>
    <r>
      <rPr>
        <sz val="14"/>
        <rFont val="MingLiU"/>
        <family val="3"/>
      </rPr>
      <t>搦</t>
    </r>
  </si>
  <si>
    <r>
      <t>麥𧖴脈(</t>
    </r>
    <r>
      <rPr>
        <sz val="14"/>
        <rFont val="宋体"/>
        <charset val="134"/>
      </rPr>
      <t>脉</t>
    </r>
    <r>
      <rPr>
        <sz val="14"/>
        <rFont val="MingLiU"/>
        <family val="3"/>
      </rPr>
      <t>)</t>
    </r>
    <r>
      <rPr>
        <sz val="14"/>
        <rFont val="宋体"/>
        <charset val="134"/>
      </rPr>
      <t>衇</t>
    </r>
    <r>
      <rPr>
        <sz val="14"/>
        <rFont val="MingLiU"/>
        <family val="3"/>
      </rPr>
      <t>霢眽覛𧡒</t>
    </r>
  </si>
  <si>
    <r>
      <t>獲畫嫿劃</t>
    </r>
    <r>
      <rPr>
        <sz val="14"/>
        <rFont val="宋体"/>
        <charset val="134"/>
      </rPr>
      <t>鱯彠</t>
    </r>
    <r>
      <rPr>
        <sz val="14"/>
        <rFont val="MingLiU"/>
        <family val="3"/>
      </rPr>
      <t>㗲</t>
    </r>
    <r>
      <rPr>
        <sz val="14"/>
        <rFont val="宋体"/>
        <charset val="134"/>
      </rPr>
      <t>咟</t>
    </r>
  </si>
  <si>
    <r>
      <t>蟈馘聝幗膕𩪐埻摑漍𢹖䂸慖嘓䬎</t>
    </r>
    <r>
      <rPr>
        <sz val="14"/>
        <rFont val="宋体"/>
        <charset val="134"/>
      </rPr>
      <t>讗</t>
    </r>
    <r>
      <rPr>
        <sz val="14"/>
        <rFont val="MingLiU"/>
        <family val="3"/>
      </rPr>
      <t>𧖻</t>
    </r>
  </si>
  <si>
    <r>
      <t>賾鰿葃㣱矠</t>
    </r>
    <r>
      <rPr>
        <sz val="14"/>
        <rFont val="宋体"/>
        <charset val="134"/>
      </rPr>
      <t>耫</t>
    </r>
    <r>
      <rPr>
        <sz val="14"/>
        <rFont val="MingLiU"/>
        <family val="3"/>
      </rPr>
      <t>嘖</t>
    </r>
  </si>
  <si>
    <r>
      <t>責𩔳簀幘嘖謮債𧐐𦟜</t>
    </r>
    <r>
      <rPr>
        <sz val="14"/>
        <rFont val="宋体"/>
        <charset val="134"/>
      </rPr>
      <t>嫧</t>
    </r>
    <r>
      <rPr>
        <sz val="14"/>
        <rFont val="MingLiU"/>
        <family val="3"/>
      </rPr>
      <t>咋</t>
    </r>
  </si>
  <si>
    <r>
      <t>策冊</t>
    </r>
    <r>
      <rPr>
        <sz val="14"/>
        <rFont val="宋体"/>
        <charset val="134"/>
      </rPr>
      <t>笧嫧</t>
    </r>
    <r>
      <rPr>
        <sz val="14"/>
        <rFont val="MingLiU"/>
        <family val="3"/>
      </rPr>
      <t>䶦筴𣆩矠憡</t>
    </r>
    <r>
      <rPr>
        <sz val="14"/>
        <rFont val="宋体"/>
        <charset val="134"/>
      </rPr>
      <t>皟</t>
    </r>
    <r>
      <rPr>
        <sz val="14"/>
        <rFont val="MingLiU"/>
        <family val="3"/>
      </rPr>
      <t>㥽𧶷拺柵</t>
    </r>
  </si>
  <si>
    <r>
      <t>礊</t>
    </r>
    <r>
      <rPr>
        <sz val="14"/>
        <rFont val="MingLiU"/>
        <family val="3"/>
      </rPr>
      <t>𩱝䙐緙罊</t>
    </r>
    <r>
      <rPr>
        <sz val="14"/>
        <rFont val="宋体"/>
        <charset val="134"/>
      </rPr>
      <t>諽</t>
    </r>
  </si>
  <si>
    <r>
      <t>剨</t>
    </r>
    <r>
      <rPr>
        <sz val="14"/>
        <rFont val="MingLiU"/>
        <family val="3"/>
      </rPr>
      <t>繣𦑌㦎劃捇掝㖪</t>
    </r>
    <r>
      <rPr>
        <sz val="14"/>
        <rFont val="宋体"/>
        <charset val="134"/>
      </rPr>
      <t>礊</t>
    </r>
    <r>
      <rPr>
        <sz val="14"/>
        <rFont val="MingLiU"/>
        <family val="3"/>
      </rPr>
      <t>䐸</t>
    </r>
    <r>
      <rPr>
        <sz val="14"/>
        <rFont val="宋体"/>
        <charset val="134"/>
      </rPr>
      <t>焃</t>
    </r>
    <r>
      <rPr>
        <sz val="14"/>
        <rFont val="MingLiU"/>
        <family val="3"/>
      </rPr>
      <t>㩇𢄶𨐶𥊮湱𤷇䦝𤁹䬉𠜻</t>
    </r>
  </si>
  <si>
    <r>
      <t>隔膈搹鬲</t>
    </r>
    <r>
      <rPr>
        <sz val="14"/>
        <rFont val="宋体"/>
        <charset val="134"/>
      </rPr>
      <t>槅</t>
    </r>
    <r>
      <rPr>
        <sz val="14"/>
        <rFont val="MingLiU"/>
        <family val="3"/>
      </rPr>
      <t>革𥴩𢡍</t>
    </r>
    <r>
      <rPr>
        <sz val="14"/>
        <rFont val="宋体"/>
        <charset val="134"/>
      </rPr>
      <t>諽</t>
    </r>
    <r>
      <rPr>
        <sz val="14"/>
        <rFont val="MingLiU"/>
        <family val="3"/>
      </rPr>
      <t>䪂𧈑䨣𥉅𦑜𩹺嗝</t>
    </r>
  </si>
  <si>
    <r>
      <t>摘謫</t>
    </r>
    <r>
      <rPr>
        <sz val="14"/>
        <rFont val="宋体"/>
        <charset val="134"/>
      </rPr>
      <t>讁</t>
    </r>
    <r>
      <rPr>
        <sz val="14"/>
        <rFont val="MingLiU"/>
        <family val="3"/>
      </rPr>
      <t>𤟍</t>
    </r>
    <r>
      <rPr>
        <sz val="14"/>
        <rFont val="宋体"/>
        <charset val="134"/>
      </rPr>
      <t>棏</t>
    </r>
    <r>
      <rPr>
        <sz val="14"/>
        <rFont val="MingLiU"/>
        <family val="3"/>
      </rPr>
      <t>𡇠䊞</t>
    </r>
    <r>
      <rPr>
        <sz val="14"/>
        <rFont val="宋体"/>
        <charset val="134"/>
      </rPr>
      <t>厇</t>
    </r>
    <r>
      <rPr>
        <sz val="14"/>
        <rFont val="MingLiU"/>
        <family val="3"/>
      </rPr>
      <t>矺[嘀]</t>
    </r>
  </si>
  <si>
    <r>
      <t>戹</t>
    </r>
    <r>
      <rPr>
        <sz val="14"/>
        <rFont val="MingLiU"/>
        <family val="3"/>
      </rPr>
      <t>厄搤㧖(扼)(軛)軶</t>
    </r>
    <r>
      <rPr>
        <sz val="14"/>
        <rFont val="宋体"/>
        <charset val="134"/>
      </rPr>
      <t>呝</t>
    </r>
    <r>
      <rPr>
        <sz val="14"/>
        <rFont val="MingLiU"/>
        <family val="3"/>
      </rPr>
      <t>(呃)</t>
    </r>
    <r>
      <rPr>
        <sz val="14"/>
        <rFont val="宋体"/>
        <charset val="134"/>
      </rPr>
      <t>阸</t>
    </r>
    <r>
      <rPr>
        <sz val="14"/>
        <rFont val="MingLiU"/>
        <family val="3"/>
      </rPr>
      <t>(阨)豟𪕶</t>
    </r>
    <r>
      <rPr>
        <sz val="14"/>
        <rFont val="宋体"/>
        <charset val="134"/>
      </rPr>
      <t>貖</t>
    </r>
    <r>
      <rPr>
        <sz val="14"/>
        <rFont val="MingLiU"/>
        <family val="3"/>
      </rPr>
      <t>蚅𩚬𧠞啞</t>
    </r>
  </si>
  <si>
    <r>
      <t>栜𣽤㾊䨛摵愬</t>
    </r>
    <r>
      <rPr>
        <sz val="14"/>
        <rFont val="宋体"/>
        <charset val="134"/>
      </rPr>
      <t>擌</t>
    </r>
    <r>
      <rPr>
        <sz val="14"/>
        <rFont val="MingLiU"/>
        <family val="3"/>
      </rPr>
      <t>拺𡩡索溹䪂虩㳻</t>
    </r>
  </si>
  <si>
    <r>
      <t>虉</t>
    </r>
    <r>
      <rPr>
        <sz val="14"/>
        <rFont val="MingLiU"/>
        <family val="3"/>
      </rPr>
      <t>鳽䩹㣂</t>
    </r>
  </si>
  <si>
    <r>
      <t>疒</t>
    </r>
    <r>
      <rPr>
        <sz val="14"/>
        <rFont val="MingLiU"/>
        <family val="3"/>
      </rPr>
      <t>䭆眲</t>
    </r>
  </si>
  <si>
    <r>
      <t>昔𦠡腊惜潟</t>
    </r>
    <r>
      <rPr>
        <sz val="14"/>
        <rFont val="宋体"/>
        <charset val="134"/>
      </rPr>
      <t>磶</t>
    </r>
    <r>
      <rPr>
        <sz val="14"/>
        <rFont val="MingLiU"/>
        <family val="3"/>
      </rPr>
      <t>舄𩍆蕮鬄䯜𩾼焟棤</t>
    </r>
  </si>
  <si>
    <r>
      <t>積脊蹐借</t>
    </r>
    <r>
      <rPr>
        <sz val="14"/>
        <rFont val="宋体"/>
        <charset val="134"/>
      </rPr>
      <t>迹</t>
    </r>
    <r>
      <rPr>
        <sz val="14"/>
        <rFont val="MingLiU"/>
        <family val="3"/>
      </rPr>
      <t>跡速踖𪃹鰿𧐐𩺀鯽蹟𤁢</t>
    </r>
    <r>
      <rPr>
        <sz val="14"/>
        <rFont val="宋体"/>
        <charset val="134"/>
      </rPr>
      <t>襀</t>
    </r>
    <r>
      <rPr>
        <sz val="14"/>
        <rFont val="MingLiU"/>
        <family val="3"/>
      </rPr>
      <t>䃊庴</t>
    </r>
  </si>
  <si>
    <r>
      <t>亦!繹睪 弈奕帟譯懌斁驛嶧醳腋掖䘸易液</t>
    </r>
    <r>
      <rPr>
        <sz val="14"/>
        <rFont val="宋体"/>
        <charset val="134"/>
      </rPr>
      <t>痬</t>
    </r>
    <r>
      <rPr>
        <sz val="14"/>
        <rFont val="MingLiU"/>
        <family val="3"/>
      </rPr>
      <t>蜴埸圛襗射墿焲𥜃㴒燡(燚)𦔥𡱿㘁𤑹𠓋</t>
    </r>
  </si>
  <si>
    <r>
      <t>釋𥼶檡適奭郝</t>
    </r>
    <r>
      <rPr>
        <sz val="14"/>
        <rFont val="宋体"/>
        <charset val="134"/>
      </rPr>
      <t>睗</t>
    </r>
    <r>
      <rPr>
        <sz val="14"/>
        <rFont val="MingLiU"/>
        <family val="3"/>
      </rPr>
      <t>晹𡣪𦔥螫𩮜㚒</t>
    </r>
    <r>
      <rPr>
        <sz val="14"/>
        <rFont val="宋体"/>
        <charset val="134"/>
      </rPr>
      <t>冟</t>
    </r>
    <r>
      <rPr>
        <sz val="14"/>
        <rFont val="MingLiU"/>
        <family val="3"/>
      </rPr>
      <t>䁺襫[哧]</t>
    </r>
  </si>
  <si>
    <r>
      <t>尺赤=</t>
    </r>
    <r>
      <rPr>
        <sz val="14"/>
        <rFont val="宋体"/>
        <charset val="134"/>
      </rPr>
      <t>烾</t>
    </r>
    <r>
      <rPr>
        <sz val="14"/>
        <rFont val="MingLiU"/>
        <family val="3"/>
      </rPr>
      <t>蚇㡿斥㚖郝滷𠧚𠧵</t>
    </r>
  </si>
  <si>
    <r>
      <t>隻適炙</t>
    </r>
    <r>
      <rPr>
        <sz val="14"/>
        <rFont val="宋体"/>
        <charset val="134"/>
      </rPr>
      <t>墌</t>
    </r>
    <r>
      <rPr>
        <sz val="14"/>
        <rFont val="MingLiU"/>
        <family val="3"/>
      </rPr>
      <t>摭拓蹠跖䗪𩀝䞠𠪮䘸</t>
    </r>
  </si>
  <si>
    <r>
      <t>皵磧刺𧻕</t>
    </r>
    <r>
      <rPr>
        <sz val="14"/>
        <rFont val="宋体"/>
        <charset val="134"/>
      </rPr>
      <t>洓</t>
    </r>
    <r>
      <rPr>
        <sz val="14"/>
        <rFont val="MingLiU"/>
        <family val="3"/>
      </rPr>
      <t>䟄𧙞</t>
    </r>
    <r>
      <rPr>
        <sz val="14"/>
        <rFont val="宋体"/>
        <charset val="134"/>
      </rPr>
      <t>嫧</t>
    </r>
  </si>
  <si>
    <r>
      <t>籍踖𨆮藉耤塉瘠庴</t>
    </r>
    <r>
      <rPr>
        <sz val="14"/>
        <rFont val="宋体"/>
        <charset val="134"/>
      </rPr>
      <t>猎</t>
    </r>
    <r>
      <rPr>
        <sz val="14"/>
        <rFont val="MingLiU"/>
        <family val="3"/>
      </rPr>
      <t>葃膌䣢簎</t>
    </r>
  </si>
  <si>
    <r>
      <t>擗椑</t>
    </r>
    <r>
      <rPr>
        <sz val="14"/>
        <rFont val="宋体"/>
        <charset val="134"/>
      </rPr>
      <t>躃</t>
    </r>
    <r>
      <rPr>
        <sz val="14"/>
        <rFont val="MingLiU"/>
        <family val="3"/>
      </rPr>
      <t>闢辟㱸𩪧萆𣮐</t>
    </r>
  </si>
  <si>
    <r>
      <t>役䓈疫𩷍</t>
    </r>
    <r>
      <rPr>
        <sz val="14"/>
        <rFont val="宋体"/>
        <charset val="134"/>
      </rPr>
      <t>坄</t>
    </r>
    <r>
      <rPr>
        <sz val="14"/>
        <rFont val="MingLiU"/>
        <family val="3"/>
      </rPr>
      <t>垼</t>
    </r>
    <r>
      <rPr>
        <sz val="14"/>
        <rFont val="宋体"/>
        <charset val="134"/>
      </rPr>
      <t>炈</t>
    </r>
    <r>
      <rPr>
        <sz val="14"/>
        <rFont val="MingLiU"/>
        <family val="3"/>
      </rPr>
      <t>𪁛</t>
    </r>
    <r>
      <rPr>
        <sz val="14"/>
        <rFont val="宋体"/>
        <charset val="134"/>
      </rPr>
      <t>鈠</t>
    </r>
    <r>
      <rPr>
        <sz val="14"/>
        <rFont val="MingLiU"/>
        <family val="3"/>
      </rPr>
      <t>𩂹</t>
    </r>
    <r>
      <rPr>
        <sz val="14"/>
        <rFont val="宋体"/>
        <charset val="134"/>
      </rPr>
      <t>豛</t>
    </r>
    <r>
      <rPr>
        <sz val="14"/>
        <rFont val="MingLiU"/>
        <family val="3"/>
      </rPr>
      <t>𧈻</t>
    </r>
  </si>
  <si>
    <r>
      <t>辟璧(𤩹)</t>
    </r>
    <r>
      <rPr>
        <sz val="14"/>
        <rFont val="宋体"/>
        <charset val="134"/>
      </rPr>
      <t>鐴</t>
    </r>
    <r>
      <rPr>
        <sz val="14"/>
        <rFont val="MingLiU"/>
        <family val="3"/>
      </rPr>
      <t>躄(𣦢)襞𨐨</t>
    </r>
  </si>
  <si>
    <r>
      <t>激擊墼轚獥</t>
    </r>
    <r>
      <rPr>
        <sz val="14"/>
        <rFont val="宋体"/>
        <charset val="134"/>
      </rPr>
      <t>敫</t>
    </r>
    <r>
      <rPr>
        <sz val="14"/>
        <rFont val="MingLiU"/>
        <family val="3"/>
      </rPr>
      <t>𦼷𡫀鸄</t>
    </r>
  </si>
  <si>
    <r>
      <t>歷!靂䟐酈</t>
    </r>
    <r>
      <rPr>
        <sz val="14"/>
        <rFont val="宋体"/>
        <charset val="134"/>
      </rPr>
      <t>癧</t>
    </r>
    <r>
      <rPr>
        <sz val="14"/>
        <rFont val="MingLiU"/>
        <family val="3"/>
      </rPr>
      <t>轢鎘䥶礫瓅秝櫪䍽櫟𩽏 曆藶瀝磿寥鬲㽁蒚皪𥌮䍥躒䟏𪙽𤪢厤</t>
    </r>
    <r>
      <rPr>
        <sz val="14"/>
        <rFont val="宋体"/>
        <charset val="134"/>
      </rPr>
      <t>攊</t>
    </r>
    <r>
      <rPr>
        <sz val="14"/>
        <rFont val="MingLiU"/>
        <family val="3"/>
      </rPr>
      <t>䮥𧙉䤙𡳸𦠓𨢌㔏𪅼觻𥽗擽濼蝷|壢嚦</t>
    </r>
  </si>
  <si>
    <r>
      <t>的適嫡甋靮鏑馰滴</t>
    </r>
    <r>
      <rPr>
        <sz val="14"/>
        <rFont val="宋体"/>
        <charset val="134"/>
      </rPr>
      <t>肑</t>
    </r>
    <r>
      <rPr>
        <sz val="14"/>
        <rFont val="MingLiU"/>
        <family val="3"/>
      </rPr>
      <t>弔芍蹢䶂玓樀𪄱𦉹𥕐𥐝扚𣂉</t>
    </r>
    <r>
      <rPr>
        <sz val="14"/>
        <rFont val="宋体"/>
        <charset val="134"/>
      </rPr>
      <t>啇</t>
    </r>
    <r>
      <rPr>
        <sz val="14"/>
        <rFont val="MingLiU"/>
        <family val="3"/>
      </rPr>
      <t>魡㣿𨑩杓</t>
    </r>
  </si>
  <si>
    <r>
      <t>檄覡薂𪕯鸄獥</t>
    </r>
    <r>
      <rPr>
        <sz val="14"/>
        <rFont val="宋体"/>
        <charset val="134"/>
      </rPr>
      <t>椺</t>
    </r>
    <r>
      <rPr>
        <sz val="14"/>
        <rFont val="MingLiU"/>
        <family val="3"/>
      </rPr>
      <t>䚫</t>
    </r>
  </si>
  <si>
    <r>
      <t>鷁鶂艗𠩫</t>
    </r>
    <r>
      <rPr>
        <sz val="14"/>
        <rFont val="宋体"/>
        <charset val="134"/>
      </rPr>
      <t>虉</t>
    </r>
  </si>
  <si>
    <r>
      <t>荻狄敵籊翟迪覿𧠫笛篴糴</t>
    </r>
    <r>
      <rPr>
        <sz val="14"/>
        <rFont val="宋体"/>
        <charset val="134"/>
      </rPr>
      <t>籴邮</t>
    </r>
    <r>
      <rPr>
        <sz val="14"/>
        <rFont val="MingLiU"/>
        <family val="3"/>
      </rPr>
      <t>滌蓧蔋踧䌦𩷎䵂樀</t>
    </r>
    <r>
      <rPr>
        <sz val="14"/>
        <rFont val="宋体"/>
        <charset val="134"/>
      </rPr>
      <t>頔</t>
    </r>
    <r>
      <rPr>
        <sz val="14"/>
        <rFont val="MingLiU"/>
        <family val="3"/>
      </rPr>
      <t>梑䊮䢮㹍苖滷㣙</t>
    </r>
  </si>
  <si>
    <r>
      <t>踢!逖</t>
    </r>
    <r>
      <rPr>
        <sz val="14"/>
        <rFont val="宋体"/>
        <charset val="134"/>
      </rPr>
      <t>逷</t>
    </r>
    <r>
      <rPr>
        <sz val="14"/>
        <rFont val="MingLiU"/>
        <family val="3"/>
      </rPr>
      <t>倜趯䢰剔𠜓詆惕䯜硩摘 䚐𩮜𤈥蓨籊悐𢞒𥊕</t>
    </r>
  </si>
  <si>
    <r>
      <t>燩</t>
    </r>
    <r>
      <rPr>
        <sz val="14"/>
        <rFont val="MingLiU"/>
        <family val="3"/>
      </rPr>
      <t>𢶡𣪠喫𠿊𥍰𢿣𢞒䍊</t>
    </r>
  </si>
  <si>
    <r>
      <t>惄𧗂溺</t>
    </r>
    <r>
      <rPr>
        <sz val="14"/>
        <rFont val="宋体"/>
        <charset val="134"/>
      </rPr>
      <t>愵</t>
    </r>
  </si>
  <si>
    <r>
      <t>覓覛幎幦𧜀䮭糸鼏羃汨㵋漞</t>
    </r>
    <r>
      <rPr>
        <sz val="14"/>
        <rFont val="宋体"/>
        <charset val="134"/>
      </rPr>
      <t>冂</t>
    </r>
    <r>
      <rPr>
        <sz val="14"/>
        <rFont val="MingLiU"/>
        <family val="3"/>
      </rPr>
      <t>(冪)(</t>
    </r>
    <r>
      <rPr>
        <sz val="14"/>
        <rFont val="宋体"/>
        <charset val="134"/>
      </rPr>
      <t>冖</t>
    </r>
    <r>
      <rPr>
        <sz val="14"/>
        <rFont val="MingLiU"/>
        <family val="3"/>
      </rPr>
      <t>)䖑蓂𧱻覭䌐𪒄䈿</t>
    </r>
    <r>
      <rPr>
        <sz val="14"/>
        <rFont val="宋体"/>
        <charset val="134"/>
      </rPr>
      <t>濗</t>
    </r>
    <r>
      <rPr>
        <sz val="14"/>
        <rFont val="MingLiU"/>
        <family val="3"/>
      </rPr>
      <t>𧐎塓</t>
    </r>
  </si>
  <si>
    <r>
      <t>甓鷿(</t>
    </r>
    <r>
      <rPr>
        <sz val="14"/>
        <rFont val="宋体"/>
        <charset val="134"/>
      </rPr>
      <t>鸊</t>
    </r>
    <r>
      <rPr>
        <sz val="14"/>
        <rFont val="MingLiU"/>
        <family val="3"/>
      </rPr>
      <t>)椑㱸</t>
    </r>
  </si>
  <si>
    <r>
      <t>戚慼𧒕鼜鏚𪒑𧠪</t>
    </r>
    <r>
      <rPr>
        <sz val="14"/>
        <rFont val="宋体"/>
        <charset val="134"/>
      </rPr>
      <t>慽</t>
    </r>
    <r>
      <rPr>
        <sz val="14"/>
        <rFont val="MingLiU"/>
        <family val="3"/>
      </rPr>
      <t>𧐶𦸗磩</t>
    </r>
  </si>
  <si>
    <r>
      <t>赥</t>
    </r>
    <r>
      <rPr>
        <sz val="14"/>
        <rFont val="MingLiU"/>
        <family val="3"/>
      </rPr>
      <t>䦧(鬩)𥍠𤄎𧨃䈪㤸𣣉㦦</t>
    </r>
  </si>
  <si>
    <r>
      <t>職</t>
    </r>
    <r>
      <rPr>
        <sz val="14"/>
        <rFont val="宋体"/>
        <charset val="134"/>
      </rPr>
      <t>軄</t>
    </r>
    <r>
      <rPr>
        <sz val="14"/>
        <rFont val="MingLiU"/>
        <family val="3"/>
      </rPr>
      <t>戠織𥋏蟙𧄕䐈樴</t>
    </r>
  </si>
  <si>
    <r>
      <t>力朸屴仂</t>
    </r>
    <r>
      <rPr>
        <sz val="14"/>
        <rFont val="宋体"/>
        <charset val="134"/>
      </rPr>
      <t>鳨</t>
    </r>
    <r>
      <rPr>
        <sz val="14"/>
        <rFont val="MingLiU"/>
        <family val="3"/>
      </rPr>
      <t>(𩾜)𠢠𣲒𡯄𧲡|泐</t>
    </r>
  </si>
  <si>
    <r>
      <t>敕</t>
    </r>
    <r>
      <rPr>
        <sz val="14"/>
        <rFont val="宋体"/>
        <charset val="134"/>
      </rPr>
      <t>勅</t>
    </r>
    <r>
      <rPr>
        <sz val="14"/>
        <rFont val="MingLiU"/>
        <family val="3"/>
      </rPr>
      <t>飭淔</t>
    </r>
    <r>
      <rPr>
        <sz val="14"/>
        <rFont val="宋体"/>
        <charset val="134"/>
      </rPr>
      <t>趩</t>
    </r>
    <r>
      <rPr>
        <sz val="14"/>
        <rFont val="MingLiU"/>
        <family val="3"/>
      </rPr>
      <t>栻</t>
    </r>
    <r>
      <rPr>
        <sz val="14"/>
        <rFont val="宋体"/>
        <charset val="134"/>
      </rPr>
      <t>侙</t>
    </r>
    <r>
      <rPr>
        <sz val="14"/>
        <rFont val="MingLiU"/>
        <family val="3"/>
      </rPr>
      <t>𪀦鷘</t>
    </r>
    <r>
      <rPr>
        <sz val="14"/>
        <rFont val="宋体"/>
        <charset val="134"/>
      </rPr>
      <t>恜慗</t>
    </r>
    <r>
      <rPr>
        <sz val="14"/>
        <rFont val="MingLiU"/>
        <family val="3"/>
      </rPr>
      <t>遫</t>
    </r>
    <r>
      <rPr>
        <sz val="14"/>
        <rFont val="宋体"/>
        <charset val="134"/>
      </rPr>
      <t>荲</t>
    </r>
    <r>
      <rPr>
        <sz val="14"/>
        <rFont val="MingLiU"/>
        <family val="3"/>
      </rPr>
      <t>㽚</t>
    </r>
  </si>
  <si>
    <r>
      <t>寔湜殖植埴𡑌㨁</t>
    </r>
    <r>
      <rPr>
        <sz val="14"/>
        <rFont val="宋体"/>
        <charset val="134"/>
      </rPr>
      <t>遈</t>
    </r>
  </si>
  <si>
    <r>
      <t>崱𡸦</t>
    </r>
    <r>
      <rPr>
        <sz val="14"/>
        <rFont val="宋体"/>
        <charset val="134"/>
      </rPr>
      <t>溭</t>
    </r>
    <r>
      <rPr>
        <sz val="14"/>
        <rFont val="MingLiU"/>
        <family val="3"/>
      </rPr>
      <t>萴</t>
    </r>
  </si>
  <si>
    <r>
      <t>憶億臆肊薏抑</t>
    </r>
    <r>
      <rPr>
        <sz val="14"/>
        <rFont val="宋体"/>
        <charset val="134"/>
      </rPr>
      <t>癔</t>
    </r>
  </si>
  <si>
    <r>
      <t>色㱇嗇𩍙穡薔轖</t>
    </r>
    <r>
      <rPr>
        <sz val="14"/>
        <rFont val="宋体"/>
        <charset val="134"/>
      </rPr>
      <t>繬</t>
    </r>
    <r>
      <rPr>
        <sz val="14"/>
        <rFont val="MingLiU"/>
        <family val="3"/>
      </rPr>
      <t>濇䉢嬙𧒗</t>
    </r>
    <r>
      <rPr>
        <sz val="14"/>
        <rFont val="宋体"/>
        <charset val="134"/>
      </rPr>
      <t>懎</t>
    </r>
    <r>
      <rPr>
        <sz val="14"/>
        <rFont val="MingLiU"/>
        <family val="3"/>
      </rPr>
      <t>𩕡𠢳</t>
    </r>
  </si>
  <si>
    <r>
      <t>弋翊翌廙黓翼𩙺𦏵䴬隿𧃟㚤潩杙芅㔴𧾰𨙒𥡪</t>
    </r>
    <r>
      <rPr>
        <sz val="14"/>
        <rFont val="宋体"/>
        <charset val="134"/>
      </rPr>
      <t>蛡</t>
    </r>
    <r>
      <rPr>
        <sz val="14"/>
        <rFont val="MingLiU"/>
        <family val="3"/>
      </rPr>
      <t>𢦭𢖺瀷𢎀𠥦熼釴𤼌𧑌𦔜䄩𢓀䘝䣧</t>
    </r>
  </si>
  <si>
    <r>
      <t>即</t>
    </r>
    <r>
      <rPr>
        <sz val="14"/>
        <rFont val="宋体"/>
        <charset val="134"/>
      </rPr>
      <t>卽</t>
    </r>
    <r>
      <rPr>
        <sz val="14"/>
        <rFont val="MingLiU"/>
        <family val="3"/>
      </rPr>
      <t>稷㮨㹄蝍楖畟𨂢鯽𤠎堲䐚唧𪃹揤</t>
    </r>
  </si>
  <si>
    <r>
      <t>逼偪皕幅楅䮠湢䫾㘠</t>
    </r>
    <r>
      <rPr>
        <sz val="14"/>
        <rFont val="宋体"/>
        <charset val="134"/>
      </rPr>
      <t>皀</t>
    </r>
  </si>
  <si>
    <r>
      <t>域蜮罭棫㚜𪂉𦈸</t>
    </r>
    <r>
      <rPr>
        <sz val="14"/>
        <rFont val="宋体"/>
        <charset val="134"/>
      </rPr>
      <t>琙</t>
    </r>
    <r>
      <rPr>
        <sz val="14"/>
        <rFont val="MingLiU"/>
        <family val="3"/>
      </rPr>
      <t>𪑝緎䮙魊淢𦱂</t>
    </r>
  </si>
  <si>
    <r>
      <t>堛愊踾𤗚𩜰揊稫副</t>
    </r>
    <r>
      <rPr>
        <sz val="14"/>
        <rFont val="宋体"/>
        <charset val="134"/>
      </rPr>
      <t>畐</t>
    </r>
    <r>
      <rPr>
        <sz val="14"/>
        <rFont val="MingLiU"/>
        <family val="3"/>
      </rPr>
      <t>䦼𢾇㽬</t>
    </r>
    <r>
      <rPr>
        <sz val="14"/>
        <rFont val="宋体"/>
        <charset val="134"/>
      </rPr>
      <t>疈</t>
    </r>
  </si>
  <si>
    <r>
      <t>稄𥟔𣅔(昃)𢯩仄𣅦㳁萴側</t>
    </r>
    <r>
      <rPr>
        <sz val="14"/>
        <rFont val="宋体"/>
        <charset val="134"/>
      </rPr>
      <t>夨</t>
    </r>
    <r>
      <rPr>
        <sz val="14"/>
        <rFont val="MingLiU"/>
        <family val="3"/>
      </rPr>
      <t>𠨮</t>
    </r>
  </si>
  <si>
    <r>
      <t>嶷薿㘈</t>
    </r>
    <r>
      <rPr>
        <sz val="14"/>
        <rFont val="宋体"/>
        <charset val="134"/>
      </rPr>
      <t>懝</t>
    </r>
    <r>
      <rPr>
        <sz val="14"/>
        <rFont val="MingLiU"/>
        <family val="3"/>
      </rPr>
      <t>觺</t>
    </r>
  </si>
  <si>
    <r>
      <t>堲</t>
    </r>
    <r>
      <rPr>
        <sz val="14"/>
        <rFont val="宋体"/>
        <charset val="134"/>
      </rPr>
      <t>垐</t>
    </r>
    <r>
      <rPr>
        <sz val="14"/>
        <rFont val="MingLiU"/>
        <family val="3"/>
      </rPr>
      <t>𢯩</t>
    </r>
  </si>
  <si>
    <r>
      <t>德</t>
    </r>
    <r>
      <rPr>
        <sz val="14"/>
        <rFont val="宋体"/>
        <charset val="134"/>
      </rPr>
      <t>惪</t>
    </r>
    <r>
      <rPr>
        <sz val="14"/>
        <rFont val="MingLiU"/>
        <family val="3"/>
      </rPr>
      <t>㥁䙷得淂𨁽𣌏𠮊</t>
    </r>
  </si>
  <si>
    <r>
      <t>勒肋扐仂</t>
    </r>
    <r>
      <rPr>
        <sz val="14"/>
        <rFont val="宋体"/>
        <charset val="134"/>
      </rPr>
      <t>艻</t>
    </r>
    <r>
      <rPr>
        <sz val="14"/>
        <rFont val="MingLiU"/>
        <family val="3"/>
      </rPr>
      <t>朸𤨕</t>
    </r>
    <r>
      <rPr>
        <sz val="14"/>
        <rFont val="宋体"/>
        <charset val="134"/>
      </rPr>
      <t>玏</t>
    </r>
    <r>
      <rPr>
        <sz val="14"/>
        <rFont val="MingLiU"/>
        <family val="3"/>
      </rPr>
      <t>泐㔹阞竻[鰳]</t>
    </r>
  </si>
  <si>
    <r>
      <t>刻克剋勀(</t>
    </r>
    <r>
      <rPr>
        <sz val="14"/>
        <rFont val="宋体"/>
        <charset val="134"/>
      </rPr>
      <t>勊</t>
    </r>
    <r>
      <rPr>
        <sz val="14"/>
        <rFont val="MingLiU"/>
        <family val="3"/>
      </rPr>
      <t>)𡞢(</t>
    </r>
    <r>
      <rPr>
        <sz val="14"/>
        <rFont val="宋体"/>
        <charset val="134"/>
      </rPr>
      <t>娔</t>
    </r>
    <r>
      <rPr>
        <sz val="14"/>
        <rFont val="MingLiU"/>
        <family val="3"/>
      </rPr>
      <t>)</t>
    </r>
  </si>
  <si>
    <r>
      <t>特貣𧈩𧎢樴𤙰</t>
    </r>
    <r>
      <rPr>
        <sz val="14"/>
        <rFont val="宋体"/>
        <charset val="134"/>
      </rPr>
      <t>棏鴏</t>
    </r>
    <r>
      <rPr>
        <sz val="14"/>
        <rFont val="MingLiU"/>
        <family val="3"/>
      </rPr>
      <t>螣</t>
    </r>
  </si>
  <si>
    <r>
      <t>賊(𧵪)</t>
    </r>
    <r>
      <rPr>
        <sz val="14"/>
        <rFont val="宋体"/>
        <charset val="134"/>
      </rPr>
      <t>鱡鰂</t>
    </r>
    <r>
      <rPr>
        <sz val="14"/>
        <rFont val="MingLiU"/>
        <family val="3"/>
      </rPr>
      <t>𧒿𣿐𦽒</t>
    </r>
  </si>
  <si>
    <r>
      <t>裓</t>
    </r>
    <r>
      <rPr>
        <sz val="14"/>
        <rFont val="MingLiU"/>
        <family val="3"/>
      </rPr>
      <t>𢧧</t>
    </r>
    <r>
      <rPr>
        <sz val="14"/>
        <rFont val="宋体"/>
        <charset val="134"/>
      </rPr>
      <t>孂</t>
    </r>
  </si>
  <si>
    <r>
      <t>集輯</t>
    </r>
    <r>
      <rPr>
        <sz val="14"/>
        <rFont val="宋体"/>
        <charset val="134"/>
      </rPr>
      <t>檝亼</t>
    </r>
    <r>
      <rPr>
        <sz val="14"/>
        <rFont val="MingLiU"/>
        <family val="3"/>
      </rPr>
      <t>𠦫𦺴鏶慹</t>
    </r>
    <r>
      <rPr>
        <sz val="14"/>
        <rFont val="宋体"/>
        <charset val="134"/>
      </rPr>
      <t>箿</t>
    </r>
  </si>
  <si>
    <r>
      <t>蟄䐲俋㙷㞏</t>
    </r>
    <r>
      <rPr>
        <sz val="14"/>
        <rFont val="宋体"/>
        <charset val="134"/>
      </rPr>
      <t>譶</t>
    </r>
  </si>
  <si>
    <r>
      <t>急汲給伋級芨𦳌㽺彶</t>
    </r>
    <r>
      <rPr>
        <sz val="14"/>
        <rFont val="宋体"/>
        <charset val="134"/>
      </rPr>
      <t>皀</t>
    </r>
    <r>
      <rPr>
        <sz val="14"/>
        <rFont val="MingLiU"/>
        <family val="3"/>
      </rPr>
      <t>𩾳</t>
    </r>
  </si>
  <si>
    <r>
      <t>歰</t>
    </r>
    <r>
      <rPr>
        <sz val="14"/>
        <rFont val="MingLiU"/>
        <family val="3"/>
      </rPr>
      <t>澀</t>
    </r>
    <r>
      <rPr>
        <sz val="14"/>
        <rFont val="宋体"/>
        <charset val="134"/>
      </rPr>
      <t>澁</t>
    </r>
    <r>
      <rPr>
        <sz val="14"/>
        <rFont val="MingLiU"/>
        <family val="3"/>
      </rPr>
      <t>鈒</t>
    </r>
    <r>
      <rPr>
        <sz val="14"/>
        <rFont val="宋体"/>
        <charset val="134"/>
      </rPr>
      <t>雭</t>
    </r>
    <r>
      <rPr>
        <sz val="14"/>
        <rFont val="MingLiU"/>
        <family val="3"/>
      </rPr>
      <t>濇㒊翜</t>
    </r>
  </si>
  <si>
    <r>
      <t>吸</t>
    </r>
    <r>
      <rPr>
        <sz val="14"/>
        <rFont val="宋体"/>
        <charset val="134"/>
      </rPr>
      <t>噏</t>
    </r>
    <r>
      <rPr>
        <sz val="14"/>
        <rFont val="MingLiU"/>
        <family val="3"/>
      </rPr>
      <t>歙翕𧬈潝</t>
    </r>
    <r>
      <rPr>
        <sz val="14"/>
        <rFont val="宋体"/>
        <charset val="134"/>
      </rPr>
      <t>熻嬆翖</t>
    </r>
    <r>
      <rPr>
        <sz val="14"/>
        <rFont val="MingLiU"/>
        <family val="3"/>
      </rPr>
      <t>𨝫闟𪅲</t>
    </r>
  </si>
  <si>
    <r>
      <t>湁</t>
    </r>
    <r>
      <rPr>
        <sz val="14"/>
        <rFont val="宋体"/>
        <charset val="134"/>
      </rPr>
      <t>雴漐</t>
    </r>
  </si>
  <si>
    <r>
      <t>熠</t>
    </r>
    <r>
      <rPr>
        <sz val="14"/>
        <rFont val="宋体"/>
        <charset val="134"/>
      </rPr>
      <t>孴</t>
    </r>
  </si>
  <si>
    <r>
      <t>孨</t>
    </r>
    <r>
      <rPr>
        <sz val="14"/>
        <rFont val="MingLiU"/>
        <family val="3"/>
      </rPr>
      <t>㵫𣲷㘝𦮾</t>
    </r>
  </si>
  <si>
    <r>
      <t>鵖</t>
    </r>
    <r>
      <rPr>
        <sz val="14"/>
        <rFont val="宋体"/>
        <charset val="134"/>
      </rPr>
      <t>皀</t>
    </r>
  </si>
  <si>
    <r>
      <t>合郃榙䢔㭘</t>
    </r>
    <r>
      <rPr>
        <sz val="14"/>
        <rFont val="宋体"/>
        <charset val="134"/>
      </rPr>
      <t>詥耠</t>
    </r>
    <r>
      <rPr>
        <sz val="14"/>
        <rFont val="MingLiU"/>
        <family val="3"/>
      </rPr>
      <t>𡇶𪘁𦳬盒</t>
    </r>
  </si>
  <si>
    <r>
      <t>鴿!閤合㪉鉿鮯蛤郃浩</t>
    </r>
    <r>
      <rPr>
        <sz val="14"/>
        <rFont val="宋体"/>
        <charset val="134"/>
      </rPr>
      <t>匌</t>
    </r>
    <r>
      <rPr>
        <sz val="14"/>
        <rFont val="MingLiU"/>
        <family val="3"/>
      </rPr>
      <t>頜佮㧁𣭝㭘㠷鞈韐𢂷</t>
    </r>
  </si>
  <si>
    <r>
      <t>沓誻遝㧺㭼涾𩣯</t>
    </r>
    <r>
      <rPr>
        <sz val="14"/>
        <rFont val="宋体"/>
        <charset val="134"/>
      </rPr>
      <t>龖</t>
    </r>
    <r>
      <rPr>
        <sz val="14"/>
        <rFont val="MingLiU"/>
        <family val="3"/>
      </rPr>
      <t>𠉤</t>
    </r>
    <r>
      <rPr>
        <sz val="14"/>
        <rFont val="宋体"/>
        <charset val="134"/>
      </rPr>
      <t>譶</t>
    </r>
    <r>
      <rPr>
        <sz val="14"/>
        <rFont val="MingLiU"/>
        <family val="3"/>
      </rPr>
      <t>𣝋</t>
    </r>
    <r>
      <rPr>
        <sz val="14"/>
        <rFont val="宋体"/>
        <charset val="134"/>
      </rPr>
      <t>蹹</t>
    </r>
    <r>
      <rPr>
        <sz val="14"/>
        <rFont val="MingLiU"/>
        <family val="3"/>
      </rPr>
      <t>䂿䜚𦂀𦾽𧌏</t>
    </r>
    <r>
      <rPr>
        <sz val="14"/>
        <rFont val="宋体"/>
        <charset val="134"/>
      </rPr>
      <t>眔</t>
    </r>
    <r>
      <rPr>
        <sz val="14"/>
        <rFont val="MingLiU"/>
        <family val="3"/>
      </rPr>
      <t>（𥄳）</t>
    </r>
  </si>
  <si>
    <r>
      <t>雜</t>
    </r>
    <r>
      <rPr>
        <sz val="14"/>
        <rFont val="宋体"/>
        <charset val="134"/>
      </rPr>
      <t>韴</t>
    </r>
    <r>
      <rPr>
        <sz val="14"/>
        <rFont val="MingLiU"/>
        <family val="3"/>
      </rPr>
      <t>磼雥䕹𨅔䣟</t>
    </r>
  </si>
  <si>
    <r>
      <t>帀迊</t>
    </r>
    <r>
      <rPr>
        <sz val="14"/>
        <rFont val="MingLiU"/>
        <family val="3"/>
      </rPr>
      <t>𠯗噆𣤶</t>
    </r>
    <r>
      <rPr>
        <sz val="14"/>
        <rFont val="宋体"/>
        <charset val="134"/>
      </rPr>
      <t>魳</t>
    </r>
    <r>
      <rPr>
        <sz val="14"/>
        <rFont val="MingLiU"/>
        <family val="3"/>
      </rPr>
      <t>䍼嘁</t>
    </r>
    <r>
      <rPr>
        <sz val="14"/>
        <rFont val="宋体"/>
        <charset val="134"/>
      </rPr>
      <t>沞</t>
    </r>
    <r>
      <rPr>
        <sz val="14"/>
        <rFont val="MingLiU"/>
        <family val="3"/>
      </rPr>
      <t>䞙摺?[匝]𠯗(咂)</t>
    </r>
  </si>
  <si>
    <r>
      <t>納䪏</t>
    </r>
    <r>
      <rPr>
        <sz val="14"/>
        <rFont val="宋体"/>
        <charset val="134"/>
      </rPr>
      <t>蒳</t>
    </r>
    <r>
      <rPr>
        <sz val="14"/>
        <rFont val="MingLiU"/>
        <family val="3"/>
      </rPr>
      <t>軜衲魶妠㨥</t>
    </r>
  </si>
  <si>
    <r>
      <t>溘𣩄㧁𠩧䆟</t>
    </r>
    <r>
      <rPr>
        <sz val="14"/>
        <rFont val="宋体"/>
        <charset val="134"/>
      </rPr>
      <t>匌</t>
    </r>
    <r>
      <rPr>
        <sz val="14"/>
        <rFont val="MingLiU"/>
        <family val="3"/>
      </rPr>
      <t>歁</t>
    </r>
  </si>
  <si>
    <r>
      <t>姶𤸱罨</t>
    </r>
    <r>
      <rPr>
        <sz val="14"/>
        <rFont val="宋体"/>
        <charset val="134"/>
      </rPr>
      <t>罯</t>
    </r>
    <r>
      <rPr>
        <sz val="14"/>
        <rFont val="MingLiU"/>
        <family val="3"/>
      </rPr>
      <t>媕㔩庵𨂁𩋊𩇠搕鞥佮</t>
    </r>
  </si>
  <si>
    <r>
      <t>㬎</t>
    </r>
    <r>
      <rPr>
        <sz val="14"/>
        <rFont val="宋体"/>
        <charset val="134"/>
      </rPr>
      <t>礏</t>
    </r>
    <r>
      <rPr>
        <sz val="14"/>
        <rFont val="MingLiU"/>
        <family val="3"/>
      </rPr>
      <t>哈儑𡀾砐</t>
    </r>
    <r>
      <rPr>
        <sz val="14"/>
        <rFont val="宋体"/>
        <charset val="134"/>
      </rPr>
      <t>礘</t>
    </r>
    <r>
      <rPr>
        <sz val="14"/>
        <rFont val="MingLiU"/>
        <family val="3"/>
      </rPr>
      <t>㾑䑥</t>
    </r>
    <r>
      <rPr>
        <sz val="14"/>
        <rFont val="宋体"/>
        <charset val="134"/>
      </rPr>
      <t>魥</t>
    </r>
  </si>
  <si>
    <r>
      <t>臘</t>
    </r>
    <r>
      <rPr>
        <sz val="14"/>
        <rFont val="宋体"/>
        <charset val="134"/>
      </rPr>
      <t>臈</t>
    </r>
    <r>
      <rPr>
        <sz val="14"/>
        <rFont val="MingLiU"/>
        <family val="3"/>
      </rPr>
      <t>𪙷䶘鑞蠟䗶擸𥀰𪇹搚𦒦𦅶邋</t>
    </r>
  </si>
  <si>
    <r>
      <t>榻㯓𦪙毾鰈魼鰨𦶑傝</t>
    </r>
    <r>
      <rPr>
        <sz val="14"/>
        <rFont val="宋体"/>
        <charset val="134"/>
      </rPr>
      <t>狧</t>
    </r>
    <r>
      <rPr>
        <sz val="14"/>
        <rFont val="MingLiU"/>
        <family val="3"/>
      </rPr>
      <t>𦧭𧪦𦐇鞳塔搭嗒遢𩥑|塌</t>
    </r>
    <r>
      <rPr>
        <sz val="14"/>
        <rFont val="宋体"/>
        <charset val="134"/>
      </rPr>
      <t>溻</t>
    </r>
    <r>
      <rPr>
        <sz val="14"/>
        <rFont val="MingLiU"/>
        <family val="3"/>
      </rPr>
      <t>|</t>
    </r>
  </si>
  <si>
    <r>
      <t>蹋</t>
    </r>
    <r>
      <rPr>
        <sz val="14"/>
        <rFont val="宋体"/>
        <charset val="134"/>
      </rPr>
      <t>躢</t>
    </r>
    <r>
      <rPr>
        <sz val="14"/>
        <rFont val="MingLiU"/>
        <family val="3"/>
      </rPr>
      <t>闒 𧮑譫䍇䳴䈳𦑲</t>
    </r>
  </si>
  <si>
    <r>
      <t>鰪</t>
    </r>
    <r>
      <rPr>
        <sz val="14"/>
        <rFont val="MingLiU"/>
        <family val="3"/>
      </rPr>
      <t>盦廅𤸱</t>
    </r>
  </si>
  <si>
    <r>
      <t>葉楪揲鍱偞</t>
    </r>
    <r>
      <rPr>
        <sz val="14"/>
        <rFont val="宋体"/>
        <charset val="134"/>
      </rPr>
      <t>枼</t>
    </r>
    <r>
      <rPr>
        <sz val="14"/>
        <rFont val="MingLiU"/>
        <family val="3"/>
      </rPr>
      <t>㯿煠䈎</t>
    </r>
    <r>
      <rPr>
        <sz val="14"/>
        <rFont val="宋体"/>
        <charset val="134"/>
      </rPr>
      <t>殜</t>
    </r>
  </si>
  <si>
    <r>
      <t>接椄睫䀹楫</t>
    </r>
    <r>
      <rPr>
        <sz val="14"/>
        <rFont val="宋体"/>
        <charset val="134"/>
      </rPr>
      <t>檝</t>
    </r>
    <r>
      <rPr>
        <sz val="14"/>
        <rFont val="MingLiU"/>
        <family val="3"/>
      </rPr>
      <t>婕菨𣶏鯜䈉|唼</t>
    </r>
  </si>
  <si>
    <r>
      <t>攝灄葉歙</t>
    </r>
    <r>
      <rPr>
        <sz val="14"/>
        <rFont val="宋体"/>
        <charset val="134"/>
      </rPr>
      <t>欇</t>
    </r>
    <r>
      <rPr>
        <sz val="14"/>
        <rFont val="MingLiU"/>
        <family val="3"/>
      </rPr>
      <t>𥍉</t>
    </r>
    <r>
      <rPr>
        <sz val="14"/>
        <rFont val="宋体"/>
        <charset val="134"/>
      </rPr>
      <t>弽</t>
    </r>
    <r>
      <rPr>
        <sz val="14"/>
        <rFont val="MingLiU"/>
        <family val="3"/>
      </rPr>
      <t>韘</t>
    </r>
  </si>
  <si>
    <r>
      <t>涉𣻣</t>
    </r>
    <r>
      <rPr>
        <sz val="14"/>
        <rFont val="宋体"/>
        <charset val="134"/>
      </rPr>
      <t>欇</t>
    </r>
    <r>
      <rPr>
        <sz val="14"/>
        <rFont val="MingLiU"/>
        <family val="3"/>
      </rPr>
      <t>䤮</t>
    </r>
  </si>
  <si>
    <r>
      <t>獵</t>
    </r>
    <r>
      <rPr>
        <sz val="14"/>
        <rFont val="宋体"/>
        <charset val="134"/>
      </rPr>
      <t>鬛</t>
    </r>
    <r>
      <rPr>
        <sz val="14"/>
        <rFont val="MingLiU"/>
        <family val="3"/>
      </rPr>
      <t>鬣㲱躐䁽𣋲擸儠犣䪉㼲䉭</t>
    </r>
    <r>
      <rPr>
        <sz val="14"/>
        <rFont val="宋体"/>
        <charset val="134"/>
      </rPr>
      <t>鱲</t>
    </r>
    <r>
      <rPr>
        <sz val="14"/>
        <rFont val="MingLiU"/>
        <family val="3"/>
      </rPr>
      <t>𡂏䛟𠠗邋㯿䜲䃳</t>
    </r>
    <r>
      <rPr>
        <sz val="14"/>
        <rFont val="宋体"/>
        <charset val="134"/>
      </rPr>
      <t>巤</t>
    </r>
    <r>
      <rPr>
        <sz val="14"/>
        <rFont val="MingLiU"/>
        <family val="3"/>
      </rPr>
      <t>獦</t>
    </r>
  </si>
  <si>
    <r>
      <t>捷疌寁倢崨踕䌖</t>
    </r>
    <r>
      <rPr>
        <sz val="14"/>
        <rFont val="宋体"/>
        <charset val="134"/>
      </rPr>
      <t>誱</t>
    </r>
  </si>
  <si>
    <r>
      <t>䐑㙷</t>
    </r>
    <r>
      <rPr>
        <sz val="14"/>
        <rFont val="宋体"/>
        <charset val="134"/>
      </rPr>
      <t>殜</t>
    </r>
  </si>
  <si>
    <r>
      <t>聶躡鑷㚔睪</t>
    </r>
    <r>
      <rPr>
        <sz val="14"/>
        <rFont val="宋体"/>
        <charset val="134"/>
      </rPr>
      <t>帇</t>
    </r>
    <r>
      <rPr>
        <sz val="14"/>
        <rFont val="MingLiU"/>
        <family val="3"/>
      </rPr>
      <t>𩣘</t>
    </r>
    <r>
      <rPr>
        <sz val="14"/>
        <rFont val="宋体"/>
        <charset val="134"/>
      </rPr>
      <t>籋</t>
    </r>
    <r>
      <rPr>
        <sz val="14"/>
        <rFont val="MingLiU"/>
        <family val="3"/>
      </rPr>
      <t>䌜𣌍㸎踂𥬬䳖𣀳</t>
    </r>
  </si>
  <si>
    <r>
      <t>讋囁懾慴慹霅摺𣠞䜆謺</t>
    </r>
    <r>
      <rPr>
        <sz val="14"/>
        <rFont val="宋体"/>
        <charset val="134"/>
      </rPr>
      <t>襵</t>
    </r>
    <r>
      <rPr>
        <sz val="14"/>
        <rFont val="MingLiU"/>
        <family val="3"/>
      </rPr>
      <t>䝕</t>
    </r>
  </si>
  <si>
    <r>
      <t>妾緁䌌𠟪鏶</t>
    </r>
    <r>
      <rPr>
        <sz val="14"/>
        <rFont val="宋体"/>
        <charset val="134"/>
      </rPr>
      <t>淁</t>
    </r>
    <r>
      <rPr>
        <sz val="14"/>
        <rFont val="MingLiU"/>
        <family val="3"/>
      </rPr>
      <t>鯜𣠺</t>
    </r>
    <r>
      <rPr>
        <sz val="14"/>
        <rFont val="宋体"/>
        <charset val="134"/>
      </rPr>
      <t>穕</t>
    </r>
    <r>
      <rPr>
        <sz val="14"/>
        <rFont val="MingLiU"/>
        <family val="3"/>
      </rPr>
      <t>踥</t>
    </r>
  </si>
  <si>
    <r>
      <t>锸</t>
    </r>
    <r>
      <rPr>
        <sz val="14"/>
        <rFont val="MingLiU"/>
        <family val="3"/>
      </rPr>
      <t>煠㤴𩂻䈎𥯥</t>
    </r>
  </si>
  <si>
    <r>
      <t>輒耴</t>
    </r>
    <r>
      <rPr>
        <sz val="14"/>
        <rFont val="宋体"/>
        <charset val="134"/>
      </rPr>
      <t>襵</t>
    </r>
    <r>
      <rPr>
        <sz val="14"/>
        <rFont val="MingLiU"/>
        <family val="3"/>
      </rPr>
      <t>𦯍𢬴鮿㡇㭯</t>
    </r>
  </si>
  <si>
    <r>
      <t>曄</t>
    </r>
    <r>
      <rPr>
        <sz val="14"/>
        <rFont val="宋体"/>
        <charset val="134"/>
      </rPr>
      <t>曅</t>
    </r>
    <r>
      <rPr>
        <sz val="14"/>
        <rFont val="MingLiU"/>
        <family val="3"/>
      </rPr>
      <t>饁燁</t>
    </r>
    <r>
      <rPr>
        <sz val="14"/>
        <rFont val="宋体"/>
        <charset val="134"/>
      </rPr>
      <t>爗皣</t>
    </r>
    <r>
      <rPr>
        <sz val="14"/>
        <rFont val="MingLiU"/>
        <family val="3"/>
      </rPr>
      <t>瞱</t>
    </r>
  </si>
  <si>
    <r>
      <t>魘</t>
    </r>
    <r>
      <rPr>
        <sz val="14"/>
        <rFont val="宋体"/>
        <charset val="134"/>
      </rPr>
      <t>擪</t>
    </r>
    <r>
      <rPr>
        <sz val="14"/>
        <rFont val="MingLiU"/>
        <family val="3"/>
      </rPr>
      <t>靨嬮𣄉厭𣚕</t>
    </r>
  </si>
  <si>
    <r>
      <t>協</t>
    </r>
    <r>
      <rPr>
        <sz val="14"/>
        <rFont val="宋体"/>
        <charset val="134"/>
      </rPr>
      <t>叶</t>
    </r>
    <r>
      <rPr>
        <sz val="14"/>
        <rFont val="MingLiU"/>
        <family val="3"/>
      </rPr>
      <t>勰挾俠劦</t>
    </r>
    <r>
      <rPr>
        <sz val="14"/>
        <rFont val="宋体"/>
        <charset val="134"/>
      </rPr>
      <t>綊</t>
    </r>
    <r>
      <rPr>
        <sz val="14"/>
        <rFont val="MingLiU"/>
        <family val="3"/>
      </rPr>
      <t>𠗉𤙒𢂐</t>
    </r>
  </si>
  <si>
    <r>
      <t>愜㥦</t>
    </r>
    <r>
      <rPr>
        <sz val="14"/>
        <rFont val="宋体"/>
        <charset val="134"/>
      </rPr>
      <t>悏匧</t>
    </r>
    <r>
      <rPr>
        <sz val="14"/>
        <rFont val="MingLiU"/>
        <family val="3"/>
      </rPr>
      <t>篋㾜㤲㛍</t>
    </r>
  </si>
  <si>
    <r>
      <t>牒喋蹀諜堞𨈈㲲𣯉</t>
    </r>
    <r>
      <rPr>
        <sz val="14"/>
        <rFont val="宋体"/>
        <charset val="134"/>
      </rPr>
      <t>褺曡</t>
    </r>
    <r>
      <rPr>
        <sz val="14"/>
        <rFont val="MingLiU"/>
        <family val="3"/>
      </rPr>
      <t>疊䥡慴䠟*㥈𥷕</t>
    </r>
    <r>
      <rPr>
        <sz val="14"/>
        <rFont val="宋体"/>
        <charset val="134"/>
      </rPr>
      <t>牃</t>
    </r>
    <r>
      <rPr>
        <sz val="14"/>
        <rFont val="MingLiU"/>
        <family val="3"/>
      </rPr>
      <t>褋墊惵褶𨐁蝶揲[碟]䁋𠗨㩹䴑𪑧𤗨|鰈渫艓|</t>
    </r>
  </si>
  <si>
    <r>
      <t>苶捻</t>
    </r>
    <r>
      <rPr>
        <sz val="14"/>
        <rFont val="宋体"/>
        <charset val="134"/>
      </rPr>
      <t>暬</t>
    </r>
    <r>
      <rPr>
        <sz val="14"/>
        <rFont val="MingLiU"/>
        <family val="3"/>
      </rPr>
      <t>𩐭㘨𩋏捻</t>
    </r>
    <r>
      <rPr>
        <sz val="14"/>
        <rFont val="宋体"/>
        <charset val="134"/>
      </rPr>
      <t>錜</t>
    </r>
    <r>
      <rPr>
        <sz val="14"/>
        <rFont val="MingLiU"/>
        <family val="3"/>
      </rPr>
      <t>慹敜攝</t>
    </r>
    <r>
      <rPr>
        <sz val="14"/>
        <rFont val="宋体"/>
        <charset val="134"/>
      </rPr>
      <t>籋</t>
    </r>
    <r>
      <rPr>
        <sz val="14"/>
        <rFont val="MingLiU"/>
        <family val="3"/>
      </rPr>
      <t>鑈</t>
    </r>
    <r>
      <rPr>
        <sz val="14"/>
        <rFont val="宋体"/>
        <charset val="134"/>
      </rPr>
      <t>惗菍</t>
    </r>
  </si>
  <si>
    <r>
      <t>燮屧</t>
    </r>
    <r>
      <rPr>
        <sz val="14"/>
        <rFont val="宋体"/>
        <charset val="134"/>
      </rPr>
      <t>屟</t>
    </r>
    <r>
      <rPr>
        <sz val="14"/>
        <rFont val="MingLiU"/>
        <family val="3"/>
      </rPr>
      <t>躞韘鞢</t>
    </r>
    <r>
      <rPr>
        <sz val="14"/>
        <rFont val="宋体"/>
        <charset val="134"/>
      </rPr>
      <t>徢</t>
    </r>
    <r>
      <rPr>
        <sz val="14"/>
        <rFont val="MingLiU"/>
        <family val="3"/>
      </rPr>
      <t>蜨𤫉𤏻𦔼𤗈𧕊䕈𡞘𦩌</t>
    </r>
  </si>
  <si>
    <r>
      <t>弽</t>
    </r>
    <r>
      <rPr>
        <sz val="14"/>
        <rFont val="MingLiU"/>
        <family val="3"/>
      </rPr>
      <t>䁋㛍偞</t>
    </r>
  </si>
  <si>
    <r>
      <t>洽狹陜峽硤烚珨</t>
    </r>
    <r>
      <rPr>
        <sz val="14"/>
        <rFont val="宋体"/>
        <charset val="134"/>
      </rPr>
      <t>陿</t>
    </r>
    <r>
      <rPr>
        <sz val="14"/>
        <rFont val="MingLiU"/>
        <family val="3"/>
      </rPr>
      <t>祫䨐䞩𤲍𪘘𢈙</t>
    </r>
  </si>
  <si>
    <r>
      <t>𥯦煠渫䮢𧼰</t>
    </r>
    <r>
      <rPr>
        <sz val="14"/>
        <rFont val="宋体"/>
        <charset val="134"/>
      </rPr>
      <t>牐</t>
    </r>
  </si>
  <si>
    <r>
      <t>夾郟筴袷裌鵊韐跲</t>
    </r>
    <r>
      <rPr>
        <sz val="14"/>
        <rFont val="宋体"/>
        <charset val="134"/>
      </rPr>
      <t>餄</t>
    </r>
    <r>
      <rPr>
        <sz val="14"/>
        <rFont val="MingLiU"/>
        <family val="3"/>
      </rPr>
      <t>鞈䶢𢂷䀫䩡㿓</t>
    </r>
  </si>
  <si>
    <r>
      <t>㘝𡤙㗙</t>
    </r>
    <r>
      <rPr>
        <sz val="14"/>
        <rFont val="宋体"/>
        <charset val="134"/>
      </rPr>
      <t>㑳</t>
    </r>
  </si>
  <si>
    <r>
      <t>䶎欱㰰</t>
    </r>
    <r>
      <rPr>
        <sz val="14"/>
        <rFont val="宋体"/>
        <charset val="134"/>
      </rPr>
      <t>敮</t>
    </r>
  </si>
  <si>
    <r>
      <t>狎霅柙匣</t>
    </r>
    <r>
      <rPr>
        <sz val="14"/>
        <rFont val="宋体"/>
        <charset val="134"/>
      </rPr>
      <t>翈</t>
    </r>
    <r>
      <rPr>
        <sz val="14"/>
        <rFont val="MingLiU"/>
        <family val="3"/>
      </rPr>
      <t>𠗉𧆥𢘉*𩉾</t>
    </r>
    <r>
      <rPr>
        <sz val="14"/>
        <rFont val="宋体"/>
        <charset val="134"/>
      </rPr>
      <t>炠</t>
    </r>
    <r>
      <rPr>
        <sz val="14"/>
        <rFont val="MingLiU"/>
        <family val="3"/>
      </rPr>
      <t>笚</t>
    </r>
  </si>
  <si>
    <r>
      <t>鴨壓閘押</t>
    </r>
    <r>
      <rPr>
        <sz val="14"/>
        <rFont val="宋体"/>
        <charset val="134"/>
      </rPr>
      <t>庘</t>
    </r>
    <r>
      <rPr>
        <sz val="14"/>
        <rFont val="MingLiU"/>
        <family val="3"/>
      </rPr>
      <t>䆘</t>
    </r>
  </si>
  <si>
    <r>
      <t>翣啑翜𧲌</t>
    </r>
    <r>
      <rPr>
        <sz val="14"/>
        <rFont val="宋体"/>
        <charset val="134"/>
      </rPr>
      <t>帹</t>
    </r>
    <r>
      <rPr>
        <sz val="14"/>
        <rFont val="MingLiU"/>
        <family val="3"/>
      </rPr>
      <t>䬊𧻵㞚|唼</t>
    </r>
  </si>
  <si>
    <r>
      <t>業鄴㸣</t>
    </r>
    <r>
      <rPr>
        <sz val="14"/>
        <rFont val="宋体"/>
        <charset val="134"/>
      </rPr>
      <t>驜嶫</t>
    </r>
    <r>
      <rPr>
        <sz val="14"/>
        <rFont val="MingLiU"/>
        <family val="3"/>
      </rPr>
      <t>𠟪䧨㗼𠄅𩑃𢢜𩼋䲜</t>
    </r>
    <r>
      <rPr>
        <sz val="14"/>
        <rFont val="宋体"/>
        <charset val="134"/>
      </rPr>
      <t>鸈</t>
    </r>
    <r>
      <rPr>
        <sz val="14"/>
        <rFont val="MingLiU"/>
        <family val="3"/>
      </rPr>
      <t>澲</t>
    </r>
  </si>
  <si>
    <r>
      <t>怯抾呿胠</t>
    </r>
    <r>
      <rPr>
        <sz val="14"/>
        <rFont val="宋体"/>
        <charset val="134"/>
      </rPr>
      <t>魥</t>
    </r>
    <r>
      <rPr>
        <sz val="14"/>
        <rFont val="MingLiU"/>
        <family val="3"/>
      </rPr>
      <t>𠩂㾀㹤𤴼</t>
    </r>
  </si>
  <si>
    <r>
      <t>劫衱袷</t>
    </r>
    <r>
      <rPr>
        <sz val="14"/>
        <rFont val="宋体"/>
        <charset val="134"/>
      </rPr>
      <t>蜐</t>
    </r>
    <r>
      <rPr>
        <sz val="14"/>
        <rFont val="MingLiU"/>
        <family val="3"/>
      </rPr>
      <t>跲鉣砝𦀖䀷</t>
    </r>
  </si>
  <si>
    <r>
      <t>腌罨裛浥殗</t>
    </r>
    <r>
      <rPr>
        <sz val="14"/>
        <rFont val="宋体"/>
        <charset val="134"/>
      </rPr>
      <t>餣</t>
    </r>
    <r>
      <rPr>
        <sz val="14"/>
        <rFont val="MingLiU"/>
        <family val="3"/>
      </rPr>
      <t>䱒</t>
    </r>
    <r>
      <rPr>
        <sz val="14"/>
        <rFont val="宋体"/>
        <charset val="134"/>
      </rPr>
      <t>鄓</t>
    </r>
    <r>
      <rPr>
        <sz val="14"/>
        <rFont val="MingLiU"/>
        <family val="3"/>
      </rPr>
      <t>*䎨㡋㪑䤶𩋊䁆</t>
    </r>
  </si>
  <si>
    <r>
      <t>殜</t>
    </r>
    <r>
      <rPr>
        <sz val="14"/>
        <rFont val="MingLiU"/>
        <family val="3"/>
      </rPr>
      <t>𩐱</t>
    </r>
  </si>
  <si>
    <r>
      <t>乏泛</t>
    </r>
    <r>
      <rPr>
        <sz val="14"/>
        <rFont val="宋体"/>
        <charset val="134"/>
      </rPr>
      <t>姂</t>
    </r>
  </si>
  <si>
    <r>
      <t>法</t>
    </r>
    <r>
      <rPr>
        <sz val="14"/>
        <rFont val="宋体"/>
        <charset val="134"/>
      </rPr>
      <t>灋</t>
    </r>
  </si>
  <si>
    <r>
      <t>猲</t>
    </r>
    <r>
      <rPr>
        <sz val="14"/>
        <rFont val="宋体"/>
        <charset val="134"/>
      </rPr>
      <t>姂</t>
    </r>
  </si>
  <si>
    <r>
      <t>忒(忑)㧹慝貣𥊸㥂|𢘋</t>
    </r>
    <r>
      <rPr>
        <sz val="14"/>
        <rFont val="宋体"/>
        <charset val="134"/>
      </rPr>
      <t>脦</t>
    </r>
    <r>
      <rPr>
        <sz val="14"/>
        <rFont val="MingLiU"/>
        <family val="3"/>
      </rPr>
      <t>𧊇匿㥾[鋱]</t>
    </r>
  </si>
  <si>
    <r>
      <t>搇</t>
    </r>
    <r>
      <rPr>
        <sz val="14"/>
        <rFont val="MingLiU"/>
        <family val="3"/>
      </rPr>
      <t>(撳)𩔝||</t>
    </r>
  </si>
  <si>
    <r>
      <t>拉搚㩉摺𦒆</t>
    </r>
    <r>
      <rPr>
        <sz val="14"/>
        <rFont val="宋体"/>
        <charset val="134"/>
      </rPr>
      <t>磖</t>
    </r>
    <r>
      <rPr>
        <sz val="14"/>
        <rFont val="MingLiU"/>
        <family val="3"/>
      </rPr>
      <t>𪇹菈𣤊㕇𤛊</t>
    </r>
  </si>
  <si>
    <r>
      <t>隘</t>
    </r>
    <r>
      <rPr>
        <sz val="14"/>
        <rFont val="宋体"/>
        <charset val="134"/>
      </rPr>
      <t>阸</t>
    </r>
    <r>
      <rPr>
        <sz val="14"/>
        <rFont val="MingLiU"/>
        <family val="3"/>
      </rPr>
      <t>㿄䅬賹</t>
    </r>
  </si>
  <si>
    <r>
      <t>韜(套)𡘷</t>
    </r>
    <r>
      <rPr>
        <sz val="14"/>
        <rFont val="宋体"/>
        <charset val="134"/>
      </rPr>
      <t>謟</t>
    </r>
    <r>
      <rPr>
        <sz val="14"/>
        <rFont val="MingLiU"/>
        <family val="3"/>
      </rPr>
      <t>||</t>
    </r>
  </si>
  <si>
    <t>聲</t>
    <phoneticPr fontId="2" type="noConversion"/>
  </si>
  <si>
    <t>目次</t>
    <phoneticPr fontId="2" type="noConversion"/>
  </si>
  <si>
    <t>序號</t>
    <phoneticPr fontId="2" type="noConversion"/>
  </si>
  <si>
    <t>等</t>
    <phoneticPr fontId="2" type="noConversion"/>
  </si>
  <si>
    <t>呼</t>
    <phoneticPr fontId="2" type="noConversion"/>
  </si>
  <si>
    <t>韻部</t>
    <phoneticPr fontId="2" type="noConversion"/>
  </si>
  <si>
    <t>調</t>
    <phoneticPr fontId="2" type="noConversion"/>
  </si>
  <si>
    <t>反切</t>
    <phoneticPr fontId="2" type="noConversion"/>
  </si>
  <si>
    <t>攝</t>
    <phoneticPr fontId="2" type="noConversion"/>
  </si>
  <si>
    <t>字</t>
    <phoneticPr fontId="2" type="noConversion"/>
  </si>
  <si>
    <t>備註</t>
    <phoneticPr fontId="2" type="noConversion"/>
  </si>
  <si>
    <t>小韻字數</t>
    <phoneticPr fontId="2" type="noConversion"/>
  </si>
  <si>
    <t>貧=𡧋</t>
  </si>
  <si>
    <t>於巾</t>
  </si>
  <si>
    <t>𪔗鼘駰</t>
  </si>
  <si>
    <t>於倫</t>
  </si>
  <si>
    <t>贇奫頵蝹</t>
  </si>
  <si>
    <t>yun1</t>
  </si>
  <si>
    <t>府巾</t>
  </si>
  <si>
    <t>彬斌份玢豳邠汃霦㻞𥇖攽虨砏</t>
  </si>
  <si>
    <t>彌鄰</t>
  </si>
  <si>
    <t>民闅䁕泯怋</t>
  </si>
  <si>
    <t>上平18諄</t>
  </si>
  <si>
    <t>諄</t>
  </si>
  <si>
    <t>章倫</t>
  </si>
  <si>
    <t>諄惇𥇜肫訰</t>
  </si>
  <si>
    <t>zhun1</t>
  </si>
  <si>
    <t>丑倫</t>
  </si>
  <si>
    <t>chun1</t>
  </si>
  <si>
    <t>直倫</t>
  </si>
  <si>
    <t>䣩㡒</t>
  </si>
  <si>
    <t>chun2</t>
  </si>
  <si>
    <t>相倫</t>
  </si>
  <si>
    <t>xun1</t>
  </si>
  <si>
    <t>常倫</t>
  </si>
  <si>
    <t>如勻</t>
  </si>
  <si>
    <t>run2</t>
  </si>
  <si>
    <t>食倫</t>
  </si>
  <si>
    <t>力迍</t>
  </si>
  <si>
    <t>lun2</t>
  </si>
  <si>
    <t>陟綸</t>
  </si>
  <si>
    <t>屯窀㡒迍</t>
  </si>
  <si>
    <t>七倫</t>
  </si>
  <si>
    <t>將倫</t>
  </si>
  <si>
    <t>遵跧僎嶟鷷</t>
  </si>
  <si>
    <t>昌脣</t>
  </si>
  <si>
    <t>春</t>
  </si>
  <si>
    <t>昨旬</t>
  </si>
  <si>
    <t>鷷</t>
  </si>
  <si>
    <t>qun2</t>
  </si>
  <si>
    <t>羊倫</t>
  </si>
  <si>
    <t>詳遵</t>
  </si>
  <si>
    <t>旬𠣙巡馴循揗㸪紃䋸𪀠洵楯灥㽦𧾩畇䖲</t>
  </si>
  <si>
    <t>xun2</t>
  </si>
  <si>
    <t>居勻</t>
  </si>
  <si>
    <t>普巾</t>
  </si>
  <si>
    <t>砏虨</t>
  </si>
  <si>
    <t>上平19臻</t>
  </si>
  <si>
    <t>側詵</t>
  </si>
  <si>
    <t>所臻</t>
  </si>
  <si>
    <t>士臻</t>
  </si>
  <si>
    <t>𦿒帘㲀</t>
  </si>
  <si>
    <t>上平20文</t>
  </si>
  <si>
    <t>文</t>
  </si>
  <si>
    <t>無分</t>
  </si>
  <si>
    <t>wen2</t>
  </si>
  <si>
    <t>王分</t>
  </si>
  <si>
    <t>於云</t>
  </si>
  <si>
    <t>符分</t>
  </si>
  <si>
    <t>fen2</t>
  </si>
  <si>
    <t>府文</t>
  </si>
  <si>
    <t>fen1</t>
  </si>
  <si>
    <t>渠云</t>
  </si>
  <si>
    <t>許云</t>
  </si>
  <si>
    <t>舉云</t>
  </si>
  <si>
    <t>君軍皸桾䇹莙宭鮶</t>
  </si>
  <si>
    <t>撫文</t>
  </si>
  <si>
    <t>芬紛𢁥𣬩衯𦐈棻砏㞣氛雰𨷹錀</t>
  </si>
  <si>
    <t>上平21欣</t>
  </si>
  <si>
    <t>欣</t>
  </si>
  <si>
    <t>許斤</t>
  </si>
  <si>
    <t>於斤</t>
  </si>
  <si>
    <t>巨斤</t>
  </si>
  <si>
    <t>舉欣</t>
  </si>
  <si>
    <t>斤筋䈥釿</t>
  </si>
  <si>
    <t>語斤</t>
  </si>
  <si>
    <t>11-&gt;12!</t>
  </si>
  <si>
    <t>上平22元</t>
  </si>
  <si>
    <t>元</t>
  </si>
  <si>
    <t>愚袁</t>
  </si>
  <si>
    <t>山</t>
  </si>
  <si>
    <t>yuan2</t>
  </si>
  <si>
    <t>雨元</t>
  </si>
  <si>
    <t>附袁</t>
  </si>
  <si>
    <t>fan2</t>
  </si>
  <si>
    <t>孚袁</t>
  </si>
  <si>
    <t>fan1</t>
  </si>
  <si>
    <t>況袁</t>
  </si>
  <si>
    <t>xuan1</t>
  </si>
  <si>
    <t>於袁</t>
  </si>
  <si>
    <t>冤!鴛㠾鵷𣹠惌䥉宛蜿𩝸蒬怨𡟰葾䡝䩩裷眢</t>
  </si>
  <si>
    <t>yuan1</t>
  </si>
  <si>
    <t>語軒</t>
  </si>
  <si>
    <t>yan2</t>
  </si>
  <si>
    <t>丘言</t>
  </si>
  <si>
    <t>qian1</t>
  </si>
  <si>
    <t>掀!軒鶱䡣蓒䞿</t>
  </si>
  <si>
    <t>xian1</t>
  </si>
  <si>
    <t>居言</t>
  </si>
  <si>
    <t>𢳚𣘖靬鞬𩎀㓺犍腱騝䭈𩱡𩱤</t>
  </si>
  <si>
    <t>jian1</t>
  </si>
  <si>
    <t>謁言</t>
  </si>
  <si>
    <t>蔫焉</t>
  </si>
  <si>
    <t>yan1</t>
  </si>
  <si>
    <t>甫煩</t>
  </si>
  <si>
    <t>蕃藩轓鱕籓鐇</t>
  </si>
  <si>
    <t>巨言</t>
  </si>
  <si>
    <t>𥴤赶</t>
  </si>
  <si>
    <t>qian2</t>
  </si>
  <si>
    <t>武元</t>
  </si>
  <si>
    <t>樠</t>
  </si>
  <si>
    <t>wan2</t>
  </si>
  <si>
    <t>上平23魂</t>
  </si>
  <si>
    <t>魂</t>
  </si>
  <si>
    <t>hun2</t>
  </si>
  <si>
    <t>古渾</t>
  </si>
  <si>
    <t>gun1</t>
  </si>
  <si>
    <t>烏渾</t>
  </si>
  <si>
    <t>wen1</t>
  </si>
  <si>
    <t>莫奔</t>
  </si>
  <si>
    <t>門捫樠虋璊亹𤅣怋䫒𣯩䟂䊟𪈿</t>
  </si>
  <si>
    <t>men2</t>
  </si>
  <si>
    <t>思渾</t>
  </si>
  <si>
    <t>孫蓀飧蕵猻搎</t>
  </si>
  <si>
    <t>sun1</t>
  </si>
  <si>
    <t>祖昆</t>
  </si>
  <si>
    <t>zun1</t>
  </si>
  <si>
    <t>徂尊</t>
  </si>
  <si>
    <t>存蹲拵𨚲袸</t>
  </si>
  <si>
    <t>cun2</t>
  </si>
  <si>
    <t>都昆</t>
  </si>
  <si>
    <t>dun1</t>
  </si>
  <si>
    <t>他昆</t>
  </si>
  <si>
    <t>tun1</t>
  </si>
  <si>
    <t>徒渾</t>
  </si>
  <si>
    <t>tun2</t>
  </si>
  <si>
    <t>此尊</t>
  </si>
  <si>
    <t>村</t>
  </si>
  <si>
    <t>cun1</t>
  </si>
  <si>
    <t>牛昆</t>
  </si>
  <si>
    <t>蒲奔</t>
  </si>
  <si>
    <t>盆葐𪂽湓</t>
  </si>
  <si>
    <t>pen2</t>
  </si>
  <si>
    <t>博昆</t>
  </si>
  <si>
    <t>ben1</t>
  </si>
  <si>
    <t>盧昆</t>
  </si>
  <si>
    <t>苦昆</t>
  </si>
  <si>
    <t>kun1</t>
  </si>
  <si>
    <t>呼昆</t>
  </si>
  <si>
    <t>昏惛婚棔閽殙𣣏</t>
  </si>
  <si>
    <t>hun1</t>
  </si>
  <si>
    <t>普魂</t>
  </si>
  <si>
    <t>濆噴歕</t>
  </si>
  <si>
    <t>pen1</t>
  </si>
  <si>
    <t>奴昆</t>
  </si>
  <si>
    <t>黁</t>
  </si>
  <si>
    <t>nun2</t>
  </si>
  <si>
    <t>上平24痕</t>
  </si>
  <si>
    <t>痕</t>
  </si>
  <si>
    <t>痕鞎拫㯊</t>
  </si>
  <si>
    <t>hen2</t>
  </si>
  <si>
    <t>古痕</t>
  </si>
  <si>
    <t>gen1</t>
  </si>
  <si>
    <t>烏痕</t>
  </si>
  <si>
    <t>en1</t>
  </si>
  <si>
    <t>吐根</t>
  </si>
  <si>
    <t>吞</t>
  </si>
  <si>
    <t>五根</t>
  </si>
  <si>
    <t>en2</t>
  </si>
  <si>
    <t>上平25寒</t>
  </si>
  <si>
    <t>寒</t>
  </si>
  <si>
    <t>胡安</t>
  </si>
  <si>
    <t>寒𩏑韓𦺦翰鶾邯邗虷汗𧃙䮧</t>
  </si>
  <si>
    <t>han2</t>
  </si>
  <si>
    <t>俄寒</t>
  </si>
  <si>
    <t>豻犴雃𡽜</t>
  </si>
  <si>
    <t>an2</t>
  </si>
  <si>
    <t>都寒</t>
  </si>
  <si>
    <t>單襌鄲丹殫簞匰㠆癉䐷</t>
  </si>
  <si>
    <t>dan1</t>
  </si>
  <si>
    <t>烏寒</t>
  </si>
  <si>
    <t>an1</t>
  </si>
  <si>
    <t>那干</t>
  </si>
  <si>
    <t>難𩁘𪇠𩁣|𧆖</t>
  </si>
  <si>
    <t>nan2</t>
  </si>
  <si>
    <t>七安</t>
  </si>
  <si>
    <t>can1</t>
  </si>
  <si>
    <t>他干</t>
  </si>
  <si>
    <t>tan1</t>
  </si>
  <si>
    <t>蘇干</t>
  </si>
  <si>
    <t>𦙽𦙱跚珊姍䈀</t>
  </si>
  <si>
    <t>san1</t>
  </si>
  <si>
    <t>徒干</t>
  </si>
  <si>
    <t>tan2</t>
  </si>
  <si>
    <t>昨干</t>
  </si>
  <si>
    <t>殘䏼㱚戔𥂥𣦻(𣦼)帴</t>
  </si>
  <si>
    <t>can2</t>
  </si>
  <si>
    <t>古寒</t>
  </si>
  <si>
    <t>gan1</t>
  </si>
  <si>
    <t>落干</t>
  </si>
  <si>
    <t>lan2</t>
  </si>
  <si>
    <t>苦寒</t>
  </si>
  <si>
    <t>除善</t>
  </si>
  <si>
    <t>邅</t>
  </si>
  <si>
    <t>zhan4</t>
  </si>
  <si>
    <t>棧</t>
  </si>
  <si>
    <t>上29篠</t>
  </si>
  <si>
    <t>先鳥</t>
  </si>
  <si>
    <t>篠筱𩵌謏䃤㩋</t>
  </si>
  <si>
    <t>xiao3</t>
  </si>
  <si>
    <t>篠</t>
  </si>
  <si>
    <t>古了</t>
  </si>
  <si>
    <t>jiao3</t>
  </si>
  <si>
    <t>都了</t>
  </si>
  <si>
    <t>diao3</t>
  </si>
  <si>
    <t>盧鳥</t>
  </si>
  <si>
    <t>liao3</t>
  </si>
  <si>
    <t>土了</t>
  </si>
  <si>
    <t>朓窱䠷(挑)</t>
  </si>
  <si>
    <t>tiao3</t>
  </si>
  <si>
    <t>馨皛</t>
  </si>
  <si>
    <t>烏皎</t>
  </si>
  <si>
    <t>yao3</t>
  </si>
  <si>
    <t>奴鳥</t>
  </si>
  <si>
    <t>嬲嫋𨲂㒟褭嬈㜵䃵𢴶</t>
  </si>
  <si>
    <t>niao3</t>
  </si>
  <si>
    <t>胡了</t>
  </si>
  <si>
    <t>皛芍=𦯪㵿𠄔</t>
  </si>
  <si>
    <t>xiao4</t>
  </si>
  <si>
    <t>徒了</t>
  </si>
  <si>
    <t>窕𤕷𤱩誂掉嬥挑䂽</t>
  </si>
  <si>
    <t>diao4</t>
  </si>
  <si>
    <t>苦皎</t>
  </si>
  <si>
    <t>磽=䂪</t>
  </si>
  <si>
    <t>qiao3</t>
  </si>
  <si>
    <t>子了</t>
  </si>
  <si>
    <t>湫劋㭂㡑𧂈</t>
  </si>
  <si>
    <t>上30小</t>
  </si>
  <si>
    <t>私兆</t>
  </si>
  <si>
    <t>小𩵖䒕</t>
  </si>
  <si>
    <t>治小</t>
  </si>
  <si>
    <t>zhao4</t>
  </si>
  <si>
    <t>之少</t>
  </si>
  <si>
    <t>沼菬䈃</t>
  </si>
  <si>
    <t>zhao3</t>
  </si>
  <si>
    <t>於兆</t>
  </si>
  <si>
    <t>丑小</t>
  </si>
  <si>
    <t>巐</t>
  </si>
  <si>
    <t>chao3</t>
  </si>
  <si>
    <t>書沼</t>
  </si>
  <si>
    <t>少䒚𨙹</t>
  </si>
  <si>
    <t>shao3</t>
  </si>
  <si>
    <t>而沼</t>
  </si>
  <si>
    <t>擾𢹎繞遶嬈𤛾𧳨</t>
  </si>
  <si>
    <t>rao3</t>
  </si>
  <si>
    <t>符少</t>
  </si>
  <si>
    <t>摽𢹰鰾慓顠𩮳膘𦭼</t>
  </si>
  <si>
    <t>biao4</t>
  </si>
  <si>
    <t>尺沼</t>
  </si>
  <si>
    <t>敷沼</t>
  </si>
  <si>
    <t>縹醥犥顠皫篻瞟膘</t>
  </si>
  <si>
    <t>piao3</t>
  </si>
  <si>
    <t>亡沼</t>
  </si>
  <si>
    <t>渺!眇訬𦳥淼杪秒藐吵篎[緲]</t>
  </si>
  <si>
    <t>miao3</t>
  </si>
  <si>
    <t>市沼</t>
  </si>
  <si>
    <t>shao4</t>
  </si>
  <si>
    <t>居夭</t>
  </si>
  <si>
    <t>陂矯</t>
  </si>
  <si>
    <t>表=𧘝=𧞧䔸|裱婊|</t>
  </si>
  <si>
    <t>biao3</t>
  </si>
  <si>
    <t>方小</t>
  </si>
  <si>
    <t>褾𧢄標㟽</t>
  </si>
  <si>
    <t>平表</t>
  </si>
  <si>
    <t>藨𦳤殍莩𠬪㰶㹾𧴎</t>
  </si>
  <si>
    <t>以沼</t>
  </si>
  <si>
    <t>鷕溔舀𦥨抭𩨴䁘</t>
  </si>
  <si>
    <t>親小</t>
  </si>
  <si>
    <t>子小</t>
  </si>
  <si>
    <t>剿)!𠞰𠟯勦漅𨙹𤃭膘𢄺</t>
  </si>
  <si>
    <t>巨夭</t>
  </si>
  <si>
    <t>𨲭</t>
  </si>
  <si>
    <t>jiao4</t>
  </si>
  <si>
    <t>力小</t>
  </si>
  <si>
    <t>滂表</t>
  </si>
  <si>
    <t>麃</t>
  </si>
  <si>
    <t>於小</t>
  </si>
  <si>
    <t>闄</t>
  </si>
  <si>
    <t>上31巧</t>
  </si>
  <si>
    <t>苦絞</t>
  </si>
  <si>
    <t>巧䲾</t>
  </si>
  <si>
    <t>巧</t>
  </si>
  <si>
    <t>下巧</t>
  </si>
  <si>
    <t>澩㺒䕧佼䀊䉰</t>
  </si>
  <si>
    <t>博巧</t>
  </si>
  <si>
    <t>飽=𩝰=𩛁</t>
  </si>
  <si>
    <t>bao3</t>
  </si>
  <si>
    <t>奴巧</t>
  </si>
  <si>
    <t>㺒撓獿</t>
  </si>
  <si>
    <t>nao3</t>
  </si>
  <si>
    <t>莫飽</t>
  </si>
  <si>
    <t>mao3</t>
  </si>
  <si>
    <t>古巧</t>
  </si>
  <si>
    <t>側絞</t>
  </si>
  <si>
    <t>找]!爪㕚䝖瑵笊𢁬抓𦬔|</t>
  </si>
  <si>
    <t>於絞</t>
  </si>
  <si>
    <t>薄巧</t>
  </si>
  <si>
    <t>bao4</t>
  </si>
  <si>
    <t>五巧</t>
  </si>
  <si>
    <t>士絞</t>
  </si>
  <si>
    <t>䰫㑿</t>
  </si>
  <si>
    <t>初爪</t>
  </si>
  <si>
    <t>張絞</t>
  </si>
  <si>
    <t>䝤獠</t>
  </si>
  <si>
    <t>山巧</t>
  </si>
  <si>
    <t>𢾐|稍䔠𨈘潲𦓴搜梢𡡏𧣪𥵦𦿃髾</t>
  </si>
  <si>
    <t>16-&gt;1</t>
  </si>
  <si>
    <t>胡老</t>
  </si>
  <si>
    <t>𥢑之咎原位右下角</t>
  </si>
  <si>
    <t>hao4</t>
  </si>
  <si>
    <t>晧</t>
  </si>
  <si>
    <t>薄浩</t>
  </si>
  <si>
    <t>抱</t>
  </si>
  <si>
    <t>老䝤獠轑橑潦䕩栳𣠼𩔇恅𡂕䵏澇</t>
  </si>
  <si>
    <t>lao3</t>
  </si>
  <si>
    <t>他浩</t>
  </si>
  <si>
    <t>討𡘷槄</t>
  </si>
  <si>
    <t>tao3</t>
  </si>
  <si>
    <t>dao4</t>
  </si>
  <si>
    <t>蘇老</t>
  </si>
  <si>
    <t>嫂㛮㛐燥埽掃𦺋(䕅)|糔</t>
  </si>
  <si>
    <t>刪埂</t>
  </si>
  <si>
    <t>sao3</t>
  </si>
  <si>
    <t>倒擣搗㠀(島)禂䮻檮禱㿒壔懤</t>
  </si>
  <si>
    <t>dao3</t>
  </si>
  <si>
    <t>采老</t>
  </si>
  <si>
    <t>cao3</t>
  </si>
  <si>
    <t>zao3</t>
  </si>
  <si>
    <t>昨早</t>
  </si>
  <si>
    <t>zao4</t>
  </si>
  <si>
    <t>古老</t>
  </si>
  <si>
    <t>gao3</t>
  </si>
  <si>
    <t>好𡚽</t>
  </si>
  <si>
    <t>hao3</t>
  </si>
  <si>
    <t>武道</t>
  </si>
  <si>
    <t>博抱</t>
  </si>
  <si>
    <t>ao3</t>
  </si>
  <si>
    <t>苦浩</t>
  </si>
  <si>
    <t>kao3</t>
  </si>
  <si>
    <t>五老</t>
  </si>
  <si>
    <t>𦽀𩑤</t>
  </si>
  <si>
    <t>上33哿</t>
  </si>
  <si>
    <t>古我</t>
  </si>
  <si>
    <t>哿舸笴𥰮</t>
  </si>
  <si>
    <t>ge3</t>
  </si>
  <si>
    <t>哿</t>
  </si>
  <si>
    <t>千可</t>
  </si>
  <si>
    <t>瑳䰈硰</t>
  </si>
  <si>
    <t>cuo3</t>
  </si>
  <si>
    <t>丁可</t>
  </si>
  <si>
    <t>嚲哆癉䫂|奲</t>
  </si>
  <si>
    <t>4？</t>
  </si>
  <si>
    <t>duo3</t>
  </si>
  <si>
    <t>蘇可</t>
  </si>
  <si>
    <t>suo3</t>
  </si>
  <si>
    <t>徒可</t>
  </si>
  <si>
    <t>duo4</t>
  </si>
  <si>
    <t>五可</t>
  </si>
  <si>
    <t>e3</t>
  </si>
  <si>
    <t>吐可</t>
  </si>
  <si>
    <t>袉</t>
  </si>
  <si>
    <t>tuo3</t>
  </si>
  <si>
    <t>來可</t>
  </si>
  <si>
    <t>luo3</t>
  </si>
  <si>
    <t>奴可</t>
  </si>
  <si>
    <t>哪]!橠娜那㡅𢄴袲</t>
  </si>
  <si>
    <t>nuo3</t>
  </si>
  <si>
    <t>胡可</t>
  </si>
  <si>
    <t>荷何</t>
  </si>
  <si>
    <t>he4</t>
  </si>
  <si>
    <t>㰤㗿㪃㪋𩑸</t>
  </si>
  <si>
    <t>he3</t>
  </si>
  <si>
    <t>枯我</t>
  </si>
  <si>
    <t>可岢軻坷</t>
  </si>
  <si>
    <t>ke3</t>
  </si>
  <si>
    <t>烏可</t>
  </si>
  <si>
    <t>臧可</t>
  </si>
  <si>
    <t>左㝾</t>
  </si>
  <si>
    <t>zuo3</t>
  </si>
  <si>
    <t>上34果</t>
  </si>
  <si>
    <t>古火</t>
  </si>
  <si>
    <t>guo3</t>
  </si>
  <si>
    <t>丁果</t>
  </si>
  <si>
    <t>蘇果</t>
  </si>
  <si>
    <t>徒果</t>
  </si>
  <si>
    <t>他果</t>
  </si>
  <si>
    <t>*土或在下</t>
  </si>
  <si>
    <t>亡果</t>
  </si>
  <si>
    <t>mo3</t>
  </si>
  <si>
    <t>徂果</t>
  </si>
  <si>
    <t>坐𡋲</t>
  </si>
  <si>
    <t>zuo4</t>
  </si>
  <si>
    <t>五果</t>
  </si>
  <si>
    <t>㛂(𢀴)</t>
  </si>
  <si>
    <t>wo3</t>
  </si>
  <si>
    <t>郎果</t>
  </si>
  <si>
    <t>烏果</t>
  </si>
  <si>
    <t>婐倭𥟿</t>
  </si>
  <si>
    <t>奴果</t>
  </si>
  <si>
    <t>㛂𢫷</t>
  </si>
  <si>
    <t>布火</t>
  </si>
  <si>
    <t>bo3</t>
  </si>
  <si>
    <t>普火</t>
  </si>
  <si>
    <t>po3</t>
  </si>
  <si>
    <t>胡果</t>
  </si>
  <si>
    <t>禍𥚁(𥙯)夥𡖿𣄸輠𨘌</t>
  </si>
  <si>
    <t>huo4</t>
  </si>
  <si>
    <t>呼果</t>
  </si>
  <si>
    <t>huo3</t>
  </si>
  <si>
    <t>苦果</t>
  </si>
  <si>
    <t>顆敤堁|棵|</t>
  </si>
  <si>
    <t>kuo3</t>
  </si>
  <si>
    <t>捕可</t>
  </si>
  <si>
    <t>爸</t>
  </si>
  <si>
    <t>bo4</t>
  </si>
  <si>
    <t>倉果</t>
  </si>
  <si>
    <t>脞䂳</t>
  </si>
  <si>
    <t>作可</t>
  </si>
  <si>
    <t>硰</t>
  </si>
  <si>
    <t>上35馬</t>
  </si>
  <si>
    <t>莫下</t>
  </si>
  <si>
    <t>ma3</t>
  </si>
  <si>
    <t>馬</t>
  </si>
  <si>
    <t>章也</t>
  </si>
  <si>
    <t>者赭堵</t>
  </si>
  <si>
    <t>zhe3</t>
  </si>
  <si>
    <t>羊者</t>
  </si>
  <si>
    <t>五下</t>
  </si>
  <si>
    <t>雅疋庌厊㿿</t>
  </si>
  <si>
    <t>古疋</t>
  </si>
  <si>
    <t>砂下</t>
  </si>
  <si>
    <t>灑</t>
  </si>
  <si>
    <t>sha3</t>
  </si>
  <si>
    <t>烏下</t>
  </si>
  <si>
    <t>徐野</t>
  </si>
  <si>
    <t>灺抯䵦</t>
  </si>
  <si>
    <t>胡雅</t>
  </si>
  <si>
    <t>悉姐</t>
  </si>
  <si>
    <t>寫𣞐瀉𣬕</t>
  </si>
  <si>
    <t>xie3</t>
  </si>
  <si>
    <t>𩛠瓦</t>
  </si>
  <si>
    <t>𡎬</t>
  </si>
  <si>
    <t>jue3</t>
  </si>
  <si>
    <t>彌也</t>
  </si>
  <si>
    <t>乜</t>
  </si>
  <si>
    <t>mie3</t>
  </si>
  <si>
    <t>七也</t>
  </si>
  <si>
    <t>且</t>
  </si>
  <si>
    <t>許下</t>
  </si>
  <si>
    <t>㗿閜襾</t>
  </si>
  <si>
    <t>xia3</t>
  </si>
  <si>
    <t>常者</t>
  </si>
  <si>
    <t>社𥁹𣝒</t>
  </si>
  <si>
    <t>she4</t>
  </si>
  <si>
    <t>苦下</t>
  </si>
  <si>
    <t>跒</t>
  </si>
  <si>
    <t>傍下</t>
  </si>
  <si>
    <t>跁笆䇑</t>
  </si>
  <si>
    <t>ba4</t>
  </si>
  <si>
    <t>書冶</t>
  </si>
  <si>
    <t>捨舍騇䬷𩜉</t>
  </si>
  <si>
    <t>she3</t>
  </si>
  <si>
    <t>jie3</t>
  </si>
  <si>
    <t>把</t>
  </si>
  <si>
    <t>ba3</t>
  </si>
  <si>
    <t>胡瓦</t>
  </si>
  <si>
    <t>古瓦</t>
  </si>
  <si>
    <t>五寡</t>
  </si>
  <si>
    <t>wa3</t>
  </si>
  <si>
    <t>人者</t>
  </si>
  <si>
    <t>若惹𠰒(喏)</t>
  </si>
  <si>
    <t>re3</t>
  </si>
  <si>
    <t>側下</t>
  </si>
  <si>
    <t>鮓厏痄謯𥰭</t>
  </si>
  <si>
    <t>zha3</t>
  </si>
  <si>
    <t>都賈</t>
  </si>
  <si>
    <t>觰</t>
  </si>
  <si>
    <t>士下</t>
  </si>
  <si>
    <t>槎厏</t>
  </si>
  <si>
    <t>sha4</t>
  </si>
  <si>
    <t>昌者</t>
  </si>
  <si>
    <t>扯)!奲㨋䰩哆撦</t>
  </si>
  <si>
    <t>che3</t>
  </si>
  <si>
    <t>竹下</t>
  </si>
  <si>
    <t>䋾</t>
  </si>
  <si>
    <t>奴下</t>
  </si>
  <si>
    <t>䋈</t>
  </si>
  <si>
    <t>na3</t>
  </si>
  <si>
    <t>苦瓦</t>
  </si>
  <si>
    <t>髁跨骻㡁𢄳銙𡕒</t>
  </si>
  <si>
    <t>kua3</t>
  </si>
  <si>
    <t>叉瓦</t>
  </si>
  <si>
    <t>䂳</t>
  </si>
  <si>
    <t>chua3</t>
  </si>
  <si>
    <t>丑寡</t>
  </si>
  <si>
    <t>䊬)</t>
  </si>
  <si>
    <t>沙瓦</t>
  </si>
  <si>
    <t>葰𧫝傻[耍]</t>
  </si>
  <si>
    <t>shua3</t>
  </si>
  <si>
    <t>丑下</t>
  </si>
  <si>
    <t>cha3</t>
  </si>
  <si>
    <t>盧下</t>
  </si>
  <si>
    <t>藞</t>
  </si>
  <si>
    <t>la3</t>
  </si>
  <si>
    <t>上36養</t>
  </si>
  <si>
    <t>餘兩</t>
  </si>
  <si>
    <t>養</t>
  </si>
  <si>
    <t>徐兩</t>
  </si>
  <si>
    <t>即兩</t>
  </si>
  <si>
    <t>獎!㢡 䉃槳=㯍蔣</t>
  </si>
  <si>
    <t>良㢡</t>
  </si>
  <si>
    <t>liang3</t>
  </si>
  <si>
    <t>於兩</t>
  </si>
  <si>
    <t>其兩</t>
  </si>
  <si>
    <t>jiang4</t>
  </si>
  <si>
    <t>魚兩</t>
  </si>
  <si>
    <t>仰䒢卬</t>
  </si>
  <si>
    <t>初兩</t>
  </si>
  <si>
    <t>磢㼽𠞮搶(闖?)漺愴</t>
  </si>
  <si>
    <t>chuang3</t>
  </si>
  <si>
    <t>息兩</t>
  </si>
  <si>
    <t>想鯗</t>
  </si>
  <si>
    <t>諸兩</t>
  </si>
  <si>
    <t>掌仉𤓯</t>
  </si>
  <si>
    <t>𤓯上原作𠃊</t>
  </si>
  <si>
    <t>zhang3</t>
  </si>
  <si>
    <t>爽!𤕤 𦄍鷞塽樉㼽漺䫪</t>
  </si>
  <si>
    <t>shuang3</t>
  </si>
  <si>
    <t>許兩</t>
  </si>
  <si>
    <t>昌兩</t>
  </si>
  <si>
    <t>chang3</t>
  </si>
  <si>
    <t>居兩</t>
  </si>
  <si>
    <t>直兩</t>
  </si>
  <si>
    <t>丈杖仗㽴</t>
  </si>
  <si>
    <t>zhang4</t>
  </si>
  <si>
    <t>丑兩</t>
  </si>
  <si>
    <t>昶鋹</t>
  </si>
  <si>
    <t>居往</t>
  </si>
  <si>
    <t>獷</t>
  </si>
  <si>
    <t>guang3</t>
  </si>
  <si>
    <t>如兩</t>
  </si>
  <si>
    <t>壤䖆䑋穰蠰攘躟𥗝[嚷]</t>
  </si>
  <si>
    <t>rang3</t>
  </si>
  <si>
    <t>書兩</t>
  </si>
  <si>
    <t>賞𩞧𩞃饟曏|償</t>
  </si>
  <si>
    <t>shang3</t>
  </si>
  <si>
    <t>妃兩</t>
  </si>
  <si>
    <t>仿!髣彷紡鶭=䲱</t>
  </si>
  <si>
    <t>fang3</t>
  </si>
  <si>
    <t>文兩</t>
  </si>
  <si>
    <t>wang3</t>
  </si>
  <si>
    <t>分网</t>
  </si>
  <si>
    <t>昉倣放瓬</t>
  </si>
  <si>
    <t>紆往</t>
  </si>
  <si>
    <t>枉𢽃汪𣢫</t>
  </si>
  <si>
    <t>于兩</t>
  </si>
  <si>
    <t>往暀</t>
  </si>
  <si>
    <t>許昉</t>
  </si>
  <si>
    <t>huang3</t>
  </si>
  <si>
    <t>七兩</t>
  </si>
  <si>
    <t>qiang3</t>
  </si>
  <si>
    <t>知丈</t>
  </si>
  <si>
    <t>長</t>
  </si>
  <si>
    <t>時掌</t>
  </si>
  <si>
    <t>shang4</t>
  </si>
  <si>
    <t>求往</t>
  </si>
  <si>
    <t>俇</t>
  </si>
  <si>
    <t>guang4</t>
  </si>
  <si>
    <t>俱往</t>
  </si>
  <si>
    <t>臩迋𠏤逛</t>
  </si>
  <si>
    <t>毗養</t>
  </si>
  <si>
    <t>𩦠</t>
  </si>
  <si>
    <t>fang4</t>
  </si>
  <si>
    <t>初丈</t>
  </si>
  <si>
    <t>䫪傸</t>
  </si>
  <si>
    <t>上37蕩</t>
  </si>
  <si>
    <t>徒朗</t>
  </si>
  <si>
    <t>蕩崵婸𥯕潒𢠽愓璗盪䑗簜嵣</t>
  </si>
  <si>
    <t>刪暘</t>
  </si>
  <si>
    <t>dang4</t>
  </si>
  <si>
    <t>蘇朗</t>
  </si>
  <si>
    <t>顙(嗓)𣞙𣡆磉|搡</t>
  </si>
  <si>
    <t>sang3</t>
  </si>
  <si>
    <t>古晃</t>
  </si>
  <si>
    <t>廣鄺</t>
  </si>
  <si>
    <t>北朗</t>
  </si>
  <si>
    <t>榜牓螃𣮧䰃蒡</t>
  </si>
  <si>
    <t>子朗</t>
  </si>
  <si>
    <t>zang3</t>
  </si>
  <si>
    <t>奴朗</t>
  </si>
  <si>
    <t>曩灢</t>
  </si>
  <si>
    <t>nang3</t>
  </si>
  <si>
    <t>胡朗</t>
  </si>
  <si>
    <t>沆骯䟘𡕬蚢吭</t>
  </si>
  <si>
    <t>hang4</t>
  </si>
  <si>
    <t>他朗</t>
  </si>
  <si>
    <t>tang3</t>
  </si>
  <si>
    <t>模朗</t>
  </si>
  <si>
    <t>多朗</t>
  </si>
  <si>
    <t>dang3</t>
  </si>
  <si>
    <t>盧黨</t>
  </si>
  <si>
    <t>lang3</t>
  </si>
  <si>
    <t>烏朗</t>
  </si>
  <si>
    <t>ang3</t>
  </si>
  <si>
    <t>苦朗</t>
  </si>
  <si>
    <t>*心在下</t>
  </si>
  <si>
    <t>kang3</t>
  </si>
  <si>
    <t>烏晃</t>
  </si>
  <si>
    <t>㳹瀇</t>
  </si>
  <si>
    <t>胡廣</t>
  </si>
  <si>
    <t>huang4</t>
  </si>
  <si>
    <t>匹朗</t>
  </si>
  <si>
    <t>pang3</t>
  </si>
  <si>
    <t>呼晃</t>
  </si>
  <si>
    <t>各朗</t>
  </si>
  <si>
    <t>䴚=𨟼=㽘䟘</t>
  </si>
  <si>
    <t>gang3</t>
  </si>
  <si>
    <t>五朗</t>
  </si>
  <si>
    <t>䭹</t>
  </si>
  <si>
    <t>徂朗</t>
  </si>
  <si>
    <t>奘</t>
  </si>
  <si>
    <t>zang4</t>
  </si>
  <si>
    <t>蒼</t>
  </si>
  <si>
    <t>cang3</t>
  </si>
  <si>
    <t>呼朗</t>
  </si>
  <si>
    <t>汻酐𤰟</t>
  </si>
  <si>
    <t>hang3</t>
  </si>
  <si>
    <t>丘晃</t>
  </si>
  <si>
    <t>kuang3</t>
  </si>
  <si>
    <t>上38梗</t>
  </si>
  <si>
    <t>古杏</t>
  </si>
  <si>
    <t>梗挭哽郠綆鯁埂骾𧋑</t>
  </si>
  <si>
    <t>geng3</t>
  </si>
  <si>
    <t>兵永</t>
  </si>
  <si>
    <t>bing3</t>
  </si>
  <si>
    <t>居影</t>
  </si>
  <si>
    <t>警儆景境璥蟼㯳憼</t>
  </si>
  <si>
    <t>jing3</t>
  </si>
  <si>
    <t>於丙</t>
  </si>
  <si>
    <t>ying3</t>
  </si>
  <si>
    <t>所景</t>
  </si>
  <si>
    <t>省眚㾪𡞞䚇𨵥㼳渻𨜜</t>
  </si>
  <si>
    <t>sheng3</t>
  </si>
  <si>
    <t>于憬</t>
  </si>
  <si>
    <t>許永</t>
  </si>
  <si>
    <t>𦬺</t>
  </si>
  <si>
    <t>武永</t>
  </si>
  <si>
    <t>皿𥥊𥁰</t>
  </si>
  <si>
    <t>ming3</t>
  </si>
  <si>
    <t>俱永</t>
  </si>
  <si>
    <t>憬囧煚璟臩暻</t>
  </si>
  <si>
    <t>何梗</t>
  </si>
  <si>
    <t>杏莕荇</t>
  </si>
  <si>
    <t>heng4</t>
  </si>
  <si>
    <t>莫幸</t>
  </si>
  <si>
    <t>猛蜢艋𥋝鱦鄳</t>
  </si>
  <si>
    <t>古猛</t>
  </si>
  <si>
    <t>gong3</t>
  </si>
  <si>
    <t>布梗</t>
  </si>
  <si>
    <t>張梗</t>
  </si>
  <si>
    <t>盯</t>
  </si>
  <si>
    <t>zheng3</t>
  </si>
  <si>
    <t>徒杏</t>
  </si>
  <si>
    <t>瑒</t>
  </si>
  <si>
    <t>zheng4</t>
  </si>
  <si>
    <t>烏猛</t>
  </si>
  <si>
    <t>德冷</t>
  </si>
  <si>
    <t>打</t>
  </si>
  <si>
    <t>魯打</t>
  </si>
  <si>
    <t>冷</t>
  </si>
  <si>
    <t>leng3</t>
  </si>
  <si>
    <t>乎䁝</t>
  </si>
  <si>
    <t>蒲猛</t>
  </si>
  <si>
    <t>鮩</t>
  </si>
  <si>
    <t>苦礦</t>
  </si>
  <si>
    <t>𥉁</t>
  </si>
  <si>
    <t>拏梗</t>
  </si>
  <si>
    <t>檸</t>
  </si>
  <si>
    <t>neng3</t>
  </si>
  <si>
    <t>上39耿</t>
  </si>
  <si>
    <t>古幸</t>
  </si>
  <si>
    <t>耿𦵸𥉔</t>
  </si>
  <si>
    <t>武幸</t>
  </si>
  <si>
    <t>䁅鼆黽</t>
  </si>
  <si>
    <t>胡耿</t>
  </si>
  <si>
    <t>幸𡴘(㚔𠂷)倖㼬</t>
  </si>
  <si>
    <t>蒲幸</t>
  </si>
  <si>
    <t>普幸</t>
  </si>
  <si>
    <t>皏</t>
  </si>
  <si>
    <t>peng3</t>
  </si>
  <si>
    <t>上40靜</t>
  </si>
  <si>
    <t>疾郢</t>
  </si>
  <si>
    <t>jing4</t>
  </si>
  <si>
    <t>之郢</t>
  </si>
  <si>
    <t>整𢿋</t>
  </si>
  <si>
    <t>丑郢</t>
  </si>
  <si>
    <t>䩶右原作𧈪</t>
  </si>
  <si>
    <t>cheng3</t>
  </si>
  <si>
    <t>以整</t>
  </si>
  <si>
    <t>郢浧梬</t>
  </si>
  <si>
    <t>巨郢</t>
  </si>
  <si>
    <t>痙涇</t>
  </si>
  <si>
    <t>餘頃</t>
  </si>
  <si>
    <t>穎!潁</t>
  </si>
  <si>
    <t>良郢</t>
  </si>
  <si>
    <t>ling3</t>
  </si>
  <si>
    <t>居郢</t>
  </si>
  <si>
    <t>頸</t>
  </si>
  <si>
    <t>必郢</t>
  </si>
  <si>
    <t>餅屏鉼併䴵</t>
  </si>
  <si>
    <t>去潁</t>
  </si>
  <si>
    <t>_xD865_</t>
  </si>
  <si>
    <t>子郢</t>
  </si>
  <si>
    <t>井𨙷</t>
  </si>
  <si>
    <t>於郢</t>
  </si>
  <si>
    <t>廮癭𨟙𣤵(𦢆)</t>
  </si>
  <si>
    <t>七靜</t>
  </si>
  <si>
    <t>請睛</t>
  </si>
  <si>
    <t>qing3</t>
  </si>
  <si>
    <t>息井</t>
  </si>
  <si>
    <t>xing3</t>
  </si>
  <si>
    <t>亡井</t>
  </si>
  <si>
    <t>眳慏</t>
  </si>
  <si>
    <t>丈井</t>
  </si>
  <si>
    <t>上41迥</t>
  </si>
  <si>
    <t>xiong4</t>
  </si>
  <si>
    <t>迥</t>
  </si>
  <si>
    <t>古迥</t>
  </si>
  <si>
    <t>莫迥</t>
  </si>
  <si>
    <t>茗嫇酩瀴溟眳姳</t>
  </si>
  <si>
    <t>都挺</t>
  </si>
  <si>
    <t>ding3</t>
  </si>
  <si>
    <t>徒鼎</t>
  </si>
  <si>
    <t>ding4</t>
  </si>
  <si>
    <t>他鼎</t>
  </si>
  <si>
    <t>ting3</t>
  </si>
  <si>
    <t>徂醒</t>
  </si>
  <si>
    <t>汫</t>
  </si>
  <si>
    <t>烏迥</t>
  </si>
  <si>
    <t>濙</t>
  </si>
  <si>
    <t>去挺</t>
  </si>
  <si>
    <t>謦</t>
  </si>
  <si>
    <t>乃挺</t>
  </si>
  <si>
    <t>𩕳聹濘䗿䔭</t>
  </si>
  <si>
    <r>
      <t>姬</t>
    </r>
    <r>
      <rPr>
        <sz val="14"/>
        <rFont val="宋体"/>
        <charset val="134"/>
      </rPr>
      <t>朞</t>
    </r>
    <r>
      <rPr>
        <sz val="14"/>
        <rFont val="MingLiU"/>
        <family val="3"/>
      </rPr>
      <t>稘基箕萁䇫諅其錤居諆|丌</t>
    </r>
  </si>
  <si>
    <r>
      <t>詞祠柌辭</t>
    </r>
    <r>
      <rPr>
        <sz val="14"/>
        <rFont val="宋体"/>
        <charset val="134"/>
      </rPr>
      <t>辤辝</t>
    </r>
    <r>
      <rPr>
        <sz val="14"/>
        <rFont val="MingLiU"/>
        <family val="3"/>
      </rPr>
      <t>𥿆</t>
    </r>
  </si>
  <si>
    <r>
      <t>釐[厘]貍狸氂嫠剺梩犛𣁟</t>
    </r>
    <r>
      <rPr>
        <sz val="14"/>
        <rFont val="宋体"/>
        <charset val="134"/>
      </rPr>
      <t>倈艃</t>
    </r>
    <r>
      <rPr>
        <sz val="14"/>
        <rFont val="MingLiU"/>
        <family val="3"/>
      </rPr>
      <t>𣮉孷𢟤𩭇㾖筣斄𠩬𠭰|</t>
    </r>
  </si>
  <si>
    <r>
      <t>葘</t>
    </r>
    <r>
      <rPr>
        <sz val="14"/>
        <rFont val="MingLiU"/>
        <family val="3"/>
      </rPr>
      <t>(菑)甾𦸜</t>
    </r>
    <r>
      <rPr>
        <sz val="14"/>
        <rFont val="宋体"/>
        <charset val="134"/>
      </rPr>
      <t>湽</t>
    </r>
    <r>
      <rPr>
        <sz val="14"/>
        <rFont val="MingLiU"/>
        <family val="3"/>
      </rPr>
      <t>𥀜(淄)茬</t>
    </r>
    <r>
      <rPr>
        <sz val="14"/>
        <rFont val="宋体"/>
        <charset val="134"/>
      </rPr>
      <t>輺</t>
    </r>
    <r>
      <rPr>
        <sz val="14"/>
        <rFont val="MingLiU"/>
        <family val="3"/>
      </rPr>
      <t>(輜)</t>
    </r>
    <r>
      <rPr>
        <sz val="14"/>
        <rFont val="宋体"/>
        <charset val="134"/>
      </rPr>
      <t>鍿</t>
    </r>
    <r>
      <rPr>
        <sz val="14"/>
        <rFont val="MingLiU"/>
        <family val="3"/>
      </rPr>
      <t>(錙)鶅緇䊷椔鯔䎩䣎</t>
    </r>
  </si>
  <si>
    <r>
      <t>僖歖熙嬉禧媐譆𠩺</t>
    </r>
    <r>
      <rPr>
        <sz val="14"/>
        <rFont val="宋体"/>
        <charset val="134"/>
      </rPr>
      <t>瞦</t>
    </r>
    <r>
      <rPr>
        <sz val="14"/>
        <rFont val="MingLiU"/>
        <family val="3"/>
      </rPr>
      <t>㶼熹嘻㰩娭誒</t>
    </r>
  </si>
  <si>
    <r>
      <t>醫毉</t>
    </r>
    <r>
      <rPr>
        <sz val="14"/>
        <rFont val="宋体"/>
        <charset val="134"/>
      </rPr>
      <t>譩</t>
    </r>
    <r>
      <rPr>
        <sz val="14"/>
        <rFont val="MingLiU"/>
        <family val="3"/>
      </rPr>
      <t>噫㿄</t>
    </r>
  </si>
  <si>
    <r>
      <t>蚩嗤媸</t>
    </r>
    <r>
      <rPr>
        <sz val="14"/>
        <rFont val="宋体"/>
        <charset val="134"/>
      </rPr>
      <t>妛</t>
    </r>
    <r>
      <rPr>
        <sz val="14"/>
        <rFont val="MingLiU"/>
        <family val="3"/>
      </rPr>
      <t>𦐉𣍆𥉍</t>
    </r>
  </si>
  <si>
    <r>
      <t>慈</t>
    </r>
    <r>
      <rPr>
        <sz val="14"/>
        <rFont val="宋体"/>
        <charset val="134"/>
      </rPr>
      <t>兹</t>
    </r>
    <r>
      <rPr>
        <sz val="14"/>
        <rFont val="MingLiU"/>
        <family val="3"/>
      </rPr>
      <t>(茲)</t>
    </r>
    <r>
      <rPr>
        <sz val="14"/>
        <rFont val="宋体"/>
        <charset val="134"/>
      </rPr>
      <t>鷀</t>
    </r>
    <r>
      <rPr>
        <sz val="14"/>
        <rFont val="MingLiU"/>
        <family val="3"/>
      </rPr>
      <t>(鶿)</t>
    </r>
    <r>
      <rPr>
        <sz val="14"/>
        <rFont val="宋体"/>
        <charset val="134"/>
      </rPr>
      <t>礠</t>
    </r>
    <r>
      <rPr>
        <sz val="14"/>
        <rFont val="MingLiU"/>
        <family val="3"/>
      </rPr>
      <t>[磁]濨</t>
    </r>
  </si>
  <si>
    <r>
      <t>兹</t>
    </r>
    <r>
      <rPr>
        <sz val="14"/>
        <rFont val="MingLiU"/>
        <family val="3"/>
      </rPr>
      <t>(茲)孳嵫孜滋</t>
    </r>
    <r>
      <rPr>
        <sz val="14"/>
        <rFont val="宋体"/>
        <charset val="134"/>
      </rPr>
      <t>嗞</t>
    </r>
    <r>
      <rPr>
        <sz val="14"/>
        <rFont val="MingLiU"/>
        <family val="3"/>
      </rPr>
      <t>𪑿鎡孖鼒</t>
    </r>
    <r>
      <rPr>
        <sz val="14"/>
        <rFont val="宋体"/>
        <charset val="134"/>
      </rPr>
      <t>鰦</t>
    </r>
    <r>
      <rPr>
        <sz val="14"/>
        <rFont val="MingLiU"/>
        <family val="3"/>
      </rPr>
      <t>仔</t>
    </r>
    <r>
      <rPr>
        <sz val="14"/>
        <rFont val="宋体"/>
        <charset val="134"/>
      </rPr>
      <t>鷀稵</t>
    </r>
  </si>
  <si>
    <r>
      <t>微𢼸㵟䉠薇䥩癓</t>
    </r>
    <r>
      <rPr>
        <sz val="14"/>
        <rFont val="宋体"/>
        <charset val="134"/>
      </rPr>
      <t>矀</t>
    </r>
  </si>
  <si>
    <r>
      <t>揮煇輝暉徽翬褘鰴楎</t>
    </r>
    <r>
      <rPr>
        <sz val="14"/>
        <rFont val="宋体"/>
        <charset val="134"/>
      </rPr>
      <t>幑瀈</t>
    </r>
    <r>
      <rPr>
        <sz val="14"/>
        <rFont val="MingLiU"/>
        <family val="3"/>
      </rPr>
      <t>㫎𤟤</t>
    </r>
  </si>
  <si>
    <r>
      <t>圍!幃韋䙟𩎯闈違湋囗鍏潿</t>
    </r>
    <r>
      <rPr>
        <sz val="14"/>
        <rFont val="宋体"/>
        <charset val="134"/>
      </rPr>
      <t>婔</t>
    </r>
    <r>
      <rPr>
        <sz val="14"/>
        <rFont val="MingLiU"/>
        <family val="3"/>
      </rPr>
      <t>𧝕𠆎𢾁</t>
    </r>
  </si>
  <si>
    <r>
      <t>非!</t>
    </r>
    <r>
      <rPr>
        <sz val="14"/>
        <rFont val="宋体"/>
        <charset val="134"/>
      </rPr>
      <t>猆</t>
    </r>
    <r>
      <rPr>
        <sz val="14"/>
        <rFont val="MingLiU"/>
        <family val="3"/>
      </rPr>
      <t>飛扉緋𩙲馡𩹉騛騑誹餥</t>
    </r>
  </si>
  <si>
    <r>
      <t>威葳隇</t>
    </r>
    <r>
      <rPr>
        <sz val="14"/>
        <rFont val="宋体"/>
        <charset val="134"/>
      </rPr>
      <t>嵔</t>
    </r>
    <r>
      <rPr>
        <sz val="14"/>
        <rFont val="MingLiU"/>
        <family val="3"/>
      </rPr>
      <t>蝛</t>
    </r>
    <r>
      <rPr>
        <sz val="14"/>
        <rFont val="宋体"/>
        <charset val="134"/>
      </rPr>
      <t>鰄媁楲</t>
    </r>
  </si>
  <si>
    <r>
      <t>祈頎旂𩴆畿㙨崎碕圻</t>
    </r>
    <r>
      <rPr>
        <sz val="14"/>
        <rFont val="宋体"/>
        <charset val="134"/>
      </rPr>
      <t>刏</t>
    </r>
    <r>
      <rPr>
        <sz val="14"/>
        <rFont val="MingLiU"/>
        <family val="3"/>
      </rPr>
      <t>𧰙𦠄俟幾蚚玂蟣岓𪙧</t>
    </r>
  </si>
  <si>
    <r>
      <t>機譏蘄嘰𦺬磯鞿饑禨幾䟇鐖</t>
    </r>
    <r>
      <rPr>
        <sz val="14"/>
        <rFont val="宋体"/>
        <charset val="134"/>
      </rPr>
      <t>僟</t>
    </r>
    <r>
      <rPr>
        <sz val="14"/>
        <rFont val="MingLiU"/>
        <family val="3"/>
      </rPr>
      <t>璣</t>
    </r>
    <r>
      <rPr>
        <sz val="14"/>
        <rFont val="宋体"/>
        <charset val="134"/>
      </rPr>
      <t>刏</t>
    </r>
    <r>
      <rPr>
        <sz val="14"/>
        <rFont val="MingLiU"/>
        <family val="3"/>
      </rPr>
      <t>𧗇</t>
    </r>
  </si>
  <si>
    <r>
      <t>依衣郼</t>
    </r>
    <r>
      <rPr>
        <sz val="14"/>
        <rFont val="宋体"/>
        <charset val="134"/>
      </rPr>
      <t>譩</t>
    </r>
    <r>
      <rPr>
        <sz val="14"/>
        <rFont val="MingLiU"/>
        <family val="3"/>
      </rPr>
      <t>㛄䧇㥋㐆</t>
    </r>
  </si>
  <si>
    <r>
      <t>渠𨎶𦄽璩磲蕖籧𥴧淭醵腒𪆫螶蟝䝣豦蘧鐻</t>
    </r>
    <r>
      <rPr>
        <sz val="14"/>
        <rFont val="宋体"/>
        <charset val="134"/>
      </rPr>
      <t>璖</t>
    </r>
    <r>
      <rPr>
        <sz val="14"/>
        <rFont val="MingLiU"/>
        <family val="3"/>
      </rPr>
      <t>𨞙㯫䟊𦼫䆽𧝔懅</t>
    </r>
  </si>
  <si>
    <r>
      <t>余蜍藇㶛餘輿旟鵌璵艅畬𤰩𤄕歟與譽</t>
    </r>
    <r>
      <rPr>
        <sz val="14"/>
        <rFont val="宋体"/>
        <charset val="134"/>
      </rPr>
      <t>嬩</t>
    </r>
    <r>
      <rPr>
        <sz val="14"/>
        <rFont val="MingLiU"/>
        <family val="3"/>
      </rPr>
      <t>舁</t>
    </r>
    <r>
      <rPr>
        <sz val="14"/>
        <rFont val="宋体"/>
        <charset val="134"/>
      </rPr>
      <t>擧</t>
    </r>
    <r>
      <rPr>
        <sz val="14"/>
        <rFont val="MingLiU"/>
        <family val="3"/>
      </rPr>
      <t>妤</t>
    </r>
    <r>
      <rPr>
        <sz val="14"/>
        <rFont val="宋体"/>
        <charset val="134"/>
      </rPr>
      <t>伃</t>
    </r>
    <r>
      <rPr>
        <sz val="14"/>
        <rFont val="MingLiU"/>
        <family val="3"/>
      </rPr>
      <t>㦛𪋮予㺞𩦡𧾚狳鸒雓</t>
    </r>
  </si>
  <si>
    <r>
      <t>疽岨砠䢸趄苴沮狙䏣蛆雎蒩𣻐</t>
    </r>
    <r>
      <rPr>
        <sz val="14"/>
        <rFont val="宋体"/>
        <charset val="134"/>
      </rPr>
      <t>伹坥</t>
    </r>
    <r>
      <rPr>
        <sz val="14"/>
        <rFont val="MingLiU"/>
        <family val="3"/>
      </rPr>
      <t>𡳆</t>
    </r>
  </si>
  <si>
    <r>
      <t>鉏鋤耡𧱑𪆷</t>
    </r>
    <r>
      <rPr>
        <sz val="14"/>
        <rFont val="宋体"/>
        <charset val="134"/>
      </rPr>
      <t>豠</t>
    </r>
  </si>
  <si>
    <r>
      <t>疏梳綀蔬</t>
    </r>
    <r>
      <rPr>
        <sz val="14"/>
        <rFont val="宋体"/>
        <charset val="134"/>
      </rPr>
      <t>踈</t>
    </r>
    <r>
      <rPr>
        <sz val="14"/>
        <rFont val="MingLiU"/>
        <family val="3"/>
      </rPr>
      <t>(</t>
    </r>
    <r>
      <rPr>
        <sz val="14"/>
        <rFont val="宋体"/>
        <charset val="134"/>
      </rPr>
      <t>疎</t>
    </r>
    <r>
      <rPr>
        <sz val="14"/>
        <rFont val="MingLiU"/>
        <family val="3"/>
      </rPr>
      <t>)釃疋𥿇𤕟㽰𦌿</t>
    </r>
  </si>
  <si>
    <r>
      <t>虛(</t>
    </r>
    <r>
      <rPr>
        <sz val="14"/>
        <rFont val="宋体"/>
        <charset val="134"/>
      </rPr>
      <t>虚</t>
    </r>
    <r>
      <rPr>
        <sz val="14"/>
        <rFont val="MingLiU"/>
        <family val="3"/>
      </rPr>
      <t>)歔噓魖驉𥛳</t>
    </r>
  </si>
  <si>
    <r>
      <t>徐</t>
    </r>
    <r>
      <rPr>
        <sz val="14"/>
        <rFont val="宋体"/>
        <charset val="134"/>
      </rPr>
      <t>俆</t>
    </r>
    <r>
      <rPr>
        <sz val="14"/>
        <rFont val="MingLiU"/>
        <family val="3"/>
      </rPr>
      <t>䣄䍱</t>
    </r>
  </si>
  <si>
    <r>
      <t>於淤</t>
    </r>
    <r>
      <rPr>
        <sz val="14"/>
        <rFont val="宋体"/>
        <charset val="134"/>
      </rPr>
      <t>扵</t>
    </r>
    <r>
      <rPr>
        <sz val="14"/>
        <rFont val="MingLiU"/>
        <family val="3"/>
      </rPr>
      <t>箊唹</t>
    </r>
  </si>
  <si>
    <r>
      <t>豬</t>
    </r>
    <r>
      <rPr>
        <sz val="14"/>
        <rFont val="宋体"/>
        <charset val="134"/>
      </rPr>
      <t>猪</t>
    </r>
    <r>
      <rPr>
        <sz val="14"/>
        <rFont val="MingLiU"/>
        <family val="3"/>
      </rPr>
      <t>瀦櫫藸</t>
    </r>
  </si>
  <si>
    <r>
      <t>臚閭䰕廬蘆櫚驢藘䕡</t>
    </r>
    <r>
      <rPr>
        <sz val="14"/>
        <rFont val="宋体"/>
        <charset val="134"/>
      </rPr>
      <t>爈</t>
    </r>
    <r>
      <rPr>
        <sz val="14"/>
        <rFont val="MingLiU"/>
        <family val="3"/>
      </rPr>
      <t>𤁵㠠</t>
    </r>
    <r>
      <rPr>
        <sz val="14"/>
        <rFont val="宋体"/>
        <charset val="134"/>
      </rPr>
      <t>櫖</t>
    </r>
    <r>
      <rPr>
        <sz val="14"/>
        <rFont val="MingLiU"/>
        <family val="3"/>
      </rPr>
      <t>璷䮉𥶆𢣻</t>
    </r>
  </si>
  <si>
    <r>
      <t>墟[圩]!</t>
    </r>
    <r>
      <rPr>
        <sz val="14"/>
        <rFont val="宋体"/>
        <charset val="134"/>
      </rPr>
      <t>虚</t>
    </r>
    <r>
      <rPr>
        <sz val="14"/>
        <rFont val="MingLiU"/>
        <family val="3"/>
      </rPr>
      <t>𥬔袪阹椐胠魼㠊𢴮㭕䒧|祛|</t>
    </r>
  </si>
  <si>
    <r>
      <t>愚!虞𩦢娛湡堣𪃍嵎</t>
    </r>
    <r>
      <rPr>
        <sz val="14"/>
        <rFont val="宋体"/>
        <charset val="134"/>
      </rPr>
      <t>髃</t>
    </r>
    <r>
      <rPr>
        <sz val="14"/>
        <rFont val="MingLiU"/>
        <family val="3"/>
      </rPr>
      <t>禺隅䴁鰅</t>
    </r>
    <r>
      <rPr>
        <sz val="14"/>
        <rFont val="宋体"/>
        <charset val="134"/>
      </rPr>
      <t>鍝</t>
    </r>
    <r>
      <rPr>
        <sz val="14"/>
        <rFont val="MingLiU"/>
        <family val="3"/>
      </rPr>
      <t>澞𧍪㷒齵鸆𨜖</t>
    </r>
  </si>
  <si>
    <r>
      <t>無毋瞴膴蕪誣巫莁</t>
    </r>
    <r>
      <rPr>
        <sz val="14"/>
        <rFont val="宋体"/>
        <charset val="134"/>
      </rPr>
      <t>璑</t>
    </r>
    <r>
      <rPr>
        <sz val="14"/>
        <rFont val="MingLiU"/>
        <family val="3"/>
      </rPr>
      <t>𨼊䉑鷡𦌬蝥𢜮</t>
    </r>
    <r>
      <rPr>
        <sz val="14"/>
        <rFont val="宋体"/>
        <charset val="134"/>
      </rPr>
      <t>无</t>
    </r>
    <r>
      <rPr>
        <sz val="14"/>
        <rFont val="MingLiU"/>
        <family val="3"/>
      </rPr>
      <t>𢃀譕</t>
    </r>
    <r>
      <rPr>
        <sz val="14"/>
        <rFont val="宋体"/>
        <charset val="134"/>
      </rPr>
      <t>墲鵐</t>
    </r>
    <r>
      <rPr>
        <sz val="14"/>
        <rFont val="MingLiU"/>
        <family val="3"/>
      </rPr>
      <t>憮䍢</t>
    </r>
  </si>
  <si>
    <r>
      <t>于迂盂邘雩𦏴竽玗芋汙䣿杅釪𧘘</t>
    </r>
    <r>
      <rPr>
        <sz val="14"/>
        <rFont val="宋体"/>
        <charset val="134"/>
      </rPr>
      <t>骬</t>
    </r>
    <r>
      <rPr>
        <sz val="14"/>
        <rFont val="MingLiU"/>
        <family val="3"/>
      </rPr>
      <t>𠌶謣䩒䢓𦱃[圩]</t>
    </r>
  </si>
  <si>
    <r>
      <t>衢劬軥氍</t>
    </r>
    <r>
      <rPr>
        <sz val="14"/>
        <rFont val="宋体"/>
        <charset val="134"/>
      </rPr>
      <t>眗</t>
    </r>
    <r>
      <rPr>
        <sz val="14"/>
        <rFont val="MingLiU"/>
        <family val="3"/>
      </rPr>
      <t>䧁臞</t>
    </r>
    <r>
      <rPr>
        <sz val="14"/>
        <rFont val="宋体"/>
        <charset val="134"/>
      </rPr>
      <t>癯</t>
    </r>
    <r>
      <rPr>
        <sz val="14"/>
        <rFont val="MingLiU"/>
        <family val="3"/>
      </rPr>
      <t>鴝</t>
    </r>
    <r>
      <rPr>
        <sz val="14"/>
        <rFont val="宋体"/>
        <charset val="134"/>
      </rPr>
      <t>鸜</t>
    </r>
    <r>
      <rPr>
        <sz val="14"/>
        <rFont val="MingLiU"/>
        <family val="3"/>
      </rPr>
      <t>灈躣</t>
    </r>
    <r>
      <rPr>
        <sz val="14"/>
        <rFont val="宋体"/>
        <charset val="134"/>
      </rPr>
      <t>忂</t>
    </r>
    <r>
      <rPr>
        <sz val="14"/>
        <rFont val="MingLiU"/>
        <family val="3"/>
      </rPr>
      <t>𩢳鼩蘧斪句蠷瞿欋葋翵翑蚼𪓞𧾱䞤𠣪絇𡱺𥃔𥗫</t>
    </r>
    <r>
      <rPr>
        <sz val="14"/>
        <rFont val="宋体"/>
        <charset val="134"/>
      </rPr>
      <t>戵鑺</t>
    </r>
    <r>
      <rPr>
        <sz val="14"/>
        <rFont val="MingLiU"/>
        <family val="3"/>
      </rPr>
      <t>姁[蠼]朐</t>
    </r>
  </si>
  <si>
    <r>
      <t>儒獳濡襦懦嚅</t>
    </r>
    <r>
      <rPr>
        <sz val="14"/>
        <rFont val="宋体"/>
        <charset val="134"/>
      </rPr>
      <t>鱬</t>
    </r>
    <r>
      <rPr>
        <sz val="14"/>
        <rFont val="MingLiU"/>
        <family val="3"/>
      </rPr>
      <t>䞕臑𪋯醹䰰㼱嬬繻</t>
    </r>
    <r>
      <rPr>
        <sz val="14"/>
        <rFont val="宋体"/>
        <charset val="134"/>
      </rPr>
      <t>顬</t>
    </r>
    <r>
      <rPr>
        <sz val="14"/>
        <rFont val="MingLiU"/>
        <family val="3"/>
      </rPr>
      <t>|蠕薷|</t>
    </r>
  </si>
  <si>
    <r>
      <t>株誅邾</t>
    </r>
    <r>
      <rPr>
        <sz val="14"/>
        <rFont val="宋体"/>
        <charset val="134"/>
      </rPr>
      <t>鼄</t>
    </r>
    <r>
      <rPr>
        <sz val="14"/>
        <rFont val="MingLiU"/>
        <family val="3"/>
      </rPr>
      <t>蛛列鴸跦袾㦵𪏿</t>
    </r>
  </si>
  <si>
    <r>
      <t>逾踰窬臾楰腴諛隃鄃覦𨵦俞歈愉𢋅揄褕瑜崳㥚羭蝓榆萸堬牏渝媮𤜹㳛𤧙瘉螸蕍𦺮䩱䜽</t>
    </r>
    <r>
      <rPr>
        <sz val="14"/>
        <rFont val="宋体"/>
        <charset val="134"/>
      </rPr>
      <t>萮</t>
    </r>
    <r>
      <rPr>
        <sz val="14"/>
        <rFont val="MingLiU"/>
        <family val="3"/>
      </rPr>
      <t>𧃠舀㼶</t>
    </r>
    <r>
      <rPr>
        <sz val="14"/>
        <rFont val="宋体"/>
        <charset val="134"/>
      </rPr>
      <t>騟</t>
    </r>
    <r>
      <rPr>
        <sz val="14"/>
        <rFont val="MingLiU"/>
        <family val="3"/>
      </rPr>
      <t>𢔢𥯮𥔢|瘐|</t>
    </r>
  </si>
  <si>
    <r>
      <t>區</t>
    </r>
    <r>
      <rPr>
        <sz val="14"/>
        <rFont val="宋体"/>
        <charset val="134"/>
      </rPr>
      <t>鰸</t>
    </r>
    <r>
      <rPr>
        <sz val="14"/>
        <rFont val="MingLiU"/>
        <family val="3"/>
      </rPr>
      <t>𢿛䧢驅嶇軀摳</t>
    </r>
  </si>
  <si>
    <r>
      <t>朱珠侏絑</t>
    </r>
    <r>
      <rPr>
        <sz val="14"/>
        <rFont val="宋体"/>
        <charset val="134"/>
      </rPr>
      <t>秼</t>
    </r>
    <r>
      <rPr>
        <sz val="14"/>
        <rFont val="MingLiU"/>
        <family val="3"/>
      </rPr>
      <t>咮鴸鮢𤝹硃</t>
    </r>
  </si>
  <si>
    <r>
      <t>慺蔞氀瞜䱾㟺䝏㺏摟鷜鏤䣚婁</t>
    </r>
    <r>
      <rPr>
        <sz val="14"/>
        <rFont val="宋体"/>
        <charset val="134"/>
      </rPr>
      <t>瘻</t>
    </r>
    <r>
      <rPr>
        <sz val="14"/>
        <rFont val="MingLiU"/>
        <family val="3"/>
      </rPr>
      <t>𤗬膢</t>
    </r>
  </si>
  <si>
    <r>
      <t>扶𢺻芙符</t>
    </r>
    <r>
      <rPr>
        <sz val="14"/>
        <rFont val="宋体"/>
        <charset val="134"/>
      </rPr>
      <t>颫</t>
    </r>
    <r>
      <rPr>
        <sz val="14"/>
        <rFont val="MingLiU"/>
        <family val="3"/>
      </rPr>
      <t>鳧榑苻蚨夫𦽏𣿆枹瓿𧥱枎</t>
    </r>
    <r>
      <rPr>
        <sz val="14"/>
        <rFont val="宋体"/>
        <charset val="134"/>
      </rPr>
      <t>坿</t>
    </r>
    <r>
      <rPr>
        <sz val="14"/>
        <rFont val="MingLiU"/>
        <family val="3"/>
      </rPr>
      <t>泭𣻜𤱽𣘧𣻥𢞦𦑹𦔾玸</t>
    </r>
  </si>
  <si>
    <r>
      <t>㑳</t>
    </r>
    <r>
      <rPr>
        <sz val="14"/>
        <rFont val="MingLiU"/>
        <family val="3"/>
      </rPr>
      <t>搊</t>
    </r>
  </si>
  <si>
    <r>
      <t>敷麩</t>
    </r>
    <r>
      <rPr>
        <sz val="14"/>
        <rFont val="宋体"/>
        <charset val="134"/>
      </rPr>
      <t>麱</t>
    </r>
    <r>
      <rPr>
        <sz val="14"/>
        <rFont val="MingLiU"/>
        <family val="3"/>
      </rPr>
      <t>孚𣞒郛鄜鋪</t>
    </r>
    <r>
      <rPr>
        <sz val="14"/>
        <rFont val="宋体"/>
        <charset val="134"/>
      </rPr>
      <t>筟</t>
    </r>
    <r>
      <rPr>
        <sz val="14"/>
        <rFont val="MingLiU"/>
        <family val="3"/>
      </rPr>
      <t>俘痡殍怤䎔𧀮孵</t>
    </r>
    <r>
      <rPr>
        <sz val="14"/>
        <rFont val="宋体"/>
        <charset val="134"/>
      </rPr>
      <t>豧</t>
    </r>
    <r>
      <rPr>
        <sz val="14"/>
        <rFont val="MingLiU"/>
        <family val="3"/>
      </rPr>
      <t>尃䱐罦稃𥹃莩泭郙㕊桴䒀㩤姇荂紨䓵㲗䓏</t>
    </r>
    <r>
      <rPr>
        <sz val="14"/>
        <rFont val="宋体"/>
        <charset val="134"/>
      </rPr>
      <t>秿</t>
    </r>
  </si>
  <si>
    <r>
      <t>夫!跗趺膚</t>
    </r>
    <r>
      <rPr>
        <sz val="14"/>
        <rFont val="宋体"/>
        <charset val="134"/>
      </rPr>
      <t>肤</t>
    </r>
    <r>
      <rPr>
        <sz val="14"/>
        <rFont val="MingLiU"/>
        <family val="3"/>
      </rPr>
      <t>邞鈇衭扶㠸</t>
    </r>
    <r>
      <rPr>
        <sz val="14"/>
        <rFont val="宋体"/>
        <charset val="134"/>
      </rPr>
      <t>玞</t>
    </r>
    <r>
      <rPr>
        <sz val="14"/>
        <rFont val="MingLiU"/>
        <family val="3"/>
      </rPr>
      <t>𩿧𧀴簠鳺柎𩬙𩵩䄮䃿</t>
    </r>
    <r>
      <rPr>
        <sz val="14"/>
        <rFont val="宋体"/>
        <charset val="134"/>
      </rPr>
      <t>妋</t>
    </r>
    <r>
      <rPr>
        <sz val="14"/>
        <rFont val="MingLiU"/>
        <family val="3"/>
      </rPr>
      <t>[</t>
    </r>
    <r>
      <rPr>
        <sz val="14"/>
        <rFont val="宋体"/>
        <charset val="134"/>
      </rPr>
      <t>呋</t>
    </r>
    <r>
      <rPr>
        <sz val="14"/>
        <rFont val="MingLiU"/>
        <family val="3"/>
      </rPr>
      <t>]</t>
    </r>
  </si>
  <si>
    <r>
      <t>迂!紆靪陓扜䩽䙔蓲䣿㝼</t>
    </r>
    <r>
      <rPr>
        <sz val="14"/>
        <rFont val="宋体"/>
        <charset val="134"/>
      </rPr>
      <t>虶</t>
    </r>
    <r>
      <rPr>
        <sz val="14"/>
        <rFont val="MingLiU"/>
        <family val="3"/>
      </rPr>
      <t>䨕</t>
    </r>
  </si>
  <si>
    <r>
      <t>廚(</t>
    </r>
    <r>
      <rPr>
        <sz val="14"/>
        <rFont val="宋体"/>
        <charset val="134"/>
      </rPr>
      <t>厨</t>
    </r>
    <r>
      <rPr>
        <sz val="14"/>
        <rFont val="MingLiU"/>
        <family val="3"/>
      </rPr>
      <t>)[櫥]</t>
    </r>
    <r>
      <rPr>
        <sz val="14"/>
        <rFont val="宋体"/>
        <charset val="134"/>
      </rPr>
      <t>蹰</t>
    </r>
    <r>
      <rPr>
        <sz val="14"/>
        <rFont val="MingLiU"/>
        <family val="3"/>
      </rPr>
      <t>(躕)幮裯趎</t>
    </r>
  </si>
  <si>
    <r>
      <t>拘駒䀠</t>
    </r>
    <r>
      <rPr>
        <sz val="14"/>
        <rFont val="宋体"/>
        <charset val="134"/>
      </rPr>
      <t>眗</t>
    </r>
    <r>
      <rPr>
        <sz val="14"/>
        <rFont val="MingLiU"/>
        <family val="3"/>
      </rPr>
      <t>岣㪺𨞜捄</t>
    </r>
    <r>
      <rPr>
        <sz val="14"/>
        <rFont val="宋体"/>
        <charset val="134"/>
      </rPr>
      <t>跔</t>
    </r>
    <r>
      <rPr>
        <sz val="14"/>
        <rFont val="MingLiU"/>
        <family val="3"/>
      </rPr>
      <t>鮈俱痀𥇛𥗫</t>
    </r>
  </si>
  <si>
    <r>
      <t>毹㡏橾</t>
    </r>
    <r>
      <rPr>
        <sz val="14"/>
        <rFont val="宋体"/>
        <charset val="134"/>
      </rPr>
      <t>螋</t>
    </r>
  </si>
  <si>
    <r>
      <t>模</t>
    </r>
    <r>
      <rPr>
        <sz val="14"/>
        <rFont val="宋体"/>
        <charset val="134"/>
      </rPr>
      <t>橅墲</t>
    </r>
    <r>
      <rPr>
        <sz val="14"/>
        <rFont val="MingLiU"/>
        <family val="3"/>
      </rPr>
      <t>摸嫫謨=𠻚㡔𨡭䉑</t>
    </r>
    <r>
      <rPr>
        <sz val="14"/>
        <rFont val="宋体"/>
        <charset val="134"/>
      </rPr>
      <t>无</t>
    </r>
    <r>
      <rPr>
        <sz val="14"/>
        <rFont val="MingLiU"/>
        <family val="3"/>
      </rPr>
      <t>膜|摹|</t>
    </r>
  </si>
  <si>
    <r>
      <t>酺匍蜅</t>
    </r>
    <r>
      <rPr>
        <sz val="14"/>
        <rFont val="宋体"/>
        <charset val="134"/>
      </rPr>
      <t>荹</t>
    </r>
    <r>
      <rPr>
        <sz val="14"/>
        <rFont val="MingLiU"/>
        <family val="3"/>
      </rPr>
      <t>䔕樸菩蒲蒱䈻葡</t>
    </r>
  </si>
  <si>
    <r>
      <t>胡𩑶𠴱</t>
    </r>
    <r>
      <rPr>
        <sz val="14"/>
        <rFont val="宋体"/>
        <charset val="134"/>
      </rPr>
      <t>壷</t>
    </r>
    <r>
      <rPr>
        <sz val="14"/>
        <rFont val="MingLiU"/>
        <family val="3"/>
      </rPr>
      <t>(壺)狐</t>
    </r>
    <r>
      <rPr>
        <sz val="14"/>
        <rFont val="宋体"/>
        <charset val="134"/>
      </rPr>
      <t>瓳</t>
    </r>
    <r>
      <rPr>
        <sz val="14"/>
        <rFont val="MingLiU"/>
        <family val="3"/>
      </rPr>
      <t>餬瑚湖鶘猢醐𪏻䊀𪍒糊弧乎𠀒𪕱瓠葫㾰魱</t>
    </r>
    <r>
      <rPr>
        <sz val="14"/>
        <rFont val="宋体"/>
        <charset val="134"/>
      </rPr>
      <t>箶</t>
    </r>
    <r>
      <rPr>
        <sz val="14"/>
        <rFont val="MingLiU"/>
        <family val="3"/>
      </rPr>
      <t>䉉𥶜𧛞㯛虖|𧍵|[蝴]</t>
    </r>
  </si>
  <si>
    <r>
      <t>孤</t>
    </r>
    <r>
      <rPr>
        <sz val="14"/>
        <rFont val="宋体"/>
        <charset val="134"/>
      </rPr>
      <t>苽</t>
    </r>
    <r>
      <rPr>
        <sz val="14"/>
        <rFont val="MingLiU"/>
        <family val="3"/>
      </rPr>
      <t>菰胍𡗷姑辜呱泒酤觚蛄箛鴣橭𠷞沽柧𨬕䉉𧇡盬嫴罛軱箍䐻㼋|[菇][咕]</t>
    </r>
  </si>
  <si>
    <r>
      <t>徒𨑒屠瘏塗途酴駼𤙛鵌涂梌㭸荼圖</t>
    </r>
    <r>
      <rPr>
        <sz val="14"/>
        <rFont val="宋体"/>
        <charset val="134"/>
      </rPr>
      <t>啚</t>
    </r>
    <r>
      <rPr>
        <sz val="14"/>
        <rFont val="MingLiU"/>
        <family val="3"/>
      </rPr>
      <t>𤺈䣝菟捈䣄䅷嵞峹𣘻鍍䤅蒤䖘鷵筡</t>
    </r>
  </si>
  <si>
    <r>
      <t>呼</t>
    </r>
    <r>
      <rPr>
        <sz val="14"/>
        <rFont val="宋体"/>
        <charset val="134"/>
      </rPr>
      <t>嘑</t>
    </r>
    <r>
      <rPr>
        <sz val="14"/>
        <rFont val="MingLiU"/>
        <family val="3"/>
      </rPr>
      <t>虖𧦝歑戲謼膴幠葫</t>
    </r>
    <r>
      <rPr>
        <sz val="14"/>
        <rFont val="宋体"/>
        <charset val="134"/>
      </rPr>
      <t>恗軤</t>
    </r>
    <r>
      <rPr>
        <sz val="14"/>
        <rFont val="MingLiU"/>
        <family val="3"/>
      </rPr>
      <t>虍</t>
    </r>
    <r>
      <rPr>
        <sz val="14"/>
        <rFont val="宋体"/>
        <charset val="134"/>
      </rPr>
      <t>苸雐</t>
    </r>
    <r>
      <rPr>
        <sz val="14"/>
        <rFont val="MingLiU"/>
        <family val="3"/>
      </rPr>
      <t>䰧滹</t>
    </r>
  </si>
  <si>
    <r>
      <t>吾鼯𪁙𧋋吳(</t>
    </r>
    <r>
      <rPr>
        <sz val="14"/>
        <rFont val="宋体"/>
        <charset val="134"/>
      </rPr>
      <t>吴</t>
    </r>
    <r>
      <rPr>
        <sz val="14"/>
        <rFont val="MingLiU"/>
        <family val="3"/>
      </rPr>
      <t>)浯䓊㹳㻍珸蜈郚齬鯃</t>
    </r>
    <r>
      <rPr>
        <sz val="14"/>
        <rFont val="宋体"/>
        <charset val="134"/>
      </rPr>
      <t>娪</t>
    </r>
    <r>
      <rPr>
        <sz val="14"/>
        <rFont val="MingLiU"/>
        <family val="3"/>
      </rPr>
      <t>鋘梧峿麌𦨳</t>
    </r>
    <r>
      <rPr>
        <sz val="14"/>
        <rFont val="宋体"/>
        <charset val="134"/>
      </rPr>
      <t>祦</t>
    </r>
  </si>
  <si>
    <r>
      <t>盧鑪壚籚蘆顱</t>
    </r>
    <r>
      <rPr>
        <sz val="14"/>
        <rFont val="宋体"/>
        <charset val="134"/>
      </rPr>
      <t>髗</t>
    </r>
    <r>
      <rPr>
        <sz val="14"/>
        <rFont val="MingLiU"/>
        <family val="3"/>
      </rPr>
      <t>鱸攎櫨轤</t>
    </r>
    <r>
      <rPr>
        <sz val="14"/>
        <rFont val="宋体"/>
        <charset val="134"/>
      </rPr>
      <t>黸獹</t>
    </r>
    <r>
      <rPr>
        <sz val="14"/>
        <rFont val="MingLiU"/>
        <family val="3"/>
      </rPr>
      <t>鸕艫纑瀘</t>
    </r>
    <r>
      <rPr>
        <sz val="14"/>
        <rFont val="宋体"/>
        <charset val="134"/>
      </rPr>
      <t>瓐</t>
    </r>
    <r>
      <rPr>
        <sz val="14"/>
        <rFont val="MingLiU"/>
        <family val="3"/>
      </rPr>
      <t>爐玈𢐸㢚𤮧嚧臚㿖㭔䰕𧇄𧆨罏蠦㪭𦿊</t>
    </r>
  </si>
  <si>
    <r>
      <t>烏嗚洿</t>
    </r>
    <r>
      <rPr>
        <sz val="14"/>
        <rFont val="宋体"/>
        <charset val="134"/>
      </rPr>
      <t>汚</t>
    </r>
    <r>
      <rPr>
        <sz val="14"/>
        <rFont val="MingLiU"/>
        <family val="3"/>
      </rPr>
      <t>(污)杇圬釫</t>
    </r>
    <r>
      <rPr>
        <sz val="14"/>
        <rFont val="宋体"/>
        <charset val="134"/>
      </rPr>
      <t>鰞</t>
    </r>
    <r>
      <rPr>
        <sz val="14"/>
        <rFont val="MingLiU"/>
        <family val="3"/>
      </rPr>
      <t>歍鎢㢪於</t>
    </r>
    <r>
      <rPr>
        <sz val="14"/>
        <rFont val="宋体"/>
        <charset val="134"/>
      </rPr>
      <t>瑦</t>
    </r>
    <r>
      <rPr>
        <sz val="14"/>
        <rFont val="MingLiU"/>
        <family val="3"/>
      </rPr>
      <t>鄔盓螐惡</t>
    </r>
    <r>
      <rPr>
        <sz val="14"/>
        <rFont val="宋体"/>
        <charset val="134"/>
      </rPr>
      <t>扝</t>
    </r>
    <r>
      <rPr>
        <sz val="14"/>
        <rFont val="MingLiU"/>
        <family val="3"/>
      </rPr>
      <t>𦶀㮧鴮</t>
    </r>
  </si>
  <si>
    <r>
      <t>逋餔𥂈晡鵏</t>
    </r>
    <r>
      <rPr>
        <sz val="14"/>
        <rFont val="宋体"/>
        <charset val="134"/>
      </rPr>
      <t>庯陠</t>
    </r>
    <r>
      <rPr>
        <sz val="14"/>
        <rFont val="MingLiU"/>
        <family val="3"/>
      </rPr>
      <t>𧻷峬誧</t>
    </r>
    <r>
      <rPr>
        <sz val="14"/>
        <rFont val="宋体"/>
        <charset val="134"/>
      </rPr>
      <t>秿</t>
    </r>
    <r>
      <rPr>
        <sz val="14"/>
        <rFont val="MingLiU"/>
        <family val="3"/>
      </rPr>
      <t>鯆抪[鈽]</t>
    </r>
  </si>
  <si>
    <r>
      <t>枯刳</t>
    </r>
    <r>
      <rPr>
        <sz val="14"/>
        <rFont val="宋体"/>
        <charset val="134"/>
      </rPr>
      <t>扝郀軲</t>
    </r>
    <r>
      <rPr>
        <sz val="14"/>
        <rFont val="MingLiU"/>
        <family val="3"/>
      </rPr>
      <t>㱠跍挎㢪橭</t>
    </r>
    <r>
      <rPr>
        <sz val="14"/>
        <rFont val="宋体"/>
        <charset val="134"/>
      </rPr>
      <t>鮬</t>
    </r>
    <r>
      <rPr>
        <sz val="14"/>
        <rFont val="MingLiU"/>
        <family val="3"/>
      </rPr>
      <t>|骷|</t>
    </r>
  </si>
  <si>
    <r>
      <t>麤</t>
    </r>
    <r>
      <rPr>
        <sz val="14"/>
        <rFont val="宋体"/>
        <charset val="134"/>
      </rPr>
      <t>麁</t>
    </r>
    <r>
      <rPr>
        <sz val="14"/>
        <rFont val="MingLiU"/>
        <family val="3"/>
      </rPr>
      <t>𧆓𥼡觕𤿚</t>
    </r>
  </si>
  <si>
    <r>
      <t>㻌稌悇嶀㻯𡸂</t>
    </r>
    <r>
      <rPr>
        <sz val="14"/>
        <rFont val="宋体"/>
        <charset val="134"/>
      </rPr>
      <t>庩</t>
    </r>
    <r>
      <rPr>
        <sz val="14"/>
        <rFont val="MingLiU"/>
        <family val="3"/>
      </rPr>
      <t>䞮梌㻬捈䩣</t>
    </r>
  </si>
  <si>
    <r>
      <t>鋪!𥠵鯆𩹲𨁏痡誧</t>
    </r>
    <r>
      <rPr>
        <sz val="14"/>
        <rFont val="宋体"/>
        <charset val="134"/>
      </rPr>
      <t>豧墲陠</t>
    </r>
    <r>
      <rPr>
        <sz val="14"/>
        <rFont val="MingLiU"/>
        <family val="3"/>
      </rPr>
      <t>䮒𢼹</t>
    </r>
  </si>
  <si>
    <r>
      <t>犁!黎𤛿莉黧藜鯬𦃇</t>
    </r>
    <r>
      <rPr>
        <sz val="14"/>
        <rFont val="宋体"/>
        <charset val="134"/>
      </rPr>
      <t>盠邌</t>
    </r>
    <r>
      <rPr>
        <sz val="14"/>
        <rFont val="MingLiU"/>
        <family val="3"/>
      </rPr>
      <t>𨛫廲蔾筣驪</t>
    </r>
    <r>
      <rPr>
        <sz val="14"/>
        <rFont val="宋体"/>
        <charset val="134"/>
      </rPr>
      <t>瓈</t>
    </r>
    <r>
      <rPr>
        <sz val="14"/>
        <rFont val="MingLiU"/>
        <family val="3"/>
      </rPr>
      <t>𥌛𩧋㦒謧𨿯</t>
    </r>
  </si>
  <si>
    <r>
      <t>低氐袛磾鞮</t>
    </r>
    <r>
      <rPr>
        <sz val="14"/>
        <rFont val="宋体"/>
        <charset val="134"/>
      </rPr>
      <t>腣</t>
    </r>
    <r>
      <rPr>
        <sz val="14"/>
        <rFont val="MingLiU"/>
        <family val="3"/>
      </rPr>
      <t>羝</t>
    </r>
    <r>
      <rPr>
        <sz val="14"/>
        <rFont val="宋体"/>
        <charset val="134"/>
      </rPr>
      <t>眡</t>
    </r>
    <r>
      <rPr>
        <sz val="14"/>
        <rFont val="MingLiU"/>
        <family val="3"/>
      </rPr>
      <t>隄堤</t>
    </r>
    <r>
      <rPr>
        <sz val="14"/>
        <rFont val="宋体"/>
        <charset val="134"/>
      </rPr>
      <t>岻</t>
    </r>
    <r>
      <rPr>
        <sz val="14"/>
        <rFont val="MingLiU"/>
        <family val="3"/>
      </rPr>
      <t>䧑</t>
    </r>
    <r>
      <rPr>
        <sz val="14"/>
        <rFont val="宋体"/>
        <charset val="134"/>
      </rPr>
      <t>奃趆</t>
    </r>
    <r>
      <rPr>
        <sz val="14"/>
        <rFont val="MingLiU"/>
        <family val="3"/>
      </rPr>
      <t>𡰖鍉柢䐎䚣𥿄揥㓳䬫</t>
    </r>
  </si>
  <si>
    <r>
      <t>提!</t>
    </r>
    <r>
      <rPr>
        <sz val="14"/>
        <rFont val="宋体"/>
        <charset val="134"/>
      </rPr>
      <t>嗁</t>
    </r>
    <r>
      <rPr>
        <sz val="14"/>
        <rFont val="MingLiU"/>
        <family val="3"/>
      </rPr>
      <t>啼</t>
    </r>
    <r>
      <rPr>
        <sz val="14"/>
        <rFont val="宋体"/>
        <charset val="134"/>
      </rPr>
      <t>蹏</t>
    </r>
    <r>
      <rPr>
        <sz val="14"/>
        <rFont val="MingLiU"/>
        <family val="3"/>
      </rPr>
      <t>蹄𥶛詆</t>
    </r>
    <r>
      <rPr>
        <sz val="14"/>
        <rFont val="宋体"/>
        <charset val="134"/>
      </rPr>
      <t>瑅</t>
    </r>
    <r>
      <rPr>
        <sz val="14"/>
        <rFont val="MingLiU"/>
        <family val="3"/>
      </rPr>
      <t>隄桋題媞𧡨綈</t>
    </r>
    <r>
      <rPr>
        <sz val="14"/>
        <rFont val="宋体"/>
        <charset val="134"/>
      </rPr>
      <t>罤</t>
    </r>
    <r>
      <rPr>
        <sz val="14"/>
        <rFont val="MingLiU"/>
        <family val="3"/>
      </rPr>
      <t>𣹲𣖅締蕛稊𦯔䬾醍褆鵜荑禔䱱崹緹鷤鼶騠折䨑銕䱱䖙𥉘䬫䚣𢔭謕𡰄厗𪂿鶙𡰖蝭𨪉</t>
    </r>
    <r>
      <rPr>
        <sz val="14"/>
        <rFont val="宋体"/>
        <charset val="134"/>
      </rPr>
      <t>鴺</t>
    </r>
    <r>
      <rPr>
        <sz val="14"/>
        <rFont val="MingLiU"/>
        <family val="3"/>
      </rPr>
      <t>㡗銻</t>
    </r>
    <r>
      <rPr>
        <sz val="14"/>
        <rFont val="宋体"/>
        <charset val="134"/>
      </rPr>
      <t>鮷</t>
    </r>
    <r>
      <rPr>
        <sz val="14"/>
        <rFont val="MingLiU"/>
        <family val="3"/>
      </rPr>
      <t>趧𧋘</t>
    </r>
    <r>
      <rPr>
        <sz val="14"/>
        <rFont val="宋体"/>
        <charset val="134"/>
      </rPr>
      <t>鮧</t>
    </r>
    <r>
      <rPr>
        <sz val="14"/>
        <rFont val="MingLiU"/>
        <family val="3"/>
      </rPr>
      <t>鶙鯷䐎</t>
    </r>
  </si>
  <si>
    <r>
      <t>豍㡙</t>
    </r>
    <r>
      <rPr>
        <sz val="14"/>
        <rFont val="宋体"/>
        <charset val="134"/>
      </rPr>
      <t>螕</t>
    </r>
    <r>
      <rPr>
        <sz val="14"/>
        <rFont val="MingLiU"/>
        <family val="3"/>
      </rPr>
      <t>㯅𦱔蓖𦀘篦梐𥏠𨻼狴箄鎞</t>
    </r>
    <r>
      <rPr>
        <sz val="14"/>
        <rFont val="宋体"/>
        <charset val="134"/>
      </rPr>
      <t>悂</t>
    </r>
    <r>
      <rPr>
        <sz val="14"/>
        <rFont val="MingLiU"/>
        <family val="3"/>
      </rPr>
      <t>䚜</t>
    </r>
  </si>
  <si>
    <r>
      <t>雞</t>
    </r>
    <r>
      <rPr>
        <sz val="14"/>
        <rFont val="宋体"/>
        <charset val="134"/>
      </rPr>
      <t>鷄</t>
    </r>
    <r>
      <rPr>
        <sz val="14"/>
        <rFont val="MingLiU"/>
        <family val="3"/>
      </rPr>
      <t>稽枅笄㮷䗗</t>
    </r>
    <r>
      <rPr>
        <sz val="14"/>
        <rFont val="宋体"/>
        <charset val="134"/>
      </rPr>
      <t>卟</t>
    </r>
    <r>
      <rPr>
        <sz val="14"/>
        <rFont val="MingLiU"/>
        <family val="3"/>
      </rPr>
      <t>𥝌𨪴|乩|</t>
    </r>
  </si>
  <si>
    <r>
      <t>奚豯徯㜎蹊螇榽騱</t>
    </r>
    <r>
      <rPr>
        <sz val="14"/>
        <rFont val="宋体"/>
        <charset val="134"/>
      </rPr>
      <t>胿</t>
    </r>
    <r>
      <rPr>
        <sz val="14"/>
        <rFont val="MingLiU"/>
        <family val="3"/>
      </rPr>
      <t>𡗞郋𪓷傒嵇兮鼷</t>
    </r>
    <r>
      <rPr>
        <sz val="14"/>
        <rFont val="宋体"/>
        <charset val="134"/>
      </rPr>
      <t>蒵</t>
    </r>
    <r>
      <rPr>
        <sz val="14"/>
        <rFont val="MingLiU"/>
        <family val="3"/>
      </rPr>
      <t>貕</t>
    </r>
  </si>
  <si>
    <r>
      <t>倪蜺霓郳齯婗輗</t>
    </r>
    <r>
      <rPr>
        <sz val="14"/>
        <rFont val="宋体"/>
        <charset val="134"/>
      </rPr>
      <t>棿</t>
    </r>
    <r>
      <rPr>
        <sz val="14"/>
        <rFont val="MingLiU"/>
        <family val="3"/>
      </rPr>
      <t>猊麑</t>
    </r>
    <r>
      <rPr>
        <sz val="14"/>
        <rFont val="宋体"/>
        <charset val="134"/>
      </rPr>
      <t>貎</t>
    </r>
    <r>
      <rPr>
        <sz val="14"/>
        <rFont val="MingLiU"/>
        <family val="3"/>
      </rPr>
      <t>鯢兒䘽𠆵觬𣕁㪒</t>
    </r>
  </si>
  <si>
    <r>
      <t>醯䒊𦫬㡗橀</t>
    </r>
    <r>
      <rPr>
        <sz val="14"/>
        <rFont val="宋体"/>
        <charset val="134"/>
      </rPr>
      <t>忚</t>
    </r>
  </si>
  <si>
    <r>
      <t>西</t>
    </r>
    <r>
      <rPr>
        <sz val="14"/>
        <rFont val="宋体"/>
        <charset val="134"/>
      </rPr>
      <t>卤</t>
    </r>
    <r>
      <rPr>
        <sz val="14"/>
        <rFont val="MingLiU"/>
        <family val="3"/>
      </rPr>
      <t>𠧪棲栖㽄犀嘶撕㾷㯕屖𧬊[樨]粞𠞂</t>
    </r>
  </si>
  <si>
    <r>
      <t>磇</t>
    </r>
    <r>
      <rPr>
        <sz val="14"/>
        <rFont val="MingLiU"/>
        <family val="3"/>
      </rPr>
      <t>(砒)𨻼𠜱𪄆錍批鈚</t>
    </r>
  </si>
  <si>
    <r>
      <t>齎</t>
    </r>
    <r>
      <rPr>
        <sz val="14"/>
        <rFont val="宋体"/>
        <charset val="134"/>
      </rPr>
      <t>賷</t>
    </r>
    <r>
      <rPr>
        <sz val="14"/>
        <rFont val="MingLiU"/>
        <family val="3"/>
      </rPr>
      <t>𩐒齏𨥳櫅䂑擠齌躋隮麡𢥎</t>
    </r>
    <r>
      <rPr>
        <sz val="14"/>
        <rFont val="宋体"/>
        <charset val="134"/>
      </rPr>
      <t>啙</t>
    </r>
    <r>
      <rPr>
        <sz val="14"/>
        <rFont val="MingLiU"/>
        <family val="3"/>
      </rPr>
      <t>虀</t>
    </r>
  </si>
  <si>
    <r>
      <t>泥</t>
    </r>
    <r>
      <rPr>
        <sz val="14"/>
        <rFont val="宋体"/>
        <charset val="134"/>
      </rPr>
      <t>埿</t>
    </r>
    <r>
      <rPr>
        <sz val="14"/>
        <rFont val="MingLiU"/>
        <family val="3"/>
      </rPr>
      <t>屔臡</t>
    </r>
  </si>
  <si>
    <r>
      <t>谿</t>
    </r>
    <r>
      <rPr>
        <sz val="14"/>
        <rFont val="宋体"/>
        <charset val="134"/>
      </rPr>
      <t>嵠</t>
    </r>
    <r>
      <rPr>
        <sz val="14"/>
        <rFont val="MingLiU"/>
        <family val="3"/>
      </rPr>
      <t>溪磎鸂檕螇𤳤</t>
    </r>
  </si>
  <si>
    <r>
      <t>圭珪邽閨</t>
    </r>
    <r>
      <rPr>
        <sz val="14"/>
        <rFont val="宋体"/>
        <charset val="134"/>
      </rPr>
      <t>袿</t>
    </r>
    <r>
      <rPr>
        <sz val="14"/>
        <rFont val="MingLiU"/>
        <family val="3"/>
      </rPr>
      <t>窐鮭𪊧洼𨾴𡌲</t>
    </r>
    <r>
      <rPr>
        <sz val="14"/>
        <rFont val="宋体"/>
        <charset val="134"/>
      </rPr>
      <t>胿</t>
    </r>
    <r>
      <rPr>
        <sz val="14"/>
        <rFont val="MingLiU"/>
        <family val="3"/>
      </rPr>
      <t>𦓯㰪茥</t>
    </r>
  </si>
  <si>
    <r>
      <t>睽奎湀刲𠝥茥䯓聧鮭䖯</t>
    </r>
    <r>
      <rPr>
        <sz val="14"/>
        <rFont val="宋体"/>
        <charset val="134"/>
      </rPr>
      <t>蝰</t>
    </r>
    <r>
      <rPr>
        <sz val="14"/>
        <rFont val="MingLiU"/>
        <family val="3"/>
      </rPr>
      <t>㨒楏藈𡐠[暌]</t>
    </r>
  </si>
  <si>
    <r>
      <t>攜</t>
    </r>
    <r>
      <rPr>
        <sz val="14"/>
        <rFont val="宋体"/>
        <charset val="134"/>
      </rPr>
      <t>携</t>
    </r>
    <r>
      <rPr>
        <sz val="14"/>
        <rFont val="MingLiU"/>
        <family val="3"/>
      </rPr>
      <t>蠵鑴窐𩰳畦驨𪈥雟酅𢥘𦋅𣫴𡸔纗</t>
    </r>
    <r>
      <rPr>
        <sz val="14"/>
        <rFont val="宋体"/>
        <charset val="134"/>
      </rPr>
      <t>讗</t>
    </r>
    <r>
      <rPr>
        <sz val="14"/>
        <rFont val="MingLiU"/>
        <family val="3"/>
      </rPr>
      <t>㔒䙵</t>
    </r>
    <r>
      <rPr>
        <sz val="14"/>
        <rFont val="宋体"/>
        <charset val="134"/>
      </rPr>
      <t>黊</t>
    </r>
    <r>
      <rPr>
        <sz val="14"/>
        <rFont val="MingLiU"/>
        <family val="3"/>
      </rPr>
      <t>𡰢眭觿䀘</t>
    </r>
  </si>
  <si>
    <r>
      <t>㥟(慀)鮭</t>
    </r>
    <r>
      <rPr>
        <sz val="14"/>
        <rFont val="宋体"/>
        <charset val="134"/>
      </rPr>
      <t>膎鞵</t>
    </r>
    <r>
      <rPr>
        <sz val="14"/>
        <rFont val="MingLiU"/>
        <family val="3"/>
      </rPr>
      <t>鞋㨙䙎榽</t>
    </r>
  </si>
  <si>
    <r>
      <t>媧緺蝸𧬭腡騧</t>
    </r>
    <r>
      <rPr>
        <sz val="14"/>
        <rFont val="宋体"/>
        <charset val="134"/>
      </rPr>
      <t>歄</t>
    </r>
  </si>
  <si>
    <r>
      <t>蛙</t>
    </r>
    <r>
      <rPr>
        <sz val="14"/>
        <rFont val="宋体"/>
        <charset val="134"/>
      </rPr>
      <t>鼃</t>
    </r>
  </si>
  <si>
    <r>
      <t>柴祡茈</t>
    </r>
    <r>
      <rPr>
        <sz val="14"/>
        <rFont val="宋体"/>
        <charset val="134"/>
      </rPr>
      <t>査</t>
    </r>
    <r>
      <rPr>
        <sz val="14"/>
        <rFont val="MingLiU"/>
        <family val="3"/>
      </rPr>
      <t>𪗶㧘㾹𨌅</t>
    </r>
  </si>
  <si>
    <r>
      <t>釵叉差</t>
    </r>
    <r>
      <rPr>
        <sz val="14"/>
        <rFont val="宋体"/>
        <charset val="134"/>
      </rPr>
      <t>靫</t>
    </r>
    <r>
      <rPr>
        <sz val="14"/>
        <rFont val="MingLiU"/>
        <family val="3"/>
      </rPr>
      <t>𩑐㼮䐤𠞊</t>
    </r>
    <r>
      <rPr>
        <sz val="14"/>
        <rFont val="宋体"/>
        <charset val="134"/>
      </rPr>
      <t>芆</t>
    </r>
  </si>
  <si>
    <r>
      <t>竵</t>
    </r>
    <r>
      <rPr>
        <sz val="14"/>
        <rFont val="MingLiU"/>
        <family val="3"/>
      </rPr>
      <t>(歪)𦶎𡁑𩝨</t>
    </r>
  </si>
  <si>
    <r>
      <t>崖涯</t>
    </r>
    <r>
      <rPr>
        <sz val="14"/>
        <rFont val="宋体"/>
        <charset val="134"/>
      </rPr>
      <t>猚厓</t>
    </r>
    <r>
      <rPr>
        <sz val="14"/>
        <rFont val="MingLiU"/>
        <family val="3"/>
      </rPr>
      <t>啀𪘲𩂢|捱|</t>
    </r>
  </si>
  <si>
    <r>
      <t>崽</t>
    </r>
    <r>
      <rPr>
        <sz val="14"/>
        <rFont val="宋体"/>
        <charset val="134"/>
      </rPr>
      <t>籭</t>
    </r>
    <r>
      <rPr>
        <sz val="14"/>
        <rFont val="MingLiU"/>
        <family val="3"/>
      </rPr>
      <t>(篩)諰</t>
    </r>
  </si>
  <si>
    <r>
      <t>皆偕䕸</t>
    </r>
    <r>
      <rPr>
        <sz val="14"/>
        <rFont val="宋体"/>
        <charset val="134"/>
      </rPr>
      <t>稭</t>
    </r>
    <r>
      <rPr>
        <sz val="14"/>
        <rFont val="MingLiU"/>
        <family val="3"/>
      </rPr>
      <t>喈階𦝨薢荄</t>
    </r>
    <r>
      <rPr>
        <sz val="14"/>
        <rFont val="宋体"/>
        <charset val="134"/>
      </rPr>
      <t>堦</t>
    </r>
    <r>
      <rPr>
        <sz val="14"/>
        <rFont val="MingLiU"/>
        <family val="3"/>
      </rPr>
      <t>楷痎鶛湝街𤭧𩘅蝔鍇</t>
    </r>
  </si>
  <si>
    <r>
      <t>排俳</t>
    </r>
    <r>
      <rPr>
        <sz val="14"/>
        <rFont val="宋体"/>
        <charset val="134"/>
      </rPr>
      <t>輫</t>
    </r>
    <r>
      <rPr>
        <sz val="14"/>
        <rFont val="MingLiU"/>
        <family val="3"/>
      </rPr>
      <t>牌猈𩑢</t>
    </r>
  </si>
  <si>
    <r>
      <t>尵</t>
    </r>
    <r>
      <rPr>
        <sz val="14"/>
        <rFont val="MingLiU"/>
        <family val="3"/>
      </rPr>
      <t>𩓬</t>
    </r>
  </si>
  <si>
    <r>
      <t>隈煨䋿渨椳偎𩗯揋𧤖葨</t>
    </r>
    <r>
      <rPr>
        <sz val="14"/>
        <rFont val="宋体"/>
        <charset val="134"/>
      </rPr>
      <t>鰃</t>
    </r>
  </si>
  <si>
    <r>
      <t>回洄迴槐徊瑰蚘=蛔</t>
    </r>
    <r>
      <rPr>
        <sz val="14"/>
        <rFont val="宋体"/>
        <charset val="134"/>
      </rPr>
      <t>蛕</t>
    </r>
    <r>
      <rPr>
        <sz val="14"/>
        <rFont val="MingLiU"/>
        <family val="3"/>
      </rPr>
      <t>佪烠𤜡𩢱茴</t>
    </r>
  </si>
  <si>
    <r>
      <t>枚梅媒玫煤脢</t>
    </r>
    <r>
      <rPr>
        <sz val="14"/>
        <rFont val="宋体"/>
        <charset val="134"/>
      </rPr>
      <t>脄</t>
    </r>
    <r>
      <rPr>
        <sz val="14"/>
        <rFont val="MingLiU"/>
        <family val="3"/>
      </rPr>
      <t>腜禖䍙莓塺鋂䊈䤂</t>
    </r>
  </si>
  <si>
    <r>
      <t>傀𤪿𠐤瑰</t>
    </r>
    <r>
      <rPr>
        <sz val="14"/>
        <rFont val="宋体"/>
        <charset val="134"/>
      </rPr>
      <t>瓌鞼</t>
    </r>
    <r>
      <rPr>
        <sz val="14"/>
        <rFont val="MingLiU"/>
        <family val="3"/>
      </rPr>
      <t>櫰</t>
    </r>
    <r>
      <rPr>
        <sz val="14"/>
        <rFont val="宋体"/>
        <charset val="134"/>
      </rPr>
      <t>膭</t>
    </r>
    <r>
      <rPr>
        <sz val="14"/>
        <rFont val="MingLiU"/>
        <family val="3"/>
      </rPr>
      <t>䐩䕇</t>
    </r>
  </si>
  <si>
    <r>
      <t>雷𩂩儡㔣瓃櫑罍</t>
    </r>
    <r>
      <rPr>
        <sz val="14"/>
        <rFont val="宋体"/>
        <charset val="134"/>
      </rPr>
      <t>鑘</t>
    </r>
    <r>
      <rPr>
        <sz val="14"/>
        <rFont val="MingLiU"/>
        <family val="3"/>
      </rPr>
      <t>𦌵鐳𤮚畾轠|檑</t>
    </r>
  </si>
  <si>
    <r>
      <t>穨</t>
    </r>
    <r>
      <rPr>
        <sz val="14"/>
        <rFont val="宋体"/>
        <charset val="134"/>
      </rPr>
      <t>頽</t>
    </r>
    <r>
      <rPr>
        <sz val="14"/>
        <rFont val="MingLiU"/>
        <family val="3"/>
      </rPr>
      <t>(頹)㿉隤</t>
    </r>
    <r>
      <rPr>
        <sz val="14"/>
        <rFont val="宋体"/>
        <charset val="134"/>
      </rPr>
      <t>墤</t>
    </r>
    <r>
      <rPr>
        <sz val="14"/>
        <rFont val="MingLiU"/>
        <family val="3"/>
      </rPr>
      <t>㢈魋</t>
    </r>
    <r>
      <rPr>
        <sz val="14"/>
        <rFont val="宋体"/>
        <charset val="134"/>
      </rPr>
      <t>尵蘈</t>
    </r>
    <r>
      <rPr>
        <sz val="14"/>
        <rFont val="MingLiU"/>
        <family val="3"/>
      </rPr>
      <t>𧮓𧝋蹪𤗴</t>
    </r>
  </si>
  <si>
    <r>
      <t>堆!</t>
    </r>
    <r>
      <rPr>
        <sz val="14"/>
        <rFont val="宋体"/>
        <charset val="134"/>
      </rPr>
      <t>磓塠</t>
    </r>
    <r>
      <rPr>
        <sz val="14"/>
        <rFont val="MingLiU"/>
        <family val="3"/>
      </rPr>
      <t>頧䭔鴭𠩰鎚搥䜃</t>
    </r>
    <r>
      <rPr>
        <sz val="14"/>
        <rFont val="宋体"/>
        <charset val="134"/>
      </rPr>
      <t>嵟</t>
    </r>
    <r>
      <rPr>
        <sz val="14"/>
        <rFont val="MingLiU"/>
        <family val="3"/>
      </rPr>
      <t>𩈜𠂤敦𡏩</t>
    </r>
  </si>
  <si>
    <r>
      <t>摧崔慛</t>
    </r>
    <r>
      <rPr>
        <sz val="14"/>
        <rFont val="宋体"/>
        <charset val="134"/>
      </rPr>
      <t>槯</t>
    </r>
    <r>
      <rPr>
        <sz val="14"/>
        <rFont val="MingLiU"/>
        <family val="3"/>
      </rPr>
      <t>檇</t>
    </r>
  </si>
  <si>
    <r>
      <t>陪!裴徘培𨛬䣙婄棓毰𤗏𩑢</t>
    </r>
    <r>
      <rPr>
        <sz val="14"/>
        <rFont val="宋体"/>
        <charset val="134"/>
      </rPr>
      <t>輫</t>
    </r>
    <r>
      <rPr>
        <sz val="14"/>
        <rFont val="MingLiU"/>
        <family val="3"/>
      </rPr>
      <t>[賠]</t>
    </r>
  </si>
  <si>
    <r>
      <t>肧</t>
    </r>
    <r>
      <rPr>
        <sz val="14"/>
        <rFont val="MingLiU"/>
        <family val="3"/>
      </rPr>
      <t>(胚)坯㾦醅衃𩵣𤬃抔</t>
    </r>
  </si>
  <si>
    <r>
      <t>開㱾侅㚊</t>
    </r>
    <r>
      <rPr>
        <sz val="14"/>
        <rFont val="宋体"/>
        <charset val="134"/>
      </rPr>
      <t>奒</t>
    </r>
  </si>
  <si>
    <r>
      <t>臺</t>
    </r>
    <r>
      <rPr>
        <sz val="14"/>
        <rFont val="宋体"/>
        <charset val="134"/>
      </rPr>
      <t>擡</t>
    </r>
    <r>
      <rPr>
        <sz val="14"/>
        <rFont val="MingLiU"/>
        <family val="3"/>
      </rPr>
      <t>(抬)</t>
    </r>
    <r>
      <rPr>
        <sz val="14"/>
        <rFont val="宋体"/>
        <charset val="134"/>
      </rPr>
      <t>菭</t>
    </r>
    <r>
      <rPr>
        <sz val="14"/>
        <rFont val="MingLiU"/>
        <family val="3"/>
      </rPr>
      <t>苔炱嬯薹儓檯駘籉跆䈚𪒴𩿡</t>
    </r>
  </si>
  <si>
    <r>
      <t>該豥垓荄</t>
    </r>
    <r>
      <rPr>
        <sz val="14"/>
        <rFont val="宋体"/>
        <charset val="134"/>
      </rPr>
      <t>郂</t>
    </r>
    <r>
      <rPr>
        <sz val="14"/>
        <rFont val="MingLiU"/>
        <family val="3"/>
      </rPr>
      <t>㱯剴陔</t>
    </r>
    <r>
      <rPr>
        <sz val="14"/>
        <rFont val="宋体"/>
        <charset val="134"/>
      </rPr>
      <t>姟</t>
    </r>
    <r>
      <rPr>
        <sz val="14"/>
        <rFont val="MingLiU"/>
        <family val="3"/>
      </rPr>
      <t>絯</t>
    </r>
    <r>
      <rPr>
        <sz val="14"/>
        <rFont val="宋体"/>
        <charset val="134"/>
      </rPr>
      <t>晐</t>
    </r>
    <r>
      <rPr>
        <sz val="14"/>
        <rFont val="MingLiU"/>
        <family val="3"/>
      </rPr>
      <t>峐祴侅賅㨟胲䬵䶣䐩</t>
    </r>
  </si>
  <si>
    <r>
      <t>裁纔財才材䴭𦬁</t>
    </r>
    <r>
      <rPr>
        <sz val="14"/>
        <rFont val="宋体"/>
        <charset val="134"/>
      </rPr>
      <t>溨</t>
    </r>
    <r>
      <rPr>
        <sz val="14"/>
        <rFont val="MingLiU"/>
        <family val="3"/>
      </rPr>
      <t>鼒</t>
    </r>
  </si>
  <si>
    <r>
      <t>來萊郲騋崍斄𤦃𧳟</t>
    </r>
    <r>
      <rPr>
        <sz val="14"/>
        <rFont val="宋体"/>
        <charset val="134"/>
      </rPr>
      <t>猍</t>
    </r>
    <r>
      <rPr>
        <sz val="14"/>
        <rFont val="MingLiU"/>
        <family val="3"/>
      </rPr>
      <t>淶鯠鶆䅘𣮉䋱庲㾢棶犛</t>
    </r>
    <r>
      <rPr>
        <sz val="14"/>
        <rFont val="宋体"/>
        <charset val="134"/>
      </rPr>
      <t>逨</t>
    </r>
    <r>
      <rPr>
        <sz val="14"/>
        <rFont val="MingLiU"/>
        <family val="3"/>
      </rPr>
      <t>𪎂</t>
    </r>
    <r>
      <rPr>
        <sz val="14"/>
        <rFont val="宋体"/>
        <charset val="134"/>
      </rPr>
      <t>麳</t>
    </r>
    <r>
      <rPr>
        <sz val="14"/>
        <rFont val="MingLiU"/>
        <family val="3"/>
      </rPr>
      <t>𤲓𪑚徠</t>
    </r>
  </si>
  <si>
    <r>
      <t>哉!</t>
    </r>
    <r>
      <rPr>
        <sz val="14"/>
        <rFont val="宋体"/>
        <charset val="134"/>
      </rPr>
      <t>烖灾</t>
    </r>
    <r>
      <rPr>
        <sz val="14"/>
        <rFont val="MingLiU"/>
        <family val="3"/>
      </rPr>
      <t>災𤆎栽𡿦𢦔()𦳦渽</t>
    </r>
    <r>
      <rPr>
        <sz val="14"/>
        <rFont val="宋体"/>
        <charset val="134"/>
      </rPr>
      <t>睵</t>
    </r>
    <r>
      <rPr>
        <sz val="14"/>
        <rFont val="MingLiU"/>
        <family val="3"/>
      </rPr>
      <t>𦸜</t>
    </r>
  </si>
  <si>
    <r>
      <t>猜偲</t>
    </r>
    <r>
      <rPr>
        <sz val="14"/>
        <rFont val="宋体"/>
        <charset val="134"/>
      </rPr>
      <t>睵</t>
    </r>
    <r>
      <rPr>
        <sz val="14"/>
        <rFont val="MingLiU"/>
        <family val="3"/>
      </rPr>
      <t>䞗</t>
    </r>
  </si>
  <si>
    <r>
      <t>胎</t>
    </r>
    <r>
      <rPr>
        <sz val="14"/>
        <rFont val="宋体"/>
        <charset val="134"/>
      </rPr>
      <t>孡</t>
    </r>
    <r>
      <rPr>
        <sz val="14"/>
        <rFont val="MingLiU"/>
        <family val="3"/>
      </rPr>
      <t>𩬠𧉟鮐台邰</t>
    </r>
  </si>
  <si>
    <r>
      <t>鰓揌</t>
    </r>
    <r>
      <rPr>
        <sz val="14"/>
        <rFont val="宋体"/>
        <charset val="134"/>
      </rPr>
      <t>顋</t>
    </r>
    <r>
      <rPr>
        <sz val="14"/>
        <rFont val="MingLiU"/>
        <family val="3"/>
      </rPr>
      <t>(腮)粞䚡</t>
    </r>
    <r>
      <rPr>
        <sz val="14"/>
        <rFont val="宋体"/>
        <charset val="134"/>
      </rPr>
      <t>愢</t>
    </r>
    <r>
      <rPr>
        <sz val="14"/>
        <rFont val="MingLiU"/>
        <family val="3"/>
      </rPr>
      <t>𪃄毢</t>
    </r>
  </si>
  <si>
    <r>
      <t>皚</t>
    </r>
    <r>
      <rPr>
        <sz val="14"/>
        <rFont val="宋体"/>
        <charset val="134"/>
      </rPr>
      <t>嵦</t>
    </r>
    <r>
      <rPr>
        <sz val="14"/>
        <rFont val="MingLiU"/>
        <family val="3"/>
      </rPr>
      <t>敳㱯(𨻭)剴獃[呆]</t>
    </r>
  </si>
  <si>
    <r>
      <t>呆]!𪒴</t>
    </r>
    <r>
      <rPr>
        <sz val="14"/>
        <rFont val="宋体"/>
        <charset val="134"/>
      </rPr>
      <t>懛</t>
    </r>
    <r>
      <rPr>
        <sz val="14"/>
        <rFont val="MingLiU"/>
        <family val="3"/>
      </rPr>
      <t>[獃]</t>
    </r>
  </si>
  <si>
    <r>
      <t>眞</t>
    </r>
    <r>
      <rPr>
        <sz val="14"/>
        <rFont val="MingLiU"/>
        <family val="3"/>
      </rPr>
      <t>(真)甄振禛稹磌畛籈侲桭</t>
    </r>
    <r>
      <rPr>
        <sz val="14"/>
        <rFont val="宋体"/>
        <charset val="134"/>
      </rPr>
      <t>蒖</t>
    </r>
    <r>
      <rPr>
        <sz val="14"/>
        <rFont val="MingLiU"/>
        <family val="3"/>
      </rPr>
      <t>唇㖘</t>
    </r>
    <r>
      <rPr>
        <sz val="14"/>
        <rFont val="宋体"/>
        <charset val="134"/>
      </rPr>
      <t>帪</t>
    </r>
    <r>
      <rPr>
        <sz val="14"/>
        <rFont val="MingLiU"/>
        <family val="3"/>
      </rPr>
      <t>薽㲀</t>
    </r>
  </si>
  <si>
    <r>
      <t>因茵禋駰湮</t>
    </r>
    <r>
      <rPr>
        <sz val="14"/>
        <rFont val="宋体"/>
        <charset val="134"/>
      </rPr>
      <t>烟</t>
    </r>
    <r>
      <rPr>
        <sz val="14"/>
        <rFont val="MingLiU"/>
        <family val="3"/>
      </rPr>
      <t>氤垔</t>
    </r>
    <r>
      <rPr>
        <sz val="14"/>
        <rFont val="宋体"/>
        <charset val="134"/>
      </rPr>
      <t>陻</t>
    </r>
    <r>
      <rPr>
        <sz val="14"/>
        <rFont val="MingLiU"/>
        <family val="3"/>
      </rPr>
      <t>堙洇姻</t>
    </r>
  </si>
  <si>
    <r>
      <t>辰晨䢅</t>
    </r>
    <r>
      <rPr>
        <sz val="14"/>
        <rFont val="宋体"/>
        <charset val="134"/>
      </rPr>
      <t>敐</t>
    </r>
    <r>
      <rPr>
        <sz val="14"/>
        <rFont val="MingLiU"/>
        <family val="3"/>
      </rPr>
      <t>宸鷐麎桭茞</t>
    </r>
    <r>
      <rPr>
        <sz val="14"/>
        <rFont val="宋体"/>
        <charset val="134"/>
      </rPr>
      <t>屒</t>
    </r>
    <r>
      <rPr>
        <sz val="14"/>
        <rFont val="MingLiU"/>
        <family val="3"/>
      </rPr>
      <t>臣䢻䣅</t>
    </r>
  </si>
  <si>
    <r>
      <t>仁人</t>
    </r>
    <r>
      <rPr>
        <sz val="14"/>
        <rFont val="宋体"/>
        <charset val="134"/>
      </rPr>
      <t>朲</t>
    </r>
    <r>
      <rPr>
        <sz val="14"/>
        <rFont val="MingLiU"/>
        <family val="3"/>
      </rPr>
      <t>|儿</t>
    </r>
  </si>
  <si>
    <r>
      <t>親=</t>
    </r>
    <r>
      <rPr>
        <sz val="14"/>
        <rFont val="宋体"/>
        <charset val="134"/>
      </rPr>
      <t>寴</t>
    </r>
    <r>
      <rPr>
        <sz val="14"/>
        <rFont val="MingLiU"/>
        <family val="3"/>
      </rPr>
      <t>=𡪔</t>
    </r>
  </si>
  <si>
    <r>
      <t>身!申伸紳娠呻𣢘𠲳眒胂㑗𩉼𣇗柛䰠</t>
    </r>
    <r>
      <rPr>
        <sz val="14"/>
        <rFont val="宋体"/>
        <charset val="134"/>
      </rPr>
      <t>訷</t>
    </r>
  </si>
  <si>
    <r>
      <t>賓(</t>
    </r>
    <r>
      <rPr>
        <sz val="14"/>
        <rFont val="宋体"/>
        <charset val="134"/>
      </rPr>
      <t>賔</t>
    </r>
    <r>
      <rPr>
        <sz val="14"/>
        <rFont val="MingLiU"/>
        <family val="3"/>
      </rPr>
      <t>)𡪛濱(瀕)檳䚔</t>
    </r>
    <r>
      <rPr>
        <sz val="14"/>
        <rFont val="宋体"/>
        <charset val="134"/>
      </rPr>
      <t>顮</t>
    </r>
    <r>
      <rPr>
        <sz val="14"/>
        <rFont val="MingLiU"/>
        <family val="3"/>
      </rPr>
      <t>儐鑌矉𩴱</t>
    </r>
  </si>
  <si>
    <r>
      <t>㷠(</t>
    </r>
    <r>
      <rPr>
        <sz val="14"/>
        <rFont val="宋体"/>
        <charset val="134"/>
      </rPr>
      <t>粦</t>
    </r>
    <r>
      <rPr>
        <sz val="14"/>
        <rFont val="MingLiU"/>
        <family val="3"/>
      </rPr>
      <t>)燐鄰轔嶙粼磷疄麟</t>
    </r>
    <r>
      <rPr>
        <sz val="14"/>
        <rFont val="宋体"/>
        <charset val="134"/>
      </rPr>
      <t>麐</t>
    </r>
    <r>
      <rPr>
        <sz val="14"/>
        <rFont val="MingLiU"/>
        <family val="3"/>
      </rPr>
      <t>鱗璘駗翷𧲂瞵</t>
    </r>
    <r>
      <rPr>
        <sz val="14"/>
        <rFont val="宋体"/>
        <charset val="134"/>
      </rPr>
      <t>獜</t>
    </r>
    <r>
      <rPr>
        <sz val="14"/>
        <rFont val="MingLiU"/>
        <family val="3"/>
      </rPr>
      <t>驎壣𩻜鏻繗潾</t>
    </r>
  </si>
  <si>
    <r>
      <t>𥎊堇墐㨷</t>
    </r>
    <r>
      <rPr>
        <sz val="14"/>
        <rFont val="宋体"/>
        <charset val="134"/>
      </rPr>
      <t>魿</t>
    </r>
  </si>
  <si>
    <r>
      <t>珍</t>
    </r>
    <r>
      <rPr>
        <sz val="14"/>
        <rFont val="宋体"/>
        <charset val="134"/>
      </rPr>
      <t>鎭塡</t>
    </r>
  </si>
  <si>
    <r>
      <t>頻蘋</t>
    </r>
    <r>
      <rPr>
        <sz val="14"/>
        <rFont val="宋体"/>
        <charset val="134"/>
      </rPr>
      <t>薲</t>
    </r>
    <r>
      <rPr>
        <sz val="14"/>
        <rFont val="MingLiU"/>
        <family val="3"/>
      </rPr>
      <t>嬪㰋玭蠙</t>
    </r>
    <r>
      <rPr>
        <sz val="14"/>
        <rFont val="宋体"/>
        <charset val="134"/>
      </rPr>
      <t>獱</t>
    </r>
    <r>
      <rPr>
        <sz val="14"/>
        <rFont val="MingLiU"/>
        <family val="3"/>
      </rPr>
      <t>顰𧭹嚬𩴱𦇖𡤉</t>
    </r>
  </si>
  <si>
    <r>
      <t>銀㹞狺䖜檭鄞圁誾</t>
    </r>
    <r>
      <rPr>
        <sz val="14"/>
        <rFont val="宋体"/>
        <charset val="134"/>
      </rPr>
      <t>訔</t>
    </r>
    <r>
      <rPr>
        <sz val="14"/>
        <rFont val="MingLiU"/>
        <family val="3"/>
      </rPr>
      <t>嚚䓄</t>
    </r>
    <r>
      <rPr>
        <sz val="14"/>
        <rFont val="宋体"/>
        <charset val="134"/>
      </rPr>
      <t>珢</t>
    </r>
    <r>
      <rPr>
        <sz val="14"/>
        <rFont val="MingLiU"/>
        <family val="3"/>
      </rPr>
      <t>䴦垠𪛊</t>
    </r>
    <r>
      <rPr>
        <sz val="14"/>
        <rFont val="宋体"/>
        <charset val="134"/>
      </rPr>
      <t>泿</t>
    </r>
  </si>
  <si>
    <r>
      <t>麏</t>
    </r>
    <r>
      <rPr>
        <sz val="14"/>
        <rFont val="MingLiU"/>
        <family val="3"/>
      </rPr>
      <t>麇</t>
    </r>
    <r>
      <rPr>
        <sz val="14"/>
        <rFont val="宋体"/>
        <charset val="134"/>
      </rPr>
      <t>麕</t>
    </r>
    <r>
      <rPr>
        <sz val="14"/>
        <rFont val="MingLiU"/>
        <family val="3"/>
      </rPr>
      <t>頵莙</t>
    </r>
    <r>
      <rPr>
        <sz val="14"/>
        <rFont val="宋体"/>
        <charset val="134"/>
      </rPr>
      <t>汮</t>
    </r>
  </si>
  <si>
    <r>
      <t>筠</t>
    </r>
    <r>
      <rPr>
        <sz val="14"/>
        <rFont val="宋体"/>
        <charset val="134"/>
      </rPr>
      <t>囩</t>
    </r>
    <r>
      <rPr>
        <sz val="14"/>
        <rFont val="MingLiU"/>
        <family val="3"/>
      </rPr>
      <t>縜荺</t>
    </r>
  </si>
  <si>
    <r>
      <t>囷箘</t>
    </r>
    <r>
      <rPr>
        <sz val="14"/>
        <rFont val="宋体"/>
        <charset val="134"/>
      </rPr>
      <t>箟</t>
    </r>
    <r>
      <rPr>
        <sz val="14"/>
        <rFont val="MingLiU"/>
        <family val="3"/>
      </rPr>
      <t>輑𧋕峮𡈋</t>
    </r>
  </si>
  <si>
    <r>
      <t>珉</t>
    </r>
    <r>
      <rPr>
        <sz val="14"/>
        <rFont val="MingLiU"/>
        <family val="3"/>
      </rPr>
      <t>(玟</t>
    </r>
    <r>
      <rPr>
        <sz val="14"/>
        <rFont val="宋体"/>
        <charset val="134"/>
      </rPr>
      <t>瑉碈</t>
    </r>
    <r>
      <rPr>
        <sz val="14"/>
        <rFont val="MingLiU"/>
        <family val="3"/>
      </rPr>
      <t>)岷罠閩緡䪸笢旻旼𤸅闅汶㨉忞</t>
    </r>
    <r>
      <rPr>
        <sz val="14"/>
        <rFont val="宋体"/>
        <charset val="134"/>
      </rPr>
      <t>盿</t>
    </r>
    <r>
      <rPr>
        <sz val="14"/>
        <rFont val="MingLiU"/>
        <family val="3"/>
      </rPr>
      <t>䁕</t>
    </r>
    <r>
      <rPr>
        <sz val="14"/>
        <rFont val="宋体"/>
        <charset val="134"/>
      </rPr>
      <t>鍲</t>
    </r>
    <r>
      <rPr>
        <sz val="14"/>
        <rFont val="MingLiU"/>
        <family val="3"/>
      </rPr>
      <t>𪃯鈱|</t>
    </r>
  </si>
  <si>
    <r>
      <t>椿楯輴䡅鶞杶</t>
    </r>
    <r>
      <rPr>
        <sz val="14"/>
        <rFont val="宋体"/>
        <charset val="134"/>
      </rPr>
      <t>櫄瑃</t>
    </r>
  </si>
  <si>
    <r>
      <t>荀郇詢眴峋珣𣓓洵恂畇</t>
    </r>
    <r>
      <rPr>
        <sz val="14"/>
        <rFont val="宋体"/>
        <charset val="134"/>
      </rPr>
      <t>檈</t>
    </r>
    <r>
      <rPr>
        <sz val="14"/>
        <rFont val="MingLiU"/>
        <family val="3"/>
      </rPr>
      <t>槆</t>
    </r>
    <r>
      <rPr>
        <sz val="14"/>
        <rFont val="宋体"/>
        <charset val="134"/>
      </rPr>
      <t>姰</t>
    </r>
    <r>
      <rPr>
        <sz val="14"/>
        <rFont val="MingLiU"/>
        <family val="3"/>
      </rPr>
      <t>㰬</t>
    </r>
  </si>
  <si>
    <r>
      <t>純蓴</t>
    </r>
    <r>
      <rPr>
        <sz val="14"/>
        <rFont val="宋体"/>
        <charset val="134"/>
      </rPr>
      <t>蒓</t>
    </r>
    <r>
      <rPr>
        <sz val="14"/>
        <rFont val="MingLiU"/>
        <family val="3"/>
      </rPr>
      <t>醇鶉𦎧</t>
    </r>
    <r>
      <rPr>
        <sz val="14"/>
        <rFont val="宋体"/>
        <charset val="134"/>
      </rPr>
      <t>陙</t>
    </r>
    <r>
      <rPr>
        <sz val="14"/>
        <rFont val="MingLiU"/>
        <family val="3"/>
      </rPr>
      <t>𢗋錞淳𡗥焞䣩</t>
    </r>
  </si>
  <si>
    <r>
      <t>犉𩀋</t>
    </r>
    <r>
      <rPr>
        <sz val="14"/>
        <rFont val="宋体"/>
        <charset val="134"/>
      </rPr>
      <t>瞤</t>
    </r>
    <r>
      <rPr>
        <sz val="14"/>
        <rFont val="MingLiU"/>
        <family val="3"/>
      </rPr>
      <t>=眴</t>
    </r>
  </si>
  <si>
    <r>
      <t>脣漘</t>
    </r>
    <r>
      <rPr>
        <sz val="14"/>
        <rFont val="宋体"/>
        <charset val="134"/>
      </rPr>
      <t>滣</t>
    </r>
    <r>
      <rPr>
        <sz val="14"/>
        <rFont val="MingLiU"/>
        <family val="3"/>
      </rPr>
      <t>䔚㸪紃</t>
    </r>
  </si>
  <si>
    <r>
      <t>淪倫論䑳輪陯</t>
    </r>
    <r>
      <rPr>
        <sz val="14"/>
        <rFont val="宋体"/>
        <charset val="134"/>
      </rPr>
      <t>鯩</t>
    </r>
    <r>
      <rPr>
        <sz val="14"/>
        <rFont val="MingLiU"/>
        <family val="3"/>
      </rPr>
      <t>蜦棆綸惀侖踚掄䈁[圇]</t>
    </r>
  </si>
  <si>
    <r>
      <t>逡竣皴㕙墫捘</t>
    </r>
    <r>
      <rPr>
        <sz val="14"/>
        <rFont val="宋体"/>
        <charset val="134"/>
      </rPr>
      <t>竴</t>
    </r>
    <r>
      <rPr>
        <sz val="14"/>
        <rFont val="MingLiU"/>
        <family val="3"/>
      </rPr>
      <t>踆𠣟</t>
    </r>
    <r>
      <rPr>
        <sz val="14"/>
        <rFont val="宋体"/>
        <charset val="134"/>
      </rPr>
      <t>夋</t>
    </r>
  </si>
  <si>
    <r>
      <t>勻(</t>
    </r>
    <r>
      <rPr>
        <sz val="14"/>
        <rFont val="宋体"/>
        <charset val="134"/>
      </rPr>
      <t>匀</t>
    </r>
    <r>
      <rPr>
        <sz val="14"/>
        <rFont val="MingLiU"/>
        <family val="3"/>
      </rPr>
      <t>)畇|昀</t>
    </r>
  </si>
  <si>
    <r>
      <t>均鈞袀</t>
    </r>
    <r>
      <rPr>
        <sz val="14"/>
        <rFont val="宋体"/>
        <charset val="134"/>
      </rPr>
      <t>汮</t>
    </r>
  </si>
  <si>
    <r>
      <t>臻蓁</t>
    </r>
    <r>
      <rPr>
        <sz val="14"/>
        <rFont val="宋体"/>
        <charset val="134"/>
      </rPr>
      <t>搸</t>
    </r>
    <r>
      <rPr>
        <sz val="14"/>
        <rFont val="MingLiU"/>
        <family val="3"/>
      </rPr>
      <t>溱潧𣓀榛樼瀙𨬖轃</t>
    </r>
  </si>
  <si>
    <r>
      <t>莘㜪</t>
    </r>
    <r>
      <rPr>
        <sz val="14"/>
        <rFont val="宋体"/>
        <charset val="134"/>
      </rPr>
      <t>扟</t>
    </r>
    <r>
      <rPr>
        <sz val="14"/>
        <rFont val="MingLiU"/>
        <family val="3"/>
      </rPr>
      <t>駪籸䯂甡兟詵侁𩺵屾𨐔燊𦐹𢓠㯜阠姺㾕</t>
    </r>
  </si>
  <si>
    <r>
      <t>文聞𦖫</t>
    </r>
    <r>
      <rPr>
        <sz val="14"/>
        <rFont val="宋体"/>
        <charset val="134"/>
      </rPr>
      <t>彣</t>
    </r>
    <r>
      <rPr>
        <sz val="14"/>
        <rFont val="MingLiU"/>
        <family val="3"/>
      </rPr>
      <t>紋雯</t>
    </r>
    <r>
      <rPr>
        <sz val="14"/>
        <rFont val="宋体"/>
        <charset val="134"/>
      </rPr>
      <t>馼蟁</t>
    </r>
    <r>
      <rPr>
        <sz val="14"/>
        <rFont val="MingLiU"/>
        <family val="3"/>
      </rPr>
      <t>蚊</t>
    </r>
    <r>
      <rPr>
        <sz val="14"/>
        <rFont val="宋体"/>
        <charset val="134"/>
      </rPr>
      <t>螡</t>
    </r>
    <r>
      <rPr>
        <sz val="14"/>
        <rFont val="MingLiU"/>
        <family val="3"/>
      </rPr>
      <t>䰚鳼闅汶鼤閩(閿)</t>
    </r>
  </si>
  <si>
    <r>
      <t>雲芸蕓𦔐𦓷耘鄖妘紜溳澐云篔䢵員𪔅</t>
    </r>
    <r>
      <rPr>
        <sz val="14"/>
        <rFont val="宋体"/>
        <charset val="134"/>
      </rPr>
      <t>愪</t>
    </r>
    <r>
      <rPr>
        <sz val="14"/>
        <rFont val="MingLiU"/>
        <family val="3"/>
      </rPr>
      <t>沄𧶊</t>
    </r>
    <r>
      <rPr>
        <sz val="14"/>
        <rFont val="宋体"/>
        <charset val="134"/>
      </rPr>
      <t>耺橒</t>
    </r>
    <r>
      <rPr>
        <sz val="14"/>
        <rFont val="MingLiU"/>
        <family val="3"/>
      </rPr>
      <t>䉙</t>
    </r>
  </si>
  <si>
    <r>
      <t>煴</t>
    </r>
    <r>
      <rPr>
        <sz val="14"/>
        <rFont val="MingLiU"/>
        <family val="3"/>
      </rPr>
      <t>氳</t>
    </r>
    <r>
      <rPr>
        <sz val="14"/>
        <rFont val="宋体"/>
        <charset val="134"/>
      </rPr>
      <t>緼</t>
    </r>
    <r>
      <rPr>
        <sz val="14"/>
        <rFont val="MingLiU"/>
        <family val="3"/>
      </rPr>
      <t>馧</t>
    </r>
    <r>
      <rPr>
        <sz val="14"/>
        <rFont val="宋体"/>
        <charset val="134"/>
      </rPr>
      <t>蒀</t>
    </r>
    <r>
      <rPr>
        <sz val="14"/>
        <rFont val="MingLiU"/>
        <family val="3"/>
      </rPr>
      <t>𥠺䡝蘊蝹㚃</t>
    </r>
  </si>
  <si>
    <r>
      <t>墳!汾氛𣱦鼖䩿𪔵濆焚</t>
    </r>
    <r>
      <rPr>
        <sz val="14"/>
        <rFont val="宋体"/>
        <charset val="134"/>
      </rPr>
      <t>燌</t>
    </r>
    <r>
      <rPr>
        <sz val="14"/>
        <rFont val="MingLiU"/>
        <family val="3"/>
      </rPr>
      <t>羒豶頒羵䴅枌鳻蕡𦶁橨棼賁葐魵𧮱妢棻梤</t>
    </r>
    <r>
      <rPr>
        <sz val="14"/>
        <rFont val="宋体"/>
        <charset val="134"/>
      </rPr>
      <t>朌</t>
    </r>
    <r>
      <rPr>
        <sz val="14"/>
        <rFont val="MingLiU"/>
        <family val="3"/>
      </rPr>
      <t>䫶鐼</t>
    </r>
    <r>
      <rPr>
        <sz val="14"/>
        <rFont val="宋体"/>
        <charset val="134"/>
      </rPr>
      <t>馩馚</t>
    </r>
    <r>
      <rPr>
        <sz val="14"/>
        <rFont val="MingLiU"/>
        <family val="3"/>
      </rPr>
      <t>㞣鼢蚡轒</t>
    </r>
  </si>
  <si>
    <r>
      <t>分饙𣯻</t>
    </r>
    <r>
      <rPr>
        <sz val="14"/>
        <rFont val="宋体"/>
        <charset val="134"/>
      </rPr>
      <t>餴</t>
    </r>
    <r>
      <rPr>
        <sz val="14"/>
        <rFont val="MingLiU"/>
        <family val="3"/>
      </rPr>
      <t>𡊄扮[吩]</t>
    </r>
  </si>
  <si>
    <r>
      <t>羣</t>
    </r>
    <r>
      <rPr>
        <sz val="14"/>
        <rFont val="MingLiU"/>
        <family val="3"/>
      </rPr>
      <t>(群)</t>
    </r>
    <r>
      <rPr>
        <sz val="14"/>
        <rFont val="宋体"/>
        <charset val="134"/>
      </rPr>
      <t>帬裠</t>
    </r>
    <r>
      <rPr>
        <sz val="14"/>
        <rFont val="MingLiU"/>
        <family val="3"/>
      </rPr>
      <t>(裙)宭𤸷</t>
    </r>
  </si>
  <si>
    <r>
      <t>熏!薰曛</t>
    </r>
    <r>
      <rPr>
        <sz val="14"/>
        <rFont val="宋体"/>
        <charset val="134"/>
      </rPr>
      <t>勲</t>
    </r>
    <r>
      <rPr>
        <sz val="14"/>
        <rFont val="MingLiU"/>
        <family val="3"/>
      </rPr>
      <t>勛(勳)葷焄臐醺獯燻纁</t>
    </r>
  </si>
  <si>
    <r>
      <t>欣忻昕訢炘</t>
    </r>
    <r>
      <rPr>
        <sz val="14"/>
        <rFont val="宋体"/>
        <charset val="134"/>
      </rPr>
      <t>邤</t>
    </r>
  </si>
  <si>
    <r>
      <t>殷慇㶏</t>
    </r>
    <r>
      <rPr>
        <sz val="14"/>
        <rFont val="宋体"/>
        <charset val="134"/>
      </rPr>
      <t>溵</t>
    </r>
  </si>
  <si>
    <r>
      <t>勤芹懃慬</t>
    </r>
    <r>
      <rPr>
        <sz val="14"/>
        <rFont val="宋体"/>
        <charset val="134"/>
      </rPr>
      <t>懄</t>
    </r>
    <r>
      <rPr>
        <sz val="14"/>
        <rFont val="MingLiU"/>
        <family val="3"/>
      </rPr>
      <t>瘽𥎊蘄</t>
    </r>
  </si>
  <si>
    <r>
      <t>䖐㹜圻垠齗齦䴦</t>
    </r>
    <r>
      <rPr>
        <sz val="14"/>
        <rFont val="宋体"/>
        <charset val="134"/>
      </rPr>
      <t>斦</t>
    </r>
    <r>
      <rPr>
        <sz val="14"/>
        <rFont val="MingLiU"/>
        <family val="3"/>
      </rPr>
      <t>𪛊䓄狺鄞</t>
    </r>
  </si>
  <si>
    <r>
      <t>元原𨙅源</t>
    </r>
    <r>
      <rPr>
        <sz val="14"/>
        <rFont val="宋体"/>
        <charset val="134"/>
      </rPr>
      <t>厵</t>
    </r>
    <r>
      <rPr>
        <sz val="14"/>
        <rFont val="MingLiU"/>
        <family val="3"/>
      </rPr>
      <t>杬嫄沅騵黿羱蚖𧔞芫邧榞謜㹉䬧獂阮蒝|螈|</t>
    </r>
  </si>
  <si>
    <r>
      <t>袁爰垣𩫧園援榬轅鶢媛洹溒𧻚蝯</t>
    </r>
    <r>
      <rPr>
        <sz val="14"/>
        <rFont val="宋体"/>
        <charset val="134"/>
      </rPr>
      <t>猨</t>
    </r>
    <r>
      <rPr>
        <sz val="14"/>
        <rFont val="MingLiU"/>
        <family val="3"/>
      </rPr>
      <t>猿</t>
    </r>
  </si>
  <si>
    <r>
      <t>煩番𨆌蹯繁蘩薠樊𢶃繙燔膰瀿羳䪤鷭蟠蕃蠜礬𪖇𨟄鐇璠笲𥢌㺕</t>
    </r>
    <r>
      <rPr>
        <sz val="14"/>
        <rFont val="宋体"/>
        <charset val="134"/>
      </rPr>
      <t>襎</t>
    </r>
    <r>
      <rPr>
        <sz val="14"/>
        <rFont val="MingLiU"/>
        <family val="3"/>
      </rPr>
      <t>袢</t>
    </r>
    <r>
      <rPr>
        <sz val="14"/>
        <rFont val="宋体"/>
        <charset val="134"/>
      </rPr>
      <t>棥緐</t>
    </r>
    <r>
      <rPr>
        <sz val="14"/>
        <rFont val="MingLiU"/>
        <family val="3"/>
      </rPr>
      <t>𥿋墦𢐲䮳旛𧢜藩</t>
    </r>
  </si>
  <si>
    <r>
      <t>飜</t>
    </r>
    <r>
      <rPr>
        <sz val="14"/>
        <rFont val="MingLiU"/>
        <family val="3"/>
      </rPr>
      <t>翻旛番幡𤃳𤄜轓繙反</t>
    </r>
  </si>
  <si>
    <r>
      <t>暄煖</t>
    </r>
    <r>
      <rPr>
        <sz val="14"/>
        <rFont val="宋体"/>
        <charset val="134"/>
      </rPr>
      <t>喛</t>
    </r>
    <r>
      <rPr>
        <sz val="14"/>
        <rFont val="MingLiU"/>
        <family val="3"/>
      </rPr>
      <t>萱䁔諼塤壎䳦</t>
    </r>
    <r>
      <rPr>
        <sz val="14"/>
        <rFont val="宋体"/>
        <charset val="134"/>
      </rPr>
      <t>吅</t>
    </r>
    <r>
      <rPr>
        <sz val="14"/>
        <rFont val="MingLiU"/>
        <family val="3"/>
      </rPr>
      <t>貆喧諠愋讙</t>
    </r>
    <r>
      <rPr>
        <sz val="14"/>
        <rFont val="宋体"/>
        <charset val="134"/>
      </rPr>
      <t>翧</t>
    </r>
    <r>
      <rPr>
        <sz val="14"/>
        <rFont val="MingLiU"/>
        <family val="3"/>
      </rPr>
      <t>䚭䚙蝖|</t>
    </r>
    <r>
      <rPr>
        <sz val="14"/>
        <rFont val="宋体"/>
        <charset val="134"/>
      </rPr>
      <t>煊</t>
    </r>
    <r>
      <rPr>
        <sz val="14"/>
        <rFont val="MingLiU"/>
        <family val="3"/>
      </rPr>
      <t>|</t>
    </r>
  </si>
  <si>
    <r>
      <t>言</t>
    </r>
    <r>
      <rPr>
        <sz val="14"/>
        <rFont val="宋体"/>
        <charset val="134"/>
      </rPr>
      <t>琂</t>
    </r>
    <r>
      <rPr>
        <sz val="14"/>
        <rFont val="MingLiU"/>
        <family val="3"/>
      </rPr>
      <t>甗䇾䓂</t>
    </r>
  </si>
  <si>
    <r>
      <t>攑</t>
    </r>
    <r>
      <rPr>
        <sz val="14"/>
        <rFont val="MingLiU"/>
        <family val="3"/>
      </rPr>
      <t>䞿</t>
    </r>
  </si>
  <si>
    <r>
      <t>魂㮯䮝𤟤餛餫䴷鼲楎渾沄</t>
    </r>
    <r>
      <rPr>
        <sz val="14"/>
        <rFont val="宋体"/>
        <charset val="134"/>
      </rPr>
      <t>忶</t>
    </r>
    <r>
      <rPr>
        <sz val="14"/>
        <rFont val="MingLiU"/>
        <family val="3"/>
      </rPr>
      <t>𦸌</t>
    </r>
    <r>
      <rPr>
        <sz val="14"/>
        <rFont val="宋体"/>
        <charset val="134"/>
      </rPr>
      <t>俒</t>
    </r>
    <r>
      <rPr>
        <sz val="14"/>
        <rFont val="MingLiU"/>
        <family val="3"/>
      </rPr>
      <t>㑮䡣</t>
    </r>
    <r>
      <rPr>
        <sz val="14"/>
        <rFont val="宋体"/>
        <charset val="134"/>
      </rPr>
      <t>堚</t>
    </r>
    <r>
      <rPr>
        <sz val="14"/>
        <rFont val="MingLiU"/>
        <family val="3"/>
      </rPr>
      <t>𢣒𣝂㨡煇顐𧡡琿</t>
    </r>
  </si>
  <si>
    <r>
      <t>昆晜𥊽菎㡓(𢃭)褌</t>
    </r>
    <r>
      <rPr>
        <sz val="14"/>
        <rFont val="宋体"/>
        <charset val="134"/>
      </rPr>
      <t>崐</t>
    </r>
    <r>
      <rPr>
        <sz val="14"/>
        <rFont val="MingLiU"/>
        <family val="3"/>
      </rPr>
      <t>琨</t>
    </r>
    <r>
      <rPr>
        <sz val="14"/>
        <rFont val="宋体"/>
        <charset val="134"/>
      </rPr>
      <t>鵾</t>
    </r>
    <r>
      <rPr>
        <sz val="14"/>
        <rFont val="MingLiU"/>
        <family val="3"/>
      </rPr>
      <t>鶤鯤䖵</t>
    </r>
    <r>
      <rPr>
        <sz val="14"/>
        <rFont val="宋体"/>
        <charset val="134"/>
      </rPr>
      <t>蜫</t>
    </r>
    <r>
      <rPr>
        <sz val="14"/>
        <rFont val="MingLiU"/>
        <family val="3"/>
      </rPr>
      <t>惃㱎錕</t>
    </r>
    <r>
      <rPr>
        <sz val="14"/>
        <rFont val="宋体"/>
        <charset val="134"/>
      </rPr>
      <t>瑻</t>
    </r>
    <r>
      <rPr>
        <sz val="14"/>
        <rFont val="MingLiU"/>
        <family val="3"/>
      </rPr>
      <t>𪋆猑騉</t>
    </r>
  </si>
  <si>
    <r>
      <t>溫)!</t>
    </r>
    <r>
      <rPr>
        <sz val="14"/>
        <rFont val="宋体"/>
        <charset val="134"/>
      </rPr>
      <t>昷</t>
    </r>
    <r>
      <rPr>
        <sz val="14"/>
        <rFont val="MingLiU"/>
        <family val="3"/>
      </rPr>
      <t>(𥁕)(</t>
    </r>
    <r>
      <rPr>
        <sz val="14"/>
        <rFont val="宋体"/>
        <charset val="134"/>
      </rPr>
      <t>温</t>
    </r>
    <r>
      <rPr>
        <sz val="14"/>
        <rFont val="MingLiU"/>
        <family val="3"/>
      </rPr>
      <t>)</t>
    </r>
    <r>
      <rPr>
        <sz val="14"/>
        <rFont val="宋体"/>
        <charset val="134"/>
      </rPr>
      <t>輼蕰</t>
    </r>
    <r>
      <rPr>
        <sz val="14"/>
        <rFont val="MingLiU"/>
        <family val="3"/>
      </rPr>
      <t>𩥈殟鴛𨜵豱</t>
    </r>
    <r>
      <rPr>
        <sz val="14"/>
        <rFont val="宋体"/>
        <charset val="134"/>
      </rPr>
      <t>緼</t>
    </r>
    <r>
      <rPr>
        <sz val="14"/>
        <rFont val="MingLiU"/>
        <family val="3"/>
      </rPr>
      <t>韞㼔𪉸|瘟|</t>
    </r>
  </si>
  <si>
    <r>
      <t>尊</t>
    </r>
    <r>
      <rPr>
        <sz val="14"/>
        <rFont val="宋体"/>
        <charset val="134"/>
      </rPr>
      <t>罇</t>
    </r>
    <r>
      <rPr>
        <sz val="14"/>
        <rFont val="MingLiU"/>
        <family val="3"/>
      </rPr>
      <t>樽嶟繜</t>
    </r>
  </si>
  <si>
    <r>
      <t>敦惇</t>
    </r>
    <r>
      <rPr>
        <sz val="14"/>
        <rFont val="宋体"/>
        <charset val="134"/>
      </rPr>
      <t>弴</t>
    </r>
    <r>
      <rPr>
        <sz val="14"/>
        <rFont val="MingLiU"/>
        <family val="3"/>
      </rPr>
      <t>㢯𤭞驐墩[噸]|[礅]</t>
    </r>
  </si>
  <si>
    <r>
      <t>暾燉涒𪏆</t>
    </r>
    <r>
      <rPr>
        <sz val="14"/>
        <rFont val="宋体"/>
        <charset val="134"/>
      </rPr>
      <t>噋</t>
    </r>
    <r>
      <rPr>
        <sz val="14"/>
        <rFont val="MingLiU"/>
        <family val="3"/>
      </rPr>
      <t>𧑒</t>
    </r>
    <r>
      <rPr>
        <sz val="14"/>
        <rFont val="宋体"/>
        <charset val="134"/>
      </rPr>
      <t>黗</t>
    </r>
  </si>
  <si>
    <r>
      <t>屯豚㹠</t>
    </r>
    <r>
      <rPr>
        <sz val="14"/>
        <rFont val="宋体"/>
        <charset val="134"/>
      </rPr>
      <t>豘</t>
    </r>
    <r>
      <rPr>
        <sz val="14"/>
        <rFont val="MingLiU"/>
        <family val="3"/>
      </rPr>
      <t>窀臀𡱂𦞠𩪡軘飩𥴫坉沌</t>
    </r>
    <r>
      <rPr>
        <sz val="14"/>
        <rFont val="宋体"/>
        <charset val="134"/>
      </rPr>
      <t>邨</t>
    </r>
    <r>
      <rPr>
        <sz val="14"/>
        <rFont val="MingLiU"/>
        <family val="3"/>
      </rPr>
      <t>燉忳啍芚庉𪎶𤫭</t>
    </r>
  </si>
  <si>
    <r>
      <t>㑮</t>
    </r>
    <r>
      <rPr>
        <sz val="14"/>
        <rFont val="宋体"/>
        <charset val="134"/>
      </rPr>
      <t>瘒</t>
    </r>
    <r>
      <rPr>
        <sz val="14"/>
        <rFont val="MingLiU"/>
        <family val="3"/>
      </rPr>
      <t>顐梱</t>
    </r>
  </si>
  <si>
    <r>
      <t>奔賁䴅</t>
    </r>
    <r>
      <rPr>
        <sz val="14"/>
        <rFont val="宋体"/>
        <charset val="134"/>
      </rPr>
      <t>犇</t>
    </r>
    <r>
      <rPr>
        <sz val="14"/>
        <rFont val="MingLiU"/>
        <family val="3"/>
      </rPr>
      <t>|錛|</t>
    </r>
  </si>
  <si>
    <r>
      <t>論</t>
    </r>
    <r>
      <rPr>
        <sz val="14"/>
        <rFont val="宋体"/>
        <charset val="134"/>
      </rPr>
      <t>崘</t>
    </r>
    <r>
      <rPr>
        <sz val="14"/>
        <rFont val="MingLiU"/>
        <family val="3"/>
      </rPr>
      <t>掄菕</t>
    </r>
  </si>
  <si>
    <r>
      <t>坤</t>
    </r>
    <r>
      <rPr>
        <sz val="14"/>
        <rFont val="宋体"/>
        <charset val="134"/>
      </rPr>
      <t>巛</t>
    </r>
    <r>
      <rPr>
        <sz val="14"/>
        <rFont val="MingLiU"/>
        <family val="3"/>
      </rPr>
      <t>髡𩒱臗髖豤</t>
    </r>
  </si>
  <si>
    <r>
      <t>根跟</t>
    </r>
    <r>
      <rPr>
        <sz val="14"/>
        <rFont val="宋体"/>
        <charset val="134"/>
      </rPr>
      <t>珢</t>
    </r>
    <r>
      <rPr>
        <sz val="14"/>
        <rFont val="MingLiU"/>
        <family val="3"/>
      </rPr>
      <t>𣥦</t>
    </r>
  </si>
  <si>
    <r>
      <t>恩𤇯</t>
    </r>
    <r>
      <rPr>
        <sz val="14"/>
        <rFont val="宋体"/>
        <charset val="134"/>
      </rPr>
      <t>煾</t>
    </r>
  </si>
  <si>
    <r>
      <t>垠圻</t>
    </r>
    <r>
      <rPr>
        <sz val="14"/>
        <rFont val="宋体"/>
        <charset val="134"/>
      </rPr>
      <t>泿</t>
    </r>
  </si>
  <si>
    <r>
      <t>安</t>
    </r>
    <r>
      <rPr>
        <sz val="14"/>
        <rFont val="宋体"/>
        <charset val="134"/>
      </rPr>
      <t>鞌</t>
    </r>
    <r>
      <rPr>
        <sz val="14"/>
        <rFont val="MingLiU"/>
        <family val="3"/>
      </rPr>
      <t>(鞍)䀂䢿侒</t>
    </r>
  </si>
  <si>
    <r>
      <t>餐</t>
    </r>
    <r>
      <rPr>
        <sz val="14"/>
        <rFont val="宋体"/>
        <charset val="134"/>
      </rPr>
      <t>湌</t>
    </r>
    <r>
      <rPr>
        <sz val="14"/>
        <rFont val="MingLiU"/>
        <family val="3"/>
      </rPr>
      <t>(</t>
    </r>
    <r>
      <rPr>
        <sz val="14"/>
        <rFont val="宋体"/>
        <charset val="134"/>
      </rPr>
      <t>飡</t>
    </r>
    <r>
      <rPr>
        <sz val="14"/>
        <rFont val="MingLiU"/>
        <family val="3"/>
      </rPr>
      <t>)䉔</t>
    </r>
  </si>
  <si>
    <r>
      <t>灘嘽嘆</t>
    </r>
    <r>
      <rPr>
        <sz val="14"/>
        <rFont val="宋体"/>
        <charset val="134"/>
      </rPr>
      <t>擹</t>
    </r>
    <r>
      <rPr>
        <sz val="14"/>
        <rFont val="MingLiU"/>
        <family val="3"/>
      </rPr>
      <t>譠痑攤𦧴嬗㨏[癱]</t>
    </r>
  </si>
  <si>
    <r>
      <t>壇檀鷤癉撣彈驒驙但</t>
    </r>
    <r>
      <rPr>
        <sz val="14"/>
        <rFont val="宋体"/>
        <charset val="134"/>
      </rPr>
      <t>胆</t>
    </r>
    <r>
      <rPr>
        <sz val="14"/>
        <rFont val="MingLiU"/>
        <family val="3"/>
      </rPr>
      <t>繟儃</t>
    </r>
    <r>
      <rPr>
        <sz val="14"/>
        <rFont val="宋体"/>
        <charset val="134"/>
      </rPr>
      <t>聅</t>
    </r>
    <r>
      <rPr>
        <sz val="14"/>
        <rFont val="MingLiU"/>
        <family val="3"/>
      </rPr>
      <t>唌貚</t>
    </r>
  </si>
  <si>
    <r>
      <t>干乾漧竿肝奸鳱玕邗汗</t>
    </r>
    <r>
      <rPr>
        <sz val="14"/>
        <rFont val="宋体"/>
        <charset val="134"/>
      </rPr>
      <t>迀</t>
    </r>
    <r>
      <rPr>
        <sz val="14"/>
        <rFont val="MingLiU"/>
        <family val="3"/>
      </rPr>
      <t>㿻𢧀</t>
    </r>
    <r>
      <rPr>
        <sz val="14"/>
        <rFont val="宋体"/>
        <charset val="134"/>
      </rPr>
      <t>忓</t>
    </r>
    <r>
      <rPr>
        <sz val="14"/>
        <rFont val="MingLiU"/>
        <family val="3"/>
      </rPr>
      <t>𨝌𡯋</t>
    </r>
  </si>
  <si>
    <r>
      <t>蘭瀾闌讕欄攔𨷻籣䪍㘓躝</t>
    </r>
    <r>
      <rPr>
        <sz val="14"/>
        <rFont val="宋体"/>
        <charset val="134"/>
      </rPr>
      <t>幱</t>
    </r>
    <r>
      <rPr>
        <sz val="14"/>
        <rFont val="MingLiU"/>
        <family val="3"/>
      </rPr>
      <t>|</t>
    </r>
    <r>
      <rPr>
        <sz val="14"/>
        <rFont val="宋体"/>
        <charset val="134"/>
      </rPr>
      <t>斓</t>
    </r>
  </si>
  <si>
    <r>
      <t>刊!看</t>
    </r>
    <r>
      <rPr>
        <sz val="14"/>
        <rFont val="宋体"/>
        <charset val="134"/>
      </rPr>
      <t>栞</t>
    </r>
    <r>
      <rPr>
        <sz val="14"/>
        <rFont val="MingLiU"/>
        <family val="3"/>
      </rPr>
      <t>𣓁靬</t>
    </r>
    <r>
      <rPr>
        <sz val="14"/>
        <rFont val="宋体"/>
        <charset val="134"/>
      </rPr>
      <t>臤</t>
    </r>
  </si>
  <si>
    <r>
      <t>完!桓䴟𩾞丸瓛紈𦼉(雚)萑洹汍</t>
    </r>
    <r>
      <rPr>
        <sz val="14"/>
        <rFont val="宋体"/>
        <charset val="134"/>
      </rPr>
      <t>絙</t>
    </r>
    <r>
      <rPr>
        <sz val="14"/>
        <rFont val="MingLiU"/>
        <family val="3"/>
      </rPr>
      <t>芄豲梡荁莞綄𦏊</t>
    </r>
    <r>
      <rPr>
        <sz val="14"/>
        <rFont val="宋体"/>
        <charset val="134"/>
      </rPr>
      <t>萈</t>
    </r>
    <r>
      <rPr>
        <sz val="14"/>
        <rFont val="MingLiU"/>
        <family val="3"/>
      </rPr>
      <t>貆狟峘㿪䎠垸</t>
    </r>
    <r>
      <rPr>
        <sz val="14"/>
        <rFont val="宋体"/>
        <charset val="134"/>
      </rPr>
      <t>寏</t>
    </r>
    <r>
      <rPr>
        <sz val="14"/>
        <rFont val="MingLiU"/>
        <family val="3"/>
      </rPr>
      <t>院捖</t>
    </r>
  </si>
  <si>
    <r>
      <t>岏刓</t>
    </r>
    <r>
      <rPr>
        <sz val="14"/>
        <rFont val="宋体"/>
        <charset val="134"/>
      </rPr>
      <t>园</t>
    </r>
    <r>
      <rPr>
        <sz val="14"/>
        <rFont val="MingLiU"/>
        <family val="3"/>
      </rPr>
      <t>忨蚖䯈羱黿抏𠒢</t>
    </r>
  </si>
  <si>
    <r>
      <t>端</t>
    </r>
    <r>
      <rPr>
        <sz val="14"/>
        <rFont val="宋体"/>
        <charset val="134"/>
      </rPr>
      <t>褍</t>
    </r>
    <r>
      <rPr>
        <sz val="14"/>
        <rFont val="MingLiU"/>
        <family val="3"/>
      </rPr>
      <t>剬𧤗耑</t>
    </r>
    <r>
      <rPr>
        <sz val="14"/>
        <rFont val="宋体"/>
        <charset val="134"/>
      </rPr>
      <t>鍴</t>
    </r>
    <r>
      <rPr>
        <sz val="14"/>
        <rFont val="MingLiU"/>
        <family val="3"/>
      </rPr>
      <t>𥵣</t>
    </r>
    <r>
      <rPr>
        <sz val="14"/>
        <rFont val="宋体"/>
        <charset val="134"/>
      </rPr>
      <t>竱</t>
    </r>
    <r>
      <rPr>
        <sz val="14"/>
        <rFont val="MingLiU"/>
        <family val="3"/>
      </rPr>
      <t>𦾸𥠄偳</t>
    </r>
  </si>
  <si>
    <r>
      <t>剜眢豌蜿</t>
    </r>
    <r>
      <rPr>
        <sz val="14"/>
        <rFont val="宋体"/>
        <charset val="134"/>
      </rPr>
      <t>帵</t>
    </r>
    <r>
      <rPr>
        <sz val="14"/>
        <rFont val="MingLiU"/>
        <family val="3"/>
      </rPr>
      <t>婠</t>
    </r>
  </si>
  <si>
    <r>
      <t>櫕</t>
    </r>
    <r>
      <rPr>
        <sz val="14"/>
        <rFont val="MingLiU"/>
        <family val="3"/>
      </rPr>
      <t>巑𩎈菆</t>
    </r>
    <r>
      <rPr>
        <sz val="14"/>
        <rFont val="宋体"/>
        <charset val="134"/>
      </rPr>
      <t>襸</t>
    </r>
    <r>
      <rPr>
        <sz val="14"/>
        <rFont val="MingLiU"/>
        <family val="3"/>
      </rPr>
      <t>酇</t>
    </r>
    <r>
      <rPr>
        <sz val="14"/>
        <rFont val="宋体"/>
        <charset val="134"/>
      </rPr>
      <t>穳</t>
    </r>
    <r>
      <rPr>
        <sz val="14"/>
        <rFont val="MingLiU"/>
        <family val="3"/>
      </rPr>
      <t>𥣚劗|躦|</t>
    </r>
  </si>
  <si>
    <r>
      <t>鑾鸞巒欒羉𧄶㱍臠灤</t>
    </r>
    <r>
      <rPr>
        <sz val="14"/>
        <rFont val="宋体"/>
        <charset val="134"/>
      </rPr>
      <t>灓</t>
    </r>
    <r>
      <rPr>
        <sz val="14"/>
        <rFont val="MingLiU"/>
        <family val="3"/>
      </rPr>
      <t>𤼙圞曫</t>
    </r>
  </si>
  <si>
    <r>
      <t>歡懽驩貆</t>
    </r>
    <r>
      <rPr>
        <sz val="14"/>
        <rFont val="宋体"/>
        <charset val="134"/>
      </rPr>
      <t>貛</t>
    </r>
    <r>
      <rPr>
        <sz val="14"/>
        <rFont val="MingLiU"/>
        <family val="3"/>
      </rPr>
      <t>𪈩鴅酄獾犿𡚊讙𠂄</t>
    </r>
  </si>
  <si>
    <r>
      <t>鑚</t>
    </r>
    <r>
      <rPr>
        <sz val="14"/>
        <rFont val="MingLiU"/>
        <family val="3"/>
      </rPr>
      <t>𩎑𩎈䡽𣀶劗</t>
    </r>
  </si>
  <si>
    <r>
      <t>盤!槃</t>
    </r>
    <r>
      <rPr>
        <sz val="14"/>
        <rFont val="宋体"/>
        <charset val="134"/>
      </rPr>
      <t>鎜</t>
    </r>
    <r>
      <rPr>
        <sz val="14"/>
        <rFont val="MingLiU"/>
        <family val="3"/>
      </rPr>
      <t>柈瘢磻幋磐䰉般蹣搫鞶繁𪄀𥈼媻縏蟠𪒀䈲𤠍</t>
    </r>
  </si>
  <si>
    <r>
      <t>瞞顢謾蹣䊡=饅慲鏝槾墁㒼鞔樠鰻曼蔓䜱𤡁䟂𦔔</t>
    </r>
    <r>
      <rPr>
        <sz val="14"/>
        <rFont val="宋体"/>
        <charset val="134"/>
      </rPr>
      <t>芇</t>
    </r>
    <r>
      <rPr>
        <sz val="14"/>
        <rFont val="MingLiU"/>
        <family val="3"/>
      </rPr>
      <t>悗鬗絻</t>
    </r>
  </si>
  <si>
    <r>
      <t>關</t>
    </r>
    <r>
      <rPr>
        <sz val="14"/>
        <rFont val="宋体"/>
        <charset val="134"/>
      </rPr>
      <t>関癏</t>
    </r>
    <r>
      <rPr>
        <sz val="14"/>
        <rFont val="MingLiU"/>
        <family val="3"/>
      </rPr>
      <t>擐𠴨𢇇</t>
    </r>
  </si>
  <si>
    <r>
      <t>還環𠟼鬟寰闤</t>
    </r>
    <r>
      <rPr>
        <sz val="14"/>
        <rFont val="宋体"/>
        <charset val="134"/>
      </rPr>
      <t>糫</t>
    </r>
    <r>
      <rPr>
        <sz val="14"/>
        <rFont val="MingLiU"/>
        <family val="3"/>
      </rPr>
      <t>鍰圜鐶轘𡍦䍺𦏖郇澴𩙽䭴㡲𦣴</t>
    </r>
  </si>
  <si>
    <r>
      <t>班頒鳻</t>
    </r>
    <r>
      <rPr>
        <sz val="14"/>
        <rFont val="宋体"/>
        <charset val="134"/>
      </rPr>
      <t>朌螌</t>
    </r>
    <r>
      <rPr>
        <sz val="14"/>
        <rFont val="MingLiU"/>
        <family val="3"/>
      </rPr>
      <t>斑[</t>
    </r>
    <r>
      <rPr>
        <sz val="14"/>
        <rFont val="宋体"/>
        <charset val="134"/>
      </rPr>
      <t>癍</t>
    </r>
    <r>
      <rPr>
        <sz val="14"/>
        <rFont val="MingLiU"/>
        <family val="3"/>
      </rPr>
      <t>]</t>
    </r>
    <r>
      <rPr>
        <sz val="14"/>
        <rFont val="宋体"/>
        <charset val="134"/>
      </rPr>
      <t>辬</t>
    </r>
    <r>
      <rPr>
        <sz val="14"/>
        <rFont val="MingLiU"/>
        <family val="3"/>
      </rPr>
      <t>䰉般斒</t>
    </r>
    <r>
      <rPr>
        <sz val="14"/>
        <rFont val="宋体"/>
        <charset val="134"/>
      </rPr>
      <t>鯿</t>
    </r>
    <r>
      <rPr>
        <sz val="14"/>
        <rFont val="MingLiU"/>
        <family val="3"/>
      </rPr>
      <t>扳𠔯</t>
    </r>
  </si>
  <si>
    <r>
      <t>顏(</t>
    </r>
    <r>
      <rPr>
        <sz val="14"/>
        <rFont val="宋体"/>
        <charset val="134"/>
      </rPr>
      <t>顔</t>
    </r>
    <r>
      <rPr>
        <sz val="14"/>
        <rFont val="MingLiU"/>
        <family val="3"/>
      </rPr>
      <t>)楌</t>
    </r>
  </si>
  <si>
    <r>
      <t>豻</t>
    </r>
    <r>
      <rPr>
        <sz val="14"/>
        <rFont val="宋体"/>
        <charset val="134"/>
      </rPr>
      <t>鬜</t>
    </r>
  </si>
  <si>
    <r>
      <t>山疝</t>
    </r>
    <r>
      <rPr>
        <sz val="14"/>
        <rFont val="宋体"/>
        <charset val="134"/>
      </rPr>
      <t>邖</t>
    </r>
  </si>
  <si>
    <r>
      <t>間)!閒艱</t>
    </r>
    <r>
      <rPr>
        <sz val="14"/>
        <rFont val="宋体"/>
        <charset val="134"/>
      </rPr>
      <t>囏</t>
    </r>
    <r>
      <rPr>
        <sz val="14"/>
        <rFont val="MingLiU"/>
        <family val="3"/>
      </rPr>
      <t>靬蕑</t>
    </r>
    <r>
      <rPr>
        <sz val="14"/>
        <rFont val="宋体"/>
        <charset val="134"/>
      </rPr>
      <t>覸</t>
    </r>
  </si>
  <si>
    <r>
      <t>閑(閒)嫺(嫻)癇𩦂蛝</t>
    </r>
    <r>
      <rPr>
        <sz val="14"/>
        <rFont val="宋体"/>
        <charset val="134"/>
      </rPr>
      <t>瞯</t>
    </r>
    <r>
      <rPr>
        <sz val="14"/>
        <rFont val="MingLiU"/>
        <family val="3"/>
      </rPr>
      <t>(𥊺)鷴(鷳)</t>
    </r>
    <r>
      <rPr>
        <sz val="14"/>
        <rFont val="宋体"/>
        <charset val="134"/>
      </rPr>
      <t>藖</t>
    </r>
    <r>
      <rPr>
        <sz val="14"/>
        <rFont val="MingLiU"/>
        <family val="3"/>
      </rPr>
      <t>憪</t>
    </r>
  </si>
  <si>
    <r>
      <t>慳𧢞顅掔</t>
    </r>
    <r>
      <rPr>
        <sz val="14"/>
        <rFont val="宋体"/>
        <charset val="134"/>
      </rPr>
      <t>鬝</t>
    </r>
    <r>
      <rPr>
        <sz val="14"/>
        <rFont val="MingLiU"/>
        <family val="3"/>
      </rPr>
      <t>羥</t>
    </r>
    <r>
      <rPr>
        <sz val="14"/>
        <rFont val="宋体"/>
        <charset val="134"/>
      </rPr>
      <t>臤</t>
    </r>
    <r>
      <rPr>
        <sz val="14"/>
        <rFont val="MingLiU"/>
        <family val="3"/>
      </rPr>
      <t>𩋆</t>
    </r>
  </si>
  <si>
    <r>
      <t>詽</t>
    </r>
    <r>
      <rPr>
        <sz val="14"/>
        <rFont val="MingLiU"/>
        <family val="3"/>
      </rPr>
      <t>𤡥㗴虤</t>
    </r>
  </si>
  <si>
    <r>
      <t>嘫</t>
    </r>
    <r>
      <rPr>
        <sz val="14"/>
        <rFont val="MingLiU"/>
        <family val="3"/>
      </rPr>
      <t>㬮</t>
    </r>
  </si>
  <si>
    <r>
      <t>先躚</t>
    </r>
    <r>
      <rPr>
        <sz val="14"/>
        <rFont val="宋体"/>
        <charset val="134"/>
      </rPr>
      <t>蹮</t>
    </r>
    <r>
      <rPr>
        <sz val="14"/>
        <rFont val="MingLiU"/>
        <family val="3"/>
      </rPr>
      <t>𥑻</t>
    </r>
  </si>
  <si>
    <r>
      <t>前</t>
    </r>
    <r>
      <rPr>
        <sz val="14"/>
        <rFont val="宋体"/>
        <charset val="134"/>
      </rPr>
      <t>歬</t>
    </r>
    <r>
      <rPr>
        <sz val="14"/>
        <rFont val="MingLiU"/>
        <family val="3"/>
      </rPr>
      <t>騚湔𥮒(𥮓)</t>
    </r>
  </si>
  <si>
    <r>
      <t>千</t>
    </r>
    <r>
      <rPr>
        <sz val="14"/>
        <rFont val="宋体"/>
        <charset val="134"/>
      </rPr>
      <t>圱</t>
    </r>
    <r>
      <rPr>
        <sz val="14"/>
        <rFont val="MingLiU"/>
        <family val="3"/>
      </rPr>
      <t>阡</t>
    </r>
    <r>
      <rPr>
        <sz val="14"/>
        <rFont val="宋体"/>
        <charset val="134"/>
      </rPr>
      <t>汘</t>
    </r>
    <r>
      <rPr>
        <sz val="14"/>
        <rFont val="MingLiU"/>
        <family val="3"/>
      </rPr>
      <t>仟芊</t>
    </r>
    <r>
      <rPr>
        <sz val="14"/>
        <rFont val="宋体"/>
        <charset val="134"/>
      </rPr>
      <t>谸迁杄</t>
    </r>
  </si>
  <si>
    <r>
      <t>天𠀘䒶𦧝吞</t>
    </r>
    <r>
      <rPr>
        <sz val="14"/>
        <rFont val="宋体"/>
        <charset val="134"/>
      </rPr>
      <t>詽</t>
    </r>
  </si>
  <si>
    <r>
      <t>堅鑒𢮂㡉幵肩鳽豜(</t>
    </r>
    <r>
      <rPr>
        <sz val="14"/>
        <rFont val="宋体"/>
        <charset val="134"/>
      </rPr>
      <t>豣</t>
    </r>
    <r>
      <rPr>
        <sz val="14"/>
        <rFont val="MingLiU"/>
        <family val="3"/>
      </rPr>
      <t>)𧱚猏菺𪊑麉鵳鰹䶬䌑</t>
    </r>
  </si>
  <si>
    <r>
      <t>賢</t>
    </r>
    <r>
      <rPr>
        <sz val="14"/>
        <rFont val="宋体"/>
        <charset val="134"/>
      </rPr>
      <t>臤</t>
    </r>
    <r>
      <rPr>
        <sz val="14"/>
        <rFont val="MingLiU"/>
        <family val="3"/>
      </rPr>
      <t>弦絃舷胘蚿𢛆𠛑伭𢮂𦱁</t>
    </r>
    <r>
      <rPr>
        <sz val="14"/>
        <rFont val="宋体"/>
        <charset val="134"/>
      </rPr>
      <t>婱</t>
    </r>
    <r>
      <rPr>
        <sz val="14"/>
        <rFont val="MingLiU"/>
        <family val="3"/>
      </rPr>
      <t>𧼏礥</t>
    </r>
    <r>
      <rPr>
        <sz val="14"/>
        <rFont val="宋体"/>
        <charset val="134"/>
      </rPr>
      <t>痃</t>
    </r>
    <r>
      <rPr>
        <sz val="14"/>
        <rFont val="MingLiU"/>
        <family val="3"/>
      </rPr>
      <t>㘋</t>
    </r>
  </si>
  <si>
    <r>
      <t>煙</t>
    </r>
    <r>
      <rPr>
        <sz val="14"/>
        <rFont val="宋体"/>
        <charset val="134"/>
      </rPr>
      <t>烟</t>
    </r>
    <r>
      <rPr>
        <sz val="14"/>
        <rFont val="MingLiU"/>
        <family val="3"/>
      </rPr>
      <t>(菸)𡨾𤎟燕咽橪驠湮胭𥷀閼</t>
    </r>
  </si>
  <si>
    <r>
      <t>田佃畋畇</t>
    </r>
    <r>
      <rPr>
        <sz val="14"/>
        <rFont val="宋体"/>
        <charset val="134"/>
      </rPr>
      <t>塡</t>
    </r>
    <r>
      <rPr>
        <sz val="14"/>
        <rFont val="MingLiU"/>
        <family val="3"/>
      </rPr>
      <t>(填)窴闐䟧𦧴鈿䡘沺磌鷏嗔𨌈滇貚搷</t>
    </r>
  </si>
  <si>
    <r>
      <t>年!</t>
    </r>
    <r>
      <rPr>
        <sz val="14"/>
        <rFont val="宋体"/>
        <charset val="134"/>
      </rPr>
      <t>秊</t>
    </r>
    <r>
      <rPr>
        <sz val="14"/>
        <rFont val="MingLiU"/>
        <family val="3"/>
      </rPr>
      <t>𨛲</t>
    </r>
  </si>
  <si>
    <r>
      <t>顚</t>
    </r>
    <r>
      <rPr>
        <sz val="14"/>
        <rFont val="MingLiU"/>
        <family val="3"/>
      </rPr>
      <t>(顛)㒹齻𩥄槙瘨癲滇𧽍巔驒𠑘傎蹎厧</t>
    </r>
  </si>
  <si>
    <r>
      <t>牽縴</t>
    </r>
    <r>
      <rPr>
        <sz val="14"/>
        <rFont val="宋体"/>
        <charset val="134"/>
      </rPr>
      <t>郉</t>
    </r>
    <r>
      <rPr>
        <sz val="14"/>
        <rFont val="MingLiU"/>
        <family val="3"/>
      </rPr>
      <t>(邢)汧</t>
    </r>
    <r>
      <rPr>
        <sz val="14"/>
        <rFont val="宋体"/>
        <charset val="134"/>
      </rPr>
      <t>蚈</t>
    </r>
    <r>
      <rPr>
        <sz val="14"/>
        <rFont val="MingLiU"/>
        <family val="3"/>
      </rPr>
      <t>𪊑掔岍雃</t>
    </r>
  </si>
  <si>
    <r>
      <t>姸</t>
    </r>
    <r>
      <rPr>
        <sz val="14"/>
        <rFont val="MingLiU"/>
        <family val="3"/>
      </rPr>
      <t>鳽(妍)</t>
    </r>
    <r>
      <rPr>
        <sz val="14"/>
        <rFont val="宋体"/>
        <charset val="134"/>
      </rPr>
      <t>硏</t>
    </r>
    <r>
      <rPr>
        <sz val="14"/>
        <rFont val="MingLiU"/>
        <family val="3"/>
      </rPr>
      <t>(研)𥓋揅㿼趼俓</t>
    </r>
  </si>
  <si>
    <r>
      <t>駢!蹁蠙骿軿㼐胼跰楄</t>
    </r>
    <r>
      <rPr>
        <sz val="14"/>
        <rFont val="宋体"/>
        <charset val="134"/>
      </rPr>
      <t>賆</t>
    </r>
    <r>
      <rPr>
        <sz val="14"/>
        <rFont val="MingLiU"/>
        <family val="3"/>
      </rPr>
      <t>玭</t>
    </r>
    <r>
      <rPr>
        <sz val="14"/>
        <rFont val="宋体"/>
        <charset val="134"/>
      </rPr>
      <t>琕</t>
    </r>
  </si>
  <si>
    <r>
      <t>淵𠝃</t>
    </r>
    <r>
      <rPr>
        <sz val="14"/>
        <rFont val="宋体"/>
        <charset val="134"/>
      </rPr>
      <t>囦</t>
    </r>
    <r>
      <rPr>
        <sz val="14"/>
        <rFont val="MingLiU"/>
        <family val="3"/>
      </rPr>
      <t>㾓</t>
    </r>
    <r>
      <rPr>
        <sz val="14"/>
        <rFont val="宋体"/>
        <charset val="134"/>
      </rPr>
      <t>弲剈</t>
    </r>
    <r>
      <rPr>
        <sz val="14"/>
        <rFont val="MingLiU"/>
        <family val="3"/>
      </rPr>
      <t>鼘𨓯䨊蜎</t>
    </r>
  </si>
  <si>
    <r>
      <t>邊籩𤄺甂蝙猵𥣰編萹𨇱𠑟</t>
    </r>
    <r>
      <rPr>
        <sz val="14"/>
        <rFont val="宋体"/>
        <charset val="134"/>
      </rPr>
      <t>牑</t>
    </r>
    <r>
      <rPr>
        <sz val="14"/>
        <rFont val="MingLiU"/>
        <family val="3"/>
      </rPr>
      <t>䟍蹁</t>
    </r>
  </si>
  <si>
    <r>
      <t>祆</t>
    </r>
    <r>
      <rPr>
        <sz val="14"/>
        <rFont val="宋体"/>
        <charset val="134"/>
      </rPr>
      <t>訮</t>
    </r>
  </si>
  <si>
    <r>
      <t>仙僊㒨㲔䉳</t>
    </r>
    <r>
      <rPr>
        <sz val="14"/>
        <rFont val="宋体"/>
        <charset val="134"/>
      </rPr>
      <t>苮</t>
    </r>
    <r>
      <rPr>
        <sz val="14"/>
        <rFont val="MingLiU"/>
        <family val="3"/>
      </rPr>
      <t>躚秈鮮</t>
    </r>
    <r>
      <rPr>
        <sz val="14"/>
        <rFont val="宋体"/>
        <charset val="134"/>
      </rPr>
      <t>硟鱻</t>
    </r>
    <r>
      <rPr>
        <sz val="14"/>
        <rFont val="MingLiU"/>
        <family val="3"/>
      </rPr>
      <t>廯</t>
    </r>
  </si>
  <si>
    <r>
      <t>煎湔</t>
    </r>
    <r>
      <rPr>
        <sz val="14"/>
        <rFont val="宋体"/>
        <charset val="134"/>
      </rPr>
      <t>葏</t>
    </r>
    <r>
      <rPr>
        <sz val="14"/>
        <rFont val="MingLiU"/>
        <family val="3"/>
      </rPr>
      <t>鬋</t>
    </r>
  </si>
  <si>
    <r>
      <t>然燃𤡮㜣</t>
    </r>
    <r>
      <rPr>
        <sz val="14"/>
        <rFont val="宋体"/>
        <charset val="134"/>
      </rPr>
      <t>肰繎</t>
    </r>
    <r>
      <rPr>
        <sz val="14"/>
        <rFont val="MingLiU"/>
        <family val="3"/>
      </rPr>
      <t>𥳚䕼𤓉</t>
    </r>
  </si>
  <si>
    <r>
      <t>𩜾饘旃</t>
    </r>
    <r>
      <rPr>
        <sz val="14"/>
        <rFont val="宋体"/>
        <charset val="134"/>
      </rPr>
      <t>旜</t>
    </r>
    <r>
      <rPr>
        <sz val="14"/>
        <rFont val="MingLiU"/>
        <family val="3"/>
      </rPr>
      <t>栴氈鸇𩔣</t>
    </r>
  </si>
  <si>
    <r>
      <t>羶埏挻扇煽</t>
    </r>
    <r>
      <rPr>
        <sz val="14"/>
        <rFont val="宋体"/>
        <charset val="134"/>
      </rPr>
      <t>鯅脠</t>
    </r>
    <r>
      <rPr>
        <sz val="14"/>
        <rFont val="MingLiU"/>
        <family val="3"/>
      </rPr>
      <t>䘰</t>
    </r>
  </si>
  <si>
    <r>
      <t>脠</t>
    </r>
    <r>
      <rPr>
        <sz val="14"/>
        <rFont val="MingLiU"/>
        <family val="3"/>
      </rPr>
      <t>梴鏈㢟</t>
    </r>
  </si>
  <si>
    <r>
      <t>纏</t>
    </r>
    <r>
      <rPr>
        <sz val="14"/>
        <rFont val="宋体"/>
        <charset val="134"/>
      </rPr>
      <t>緾</t>
    </r>
    <r>
      <rPr>
        <sz val="14"/>
        <rFont val="MingLiU"/>
        <family val="3"/>
      </rPr>
      <t>躔瀍</t>
    </r>
    <r>
      <rPr>
        <sz val="14"/>
        <rFont val="宋体"/>
        <charset val="134"/>
      </rPr>
      <t>鄽</t>
    </r>
    <r>
      <rPr>
        <sz val="14"/>
        <rFont val="MingLiU"/>
        <family val="3"/>
      </rPr>
      <t>𨷭𧾍𧔊廛㙻</t>
    </r>
  </si>
  <si>
    <r>
      <t>連</t>
    </r>
    <r>
      <rPr>
        <sz val="14"/>
        <rFont val="宋体"/>
        <charset val="134"/>
      </rPr>
      <t>聮</t>
    </r>
    <r>
      <rPr>
        <sz val="14"/>
        <rFont val="MingLiU"/>
        <family val="3"/>
      </rPr>
      <t>(聯)漣翴鰱㺦令鏈䃛㦁槤𪚁㶌</t>
    </r>
  </si>
  <si>
    <r>
      <t>篇偏翩媥㾫扁萹[</t>
    </r>
    <r>
      <rPr>
        <sz val="14"/>
        <rFont val="宋体"/>
        <charset val="134"/>
      </rPr>
      <t>犏</t>
    </r>
    <r>
      <rPr>
        <sz val="14"/>
        <rFont val="MingLiU"/>
        <family val="3"/>
      </rPr>
      <t>]</t>
    </r>
  </si>
  <si>
    <r>
      <t>緜</t>
    </r>
    <r>
      <rPr>
        <sz val="14"/>
        <rFont val="MingLiU"/>
        <family val="3"/>
      </rPr>
      <t>綿棉謾矊蝒𧉄矏𢣔</t>
    </r>
    <r>
      <rPr>
        <sz val="14"/>
        <rFont val="宋体"/>
        <charset val="134"/>
      </rPr>
      <t>芇宀</t>
    </r>
    <r>
      <rPr>
        <sz val="14"/>
        <rFont val="MingLiU"/>
        <family val="3"/>
      </rPr>
      <t>𩕰櫋𣏜</t>
    </r>
    <r>
      <rPr>
        <sz val="14"/>
        <rFont val="宋体"/>
        <charset val="134"/>
      </rPr>
      <t>臱</t>
    </r>
    <r>
      <rPr>
        <sz val="14"/>
        <rFont val="MingLiU"/>
        <family val="3"/>
      </rPr>
      <t>㮌𣡠</t>
    </r>
  </si>
  <si>
    <r>
      <t>全仝泉𧍭牷䀬</t>
    </r>
    <r>
      <rPr>
        <sz val="14"/>
        <rFont val="宋体"/>
        <charset val="134"/>
      </rPr>
      <t>葲</t>
    </r>
  </si>
  <si>
    <r>
      <t>鐫鋑朘</t>
    </r>
    <r>
      <rPr>
        <sz val="14"/>
        <rFont val="宋体"/>
        <charset val="134"/>
      </rPr>
      <t>剶</t>
    </r>
  </si>
  <si>
    <r>
      <t>翾儇</t>
    </r>
    <r>
      <rPr>
        <sz val="14"/>
        <rFont val="宋体"/>
        <charset val="134"/>
      </rPr>
      <t>弲</t>
    </r>
    <r>
      <rPr>
        <sz val="14"/>
        <rFont val="MingLiU"/>
        <family val="3"/>
      </rPr>
      <t>蠉𧾎嬛</t>
    </r>
    <r>
      <rPr>
        <sz val="14"/>
        <rFont val="宋体"/>
        <charset val="134"/>
      </rPr>
      <t>譞</t>
    </r>
    <r>
      <rPr>
        <sz val="14"/>
        <rFont val="MingLiU"/>
        <family val="3"/>
      </rPr>
      <t>頨𥌭</t>
    </r>
  </si>
  <si>
    <r>
      <t>堧䙇𤲬</t>
    </r>
    <r>
      <rPr>
        <sz val="14"/>
        <rFont val="宋体"/>
        <charset val="134"/>
      </rPr>
      <t>瑌</t>
    </r>
    <r>
      <rPr>
        <sz val="14"/>
        <rFont val="MingLiU"/>
        <family val="3"/>
      </rPr>
      <t>撋</t>
    </r>
    <r>
      <rPr>
        <sz val="14"/>
        <rFont val="宋体"/>
        <charset val="134"/>
      </rPr>
      <t>繎</t>
    </r>
  </si>
  <si>
    <r>
      <t>旋</t>
    </r>
    <r>
      <rPr>
        <sz val="14"/>
        <rFont val="宋体"/>
        <charset val="134"/>
      </rPr>
      <t>檈</t>
    </r>
    <r>
      <rPr>
        <sz val="14"/>
        <rFont val="MingLiU"/>
        <family val="3"/>
      </rPr>
      <t>璿𤩅𤫀䗠㳬琁璇𣟳蜁㔯還圓䁢嫙鏇</t>
    </r>
  </si>
  <si>
    <r>
      <t>船=</t>
    </r>
    <r>
      <rPr>
        <sz val="14"/>
        <rFont val="宋体"/>
        <charset val="134"/>
      </rPr>
      <t>舩</t>
    </r>
  </si>
  <si>
    <r>
      <t>鞭</t>
    </r>
    <r>
      <rPr>
        <sz val="14"/>
        <rFont val="宋体"/>
        <charset val="134"/>
      </rPr>
      <t>鯾鯿</t>
    </r>
    <r>
      <rPr>
        <sz val="14"/>
        <rFont val="MingLiU"/>
        <family val="3"/>
      </rPr>
      <t>編箯揙</t>
    </r>
  </si>
  <si>
    <r>
      <t>詮銓</t>
    </r>
    <r>
      <rPr>
        <sz val="14"/>
        <rFont val="宋体"/>
        <charset val="134"/>
      </rPr>
      <t>硂</t>
    </r>
    <r>
      <rPr>
        <sz val="14"/>
        <rFont val="MingLiU"/>
        <family val="3"/>
      </rPr>
      <t>痊佺悛駩筌絟譔謜縓恮荃𠛮</t>
    </r>
    <r>
      <rPr>
        <sz val="14"/>
        <rFont val="宋体"/>
        <charset val="134"/>
      </rPr>
      <t>峑</t>
    </r>
    <r>
      <rPr>
        <sz val="14"/>
        <rFont val="MingLiU"/>
        <family val="3"/>
      </rPr>
      <t>𠥙鐉拴|輇</t>
    </r>
  </si>
  <si>
    <r>
      <t>專</t>
    </r>
    <r>
      <rPr>
        <sz val="14"/>
        <rFont val="宋体"/>
        <charset val="134"/>
      </rPr>
      <t>甎</t>
    </r>
    <r>
      <rPr>
        <sz val="14"/>
        <rFont val="MingLiU"/>
        <family val="3"/>
      </rPr>
      <t>顓篿嫥諯湍膞鱄鷒𩠹鄟|</t>
    </r>
    <r>
      <rPr>
        <sz val="14"/>
        <rFont val="宋体"/>
        <charset val="134"/>
      </rPr>
      <t>叀</t>
    </r>
    <r>
      <rPr>
        <sz val="14"/>
        <rFont val="MingLiU"/>
        <family val="3"/>
      </rPr>
      <t>瑼摶剸[磚]</t>
    </r>
  </si>
  <si>
    <r>
      <t>遄</t>
    </r>
    <r>
      <rPr>
        <sz val="14"/>
        <rFont val="宋体"/>
        <charset val="134"/>
      </rPr>
      <t>篅</t>
    </r>
    <r>
      <rPr>
        <sz val="14"/>
        <rFont val="MingLiU"/>
        <family val="3"/>
      </rPr>
      <t>圌諯輲輇椯歂</t>
    </r>
  </si>
  <si>
    <r>
      <t>猭</t>
    </r>
    <r>
      <rPr>
        <sz val="14"/>
        <rFont val="宋体"/>
        <charset val="134"/>
      </rPr>
      <t>剶</t>
    </r>
  </si>
  <si>
    <r>
      <t>愆䇂</t>
    </r>
    <r>
      <rPr>
        <sz val="14"/>
        <rFont val="宋体"/>
        <charset val="134"/>
      </rPr>
      <t>諐</t>
    </r>
    <r>
      <rPr>
        <sz val="14"/>
        <rFont val="MingLiU"/>
        <family val="3"/>
      </rPr>
      <t>𠎝褰騫䙭𧽐攐㗔</t>
    </r>
  </si>
  <si>
    <r>
      <t>權拳狋觠顴踡婘</t>
    </r>
    <r>
      <rPr>
        <sz val="14"/>
        <rFont val="宋体"/>
        <charset val="134"/>
      </rPr>
      <t>孉</t>
    </r>
    <r>
      <rPr>
        <sz val="14"/>
        <rFont val="MingLiU"/>
        <family val="3"/>
      </rPr>
      <t>䠰 犈蠸齤卷𪈻𥆗𥁠𢑆鬈䟒䑏蜷捲</t>
    </r>
  </si>
  <si>
    <r>
      <t>蕭簫</t>
    </r>
    <r>
      <rPr>
        <sz val="14"/>
        <rFont val="宋体"/>
        <charset val="134"/>
      </rPr>
      <t>彇蟰</t>
    </r>
    <r>
      <rPr>
        <sz val="14"/>
        <rFont val="MingLiU"/>
        <family val="3"/>
      </rPr>
      <t>(蠨)橚潚𩙚踃㩋箾𦐺㲖艘瞍翛</t>
    </r>
    <r>
      <rPr>
        <sz val="14"/>
        <rFont val="宋体"/>
        <charset val="134"/>
      </rPr>
      <t>撨</t>
    </r>
    <r>
      <rPr>
        <sz val="14"/>
        <rFont val="MingLiU"/>
        <family val="3"/>
      </rPr>
      <t>|瀟</t>
    </r>
  </si>
  <si>
    <r>
      <t>祧佻挑脁恌𣂁庣銚趒</t>
    </r>
    <r>
      <rPr>
        <sz val="14"/>
        <rFont val="宋体"/>
        <charset val="134"/>
      </rPr>
      <t>聎</t>
    </r>
    <r>
      <rPr>
        <sz val="14"/>
        <rFont val="MingLiU"/>
        <family val="3"/>
      </rPr>
      <t>蓧</t>
    </r>
  </si>
  <si>
    <r>
      <t>刁!貂䯾𠚥琱凋鯛䂏雕鵰蛁彫𧜣𧘨䒒𦶌𦨣𩾗㚋</t>
    </r>
    <r>
      <rPr>
        <sz val="14"/>
        <rFont val="宋体"/>
        <charset val="134"/>
      </rPr>
      <t>奝弴</t>
    </r>
    <r>
      <rPr>
        <sz val="14"/>
        <rFont val="MingLiU"/>
        <family val="3"/>
      </rPr>
      <t>瞗[碉][叼]</t>
    </r>
  </si>
  <si>
    <r>
      <t>條!迢</t>
    </r>
    <r>
      <rPr>
        <sz val="14"/>
        <rFont val="宋体"/>
        <charset val="134"/>
      </rPr>
      <t>樤</t>
    </r>
    <r>
      <rPr>
        <sz val="14"/>
        <rFont val="MingLiU"/>
        <family val="3"/>
      </rPr>
      <t>髫跳</t>
    </r>
    <r>
      <rPr>
        <sz val="14"/>
        <rFont val="宋体"/>
        <charset val="134"/>
      </rPr>
      <t>鋚</t>
    </r>
    <r>
      <rPr>
        <sz val="14"/>
        <rFont val="MingLiU"/>
        <family val="3"/>
      </rPr>
      <t>𧌁蜩佻趒苕芀調鮡岧䯾䩦嬥𠤼𣬸𠧪鰷[笤]齠</t>
    </r>
  </si>
  <si>
    <r>
      <t>聊𦗖膋膫飉遼憀</t>
    </r>
    <r>
      <rPr>
        <sz val="14"/>
        <rFont val="宋体"/>
        <charset val="134"/>
      </rPr>
      <t>竂</t>
    </r>
    <r>
      <rPr>
        <sz val="14"/>
        <rFont val="MingLiU"/>
        <family val="3"/>
      </rPr>
      <t>寥料㙩橑撩摷廖僚寮鐐簝豂鷯𥲊</t>
    </r>
    <r>
      <rPr>
        <sz val="14"/>
        <rFont val="宋体"/>
        <charset val="134"/>
      </rPr>
      <t>璙</t>
    </r>
    <r>
      <rPr>
        <sz val="14"/>
        <rFont val="MingLiU"/>
        <family val="3"/>
      </rPr>
      <t>嫽漻蟟瞭䜮𧂏𩯊嶚翏繚憭獠</t>
    </r>
    <r>
      <rPr>
        <sz val="14"/>
        <rFont val="宋体"/>
        <charset val="134"/>
      </rPr>
      <t>髎</t>
    </r>
    <r>
      <rPr>
        <sz val="14"/>
        <rFont val="MingLiU"/>
        <family val="3"/>
      </rPr>
      <t>𡽐蟧𦿌敹嘹</t>
    </r>
    <r>
      <rPr>
        <sz val="14"/>
        <rFont val="宋体"/>
        <charset val="134"/>
      </rPr>
      <t>熮</t>
    </r>
  </si>
  <si>
    <r>
      <t>幺</t>
    </r>
    <r>
      <rPr>
        <sz val="14"/>
        <rFont val="MingLiU"/>
        <family val="3"/>
      </rPr>
      <t>怮葽䱂𥃩|吆𨓳𡧮宎𦔷蟯</t>
    </r>
    <r>
      <rPr>
        <sz val="14"/>
        <rFont val="宋体"/>
        <charset val="134"/>
      </rPr>
      <t>犳</t>
    </r>
    <r>
      <rPr>
        <sz val="14"/>
        <rFont val="MingLiU"/>
        <family val="3"/>
      </rPr>
      <t>𩑗𢆷</t>
    </r>
  </si>
  <si>
    <r>
      <t>消!宵霄捎逍痟綃銷</t>
    </r>
    <r>
      <rPr>
        <sz val="14"/>
        <rFont val="宋体"/>
        <charset val="134"/>
      </rPr>
      <t>焇</t>
    </r>
    <r>
      <rPr>
        <sz val="14"/>
        <rFont val="MingLiU"/>
        <family val="3"/>
      </rPr>
      <t>硝蛸莦哨𦐺鮹𤞚䴛揱</t>
    </r>
    <r>
      <rPr>
        <sz val="14"/>
        <rFont val="宋体"/>
        <charset val="134"/>
      </rPr>
      <t>奞</t>
    </r>
    <r>
      <rPr>
        <sz val="14"/>
        <rFont val="MingLiU"/>
        <family val="3"/>
      </rPr>
      <t>魈</t>
    </r>
  </si>
  <si>
    <r>
      <t>超怊</t>
    </r>
    <r>
      <rPr>
        <sz val="14"/>
        <rFont val="宋体"/>
        <charset val="134"/>
      </rPr>
      <t>欩</t>
    </r>
    <r>
      <rPr>
        <sz val="14"/>
        <rFont val="MingLiU"/>
        <family val="3"/>
      </rPr>
      <t>𢁾𠰉䫿</t>
    </r>
  </si>
  <si>
    <r>
      <t>朝!(𪓙)晁</t>
    </r>
    <r>
      <rPr>
        <sz val="14"/>
        <rFont val="宋体"/>
        <charset val="134"/>
      </rPr>
      <t>鼂</t>
    </r>
    <r>
      <rPr>
        <sz val="14"/>
        <rFont val="MingLiU"/>
        <family val="3"/>
      </rPr>
      <t>潮</t>
    </r>
  </si>
  <si>
    <r>
      <t>囂)</t>
    </r>
    <r>
      <rPr>
        <sz val="14"/>
        <rFont val="宋体"/>
        <charset val="134"/>
      </rPr>
      <t>嚻</t>
    </r>
    <r>
      <rPr>
        <sz val="14"/>
        <rFont val="MingLiU"/>
        <family val="3"/>
      </rPr>
      <t>枵歊毊獢㺧藃呺𩱴虈</t>
    </r>
  </si>
  <si>
    <r>
      <t>樵</t>
    </r>
    <r>
      <rPr>
        <sz val="14"/>
        <rFont val="宋体"/>
        <charset val="134"/>
      </rPr>
      <t>藮</t>
    </r>
    <r>
      <rPr>
        <sz val="14"/>
        <rFont val="MingLiU"/>
        <family val="3"/>
      </rPr>
      <t>劁憔</t>
    </r>
    <r>
      <rPr>
        <sz val="14"/>
        <rFont val="宋体"/>
        <charset val="134"/>
      </rPr>
      <t>顦</t>
    </r>
    <r>
      <rPr>
        <sz val="14"/>
        <rFont val="MingLiU"/>
        <family val="3"/>
      </rPr>
      <t>䏆譙嶕𡻝鐎𨝱僬䩌</t>
    </r>
    <r>
      <rPr>
        <sz val="14"/>
        <rFont val="宋体"/>
        <charset val="134"/>
      </rPr>
      <t>撨</t>
    </r>
    <r>
      <rPr>
        <sz val="14"/>
        <rFont val="MingLiU"/>
        <family val="3"/>
      </rPr>
      <t>菬[瞧]</t>
    </r>
    <r>
      <rPr>
        <sz val="14"/>
        <rFont val="宋体"/>
        <charset val="134"/>
      </rPr>
      <t>藮</t>
    </r>
  </si>
  <si>
    <r>
      <t>焦𤓪㲬蕉膲鷦𩾗椒</t>
    </r>
    <r>
      <rPr>
        <sz val="14"/>
        <rFont val="宋体"/>
        <charset val="134"/>
      </rPr>
      <t>茮噍</t>
    </r>
    <r>
      <rPr>
        <sz val="14"/>
        <rFont val="MingLiU"/>
        <family val="3"/>
      </rPr>
      <t>鐎蟭醮𪚱(𪚰)僬燋䌭</t>
    </r>
  </si>
  <si>
    <r>
      <t>遥</t>
    </r>
    <r>
      <rPr>
        <sz val="14"/>
        <rFont val="MingLiU"/>
        <family val="3"/>
      </rPr>
      <t>!遙媱傜(徭)繇颻𣣳窯</t>
    </r>
    <r>
      <rPr>
        <sz val="14"/>
        <rFont val="宋体"/>
        <charset val="134"/>
      </rPr>
      <t>窰</t>
    </r>
    <r>
      <rPr>
        <sz val="14"/>
        <rFont val="MingLiU"/>
        <family val="3"/>
      </rPr>
      <t>䔄𦾺珧鰩銚姚搖(</t>
    </r>
    <r>
      <rPr>
        <sz val="14"/>
        <rFont val="宋体"/>
        <charset val="134"/>
      </rPr>
      <t>摇</t>
    </r>
    <r>
      <rPr>
        <sz val="14"/>
        <rFont val="MingLiU"/>
        <family val="3"/>
      </rPr>
      <t>)謠(</t>
    </r>
    <r>
      <rPr>
        <sz val="14"/>
        <rFont val="宋体"/>
        <charset val="134"/>
      </rPr>
      <t>謡</t>
    </r>
    <r>
      <rPr>
        <sz val="14"/>
        <rFont val="MingLiU"/>
        <family val="3"/>
      </rPr>
      <t>)軺愮恌𨙂陶</t>
    </r>
    <r>
      <rPr>
        <sz val="14"/>
        <rFont val="宋体"/>
        <charset val="134"/>
      </rPr>
      <t>蘨</t>
    </r>
    <r>
      <rPr>
        <sz val="14"/>
        <rFont val="MingLiU"/>
        <family val="3"/>
      </rPr>
      <t>𤬖鷂洮烑𢋇𢑄㫍榣嗂䠛瑤(</t>
    </r>
    <r>
      <rPr>
        <sz val="14"/>
        <rFont val="宋体"/>
        <charset val="134"/>
      </rPr>
      <t>瑶</t>
    </r>
    <r>
      <rPr>
        <sz val="14"/>
        <rFont val="MingLiU"/>
        <family val="3"/>
      </rPr>
      <t>)猺</t>
    </r>
    <r>
      <rPr>
        <sz val="14"/>
        <rFont val="宋体"/>
        <charset val="134"/>
      </rPr>
      <t>餆</t>
    </r>
    <r>
      <rPr>
        <sz val="14"/>
        <rFont val="MingLiU"/>
        <family val="3"/>
      </rPr>
      <t>褕(榆)</t>
    </r>
  </si>
  <si>
    <r>
      <t>韶㲈</t>
    </r>
    <r>
      <rPr>
        <sz val="14"/>
        <rFont val="宋体"/>
        <charset val="134"/>
      </rPr>
      <t>佋</t>
    </r>
    <r>
      <rPr>
        <sz val="14"/>
        <rFont val="MingLiU"/>
        <family val="3"/>
      </rPr>
      <t>𦯐𠧙玿𢃳軺</t>
    </r>
    <r>
      <rPr>
        <sz val="14"/>
        <rFont val="宋体"/>
        <charset val="134"/>
      </rPr>
      <t>柖</t>
    </r>
    <r>
      <rPr>
        <sz val="14"/>
        <rFont val="MingLiU"/>
        <family val="3"/>
      </rPr>
      <t>㸛</t>
    </r>
  </si>
  <si>
    <r>
      <t>飊</t>
    </r>
    <r>
      <rPr>
        <sz val="14"/>
        <rFont val="MingLiU"/>
        <family val="3"/>
      </rPr>
      <t>標猋杓瘭</t>
    </r>
    <r>
      <rPr>
        <sz val="14"/>
        <rFont val="宋体"/>
        <charset val="134"/>
      </rPr>
      <t>幖</t>
    </r>
    <r>
      <rPr>
        <sz val="14"/>
        <rFont val="MingLiU"/>
        <family val="3"/>
      </rPr>
      <t>熛㠒𧽤蔈驫𦠎𣄠贆髟</t>
    </r>
  </si>
  <si>
    <r>
      <t>苗描</t>
    </r>
    <r>
      <rPr>
        <sz val="14"/>
        <rFont val="宋体"/>
        <charset val="134"/>
      </rPr>
      <t>緢</t>
    </r>
    <r>
      <rPr>
        <sz val="14"/>
        <rFont val="MingLiU"/>
        <family val="3"/>
      </rPr>
      <t>貓</t>
    </r>
    <r>
      <rPr>
        <sz val="14"/>
        <rFont val="宋体"/>
        <charset val="134"/>
      </rPr>
      <t>猫</t>
    </r>
  </si>
  <si>
    <r>
      <t>喬橋趫僑㝯</t>
    </r>
    <r>
      <rPr>
        <sz val="14"/>
        <rFont val="宋体"/>
        <charset val="134"/>
      </rPr>
      <t>鐈</t>
    </r>
    <r>
      <rPr>
        <sz val="14"/>
        <rFont val="MingLiU"/>
        <family val="3"/>
      </rPr>
      <t>鷮㠐毊轎嬌蕎蟜蹻𦒓䀉</t>
    </r>
  </si>
  <si>
    <r>
      <t>鍫</t>
    </r>
    <r>
      <rPr>
        <sz val="14"/>
        <rFont val="MingLiU"/>
        <family val="3"/>
      </rPr>
      <t>(鍬𣂁)鐰</t>
    </r>
    <r>
      <rPr>
        <sz val="14"/>
        <rFont val="宋体"/>
        <charset val="134"/>
      </rPr>
      <t>篍</t>
    </r>
    <r>
      <rPr>
        <sz val="14"/>
        <rFont val="MingLiU"/>
        <family val="3"/>
      </rPr>
      <t>幧㡑𣟼𣖄</t>
    </r>
  </si>
  <si>
    <r>
      <t>妖祅</t>
    </r>
    <r>
      <rPr>
        <sz val="14"/>
        <rFont val="宋体"/>
        <charset val="134"/>
      </rPr>
      <t>枖</t>
    </r>
    <r>
      <rPr>
        <sz val="14"/>
        <rFont val="MingLiU"/>
        <family val="3"/>
      </rPr>
      <t>訞夭</t>
    </r>
  </si>
  <si>
    <r>
      <t>燎</t>
    </r>
    <r>
      <rPr>
        <sz val="14"/>
        <rFont val="宋体"/>
        <charset val="134"/>
      </rPr>
      <t>髎</t>
    </r>
  </si>
  <si>
    <r>
      <t>趫憍橇</t>
    </r>
    <r>
      <rPr>
        <sz val="14"/>
        <rFont val="宋体"/>
        <charset val="134"/>
      </rPr>
      <t>鞽</t>
    </r>
  </si>
  <si>
    <r>
      <t>肴餚崤𦺔殽洨筊姣猇㮁爻淆笅</t>
    </r>
    <r>
      <rPr>
        <sz val="14"/>
        <rFont val="宋体"/>
        <charset val="134"/>
      </rPr>
      <t>胶</t>
    </r>
    <r>
      <rPr>
        <sz val="14"/>
        <rFont val="MingLiU"/>
        <family val="3"/>
      </rPr>
      <t>𨠦䋂</t>
    </r>
    <r>
      <rPr>
        <sz val="14"/>
        <rFont val="宋体"/>
        <charset val="134"/>
      </rPr>
      <t>倄</t>
    </r>
    <r>
      <rPr>
        <sz val="14"/>
        <rFont val="MingLiU"/>
        <family val="3"/>
      </rPr>
      <t>㤊䂚</t>
    </r>
  </si>
  <si>
    <r>
      <t>交蛟茭鵁膠鮫咬郊䍊轇㶀䢒教䉰𥹜鉸摎佼</t>
    </r>
    <r>
      <rPr>
        <sz val="14"/>
        <rFont val="宋体"/>
        <charset val="134"/>
      </rPr>
      <t>芁</t>
    </r>
    <r>
      <rPr>
        <sz val="14"/>
        <rFont val="MingLiU"/>
        <family val="3"/>
      </rPr>
      <t>(艽)詨嘐𩎔</t>
    </r>
  </si>
  <si>
    <r>
      <t>鐃呶譊怓䴃𣳦𥗰𡽧㺜|</t>
    </r>
    <r>
      <rPr>
        <sz val="14"/>
        <rFont val="宋体"/>
        <charset val="134"/>
      </rPr>
      <t>硇</t>
    </r>
    <r>
      <rPr>
        <sz val="14"/>
        <rFont val="MingLiU"/>
        <family val="3"/>
      </rPr>
      <t>撓</t>
    </r>
  </si>
  <si>
    <r>
      <t>梢捎髾輎旓弰䈰筲鞘蛸鮹䘯綃</t>
    </r>
    <r>
      <rPr>
        <sz val="14"/>
        <rFont val="宋体"/>
        <charset val="134"/>
      </rPr>
      <t>颵</t>
    </r>
    <r>
      <rPr>
        <sz val="14"/>
        <rFont val="MingLiU"/>
        <family val="3"/>
      </rPr>
      <t>莦</t>
    </r>
    <r>
      <rPr>
        <sz val="14"/>
        <rFont val="宋体"/>
        <charset val="134"/>
      </rPr>
      <t>娋</t>
    </r>
    <r>
      <rPr>
        <sz val="14"/>
        <rFont val="MingLiU"/>
        <family val="3"/>
      </rPr>
      <t>𡡏|艄</t>
    </r>
  </si>
  <si>
    <r>
      <t>包胞枹苞</t>
    </r>
    <r>
      <rPr>
        <sz val="14"/>
        <rFont val="宋体"/>
        <charset val="134"/>
      </rPr>
      <t>勹</t>
    </r>
    <r>
      <rPr>
        <sz val="14"/>
        <rFont val="MingLiU"/>
        <family val="3"/>
      </rPr>
      <t>[齙]</t>
    </r>
  </si>
  <si>
    <r>
      <t>胞𨚔䍖脬</t>
    </r>
    <r>
      <rPr>
        <sz val="14"/>
        <rFont val="宋体"/>
        <charset val="134"/>
      </rPr>
      <t>抛</t>
    </r>
    <r>
      <rPr>
        <sz val="14"/>
        <rFont val="MingLiU"/>
        <family val="3"/>
      </rPr>
      <t>(拋)泡𠐋𢿏𦫶</t>
    </r>
  </si>
  <si>
    <r>
      <t>庖咆匏炮炰鉋瓟麃掊颮鞄</t>
    </r>
    <r>
      <rPr>
        <sz val="14"/>
        <rFont val="宋体"/>
        <charset val="134"/>
      </rPr>
      <t>狍</t>
    </r>
    <r>
      <rPr>
        <sz val="14"/>
        <rFont val="MingLiU"/>
        <family val="3"/>
      </rPr>
      <t>跑捊尥泡㯡|</t>
    </r>
    <r>
      <rPr>
        <sz val="14"/>
        <rFont val="宋体"/>
        <charset val="134"/>
      </rPr>
      <t>麅</t>
    </r>
  </si>
  <si>
    <r>
      <t>䫜㕭坳窅</t>
    </r>
    <r>
      <rPr>
        <sz val="14"/>
        <rFont val="宋体"/>
        <charset val="134"/>
      </rPr>
      <t>軪</t>
    </r>
    <r>
      <rPr>
        <sz val="14"/>
        <rFont val="MingLiU"/>
        <family val="3"/>
      </rPr>
      <t>眑咬</t>
    </r>
    <r>
      <rPr>
        <sz val="14"/>
        <rFont val="宋体"/>
        <charset val="134"/>
      </rPr>
      <t>梎</t>
    </r>
    <r>
      <rPr>
        <sz val="14"/>
        <rFont val="MingLiU"/>
        <family val="3"/>
      </rPr>
      <t>𠣑</t>
    </r>
  </si>
  <si>
    <r>
      <t>顟𠐋</t>
    </r>
    <r>
      <rPr>
        <sz val="14"/>
        <rFont val="宋体"/>
        <charset val="134"/>
      </rPr>
      <t>賿</t>
    </r>
    <r>
      <rPr>
        <sz val="14"/>
        <rFont val="MingLiU"/>
        <family val="3"/>
      </rPr>
      <t>窌</t>
    </r>
  </si>
  <si>
    <r>
      <t>豪號毫</t>
    </r>
    <r>
      <rPr>
        <sz val="14"/>
        <rFont val="宋体"/>
        <charset val="134"/>
      </rPr>
      <t>噑</t>
    </r>
    <r>
      <rPr>
        <sz val="14"/>
        <rFont val="MingLiU"/>
        <family val="3"/>
      </rPr>
      <t>(嗥)</t>
    </r>
    <r>
      <rPr>
        <sz val="14"/>
        <rFont val="宋体"/>
        <charset val="134"/>
      </rPr>
      <t>獋</t>
    </r>
    <r>
      <rPr>
        <sz val="14"/>
        <rFont val="MingLiU"/>
        <family val="3"/>
      </rPr>
      <t>(</t>
    </r>
    <r>
      <rPr>
        <sz val="14"/>
        <rFont val="宋体"/>
        <charset val="134"/>
      </rPr>
      <t>獆</t>
    </r>
    <r>
      <rPr>
        <sz val="14"/>
        <rFont val="MingLiU"/>
        <family val="3"/>
      </rPr>
      <t>)濠壕𩕍(䫧)𣘫崤𨚙𠢕𨼍[嚎][蠔]</t>
    </r>
  </si>
  <si>
    <r>
      <t>高(</t>
    </r>
    <r>
      <rPr>
        <sz val="14"/>
        <rFont val="宋体"/>
        <charset val="134"/>
      </rPr>
      <t>髙</t>
    </r>
    <r>
      <rPr>
        <sz val="14"/>
        <rFont val="MingLiU"/>
        <family val="3"/>
      </rPr>
      <t>)膏</t>
    </r>
    <r>
      <rPr>
        <sz val="14"/>
        <rFont val="宋体"/>
        <charset val="134"/>
      </rPr>
      <t>臯</t>
    </r>
    <r>
      <rPr>
        <sz val="14"/>
        <rFont val="MingLiU"/>
        <family val="3"/>
      </rPr>
      <t>(睾)皋羔</t>
    </r>
    <r>
      <rPr>
        <sz val="14"/>
        <rFont val="宋体"/>
        <charset val="134"/>
      </rPr>
      <t>餻</t>
    </r>
    <r>
      <rPr>
        <sz val="14"/>
        <rFont val="MingLiU"/>
        <family val="3"/>
      </rPr>
      <t>(糕)𡼗(㟸)櫜咎鼛</t>
    </r>
    <r>
      <rPr>
        <sz val="14"/>
        <rFont val="宋体"/>
        <charset val="134"/>
      </rPr>
      <t>鷱</t>
    </r>
    <r>
      <rPr>
        <sz val="14"/>
        <rFont val="MingLiU"/>
        <family val="3"/>
      </rPr>
      <t>篙</t>
    </r>
    <r>
      <rPr>
        <sz val="14"/>
        <rFont val="宋体"/>
        <charset val="134"/>
      </rPr>
      <t>橰</t>
    </r>
    <r>
      <rPr>
        <sz val="14"/>
        <rFont val="MingLiU"/>
        <family val="3"/>
      </rPr>
      <t>(槔)𧢌(䚌)䔌(䔌)㤒䆁𣓌</t>
    </r>
    <r>
      <rPr>
        <sz val="14"/>
        <rFont val="宋体"/>
        <charset val="134"/>
      </rPr>
      <t>倃</t>
    </r>
    <r>
      <rPr>
        <sz val="14"/>
        <rFont val="MingLiU"/>
        <family val="3"/>
      </rPr>
      <t>䓘𨝲(䣗)</t>
    </r>
  </si>
  <si>
    <r>
      <t>勞澇牢</t>
    </r>
    <r>
      <rPr>
        <sz val="14"/>
        <rFont val="宋体"/>
        <charset val="134"/>
      </rPr>
      <t>窂</t>
    </r>
    <r>
      <rPr>
        <sz val="14"/>
        <rFont val="MingLiU"/>
        <family val="3"/>
      </rPr>
      <t>簩䝁𧰉蟧醪撈㟉㗦</t>
    </r>
    <r>
      <rPr>
        <sz val="14"/>
        <rFont val="宋体"/>
        <charset val="134"/>
      </rPr>
      <t>髝憥</t>
    </r>
    <r>
      <rPr>
        <sz val="14"/>
        <rFont val="MingLiU"/>
        <family val="3"/>
      </rPr>
      <t>𦗖䜮𨦭𤩂嫪</t>
    </r>
    <r>
      <rPr>
        <sz val="14"/>
        <rFont val="宋体"/>
        <charset val="134"/>
      </rPr>
      <t>哰</t>
    </r>
    <r>
      <rPr>
        <sz val="14"/>
        <rFont val="MingLiU"/>
        <family val="3"/>
      </rPr>
      <t>𣘪簝</t>
    </r>
  </si>
  <si>
    <r>
      <t>饕洮韜縚</t>
    </r>
    <r>
      <rPr>
        <sz val="14"/>
        <rFont val="宋体"/>
        <charset val="134"/>
      </rPr>
      <t>謟</t>
    </r>
    <r>
      <rPr>
        <sz val="14"/>
        <rFont val="MingLiU"/>
        <family val="3"/>
      </rPr>
      <t>滔叨弢𩥓㹗𤘸慆絛幍𠌪槄蜪</t>
    </r>
    <r>
      <rPr>
        <sz val="14"/>
        <rFont val="宋体"/>
        <charset val="134"/>
      </rPr>
      <t>夲</t>
    </r>
    <r>
      <rPr>
        <sz val="14"/>
        <rFont val="MingLiU"/>
        <family val="3"/>
      </rPr>
      <t>𠦎(𠦂)綢搯(掏)翢</t>
    </r>
    <r>
      <rPr>
        <sz val="14"/>
        <rFont val="宋体"/>
        <charset val="134"/>
      </rPr>
      <t>瑫</t>
    </r>
    <r>
      <rPr>
        <sz val="14"/>
        <rFont val="MingLiU"/>
        <family val="3"/>
      </rPr>
      <t>𠬢䈱𠚜</t>
    </r>
    <r>
      <rPr>
        <sz val="14"/>
        <rFont val="宋体"/>
        <charset val="134"/>
      </rPr>
      <t>詜</t>
    </r>
    <r>
      <rPr>
        <sz val="14"/>
        <rFont val="MingLiU"/>
        <family val="3"/>
      </rPr>
      <t>挑</t>
    </r>
  </si>
  <si>
    <r>
      <t>刀魛忉裯舠𩕯</t>
    </r>
    <r>
      <rPr>
        <sz val="14"/>
        <rFont val="宋体"/>
        <charset val="134"/>
      </rPr>
      <t>朷</t>
    </r>
  </si>
  <si>
    <r>
      <t>騷搔</t>
    </r>
    <r>
      <rPr>
        <sz val="14"/>
        <rFont val="宋体"/>
        <charset val="134"/>
      </rPr>
      <t>缫</t>
    </r>
    <r>
      <rPr>
        <sz val="14"/>
        <rFont val="MingLiU"/>
        <family val="3"/>
      </rPr>
      <t>繰臊</t>
    </r>
    <r>
      <rPr>
        <sz val="14"/>
        <rFont val="宋体"/>
        <charset val="134"/>
      </rPr>
      <t>鰠</t>
    </r>
    <r>
      <rPr>
        <sz val="14"/>
        <rFont val="MingLiU"/>
        <family val="3"/>
      </rPr>
      <t>溞颾鱢㮴䑹(艘)𠋺慅</t>
    </r>
  </si>
  <si>
    <r>
      <t>袍袌</t>
    </r>
    <r>
      <rPr>
        <sz val="14"/>
        <rFont val="宋体"/>
        <charset val="134"/>
      </rPr>
      <t>軳</t>
    </r>
  </si>
  <si>
    <r>
      <t>襃</t>
    </r>
    <r>
      <rPr>
        <sz val="14"/>
        <rFont val="MingLiU"/>
        <family val="3"/>
      </rPr>
      <t>褒𠅬𨚔</t>
    </r>
  </si>
  <si>
    <r>
      <t>陶䛬䛌咷桃綯燾逃</t>
    </r>
    <r>
      <rPr>
        <sz val="14"/>
        <rFont val="宋体"/>
        <charset val="134"/>
      </rPr>
      <t>鼗</t>
    </r>
    <r>
      <rPr>
        <sz val="14"/>
        <rFont val="MingLiU"/>
        <family val="3"/>
      </rPr>
      <t>=鞀</t>
    </r>
    <r>
      <rPr>
        <sz val="14"/>
        <rFont val="宋体"/>
        <charset val="134"/>
      </rPr>
      <t>鞉</t>
    </r>
    <r>
      <rPr>
        <sz val="14"/>
        <rFont val="MingLiU"/>
        <family val="3"/>
      </rPr>
      <t>濤掏檮騊萄翿䬞匋啕翢錭駣蜪</t>
    </r>
    <r>
      <rPr>
        <sz val="14"/>
        <rFont val="宋体"/>
        <charset val="134"/>
      </rPr>
      <t>裪</t>
    </r>
    <r>
      <rPr>
        <sz val="14"/>
        <rFont val="MingLiU"/>
        <family val="3"/>
      </rPr>
      <t>|淘|</t>
    </r>
  </si>
  <si>
    <r>
      <t>糟𦵩</t>
    </r>
    <r>
      <rPr>
        <sz val="14"/>
        <rFont val="宋体"/>
        <charset val="134"/>
      </rPr>
      <t>醩</t>
    </r>
    <r>
      <rPr>
        <sz val="14"/>
        <rFont val="MingLiU"/>
        <family val="3"/>
      </rPr>
      <t>遭㷮槽傮𣩒㡟</t>
    </r>
  </si>
  <si>
    <r>
      <t>敖遨</t>
    </r>
    <r>
      <rPr>
        <sz val="14"/>
        <rFont val="宋体"/>
        <charset val="134"/>
      </rPr>
      <t>翺</t>
    </r>
    <r>
      <rPr>
        <sz val="14"/>
        <rFont val="MingLiU"/>
        <family val="3"/>
      </rPr>
      <t>(翱)聱驁熬</t>
    </r>
    <r>
      <rPr>
        <sz val="14"/>
        <rFont val="宋体"/>
        <charset val="134"/>
      </rPr>
      <t>嶅</t>
    </r>
    <r>
      <rPr>
        <sz val="14"/>
        <rFont val="MingLiU"/>
        <family val="3"/>
      </rPr>
      <t>獒滶蔜</t>
    </r>
    <r>
      <rPr>
        <sz val="14"/>
        <rFont val="宋体"/>
        <charset val="134"/>
      </rPr>
      <t>鷔</t>
    </r>
    <r>
      <rPr>
        <sz val="14"/>
        <rFont val="MingLiU"/>
        <family val="3"/>
      </rPr>
      <t>鼇螯謷</t>
    </r>
    <r>
      <rPr>
        <sz val="14"/>
        <rFont val="宋体"/>
        <charset val="134"/>
      </rPr>
      <t>嗸</t>
    </r>
    <r>
      <rPr>
        <sz val="14"/>
        <rFont val="MingLiU"/>
        <family val="3"/>
      </rPr>
      <t>嗷䫨𢧴摮</t>
    </r>
    <r>
      <rPr>
        <sz val="14"/>
        <rFont val="宋体"/>
        <charset val="134"/>
      </rPr>
      <t>嫯</t>
    </r>
    <r>
      <rPr>
        <sz val="14"/>
        <rFont val="MingLiU"/>
        <family val="3"/>
      </rPr>
      <t>䦋𣘢𦪈𩪕鰲|鏊|[廒]</t>
    </r>
  </si>
  <si>
    <r>
      <t>曹𣍘槽螬嘈鐰䄚艚䏆𩫥䐬</t>
    </r>
    <r>
      <rPr>
        <sz val="14"/>
        <rFont val="宋体"/>
        <charset val="134"/>
      </rPr>
      <t>蓸</t>
    </r>
    <r>
      <rPr>
        <sz val="14"/>
        <rFont val="MingLiU"/>
        <family val="3"/>
      </rPr>
      <t>漕</t>
    </r>
    <r>
      <rPr>
        <sz val="14"/>
        <rFont val="宋体"/>
        <charset val="134"/>
      </rPr>
      <t>褿</t>
    </r>
  </si>
  <si>
    <r>
      <t>猱㺜𤣜</t>
    </r>
    <r>
      <rPr>
        <sz val="14"/>
        <rFont val="宋体"/>
        <charset val="134"/>
      </rPr>
      <t>巎</t>
    </r>
    <r>
      <rPr>
        <sz val="14"/>
        <rFont val="MingLiU"/>
        <family val="3"/>
      </rPr>
      <t>嶩峱𤫕獿|𢜸訄臑䛝農</t>
    </r>
    <r>
      <rPr>
        <sz val="14"/>
        <rFont val="宋体"/>
        <charset val="134"/>
      </rPr>
      <t>憹</t>
    </r>
  </si>
  <si>
    <r>
      <t>歌</t>
    </r>
    <r>
      <rPr>
        <sz val="14"/>
        <rFont val="宋体"/>
        <charset val="134"/>
      </rPr>
      <t>謌</t>
    </r>
    <r>
      <rPr>
        <sz val="14"/>
        <rFont val="MingLiU"/>
        <family val="3"/>
      </rPr>
      <t>柯</t>
    </r>
    <r>
      <rPr>
        <sz val="14"/>
        <rFont val="宋体"/>
        <charset val="134"/>
      </rPr>
      <t>妿</t>
    </r>
    <r>
      <rPr>
        <sz val="14"/>
        <rFont val="MingLiU"/>
        <family val="3"/>
      </rPr>
      <t>㤎滒</t>
    </r>
    <r>
      <rPr>
        <sz val="14"/>
        <rFont val="宋体"/>
        <charset val="134"/>
      </rPr>
      <t>鴚</t>
    </r>
    <r>
      <rPr>
        <sz val="14"/>
        <rFont val="MingLiU"/>
        <family val="3"/>
      </rPr>
      <t>菏牁=戕哥</t>
    </r>
  </si>
  <si>
    <r>
      <t>娑</t>
    </r>
    <r>
      <rPr>
        <sz val="14"/>
        <rFont val="宋体"/>
        <charset val="134"/>
      </rPr>
      <t>挱</t>
    </r>
    <r>
      <rPr>
        <sz val="14"/>
        <rFont val="MingLiU"/>
        <family val="3"/>
      </rPr>
      <t>挲傞獻𩊮𠈱桫䤬𥆝䓾</t>
    </r>
  </si>
  <si>
    <r>
      <t>駝</t>
    </r>
    <r>
      <rPr>
        <sz val="14"/>
        <rFont val="宋体"/>
        <charset val="134"/>
      </rPr>
      <t>駞</t>
    </r>
    <r>
      <rPr>
        <sz val="14"/>
        <rFont val="MingLiU"/>
        <family val="3"/>
      </rPr>
      <t>鼉𡩆紽鮀陀驒䍫沱跎詑池(</t>
    </r>
    <r>
      <rPr>
        <sz val="14"/>
        <rFont val="宋体"/>
        <charset val="134"/>
      </rPr>
      <t>沲</t>
    </r>
    <r>
      <rPr>
        <sz val="14"/>
        <rFont val="MingLiU"/>
        <family val="3"/>
      </rPr>
      <t>)酡㼠䭾(馱)</t>
    </r>
    <r>
      <rPr>
        <sz val="14"/>
        <rFont val="宋体"/>
        <charset val="134"/>
      </rPr>
      <t>迱鼧</t>
    </r>
    <r>
      <rPr>
        <sz val="14"/>
        <rFont val="MingLiU"/>
        <family val="3"/>
      </rPr>
      <t>袉𩉺䡐𧕛佗|鴕</t>
    </r>
  </si>
  <si>
    <r>
      <t>醝瘥</t>
    </r>
    <r>
      <rPr>
        <sz val="14"/>
        <rFont val="宋体"/>
        <charset val="134"/>
      </rPr>
      <t>虘</t>
    </r>
    <r>
      <rPr>
        <sz val="14"/>
        <rFont val="MingLiU"/>
        <family val="3"/>
      </rPr>
      <t>齹㽨䣜𣩈鹺</t>
    </r>
    <r>
      <rPr>
        <sz val="14"/>
        <rFont val="宋体"/>
        <charset val="134"/>
      </rPr>
      <t>嵳</t>
    </r>
    <r>
      <rPr>
        <sz val="14"/>
        <rFont val="MingLiU"/>
        <family val="3"/>
      </rPr>
      <t>蒫𥰭艖蔖䴾䑘䠡躦𪘓䰈|嵯</t>
    </r>
  </si>
  <si>
    <r>
      <t>莪哦娥</t>
    </r>
    <r>
      <rPr>
        <sz val="14"/>
        <rFont val="宋体"/>
        <charset val="134"/>
      </rPr>
      <t>峩</t>
    </r>
    <r>
      <rPr>
        <sz val="14"/>
        <rFont val="MingLiU"/>
        <family val="3"/>
      </rPr>
      <t>(峨)鵝俄蛾涐</t>
    </r>
    <r>
      <rPr>
        <sz val="14"/>
        <rFont val="宋体"/>
        <charset val="134"/>
      </rPr>
      <t>誐</t>
    </r>
    <r>
      <rPr>
        <sz val="14"/>
        <rFont val="MingLiU"/>
        <family val="3"/>
      </rPr>
      <t>硪䄉睋𩒰</t>
    </r>
  </si>
  <si>
    <r>
      <t>拖)！佗他</t>
    </r>
    <r>
      <rPr>
        <sz val="14"/>
        <rFont val="宋体"/>
        <charset val="134"/>
      </rPr>
      <t>拕</t>
    </r>
    <r>
      <rPr>
        <sz val="14"/>
        <rFont val="MingLiU"/>
        <family val="3"/>
      </rPr>
      <t>它蛇痑</t>
    </r>
    <r>
      <rPr>
        <sz val="14"/>
        <rFont val="宋体"/>
        <charset val="134"/>
      </rPr>
      <t>鼧</t>
    </r>
  </si>
  <si>
    <r>
      <t>羅蘿籮儸</t>
    </r>
    <r>
      <rPr>
        <sz val="14"/>
        <rFont val="宋体"/>
        <charset val="134"/>
      </rPr>
      <t>饠</t>
    </r>
    <r>
      <rPr>
        <sz val="14"/>
        <rFont val="MingLiU"/>
        <family val="3"/>
      </rPr>
      <t>𤄷欏囉鑼(㓪)</t>
    </r>
  </si>
  <si>
    <r>
      <t>何河荷菏苛蚵</t>
    </r>
    <r>
      <rPr>
        <sz val="14"/>
        <rFont val="宋体"/>
        <charset val="134"/>
      </rPr>
      <t>鲄</t>
    </r>
  </si>
  <si>
    <r>
      <t>訶呵𩑸㱒</t>
    </r>
    <r>
      <rPr>
        <sz val="14"/>
        <rFont val="宋体"/>
        <charset val="134"/>
      </rPr>
      <t>抲</t>
    </r>
  </si>
  <si>
    <r>
      <t>阿</t>
    </r>
    <r>
      <rPr>
        <sz val="14"/>
        <rFont val="宋体"/>
        <charset val="134"/>
      </rPr>
      <t>妸妿娿</t>
    </r>
    <r>
      <rPr>
        <sz val="14"/>
        <rFont val="MingLiU"/>
        <family val="3"/>
      </rPr>
      <t>(婀)痾(</t>
    </r>
    <r>
      <rPr>
        <sz val="14"/>
        <rFont val="宋体"/>
        <charset val="134"/>
      </rPr>
      <t>疴</t>
    </r>
    <r>
      <rPr>
        <sz val="14"/>
        <rFont val="MingLiU"/>
        <family val="3"/>
      </rPr>
      <t>)䋪鈳[屙][啊]</t>
    </r>
  </si>
  <si>
    <r>
      <t>戈過渦鍋𨍋</t>
    </r>
    <r>
      <rPr>
        <sz val="14"/>
        <rFont val="宋体"/>
        <charset val="134"/>
      </rPr>
      <t>楇</t>
    </r>
    <r>
      <rPr>
        <sz val="14"/>
        <rFont val="MingLiU"/>
        <family val="3"/>
      </rPr>
      <t>瘑㽿𩰫𩰬㗻緺𧒖𩾷堝|蝸|</t>
    </r>
  </si>
  <si>
    <r>
      <t>𨹃(𨹄)</t>
    </r>
    <r>
      <rPr>
        <sz val="14"/>
        <rFont val="宋体"/>
        <charset val="134"/>
      </rPr>
      <t>桗</t>
    </r>
  </si>
  <si>
    <r>
      <t>莎蓑唆梭=𣜤魦莏</t>
    </r>
    <r>
      <rPr>
        <sz val="14"/>
        <rFont val="宋体"/>
        <charset val="134"/>
      </rPr>
      <t>髿</t>
    </r>
    <r>
      <rPr>
        <sz val="14"/>
        <rFont val="MingLiU"/>
        <family val="3"/>
      </rPr>
      <t>𢘿*𧨀趖㛗</t>
    </r>
  </si>
  <si>
    <r>
      <t>婆鄱皤繁搫</t>
    </r>
    <r>
      <rPr>
        <sz val="14"/>
        <rFont val="宋体"/>
        <charset val="134"/>
      </rPr>
      <t>蔢</t>
    </r>
    <r>
      <rPr>
        <sz val="14"/>
        <rFont val="MingLiU"/>
        <family val="3"/>
      </rPr>
      <t>媻𩕏碆</t>
    </r>
  </si>
  <si>
    <r>
      <t>矬痤銼㭫</t>
    </r>
    <r>
      <rPr>
        <sz val="14"/>
        <rFont val="宋体"/>
        <charset val="134"/>
      </rPr>
      <t>睉</t>
    </r>
  </si>
  <si>
    <r>
      <t>訛</t>
    </r>
    <r>
      <rPr>
        <sz val="14"/>
        <rFont val="宋体"/>
        <charset val="134"/>
      </rPr>
      <t>譌</t>
    </r>
    <r>
      <rPr>
        <sz val="14"/>
        <rFont val="MingLiU"/>
        <family val="3"/>
      </rPr>
      <t>吪</t>
    </r>
    <r>
      <rPr>
        <sz val="14"/>
        <rFont val="宋体"/>
        <charset val="134"/>
      </rPr>
      <t>鈋</t>
    </r>
    <r>
      <rPr>
        <sz val="14"/>
        <rFont val="MingLiU"/>
        <family val="3"/>
      </rPr>
      <t>囮</t>
    </r>
    <r>
      <rPr>
        <sz val="14"/>
        <rFont val="宋体"/>
        <charset val="134"/>
      </rPr>
      <t>鈋</t>
    </r>
    <r>
      <rPr>
        <sz val="14"/>
        <rFont val="MingLiU"/>
        <family val="3"/>
      </rPr>
      <t>魤</t>
    </r>
  </si>
  <si>
    <r>
      <t>詑</t>
    </r>
    <r>
      <rPr>
        <sz val="14"/>
        <rFont val="宋体"/>
        <charset val="134"/>
      </rPr>
      <t>涶</t>
    </r>
    <r>
      <rPr>
        <sz val="14"/>
        <rFont val="MingLiU"/>
        <family val="3"/>
      </rPr>
      <t>𧦭䛢䜏</t>
    </r>
  </si>
  <si>
    <r>
      <t>𩼊摞騾</t>
    </r>
    <r>
      <rPr>
        <sz val="14"/>
        <rFont val="宋体"/>
        <charset val="134"/>
      </rPr>
      <t>驘</t>
    </r>
    <r>
      <rPr>
        <sz val="14"/>
        <rFont val="MingLiU"/>
        <family val="3"/>
      </rPr>
      <t>𦿌鸁𣜄螺=蠃𥢵=𥡜𧄿𨰠=(鏍)</t>
    </r>
    <r>
      <rPr>
        <sz val="14"/>
        <rFont val="宋体"/>
        <charset val="134"/>
      </rPr>
      <t>覼</t>
    </r>
    <r>
      <rPr>
        <sz val="14"/>
        <rFont val="MingLiU"/>
        <family val="3"/>
      </rPr>
      <t>腡蠡</t>
    </r>
  </si>
  <si>
    <r>
      <t>波皤</t>
    </r>
    <r>
      <rPr>
        <sz val="14"/>
        <rFont val="宋体"/>
        <charset val="134"/>
      </rPr>
      <t>紴</t>
    </r>
    <r>
      <rPr>
        <sz val="14"/>
        <rFont val="MingLiU"/>
        <family val="3"/>
      </rPr>
      <t>嶓番碆</t>
    </r>
  </si>
  <si>
    <r>
      <t>和</t>
    </r>
    <r>
      <rPr>
        <sz val="14"/>
        <rFont val="宋体"/>
        <charset val="134"/>
      </rPr>
      <t>咊</t>
    </r>
    <r>
      <rPr>
        <sz val="14"/>
        <rFont val="MingLiU"/>
        <family val="3"/>
      </rPr>
      <t>𤖱䒩㗻禾龢鉌盉</t>
    </r>
  </si>
  <si>
    <r>
      <t>科窠薖稞</t>
    </r>
    <r>
      <rPr>
        <sz val="14"/>
        <rFont val="宋体"/>
        <charset val="134"/>
      </rPr>
      <t>萪</t>
    </r>
    <r>
      <rPr>
        <sz val="14"/>
        <rFont val="MingLiU"/>
        <family val="3"/>
      </rPr>
      <t>蝌犐課簻㽿髁㸰䈖𠏀</t>
    </r>
  </si>
  <si>
    <r>
      <t>倭濄渦</t>
    </r>
    <r>
      <rPr>
        <sz val="14"/>
        <rFont val="宋体"/>
        <charset val="134"/>
      </rPr>
      <t>涹</t>
    </r>
    <r>
      <rPr>
        <sz val="14"/>
        <rFont val="MingLiU"/>
        <family val="3"/>
      </rPr>
      <t>踒𡑟𥟿[窩]|萵</t>
    </r>
  </si>
  <si>
    <r>
      <t>靴!</t>
    </r>
    <r>
      <rPr>
        <sz val="14"/>
        <rFont val="宋体"/>
        <charset val="134"/>
      </rPr>
      <t>鞾</t>
    </r>
    <r>
      <rPr>
        <sz val="14"/>
        <rFont val="MingLiU"/>
        <family val="3"/>
      </rPr>
      <t>𢪎㗾</t>
    </r>
  </si>
  <si>
    <r>
      <t>奢賒</t>
    </r>
    <r>
      <rPr>
        <sz val="14"/>
        <rFont val="宋体"/>
        <charset val="134"/>
      </rPr>
      <t>畲</t>
    </r>
  </si>
  <si>
    <r>
      <t>爺!邪耶</t>
    </r>
    <r>
      <rPr>
        <sz val="14"/>
        <rFont val="宋体"/>
        <charset val="134"/>
      </rPr>
      <t>瑘釾</t>
    </r>
    <r>
      <rPr>
        <sz val="14"/>
        <rFont val="MingLiU"/>
        <family val="3"/>
      </rPr>
      <t>(</t>
    </r>
    <r>
      <rPr>
        <sz val="14"/>
        <rFont val="宋体"/>
        <charset val="134"/>
      </rPr>
      <t>鋣</t>
    </r>
    <r>
      <rPr>
        <sz val="14"/>
        <rFont val="MingLiU"/>
        <family val="3"/>
      </rPr>
      <t>)</t>
    </r>
    <r>
      <rPr>
        <sz val="14"/>
        <rFont val="宋体"/>
        <charset val="134"/>
      </rPr>
      <t>鎁</t>
    </r>
    <r>
      <rPr>
        <sz val="14"/>
        <rFont val="MingLiU"/>
        <family val="3"/>
      </rPr>
      <t>椰擨斜䓉𦰳䔑𦭿𥯘[揶]</t>
    </r>
  </si>
  <si>
    <r>
      <t>蛇</t>
    </r>
    <r>
      <rPr>
        <sz val="14"/>
        <rFont val="宋体"/>
        <charset val="134"/>
      </rPr>
      <t>虵</t>
    </r>
    <r>
      <rPr>
        <sz val="14"/>
        <rFont val="MingLiU"/>
        <family val="3"/>
      </rPr>
      <t>荼</t>
    </r>
  </si>
  <si>
    <r>
      <t>拏(拿)</t>
    </r>
    <r>
      <rPr>
        <sz val="14"/>
        <rFont val="宋体"/>
        <charset val="134"/>
      </rPr>
      <t>詉</t>
    </r>
    <r>
      <rPr>
        <sz val="14"/>
        <rFont val="MingLiU"/>
        <family val="3"/>
      </rPr>
      <t>挐</t>
    </r>
    <r>
      <rPr>
        <sz val="14"/>
        <rFont val="宋体"/>
        <charset val="134"/>
      </rPr>
      <t>摣</t>
    </r>
    <r>
      <rPr>
        <sz val="14"/>
        <rFont val="MingLiU"/>
        <family val="3"/>
      </rPr>
      <t>蒘𧘽𧦮 笯</t>
    </r>
  </si>
  <si>
    <r>
      <t>遐蝦鍜霞瑕騢</t>
    </r>
    <r>
      <rPr>
        <sz val="14"/>
        <rFont val="宋体"/>
        <charset val="134"/>
      </rPr>
      <t>鰕</t>
    </r>
    <r>
      <rPr>
        <sz val="14"/>
        <rFont val="MingLiU"/>
        <family val="3"/>
      </rPr>
      <t>䠍䫗碬䪗𩋥赮蕸</t>
    </r>
  </si>
  <si>
    <r>
      <t>葩鈀</t>
    </r>
    <r>
      <rPr>
        <sz val="14"/>
        <rFont val="宋体"/>
        <charset val="134"/>
      </rPr>
      <t>妑</t>
    </r>
    <r>
      <rPr>
        <sz val="14"/>
        <rFont val="MingLiU"/>
        <family val="3"/>
      </rPr>
      <t>蚆吧𧣃舥</t>
    </r>
  </si>
  <si>
    <r>
      <t>鴉</t>
    </r>
    <r>
      <rPr>
        <sz val="14"/>
        <rFont val="宋体"/>
        <charset val="134"/>
      </rPr>
      <t>鵶</t>
    </r>
    <r>
      <rPr>
        <sz val="14"/>
        <rFont val="MingLiU"/>
        <family val="3"/>
      </rPr>
      <t>錏椏丫㝞䃁𠜲</t>
    </r>
  </si>
  <si>
    <r>
      <t>叉杈差</t>
    </r>
    <r>
      <rPr>
        <sz val="14"/>
        <rFont val="宋体"/>
        <charset val="134"/>
      </rPr>
      <t>靫</t>
    </r>
    <r>
      <rPr>
        <sz val="14"/>
        <rFont val="MingLiU"/>
        <family val="3"/>
      </rPr>
      <t>鎈䐤𠞊艖䑡</t>
    </r>
  </si>
  <si>
    <r>
      <t>鯊魦沙砂裟㲚</t>
    </r>
    <r>
      <rPr>
        <sz val="14"/>
        <rFont val="宋体"/>
        <charset val="134"/>
      </rPr>
      <t>桬髿</t>
    </r>
    <r>
      <rPr>
        <sz val="14"/>
        <rFont val="MingLiU"/>
        <family val="3"/>
      </rPr>
      <t>𩊮硰紗|莎</t>
    </r>
  </si>
  <si>
    <r>
      <t>樝(楂)柤𦳏㪥皻䶥抯(齇</t>
    </r>
    <r>
      <rPr>
        <sz val="14"/>
        <rFont val="宋体"/>
        <charset val="134"/>
      </rPr>
      <t>齄</t>
    </r>
    <r>
      <rPr>
        <sz val="14"/>
        <rFont val="MingLiU"/>
        <family val="3"/>
      </rPr>
      <t>)溠渣查[碴]</t>
    </r>
    <r>
      <rPr>
        <sz val="14"/>
        <rFont val="宋体"/>
        <charset val="134"/>
      </rPr>
      <t>査</t>
    </r>
    <r>
      <rPr>
        <sz val="14"/>
        <rFont val="MingLiU"/>
        <family val="3"/>
      </rPr>
      <t>𤹡𥡧浾</t>
    </r>
  </si>
  <si>
    <r>
      <t>衺</t>
    </r>
    <r>
      <rPr>
        <sz val="14"/>
        <rFont val="MingLiU"/>
        <family val="3"/>
      </rPr>
      <t>斜邪[琊]䔑</t>
    </r>
  </si>
  <si>
    <r>
      <t>闍余(佘)鉈</t>
    </r>
    <r>
      <rPr>
        <sz val="14"/>
        <rFont val="宋体"/>
        <charset val="134"/>
      </rPr>
      <t>鍦</t>
    </r>
    <r>
      <rPr>
        <sz val="14"/>
        <rFont val="MingLiU"/>
        <family val="3"/>
      </rPr>
      <t>𥍸</t>
    </r>
  </si>
  <si>
    <r>
      <t>窊洼</t>
    </r>
    <r>
      <rPr>
        <sz val="14"/>
        <rFont val="宋体"/>
        <charset val="134"/>
      </rPr>
      <t>畖</t>
    </r>
    <r>
      <rPr>
        <sz val="14"/>
        <rFont val="MingLiU"/>
        <family val="3"/>
      </rPr>
      <t>蛙窪哇</t>
    </r>
  </si>
  <si>
    <r>
      <t>楂</t>
    </r>
    <r>
      <rPr>
        <sz val="14"/>
        <rFont val="宋体"/>
        <charset val="134"/>
      </rPr>
      <t>査</t>
    </r>
    <r>
      <rPr>
        <sz val="14"/>
        <rFont val="MingLiU"/>
        <family val="3"/>
      </rPr>
      <t>槎䶥㢒苴[查]|茬</t>
    </r>
  </si>
  <si>
    <r>
      <t>奓</t>
    </r>
    <r>
      <rPr>
        <sz val="14"/>
        <rFont val="宋体"/>
        <charset val="134"/>
      </rPr>
      <t>咤</t>
    </r>
    <r>
      <rPr>
        <sz val="14"/>
        <rFont val="MingLiU"/>
        <family val="3"/>
      </rPr>
      <t>𧬅觰䅊𤶠𪗭䐒</t>
    </r>
  </si>
  <si>
    <r>
      <t>煆呀</t>
    </r>
    <r>
      <rPr>
        <sz val="14"/>
        <rFont val="宋体"/>
        <charset val="134"/>
      </rPr>
      <t>疨</t>
    </r>
    <r>
      <rPr>
        <sz val="14"/>
        <rFont val="MingLiU"/>
        <family val="3"/>
      </rPr>
      <t>岈</t>
    </r>
    <r>
      <rPr>
        <sz val="14"/>
        <rFont val="宋体"/>
        <charset val="134"/>
      </rPr>
      <t>谺</t>
    </r>
    <r>
      <rPr>
        <sz val="14"/>
        <rFont val="MingLiU"/>
        <family val="3"/>
      </rPr>
      <t>颬</t>
    </r>
  </si>
  <si>
    <r>
      <t>陽暘楊揚颺昜羊</t>
    </r>
    <r>
      <rPr>
        <sz val="14"/>
        <rFont val="宋体"/>
        <charset val="134"/>
      </rPr>
      <t>样</t>
    </r>
    <r>
      <rPr>
        <sz val="14"/>
        <rFont val="MingLiU"/>
        <family val="3"/>
      </rPr>
      <t>眻佯詳徉洋烊煬鍚𩋬</t>
    </r>
    <r>
      <rPr>
        <sz val="14"/>
        <rFont val="宋体"/>
        <charset val="134"/>
      </rPr>
      <t>輰敭</t>
    </r>
    <r>
      <rPr>
        <sz val="14"/>
        <rFont val="MingLiU"/>
        <family val="3"/>
      </rPr>
      <t>瘍</t>
    </r>
    <r>
      <rPr>
        <sz val="14"/>
        <rFont val="宋体"/>
        <charset val="134"/>
      </rPr>
      <t>鴹鰑</t>
    </r>
    <r>
      <rPr>
        <sz val="14"/>
        <rFont val="MingLiU"/>
        <family val="3"/>
      </rPr>
      <t>鸉蛘禓崵</t>
    </r>
    <r>
      <rPr>
        <sz val="14"/>
        <rFont val="宋体"/>
        <charset val="134"/>
      </rPr>
      <t>諹</t>
    </r>
    <r>
      <rPr>
        <sz val="14"/>
        <rFont val="MingLiU"/>
        <family val="3"/>
      </rPr>
      <t>瑒𥂸𦭵𦍹</t>
    </r>
  </si>
  <si>
    <r>
      <t>良梁粱</t>
    </r>
    <r>
      <rPr>
        <sz val="14"/>
        <rFont val="宋体"/>
        <charset val="134"/>
      </rPr>
      <t>粮</t>
    </r>
    <r>
      <rPr>
        <sz val="14"/>
        <rFont val="MingLiU"/>
        <family val="3"/>
      </rPr>
      <t>糧涼</t>
    </r>
    <r>
      <rPr>
        <sz val="14"/>
        <rFont val="宋体"/>
        <charset val="134"/>
      </rPr>
      <t>凉</t>
    </r>
    <r>
      <rPr>
        <sz val="14"/>
        <rFont val="MingLiU"/>
        <family val="3"/>
      </rPr>
      <t>𩗬量蜋踉椋䝶綡𣄴㹁䣼輬</t>
    </r>
  </si>
  <si>
    <r>
      <t>香</t>
    </r>
    <r>
      <rPr>
        <sz val="14"/>
        <rFont val="宋体"/>
        <charset val="134"/>
      </rPr>
      <t>皀</t>
    </r>
    <r>
      <rPr>
        <sz val="14"/>
        <rFont val="MingLiU"/>
        <family val="3"/>
      </rPr>
      <t>膷薌鄉</t>
    </r>
  </si>
  <si>
    <r>
      <t>商𧶜傷𥏻殤</t>
    </r>
    <r>
      <rPr>
        <sz val="14"/>
        <rFont val="宋体"/>
        <charset val="134"/>
      </rPr>
      <t>慯</t>
    </r>
    <r>
      <rPr>
        <sz val="14"/>
        <rFont val="MingLiU"/>
        <family val="3"/>
      </rPr>
      <t>觴湯蔏𪄲螪㲽䵮禓饟䵼</t>
    </r>
    <r>
      <rPr>
        <sz val="14"/>
        <rFont val="宋体"/>
        <charset val="134"/>
      </rPr>
      <t>塲</t>
    </r>
    <r>
      <rPr>
        <sz val="14"/>
        <rFont val="MingLiU"/>
        <family val="3"/>
      </rPr>
      <t>𤳈</t>
    </r>
  </si>
  <si>
    <r>
      <t>房防坊魴方肪</t>
    </r>
    <r>
      <rPr>
        <sz val="14"/>
        <rFont val="宋体"/>
        <charset val="134"/>
      </rPr>
      <t>鴋</t>
    </r>
  </si>
  <si>
    <r>
      <t>章漳樟慞璋彰墇障</t>
    </r>
    <r>
      <rPr>
        <sz val="14"/>
        <rFont val="宋体"/>
        <charset val="134"/>
      </rPr>
      <t>麞</t>
    </r>
    <r>
      <rPr>
        <sz val="14"/>
        <rFont val="MingLiU"/>
        <family val="3"/>
      </rPr>
      <t>獐鄣</t>
    </r>
    <r>
      <rPr>
        <sz val="14"/>
        <rFont val="宋体"/>
        <charset val="134"/>
      </rPr>
      <t>蔁</t>
    </r>
    <r>
      <rPr>
        <sz val="14"/>
        <rFont val="MingLiU"/>
        <family val="3"/>
      </rPr>
      <t>𪅂𩌬暲 [嫜]</t>
    </r>
  </si>
  <si>
    <r>
      <t>羌</t>
    </r>
    <r>
      <rPr>
        <sz val="14"/>
        <rFont val="宋体"/>
        <charset val="134"/>
      </rPr>
      <t>猐</t>
    </r>
    <r>
      <rPr>
        <sz val="14"/>
        <rFont val="MingLiU"/>
        <family val="3"/>
      </rPr>
      <t>𡸓蜣</t>
    </r>
  </si>
  <si>
    <r>
      <t>薑𧅁</t>
    </r>
    <r>
      <rPr>
        <sz val="14"/>
        <rFont val="宋体"/>
        <charset val="134"/>
      </rPr>
      <t>畺</t>
    </r>
    <r>
      <rPr>
        <sz val="14"/>
        <rFont val="MingLiU"/>
        <family val="3"/>
      </rPr>
      <t>疆</t>
    </r>
    <r>
      <rPr>
        <sz val="14"/>
        <rFont val="宋体"/>
        <charset val="134"/>
      </rPr>
      <t>壃畕</t>
    </r>
    <r>
      <rPr>
        <sz val="14"/>
        <rFont val="MingLiU"/>
        <family val="3"/>
      </rPr>
      <t>㹔</t>
    </r>
    <r>
      <rPr>
        <sz val="14"/>
        <rFont val="宋体"/>
        <charset val="134"/>
      </rPr>
      <t>繮</t>
    </r>
    <r>
      <rPr>
        <sz val="14"/>
        <rFont val="MingLiU"/>
        <family val="3"/>
      </rPr>
      <t>韁殭礓橿姜䗵僵</t>
    </r>
  </si>
  <si>
    <r>
      <t>長萇腸場䠆㙊䗅</t>
    </r>
    <r>
      <rPr>
        <sz val="14"/>
        <rFont val="宋体"/>
        <charset val="134"/>
      </rPr>
      <t>瓺</t>
    </r>
  </si>
  <si>
    <r>
      <t>張</t>
    </r>
    <r>
      <rPr>
        <sz val="14"/>
        <rFont val="宋体"/>
        <charset val="134"/>
      </rPr>
      <t>餦</t>
    </r>
    <r>
      <rPr>
        <sz val="14"/>
        <rFont val="MingLiU"/>
        <family val="3"/>
      </rPr>
      <t>粻漲</t>
    </r>
  </si>
  <si>
    <r>
      <t>方汸坊</t>
    </r>
    <r>
      <rPr>
        <sz val="14"/>
        <rFont val="宋体"/>
        <charset val="134"/>
      </rPr>
      <t>蚄</t>
    </r>
    <r>
      <rPr>
        <sz val="14"/>
        <rFont val="MingLiU"/>
        <family val="3"/>
      </rPr>
      <t>肪邡</t>
    </r>
    <r>
      <rPr>
        <sz val="14"/>
        <rFont val="宋体"/>
        <charset val="134"/>
      </rPr>
      <t>鴋</t>
    </r>
    <r>
      <rPr>
        <sz val="14"/>
        <rFont val="MingLiU"/>
        <family val="3"/>
      </rPr>
      <t>枋鈁</t>
    </r>
    <r>
      <rPr>
        <sz val="14"/>
        <rFont val="宋体"/>
        <charset val="134"/>
      </rPr>
      <t>牥趽</t>
    </r>
    <r>
      <rPr>
        <sz val="14"/>
        <rFont val="MingLiU"/>
        <family val="3"/>
      </rPr>
      <t>䄱匚</t>
    </r>
  </si>
  <si>
    <r>
      <t>將漿</t>
    </r>
    <r>
      <rPr>
        <sz val="14"/>
        <rFont val="宋体"/>
        <charset val="134"/>
      </rPr>
      <t>鱂</t>
    </r>
    <r>
      <rPr>
        <sz val="14"/>
        <rFont val="MingLiU"/>
        <family val="3"/>
      </rPr>
      <t>蔣螿𢪇(</t>
    </r>
    <r>
      <rPr>
        <sz val="14"/>
        <rFont val="宋体"/>
        <charset val="134"/>
      </rPr>
      <t>摪</t>
    </r>
    <r>
      <rPr>
        <sz val="14"/>
        <rFont val="MingLiU"/>
        <family val="3"/>
      </rPr>
      <t>)</t>
    </r>
  </si>
  <si>
    <r>
      <t>亡(</t>
    </r>
    <r>
      <rPr>
        <sz val="14"/>
        <rFont val="宋体"/>
        <charset val="134"/>
      </rPr>
      <t>亾</t>
    </r>
    <r>
      <rPr>
        <sz val="14"/>
        <rFont val="MingLiU"/>
        <family val="3"/>
      </rPr>
      <t>)芒莣鋩硭杗</t>
    </r>
    <r>
      <rPr>
        <sz val="14"/>
        <rFont val="宋体"/>
        <charset val="134"/>
      </rPr>
      <t>朚</t>
    </r>
    <r>
      <rPr>
        <sz val="14"/>
        <rFont val="MingLiU"/>
        <family val="3"/>
      </rPr>
      <t>邙𨛌望朢</t>
    </r>
  </si>
  <si>
    <r>
      <t>牀</t>
    </r>
    <r>
      <rPr>
        <sz val="14"/>
        <rFont val="MingLiU"/>
        <family val="3"/>
      </rPr>
      <t>床</t>
    </r>
    <r>
      <rPr>
        <sz val="14"/>
        <rFont val="宋体"/>
        <charset val="134"/>
      </rPr>
      <t>疒</t>
    </r>
  </si>
  <si>
    <r>
      <t>常[嫦]尚裳</t>
    </r>
    <r>
      <rPr>
        <sz val="14"/>
        <rFont val="宋体"/>
        <charset val="134"/>
      </rPr>
      <t>甞</t>
    </r>
    <r>
      <rPr>
        <sz val="14"/>
        <rFont val="MingLiU"/>
        <family val="3"/>
      </rPr>
      <t>嘗鋿𩼝償𪄹徜</t>
    </r>
  </si>
  <si>
    <r>
      <t>霜</t>
    </r>
    <r>
      <rPr>
        <sz val="14"/>
        <rFont val="宋体"/>
        <charset val="134"/>
      </rPr>
      <t>鸘</t>
    </r>
    <r>
      <rPr>
        <sz val="14"/>
        <rFont val="MingLiU"/>
        <family val="3"/>
      </rPr>
      <t>鷞孀驦</t>
    </r>
    <r>
      <rPr>
        <sz val="14"/>
        <rFont val="宋体"/>
        <charset val="134"/>
      </rPr>
      <t>騻</t>
    </r>
    <r>
      <rPr>
        <sz val="14"/>
        <rFont val="MingLiU"/>
        <family val="3"/>
      </rPr>
      <t>蠰</t>
    </r>
  </si>
  <si>
    <r>
      <t>槍!鏘瑲 蹌蹡𨄚斨牄嶈𨶆𥏻搶|將謒嗆</t>
    </r>
    <r>
      <rPr>
        <sz val="14"/>
        <rFont val="宋体"/>
        <charset val="134"/>
      </rPr>
      <t>篬</t>
    </r>
    <r>
      <rPr>
        <sz val="14"/>
        <rFont val="MingLiU"/>
        <family val="3"/>
      </rPr>
      <t>𪙝顙鶬[錆]</t>
    </r>
  </si>
  <si>
    <r>
      <t>匡</t>
    </r>
    <r>
      <rPr>
        <sz val="14"/>
        <rFont val="宋体"/>
        <charset val="134"/>
      </rPr>
      <t>邼</t>
    </r>
    <r>
      <rPr>
        <sz val="14"/>
        <rFont val="MingLiU"/>
        <family val="3"/>
      </rPr>
      <t>筐䖱框恇劻𩬹洭</t>
    </r>
    <r>
      <rPr>
        <sz val="14"/>
        <rFont val="宋体"/>
        <charset val="134"/>
      </rPr>
      <t>軭</t>
    </r>
    <r>
      <rPr>
        <sz val="14"/>
        <rFont val="MingLiU"/>
        <family val="3"/>
      </rPr>
      <t>眶䒰𩢼</t>
    </r>
  </si>
  <si>
    <r>
      <t>王</t>
    </r>
    <r>
      <rPr>
        <sz val="14"/>
        <rFont val="宋体"/>
        <charset val="134"/>
      </rPr>
      <t>蚟彺</t>
    </r>
    <r>
      <rPr>
        <sz val="14"/>
        <rFont val="MingLiU"/>
        <family val="3"/>
      </rPr>
      <t>𩵭</t>
    </r>
  </si>
  <si>
    <r>
      <t>強彊䲔</t>
    </r>
    <r>
      <rPr>
        <sz val="14"/>
        <rFont val="宋体"/>
        <charset val="134"/>
      </rPr>
      <t>勥</t>
    </r>
  </si>
  <si>
    <r>
      <t>狂鵟</t>
    </r>
    <r>
      <rPr>
        <sz val="14"/>
        <rFont val="宋体"/>
        <charset val="134"/>
      </rPr>
      <t>軖軭</t>
    </r>
    <r>
      <rPr>
        <sz val="14"/>
        <rFont val="MingLiU"/>
        <family val="3"/>
      </rPr>
      <t>㞷</t>
    </r>
  </si>
  <si>
    <r>
      <t>唐</t>
    </r>
    <r>
      <rPr>
        <sz val="14"/>
        <rFont val="宋体"/>
        <charset val="134"/>
      </rPr>
      <t>啺</t>
    </r>
    <r>
      <rPr>
        <sz val="14"/>
        <rFont val="MingLiU"/>
        <family val="3"/>
      </rPr>
      <t>𥏬煻糖</t>
    </r>
    <r>
      <rPr>
        <sz val="14"/>
        <rFont val="宋体"/>
        <charset val="134"/>
      </rPr>
      <t>糛</t>
    </r>
    <r>
      <rPr>
        <sz val="14"/>
        <rFont val="MingLiU"/>
        <family val="3"/>
      </rPr>
      <t>堂</t>
    </r>
    <r>
      <rPr>
        <sz val="14"/>
        <rFont val="宋体"/>
        <charset val="134"/>
      </rPr>
      <t>坣</t>
    </r>
    <r>
      <rPr>
        <sz val="14"/>
        <rFont val="MingLiU"/>
        <family val="3"/>
      </rPr>
      <t>𪕹棠搪蓎瑭</t>
    </r>
    <r>
      <rPr>
        <sz val="14"/>
        <rFont val="宋体"/>
        <charset val="134"/>
      </rPr>
      <t>餹篖</t>
    </r>
    <r>
      <rPr>
        <sz val="14"/>
        <rFont val="MingLiU"/>
        <family val="3"/>
      </rPr>
      <t>螗𤚫𤛋螳塘碭鶶𩹶踼闛赯磄溏䣘</t>
    </r>
    <r>
      <rPr>
        <sz val="14"/>
        <rFont val="宋体"/>
        <charset val="134"/>
      </rPr>
      <t>傏隚</t>
    </r>
    <r>
      <rPr>
        <sz val="14"/>
        <rFont val="MingLiU"/>
        <family val="3"/>
      </rPr>
      <t>䧜𨶈鎕䉎𨍴橖榶㲥㼺塘[膛](樘醣)</t>
    </r>
  </si>
  <si>
    <r>
      <t>郎</t>
    </r>
    <r>
      <rPr>
        <sz val="14"/>
        <rFont val="宋体"/>
        <charset val="134"/>
      </rPr>
      <t>蓈</t>
    </r>
    <r>
      <rPr>
        <sz val="14"/>
        <rFont val="MingLiU"/>
        <family val="3"/>
      </rPr>
      <t>稂桹廊榔鋃硠𪁜浪䯖蜋[螂]𩷕琅瑯㝗狼欴𦵧踉莨㟍䡙</t>
    </r>
    <r>
      <rPr>
        <sz val="14"/>
        <rFont val="宋体"/>
        <charset val="134"/>
      </rPr>
      <t>艆</t>
    </r>
    <r>
      <rPr>
        <sz val="14"/>
        <rFont val="MingLiU"/>
        <family val="3"/>
      </rPr>
      <t>駺</t>
    </r>
    <r>
      <rPr>
        <sz val="14"/>
        <rFont val="宋体"/>
        <charset val="134"/>
      </rPr>
      <t>躴</t>
    </r>
    <r>
      <rPr>
        <sz val="14"/>
        <rFont val="MingLiU"/>
        <family val="3"/>
      </rPr>
      <t>筤𥍫閬</t>
    </r>
    <r>
      <rPr>
        <sz val="14"/>
        <rFont val="宋体"/>
        <charset val="134"/>
      </rPr>
      <t>哴</t>
    </r>
  </si>
  <si>
    <r>
      <t>剛!岡(堽)崗㓻</t>
    </r>
    <r>
      <rPr>
        <sz val="14"/>
        <rFont val="宋体"/>
        <charset val="134"/>
      </rPr>
      <t>掆</t>
    </r>
    <r>
      <rPr>
        <sz val="14"/>
        <rFont val="MingLiU"/>
        <family val="3"/>
      </rPr>
      <t>笐鋼綱亢犅堈𤭛</t>
    </r>
    <r>
      <rPr>
        <sz val="14"/>
        <rFont val="宋体"/>
        <charset val="134"/>
      </rPr>
      <t>牨</t>
    </r>
    <r>
      <rPr>
        <sz val="14"/>
        <rFont val="MingLiU"/>
        <family val="3"/>
      </rPr>
      <t>苀魧迒(缸)[罡]</t>
    </r>
  </si>
  <si>
    <r>
      <t>桑</t>
    </r>
    <r>
      <rPr>
        <sz val="14"/>
        <rFont val="宋体"/>
        <charset val="134"/>
      </rPr>
      <t>桒</t>
    </r>
    <r>
      <rPr>
        <sz val="14"/>
        <rFont val="MingLiU"/>
        <family val="3"/>
      </rPr>
      <t>𠸶喪𦅇𩦌</t>
    </r>
  </si>
  <si>
    <r>
      <t>康</t>
    </r>
    <r>
      <rPr>
        <sz val="14"/>
        <rFont val="宋体"/>
        <charset val="134"/>
      </rPr>
      <t>穅</t>
    </r>
    <r>
      <rPr>
        <sz val="14"/>
        <rFont val="MingLiU"/>
        <family val="3"/>
      </rPr>
      <t>糠㱂㝩</t>
    </r>
    <r>
      <rPr>
        <sz val="14"/>
        <rFont val="宋体"/>
        <charset val="134"/>
      </rPr>
      <t>槺</t>
    </r>
    <r>
      <rPr>
        <sz val="14"/>
        <rFont val="MingLiU"/>
        <family val="3"/>
      </rPr>
      <t>𨻷䗧𥉽邟漮𤮊㼹</t>
    </r>
    <r>
      <rPr>
        <sz val="14"/>
        <rFont val="宋体"/>
        <charset val="134"/>
      </rPr>
      <t>躿</t>
    </r>
  </si>
  <si>
    <r>
      <t>黃皇璜惶遑潢堭煌餭騜艎簧隍</t>
    </r>
    <r>
      <rPr>
        <sz val="14"/>
        <rFont val="宋体"/>
        <charset val="134"/>
      </rPr>
      <t>癀</t>
    </r>
    <r>
      <rPr>
        <sz val="14"/>
        <rFont val="MingLiU"/>
        <family val="3"/>
      </rPr>
      <t>𨝴湟徨篁</t>
    </r>
    <r>
      <rPr>
        <sz val="14"/>
        <rFont val="宋体"/>
        <charset val="134"/>
      </rPr>
      <t>鱑</t>
    </r>
    <r>
      <rPr>
        <sz val="14"/>
        <rFont val="MingLiU"/>
        <family val="3"/>
      </rPr>
      <t>蝗凰偟媓獚蟥韹𨜔䍿䅣𤯷葟趪|鰉撗崲磺葟|</t>
    </r>
  </si>
  <si>
    <r>
      <t>光</t>
    </r>
    <r>
      <rPr>
        <sz val="14"/>
        <rFont val="宋体"/>
        <charset val="134"/>
      </rPr>
      <t>灮</t>
    </r>
    <r>
      <rPr>
        <sz val="14"/>
        <rFont val="MingLiU"/>
        <family val="3"/>
      </rPr>
      <t>洸桄胱垙𨎩</t>
    </r>
    <r>
      <rPr>
        <sz val="14"/>
        <rFont val="宋体"/>
        <charset val="134"/>
      </rPr>
      <t>輄</t>
    </r>
    <r>
      <rPr>
        <sz val="14"/>
        <rFont val="MingLiU"/>
        <family val="3"/>
      </rPr>
      <t>橫𩧉恍茪</t>
    </r>
    <r>
      <rPr>
        <sz val="14"/>
        <rFont val="宋体"/>
        <charset val="134"/>
      </rPr>
      <t>僙侊</t>
    </r>
  </si>
  <si>
    <r>
      <t>滂鎊</t>
    </r>
    <r>
      <rPr>
        <sz val="14"/>
        <rFont val="宋体"/>
        <charset val="134"/>
      </rPr>
      <t>霶</t>
    </r>
    <r>
      <rPr>
        <sz val="14"/>
        <rFont val="MingLiU"/>
        <family val="3"/>
      </rPr>
      <t>雱䨦𣂆磅</t>
    </r>
  </si>
  <si>
    <r>
      <t>汪尢(</t>
    </r>
    <r>
      <rPr>
        <sz val="14"/>
        <rFont val="宋体"/>
        <charset val="134"/>
      </rPr>
      <t>尣</t>
    </r>
    <r>
      <rPr>
        <sz val="14"/>
        <rFont val="MingLiU"/>
        <family val="3"/>
      </rPr>
      <t>)尪洸𪁘</t>
    </r>
  </si>
  <si>
    <r>
      <t>鴦佒</t>
    </r>
    <r>
      <rPr>
        <sz val="14"/>
        <rFont val="宋体"/>
        <charset val="134"/>
      </rPr>
      <t>咉</t>
    </r>
    <r>
      <rPr>
        <sz val="14"/>
        <rFont val="MingLiU"/>
        <family val="3"/>
      </rPr>
      <t>𧲱㹧</t>
    </r>
    <r>
      <rPr>
        <sz val="14"/>
        <rFont val="宋体"/>
        <charset val="134"/>
      </rPr>
      <t>眏</t>
    </r>
    <r>
      <rPr>
        <sz val="14"/>
        <rFont val="MingLiU"/>
        <family val="3"/>
      </rPr>
      <t>姎|肮|</t>
    </r>
  </si>
  <si>
    <r>
      <t>炕㰠</t>
    </r>
    <r>
      <rPr>
        <sz val="14"/>
        <rFont val="宋体"/>
        <charset val="134"/>
      </rPr>
      <t>忼</t>
    </r>
    <r>
      <rPr>
        <sz val="14"/>
        <rFont val="MingLiU"/>
        <family val="3"/>
      </rPr>
      <t>䐠</t>
    </r>
  </si>
  <si>
    <r>
      <t>航</t>
    </r>
    <r>
      <rPr>
        <sz val="14"/>
        <rFont val="宋体"/>
        <charset val="134"/>
      </rPr>
      <t>筕</t>
    </r>
    <r>
      <rPr>
        <sz val="14"/>
        <rFont val="MingLiU"/>
        <family val="3"/>
      </rPr>
      <t>桁行迒𨁈頏𦐄魧胻邟杭沆蚢肮苀抗吭</t>
    </r>
  </si>
  <si>
    <r>
      <t>茫</t>
    </r>
    <r>
      <rPr>
        <sz val="14"/>
        <rFont val="宋体"/>
        <charset val="134"/>
      </rPr>
      <t>吂</t>
    </r>
    <r>
      <rPr>
        <sz val="14"/>
        <rFont val="MingLiU"/>
        <family val="3"/>
      </rPr>
      <t>䀮汒</t>
    </r>
    <r>
      <rPr>
        <sz val="14"/>
        <rFont val="宋体"/>
        <charset val="134"/>
      </rPr>
      <t>恾</t>
    </r>
    <r>
      <rPr>
        <sz val="14"/>
        <rFont val="MingLiU"/>
        <family val="3"/>
      </rPr>
      <t>忙</t>
    </r>
    <r>
      <rPr>
        <sz val="14"/>
        <rFont val="宋体"/>
        <charset val="134"/>
      </rPr>
      <t>朚</t>
    </r>
    <r>
      <rPr>
        <sz val="14"/>
        <rFont val="MingLiU"/>
        <family val="3"/>
      </rPr>
      <t>邙芒𥐞杗蘉𡩩𨛌</t>
    </r>
  </si>
  <si>
    <r>
      <t>臧</t>
    </r>
    <r>
      <rPr>
        <sz val="14"/>
        <rFont val="宋体"/>
        <charset val="134"/>
      </rPr>
      <t>匨</t>
    </r>
    <r>
      <rPr>
        <sz val="14"/>
        <rFont val="MingLiU"/>
        <family val="3"/>
      </rPr>
      <t>䍧戕贓</t>
    </r>
    <r>
      <rPr>
        <sz val="14"/>
        <rFont val="宋体"/>
        <charset val="134"/>
      </rPr>
      <t>样</t>
    </r>
    <r>
      <rPr>
        <sz val="14"/>
        <rFont val="MingLiU"/>
        <family val="3"/>
      </rPr>
      <t>|髒|</t>
    </r>
  </si>
  <si>
    <r>
      <t>傍彷膀</t>
    </r>
    <r>
      <rPr>
        <sz val="14"/>
        <rFont val="宋体"/>
        <charset val="134"/>
      </rPr>
      <t>髈</t>
    </r>
    <r>
      <rPr>
        <sz val="14"/>
        <rFont val="MingLiU"/>
        <family val="3"/>
      </rPr>
      <t>䠙</t>
    </r>
    <r>
      <rPr>
        <sz val="14"/>
        <rFont val="宋体"/>
        <charset val="134"/>
      </rPr>
      <t>趽</t>
    </r>
    <r>
      <rPr>
        <sz val="14"/>
        <rFont val="MingLiU"/>
        <family val="3"/>
      </rPr>
      <t>房旁篣𨜷螃䅭</t>
    </r>
    <r>
      <rPr>
        <sz val="14"/>
        <rFont val="宋体"/>
        <charset val="134"/>
      </rPr>
      <t>騯</t>
    </r>
  </si>
  <si>
    <r>
      <t>卬䭹</t>
    </r>
    <r>
      <rPr>
        <sz val="14"/>
        <rFont val="宋体"/>
        <charset val="134"/>
      </rPr>
      <t>枊</t>
    </r>
    <r>
      <rPr>
        <sz val="14"/>
        <rFont val="MingLiU"/>
        <family val="3"/>
      </rPr>
      <t>昂䒢㭿䩕</t>
    </r>
  </si>
  <si>
    <r>
      <t>庚鶊更䢚</t>
    </r>
    <r>
      <rPr>
        <sz val="14"/>
        <rFont val="宋体"/>
        <charset val="134"/>
      </rPr>
      <t>秔稉</t>
    </r>
    <r>
      <rPr>
        <sz val="14"/>
        <rFont val="MingLiU"/>
        <family val="3"/>
      </rPr>
      <t>粳賡羹𩱧埂浭</t>
    </r>
  </si>
  <si>
    <r>
      <t>阬坑硎</t>
    </r>
    <r>
      <rPr>
        <sz val="14"/>
        <rFont val="宋体"/>
        <charset val="134"/>
      </rPr>
      <t>砊</t>
    </r>
    <r>
      <rPr>
        <sz val="14"/>
        <rFont val="MingLiU"/>
        <family val="3"/>
      </rPr>
      <t>𥉸</t>
    </r>
    <r>
      <rPr>
        <sz val="14"/>
        <rFont val="宋体"/>
        <charset val="134"/>
      </rPr>
      <t>劥</t>
    </r>
  </si>
  <si>
    <r>
      <t>盲</t>
    </r>
    <r>
      <rPr>
        <sz val="14"/>
        <rFont val="宋体"/>
        <charset val="134"/>
      </rPr>
      <t>蝱</t>
    </r>
    <r>
      <rPr>
        <sz val="14"/>
        <rFont val="MingLiU"/>
        <family val="3"/>
      </rPr>
      <t>(虻)鄳𥋝莔𨞚䥰𥭮</t>
    </r>
  </si>
  <si>
    <r>
      <t>橫黌蝗</t>
    </r>
    <r>
      <rPr>
        <sz val="14"/>
        <rFont val="宋体"/>
        <charset val="134"/>
      </rPr>
      <t>鐄瑝</t>
    </r>
    <r>
      <rPr>
        <sz val="14"/>
        <rFont val="MingLiU"/>
        <family val="3"/>
      </rPr>
      <t>喤鍠䬝㶇䄓潢𤮏𪏓𢘌韹彋</t>
    </r>
  </si>
  <si>
    <r>
      <t>閍祊𥛱</t>
    </r>
    <r>
      <rPr>
        <sz val="14"/>
        <rFont val="宋体"/>
        <charset val="134"/>
      </rPr>
      <t>騯</t>
    </r>
    <r>
      <rPr>
        <sz val="14"/>
        <rFont val="MingLiU"/>
        <family val="3"/>
      </rPr>
      <t>嗙㔙</t>
    </r>
  </si>
  <si>
    <r>
      <t>觵</t>
    </r>
    <r>
      <rPr>
        <sz val="14"/>
        <rFont val="MingLiU"/>
        <family val="3"/>
      </rPr>
      <t>觥</t>
    </r>
    <r>
      <rPr>
        <sz val="14"/>
        <rFont val="宋体"/>
        <charset val="134"/>
      </rPr>
      <t>侊</t>
    </r>
    <r>
      <rPr>
        <sz val="14"/>
        <rFont val="MingLiU"/>
        <family val="3"/>
      </rPr>
      <t>𩃙䍔𣘯</t>
    </r>
  </si>
  <si>
    <r>
      <t>彭澎膨</t>
    </r>
    <r>
      <rPr>
        <sz val="14"/>
        <rFont val="宋体"/>
        <charset val="134"/>
      </rPr>
      <t>蟚</t>
    </r>
    <r>
      <rPr>
        <sz val="14"/>
        <rFont val="MingLiU"/>
        <family val="3"/>
      </rPr>
      <t>䰃棚榜䄘搒蒡篣𩡕</t>
    </r>
    <r>
      <rPr>
        <sz val="14"/>
        <rFont val="宋体"/>
        <charset val="134"/>
      </rPr>
      <t>騯</t>
    </r>
    <r>
      <rPr>
        <sz val="14"/>
        <rFont val="MingLiU"/>
        <family val="3"/>
      </rPr>
      <t>憉𣂆輣𨍩(蟛)</t>
    </r>
  </si>
  <si>
    <r>
      <t>脝</t>
    </r>
    <r>
      <rPr>
        <sz val="14"/>
        <rFont val="宋体"/>
        <charset val="134"/>
      </rPr>
      <t>悙</t>
    </r>
    <r>
      <rPr>
        <sz val="14"/>
        <rFont val="MingLiU"/>
        <family val="3"/>
      </rPr>
      <t>亨[哼]</t>
    </r>
  </si>
  <si>
    <r>
      <t>傖䚘𩫿</t>
    </r>
    <r>
      <rPr>
        <sz val="14"/>
        <rFont val="宋体"/>
        <charset val="134"/>
      </rPr>
      <t>鬇</t>
    </r>
    <r>
      <rPr>
        <sz val="14"/>
        <rFont val="MingLiU"/>
        <family val="3"/>
      </rPr>
      <t>崢</t>
    </r>
  </si>
  <si>
    <r>
      <t>英!霙鉠韺渶鶧瑛㿮</t>
    </r>
    <r>
      <rPr>
        <sz val="14"/>
        <rFont val="宋体"/>
        <charset val="134"/>
      </rPr>
      <t>媖楧</t>
    </r>
  </si>
  <si>
    <r>
      <t>平評苹枰泙坪</t>
    </r>
    <r>
      <rPr>
        <sz val="14"/>
        <rFont val="宋体"/>
        <charset val="134"/>
      </rPr>
      <t>胓蚲</t>
    </r>
  </si>
  <si>
    <r>
      <t>驚京</t>
    </r>
    <r>
      <rPr>
        <sz val="14"/>
        <rFont val="宋体"/>
        <charset val="134"/>
      </rPr>
      <t>荆</t>
    </r>
    <r>
      <rPr>
        <sz val="14"/>
        <rFont val="MingLiU"/>
        <family val="3"/>
      </rPr>
      <t>(荊)麠</t>
    </r>
    <r>
      <rPr>
        <sz val="14"/>
        <rFont val="宋体"/>
        <charset val="134"/>
      </rPr>
      <t>麖</t>
    </r>
    <r>
      <rPr>
        <sz val="14"/>
        <rFont val="MingLiU"/>
        <family val="3"/>
      </rPr>
      <t>鶁蟼</t>
    </r>
  </si>
  <si>
    <r>
      <t>棖盯澄掁䟫</t>
    </r>
    <r>
      <rPr>
        <sz val="14"/>
        <rFont val="宋体"/>
        <charset val="134"/>
      </rPr>
      <t>挰憕</t>
    </r>
  </si>
  <si>
    <r>
      <t>生笙牲猩狌鉎甥䴤鼪</t>
    </r>
    <r>
      <rPr>
        <sz val="14"/>
        <rFont val="宋体"/>
        <charset val="134"/>
      </rPr>
      <t>珄</t>
    </r>
  </si>
  <si>
    <r>
      <t>擎勍黥䵞</t>
    </r>
    <r>
      <rPr>
        <sz val="14"/>
        <rFont val="宋体"/>
        <charset val="134"/>
      </rPr>
      <t>剠</t>
    </r>
    <r>
      <rPr>
        <sz val="14"/>
        <rFont val="MingLiU"/>
        <family val="3"/>
      </rPr>
      <t>䲔鯨檠樈葝䫆</t>
    </r>
  </si>
  <si>
    <r>
      <t>行衡䯒胻洐</t>
    </r>
    <r>
      <rPr>
        <sz val="14"/>
        <rFont val="宋体"/>
        <charset val="134"/>
      </rPr>
      <t>筕</t>
    </r>
    <r>
      <rPr>
        <sz val="14"/>
        <rFont val="MingLiU"/>
        <family val="3"/>
      </rPr>
      <t>珩桁蘅𦣍</t>
    </r>
  </si>
  <si>
    <r>
      <t>鏗牼</t>
    </r>
    <r>
      <rPr>
        <sz val="14"/>
        <rFont val="宋体"/>
        <charset val="134"/>
      </rPr>
      <t>殸</t>
    </r>
    <r>
      <rPr>
        <sz val="14"/>
        <rFont val="MingLiU"/>
        <family val="3"/>
      </rPr>
      <t>硜羥</t>
    </r>
  </si>
  <si>
    <r>
      <t>宏紘</t>
    </r>
    <r>
      <rPr>
        <sz val="14"/>
        <rFont val="宋体"/>
        <charset val="134"/>
      </rPr>
      <t>紭</t>
    </r>
    <r>
      <rPr>
        <sz val="14"/>
        <rFont val="MingLiU"/>
        <family val="3"/>
      </rPr>
      <t>閎嶸</t>
    </r>
    <r>
      <rPr>
        <sz val="14"/>
        <rFont val="宋体"/>
        <charset val="134"/>
      </rPr>
      <t>嵤</t>
    </r>
    <r>
      <rPr>
        <sz val="14"/>
        <rFont val="MingLiU"/>
        <family val="3"/>
      </rPr>
      <t>𧮯耾翃浤竑</t>
    </r>
    <r>
      <rPr>
        <sz val="14"/>
        <rFont val="宋体"/>
        <charset val="134"/>
      </rPr>
      <t>宖</t>
    </r>
    <r>
      <rPr>
        <sz val="14"/>
        <rFont val="MingLiU"/>
        <family val="3"/>
      </rPr>
      <t>鈜吰𥐪彋</t>
    </r>
  </si>
  <si>
    <r>
      <t>甖罌罃鶯嚶櫻嫈鸚譻</t>
    </r>
    <r>
      <rPr>
        <sz val="14"/>
        <rFont val="宋体"/>
        <charset val="134"/>
      </rPr>
      <t>鸎</t>
    </r>
    <r>
      <rPr>
        <sz val="14"/>
        <rFont val="MingLiU"/>
        <family val="3"/>
      </rPr>
      <t>褮𠠜莖</t>
    </r>
  </si>
  <si>
    <r>
      <t>崢𦱊</t>
    </r>
    <r>
      <rPr>
        <sz val="14"/>
        <rFont val="宋体"/>
        <charset val="134"/>
      </rPr>
      <t>鬇</t>
    </r>
    <r>
      <rPr>
        <sz val="14"/>
        <rFont val="MingLiU"/>
        <family val="3"/>
      </rPr>
      <t>埩</t>
    </r>
    <r>
      <rPr>
        <sz val="14"/>
        <rFont val="宋体"/>
        <charset val="134"/>
      </rPr>
      <t>鏳</t>
    </r>
    <r>
      <rPr>
        <sz val="14"/>
        <rFont val="MingLiU"/>
        <family val="3"/>
      </rPr>
      <t>崝</t>
    </r>
  </si>
  <si>
    <r>
      <t>儜薴</t>
    </r>
    <r>
      <rPr>
        <sz val="14"/>
        <rFont val="宋体"/>
        <charset val="134"/>
      </rPr>
      <t>鬡</t>
    </r>
    <r>
      <rPr>
        <sz val="14"/>
        <rFont val="MingLiU"/>
        <family val="3"/>
      </rPr>
      <t>𧭈鑏䭢嬣</t>
    </r>
  </si>
  <si>
    <r>
      <t>橙揨𢾊𢿦湞朾虰</t>
    </r>
    <r>
      <rPr>
        <sz val="14"/>
        <rFont val="宋体"/>
        <charset val="134"/>
      </rPr>
      <t>憕</t>
    </r>
    <r>
      <rPr>
        <sz val="14"/>
        <rFont val="MingLiU"/>
        <family val="3"/>
      </rPr>
      <t>瞪䆵䁎䆑</t>
    </r>
  </si>
  <si>
    <r>
      <t>泓謍</t>
    </r>
    <r>
      <rPr>
        <sz val="14"/>
        <rFont val="宋体"/>
        <charset val="134"/>
      </rPr>
      <t>宖</t>
    </r>
    <r>
      <rPr>
        <sz val="14"/>
        <rFont val="MingLiU"/>
        <family val="3"/>
      </rPr>
      <t>𨳮</t>
    </r>
  </si>
  <si>
    <r>
      <t>情晴請</t>
    </r>
    <r>
      <rPr>
        <sz val="14"/>
        <rFont val="宋体"/>
        <charset val="134"/>
      </rPr>
      <t>夝䝼</t>
    </r>
  </si>
  <si>
    <r>
      <t>精氏菁鶄蜻晶鼱婧睛𣻒旌旍箐𩓨</t>
    </r>
    <r>
      <rPr>
        <sz val="14"/>
        <rFont val="宋体"/>
        <charset val="134"/>
      </rPr>
      <t>聙</t>
    </r>
  </si>
  <si>
    <r>
      <t>盈嬴㜲瀛</t>
    </r>
    <r>
      <rPr>
        <sz val="14"/>
        <rFont val="宋体"/>
        <charset val="134"/>
      </rPr>
      <t>籝</t>
    </r>
    <r>
      <rPr>
        <sz val="14"/>
        <rFont val="MingLiU"/>
        <family val="3"/>
      </rPr>
      <t>楹贏𤟣䕦𨜏𦝚攍</t>
    </r>
  </si>
  <si>
    <r>
      <t>成=𢦩城誠宬郕</t>
    </r>
    <r>
      <rPr>
        <sz val="14"/>
        <rFont val="宋体"/>
        <charset val="134"/>
      </rPr>
      <t>筬</t>
    </r>
    <r>
      <rPr>
        <sz val="14"/>
        <rFont val="MingLiU"/>
        <family val="3"/>
      </rPr>
      <t>盛</t>
    </r>
    <r>
      <rPr>
        <sz val="14"/>
        <rFont val="宋体"/>
        <charset val="134"/>
      </rPr>
      <t>珹</t>
    </r>
    <r>
      <rPr>
        <sz val="14"/>
        <rFont val="MingLiU"/>
        <family val="3"/>
      </rPr>
      <t>䫆</t>
    </r>
  </si>
  <si>
    <r>
      <t>征𨒌(延)鯖𨢹𦙫鉦怔正</t>
    </r>
    <r>
      <rPr>
        <sz val="14"/>
        <rFont val="宋体"/>
        <charset val="134"/>
      </rPr>
      <t>鴊</t>
    </r>
    <r>
      <rPr>
        <sz val="14"/>
        <rFont val="MingLiU"/>
        <family val="3"/>
      </rPr>
      <t>䋊眐𧘿</t>
    </r>
    <r>
      <rPr>
        <sz val="14"/>
        <rFont val="宋体"/>
        <charset val="134"/>
      </rPr>
      <t>佂</t>
    </r>
  </si>
  <si>
    <r>
      <t>跉</t>
    </r>
    <r>
      <rPr>
        <sz val="14"/>
        <rFont val="MingLiU"/>
        <family val="3"/>
      </rPr>
      <t>令</t>
    </r>
  </si>
  <si>
    <r>
      <t>并栟屏</t>
    </r>
    <r>
      <rPr>
        <sz val="14"/>
        <rFont val="宋体"/>
        <charset val="134"/>
      </rPr>
      <t>箳</t>
    </r>
  </si>
  <si>
    <r>
      <t>瓊璚煢</t>
    </r>
    <r>
      <rPr>
        <sz val="14"/>
        <rFont val="宋体"/>
        <charset val="134"/>
      </rPr>
      <t>焭睘</t>
    </r>
    <r>
      <rPr>
        <sz val="14"/>
        <rFont val="MingLiU"/>
        <family val="3"/>
      </rPr>
      <t>惸𢶇藑嬛𡞦赹憌𢗋𦽓𦾵𨍶㒌</t>
    </r>
  </si>
  <si>
    <r>
      <t>騂𤙡垶</t>
    </r>
    <r>
      <rPr>
        <sz val="14"/>
        <rFont val="宋体"/>
        <charset val="134"/>
      </rPr>
      <t>觪</t>
    </r>
  </si>
  <si>
    <r>
      <t>青(</t>
    </r>
    <r>
      <rPr>
        <sz val="14"/>
        <rFont val="宋体"/>
        <charset val="134"/>
      </rPr>
      <t>靑</t>
    </r>
    <r>
      <rPr>
        <sz val="14"/>
        <rFont val="MingLiU"/>
        <family val="3"/>
      </rPr>
      <t>)鶄鯖蜻靘</t>
    </r>
  </si>
  <si>
    <r>
      <t>星</t>
    </r>
    <r>
      <rPr>
        <sz val="14"/>
        <rFont val="宋体"/>
        <charset val="134"/>
      </rPr>
      <t>曐</t>
    </r>
    <r>
      <rPr>
        <sz val="14"/>
        <rFont val="MingLiU"/>
        <family val="3"/>
      </rPr>
      <t>腥胜</t>
    </r>
    <r>
      <rPr>
        <sz val="14"/>
        <rFont val="宋体"/>
        <charset val="134"/>
      </rPr>
      <t>鮏鯹</t>
    </r>
    <r>
      <rPr>
        <sz val="14"/>
        <rFont val="MingLiU"/>
        <family val="3"/>
      </rPr>
      <t>𥠀醒鉎</t>
    </r>
    <r>
      <rPr>
        <sz val="14"/>
        <rFont val="宋体"/>
        <charset val="134"/>
      </rPr>
      <t>篂</t>
    </r>
    <r>
      <rPr>
        <sz val="14"/>
        <rFont val="MingLiU"/>
        <family val="3"/>
      </rPr>
      <t>猩惺</t>
    </r>
  </si>
  <si>
    <r>
      <t>靈=</t>
    </r>
    <r>
      <rPr>
        <sz val="14"/>
        <rFont val="宋体"/>
        <charset val="134"/>
      </rPr>
      <t>霛</t>
    </r>
    <r>
      <rPr>
        <sz val="14"/>
        <rFont val="MingLiU"/>
        <family val="3"/>
      </rPr>
      <t>=𩄀𩆜舲齡</t>
    </r>
    <r>
      <rPr>
        <sz val="14"/>
        <rFont val="宋体"/>
        <charset val="134"/>
      </rPr>
      <t>麢</t>
    </r>
    <r>
      <rPr>
        <sz val="14"/>
        <rFont val="MingLiU"/>
        <family val="3"/>
      </rPr>
      <t>𦏰囹鴒䉁蛉鈴霝醽苓櫺柃𩆚伶泠瓴𧕅拎</t>
    </r>
    <r>
      <rPr>
        <sz val="14"/>
        <rFont val="宋体"/>
        <charset val="134"/>
      </rPr>
      <t>刢</t>
    </r>
    <r>
      <rPr>
        <sz val="14"/>
        <rFont val="MingLiU"/>
        <family val="3"/>
      </rPr>
      <t>𧆺𤣘𤫲玲𦉢𩖊㾉聆</t>
    </r>
    <r>
      <rPr>
        <sz val="14"/>
        <rFont val="宋体"/>
        <charset val="134"/>
      </rPr>
      <t>竛</t>
    </r>
    <r>
      <rPr>
        <sz val="14"/>
        <rFont val="MingLiU"/>
        <family val="3"/>
      </rPr>
      <t>𠄖蘦軨䡼笭零</t>
    </r>
    <r>
      <rPr>
        <sz val="14"/>
        <rFont val="宋体"/>
        <charset val="134"/>
      </rPr>
      <t>孁</t>
    </r>
    <r>
      <rPr>
        <sz val="14"/>
        <rFont val="MingLiU"/>
        <family val="3"/>
      </rPr>
      <t>令𪕌</t>
    </r>
    <r>
      <rPr>
        <sz val="14"/>
        <rFont val="宋体"/>
        <charset val="134"/>
      </rPr>
      <t>灵</t>
    </r>
    <r>
      <rPr>
        <sz val="14"/>
        <rFont val="MingLiU"/>
        <family val="3"/>
      </rPr>
      <t>𩟃𩵀</t>
    </r>
    <r>
      <rPr>
        <sz val="14"/>
        <rFont val="宋体"/>
        <charset val="134"/>
      </rPr>
      <t>龗</t>
    </r>
    <r>
      <rPr>
        <sz val="14"/>
        <rFont val="MingLiU"/>
        <family val="3"/>
      </rPr>
      <t>翎</t>
    </r>
    <r>
      <rPr>
        <sz val="14"/>
        <rFont val="宋体"/>
        <charset val="134"/>
      </rPr>
      <t>閝鹷</t>
    </r>
    <r>
      <rPr>
        <sz val="14"/>
        <rFont val="MingLiU"/>
        <family val="3"/>
      </rPr>
      <t>䴇昤駖𧖜𩆮蕶酃詅彾䯍呤</t>
    </r>
    <r>
      <rPr>
        <sz val="14"/>
        <rFont val="宋体"/>
        <charset val="134"/>
      </rPr>
      <t>跉</t>
    </r>
    <r>
      <rPr>
        <sz val="14"/>
        <rFont val="MingLiU"/>
        <family val="3"/>
      </rPr>
      <t>狑𤣤爧冷怜𠱠𦫊𢺰澪鏻𥤞</t>
    </r>
    <r>
      <rPr>
        <sz val="14"/>
        <rFont val="宋体"/>
        <charset val="134"/>
      </rPr>
      <t>秢</t>
    </r>
    <r>
      <rPr>
        <sz val="14"/>
        <rFont val="MingLiU"/>
        <family val="3"/>
      </rPr>
      <t>䕘</t>
    </r>
    <r>
      <rPr>
        <sz val="14"/>
        <rFont val="宋体"/>
        <charset val="134"/>
      </rPr>
      <t>獜</t>
    </r>
    <r>
      <rPr>
        <sz val="14"/>
        <rFont val="MingLiU"/>
        <family val="3"/>
      </rPr>
      <t>岭</t>
    </r>
    <r>
      <rPr>
        <sz val="14"/>
        <rFont val="宋体"/>
        <charset val="134"/>
      </rPr>
      <t>魿</t>
    </r>
    <r>
      <rPr>
        <sz val="14"/>
        <rFont val="MingLiU"/>
        <family val="3"/>
      </rPr>
      <t>𣬹𩚹</t>
    </r>
    <r>
      <rPr>
        <sz val="14"/>
        <rFont val="宋体"/>
        <charset val="134"/>
      </rPr>
      <t>紷</t>
    </r>
    <r>
      <rPr>
        <sz val="14"/>
        <rFont val="MingLiU"/>
        <family val="3"/>
      </rPr>
      <t>䉹砱</t>
    </r>
    <r>
      <rPr>
        <sz val="14"/>
        <rFont val="宋体"/>
        <charset val="134"/>
      </rPr>
      <t>阾</t>
    </r>
    <r>
      <rPr>
        <sz val="14"/>
        <rFont val="MingLiU"/>
        <family val="3"/>
      </rPr>
      <t>羚姈㸳|欞</t>
    </r>
  </si>
  <si>
    <r>
      <t>汀訂桯綎聽廳町艼𦉬䩠</t>
    </r>
    <r>
      <rPr>
        <sz val="14"/>
        <rFont val="宋体"/>
        <charset val="134"/>
      </rPr>
      <t>鞓</t>
    </r>
    <r>
      <rPr>
        <sz val="14"/>
        <rFont val="MingLiU"/>
        <family val="3"/>
      </rPr>
      <t>䋼𦀚</t>
    </r>
    <r>
      <rPr>
        <sz val="14"/>
        <rFont val="宋体"/>
        <charset val="134"/>
      </rPr>
      <t>庁</t>
    </r>
  </si>
  <si>
    <r>
      <t>冥榠銘鄍溟䫤螟𧱴</t>
    </r>
    <r>
      <rPr>
        <sz val="14"/>
        <rFont val="宋体"/>
        <charset val="134"/>
      </rPr>
      <t>猽</t>
    </r>
    <r>
      <rPr>
        <sz val="14"/>
        <rFont val="MingLiU"/>
        <family val="3"/>
      </rPr>
      <t>蓂瞑𥹆嫇覭暝</t>
    </r>
  </si>
  <si>
    <r>
      <t>瓶缾蛢䶄屏荓䈂軿萍蓱竮郱</t>
    </r>
    <r>
      <rPr>
        <sz val="14"/>
        <rFont val="宋体"/>
        <charset val="134"/>
      </rPr>
      <t>畊</t>
    </r>
    <r>
      <rPr>
        <sz val="14"/>
        <rFont val="MingLiU"/>
        <family val="3"/>
      </rPr>
      <t>洴</t>
    </r>
    <r>
      <rPr>
        <sz val="14"/>
        <rFont val="宋体"/>
        <charset val="134"/>
      </rPr>
      <t>箳</t>
    </r>
  </si>
  <si>
    <r>
      <t>扃駉</t>
    </r>
    <r>
      <rPr>
        <sz val="14"/>
        <rFont val="宋体"/>
        <charset val="134"/>
      </rPr>
      <t>駫</t>
    </r>
    <r>
      <rPr>
        <sz val="14"/>
        <rFont val="MingLiU"/>
        <family val="3"/>
      </rPr>
      <t>坰</t>
    </r>
    <r>
      <rPr>
        <sz val="14"/>
        <rFont val="宋体"/>
        <charset val="134"/>
      </rPr>
      <t>冋</t>
    </r>
    <r>
      <rPr>
        <sz val="14"/>
        <rFont val="MingLiU"/>
        <family val="3"/>
      </rPr>
      <t>𪕍絅𣕄</t>
    </r>
  </si>
  <si>
    <r>
      <t>澄!澂瞪</t>
    </r>
    <r>
      <rPr>
        <sz val="14"/>
        <rFont val="宋体"/>
        <charset val="134"/>
      </rPr>
      <t>憕</t>
    </r>
    <r>
      <rPr>
        <sz val="14"/>
        <rFont val="MingLiU"/>
        <family val="3"/>
      </rPr>
      <t>懲</t>
    </r>
  </si>
  <si>
    <r>
      <t>陵淩夌綾凌𠗲蔆菱䔖㥄鯪崚㱥𡕮𩜁</t>
    </r>
    <r>
      <rPr>
        <sz val="14"/>
        <rFont val="宋体"/>
        <charset val="134"/>
      </rPr>
      <t>掕祾</t>
    </r>
    <r>
      <rPr>
        <sz val="14"/>
        <rFont val="MingLiU"/>
        <family val="3"/>
      </rPr>
      <t>𣣋</t>
    </r>
  </si>
  <si>
    <r>
      <t>凭</t>
    </r>
    <r>
      <rPr>
        <sz val="14"/>
        <rFont val="MingLiU"/>
        <family val="3"/>
      </rPr>
      <t>馮憑淜㵗</t>
    </r>
  </si>
  <si>
    <r>
      <t>冫</t>
    </r>
    <r>
      <rPr>
        <sz val="14"/>
        <rFont val="MingLiU"/>
        <family val="3"/>
      </rPr>
      <t>(</t>
    </r>
    <r>
      <rPr>
        <sz val="14"/>
        <rFont val="宋体"/>
        <charset val="134"/>
      </rPr>
      <t>仌</t>
    </r>
    <r>
      <rPr>
        <sz val="14"/>
        <rFont val="MingLiU"/>
        <family val="3"/>
      </rPr>
      <t>)冰掤</t>
    </r>
  </si>
  <si>
    <r>
      <t>繩譝憴鱦</t>
    </r>
    <r>
      <rPr>
        <sz val="14"/>
        <rFont val="宋体"/>
        <charset val="134"/>
      </rPr>
      <t>乗</t>
    </r>
    <r>
      <rPr>
        <sz val="14"/>
        <rFont val="MingLiU"/>
        <family val="3"/>
      </rPr>
      <t>(乘)</t>
    </r>
    <r>
      <rPr>
        <sz val="14"/>
        <rFont val="宋体"/>
        <charset val="134"/>
      </rPr>
      <t>椉</t>
    </r>
    <r>
      <rPr>
        <sz val="14"/>
        <rFont val="MingLiU"/>
        <family val="3"/>
      </rPr>
      <t>𠅞澠溗塍</t>
    </r>
    <r>
      <rPr>
        <sz val="14"/>
        <rFont val="宋体"/>
        <charset val="134"/>
      </rPr>
      <t>塖</t>
    </r>
    <r>
      <rPr>
        <sz val="14"/>
        <rFont val="MingLiU"/>
        <family val="3"/>
      </rPr>
      <t>騬</t>
    </r>
  </si>
  <si>
    <r>
      <t>升昇陞勝</t>
    </r>
    <r>
      <rPr>
        <sz val="14"/>
        <rFont val="宋体"/>
        <charset val="134"/>
      </rPr>
      <t>抍</t>
    </r>
  </si>
  <si>
    <r>
      <t>仍艿䚮㭁</t>
    </r>
    <r>
      <rPr>
        <sz val="14"/>
        <rFont val="宋体"/>
        <charset val="134"/>
      </rPr>
      <t>辸</t>
    </r>
    <r>
      <rPr>
        <sz val="14"/>
        <rFont val="MingLiU"/>
        <family val="3"/>
      </rPr>
      <t>礽扔</t>
    </r>
  </si>
  <si>
    <r>
      <t>繒鄫驓橧</t>
    </r>
    <r>
      <rPr>
        <sz val="14"/>
        <rFont val="宋体"/>
        <charset val="134"/>
      </rPr>
      <t>竲</t>
    </r>
    <r>
      <rPr>
        <sz val="14"/>
        <rFont val="MingLiU"/>
        <family val="3"/>
      </rPr>
      <t>嶒</t>
    </r>
  </si>
  <si>
    <r>
      <t>稱</t>
    </r>
    <r>
      <rPr>
        <sz val="14"/>
        <rFont val="宋体"/>
        <charset val="134"/>
      </rPr>
      <t>爯</t>
    </r>
    <r>
      <rPr>
        <sz val="14"/>
        <rFont val="MingLiU"/>
        <family val="3"/>
      </rPr>
      <t>偁</t>
    </r>
  </si>
  <si>
    <r>
      <t>僜</t>
    </r>
    <r>
      <rPr>
        <sz val="14"/>
        <rFont val="MingLiU"/>
        <family val="3"/>
      </rPr>
      <t>庱睖</t>
    </r>
  </si>
  <si>
    <r>
      <t>楞棱稜輘倰</t>
    </r>
    <r>
      <rPr>
        <sz val="14"/>
        <rFont val="宋体"/>
        <charset val="134"/>
      </rPr>
      <t>祾</t>
    </r>
  </si>
  <si>
    <r>
      <t>增憎磳曾矰罾</t>
    </r>
    <r>
      <rPr>
        <sz val="14"/>
        <rFont val="宋体"/>
        <charset val="134"/>
      </rPr>
      <t>熷</t>
    </r>
    <r>
      <rPr>
        <sz val="14"/>
        <rFont val="MingLiU"/>
        <family val="3"/>
      </rPr>
      <t>䎖</t>
    </r>
    <r>
      <rPr>
        <sz val="14"/>
        <rFont val="宋体"/>
        <charset val="134"/>
      </rPr>
      <t>竲</t>
    </r>
    <r>
      <rPr>
        <sz val="14"/>
        <rFont val="MingLiU"/>
        <family val="3"/>
      </rPr>
      <t>橧</t>
    </r>
    <r>
      <rPr>
        <sz val="14"/>
        <rFont val="宋体"/>
        <charset val="134"/>
      </rPr>
      <t>譄</t>
    </r>
    <r>
      <rPr>
        <sz val="14"/>
        <rFont val="MingLiU"/>
        <family val="3"/>
      </rPr>
      <t>𦼏</t>
    </r>
  </si>
  <si>
    <r>
      <t>騰滕縢</t>
    </r>
    <r>
      <rPr>
        <sz val="14"/>
        <rFont val="宋体"/>
        <charset val="134"/>
      </rPr>
      <t>幐</t>
    </r>
    <r>
      <rPr>
        <sz val="14"/>
        <rFont val="MingLiU"/>
        <family val="3"/>
      </rPr>
      <t>螣藤謄𧈜</t>
    </r>
    <r>
      <rPr>
        <sz val="14"/>
        <rFont val="宋体"/>
        <charset val="134"/>
      </rPr>
      <t>儯</t>
    </r>
    <r>
      <rPr>
        <sz val="14"/>
        <rFont val="MingLiU"/>
        <family val="3"/>
      </rPr>
      <t>𤻴</t>
    </r>
    <r>
      <rPr>
        <sz val="14"/>
        <rFont val="宋体"/>
        <charset val="134"/>
      </rPr>
      <t>鰧</t>
    </r>
    <r>
      <rPr>
        <sz val="14"/>
        <rFont val="MingLiU"/>
        <family val="3"/>
      </rPr>
      <t>𥉋</t>
    </r>
  </si>
  <si>
    <r>
      <t>鼟膯</t>
    </r>
    <r>
      <rPr>
        <sz val="14"/>
        <rFont val="MingLiU"/>
        <family val="3"/>
      </rPr>
      <t>𤃶𧰥</t>
    </r>
  </si>
  <si>
    <r>
      <t>尤𣏞腄疣</t>
    </r>
    <r>
      <rPr>
        <sz val="14"/>
        <rFont val="宋体"/>
        <charset val="134"/>
      </rPr>
      <t>肬</t>
    </r>
    <r>
      <rPr>
        <sz val="14"/>
        <rFont val="MingLiU"/>
        <family val="3"/>
      </rPr>
      <t>𪐤沋郵訧</t>
    </r>
  </si>
  <si>
    <r>
      <t>憂優瀀𢕶麀𪋎櫌鄾𢆶怮嚘耰獶𧀥纋㱊</t>
    </r>
    <r>
      <rPr>
        <sz val="14"/>
        <rFont val="宋体"/>
        <charset val="134"/>
      </rPr>
      <t>妋</t>
    </r>
  </si>
  <si>
    <r>
      <t>留!劉</t>
    </r>
    <r>
      <rPr>
        <sz val="14"/>
        <rFont val="宋体"/>
        <charset val="134"/>
      </rPr>
      <t>蒥勠</t>
    </r>
    <r>
      <rPr>
        <sz val="14"/>
        <rFont val="MingLiU"/>
        <family val="3"/>
      </rPr>
      <t>摎鶹騮</t>
    </r>
    <r>
      <rPr>
        <sz val="14"/>
        <rFont val="宋体"/>
        <charset val="134"/>
      </rPr>
      <t>駵疁</t>
    </r>
    <r>
      <rPr>
        <sz val="14"/>
        <rFont val="MingLiU"/>
        <family val="3"/>
      </rPr>
      <t>𥹷流㳅飂飀瘤榴</t>
    </r>
    <r>
      <rPr>
        <sz val="14"/>
        <rFont val="宋体"/>
        <charset val="134"/>
      </rPr>
      <t>瑬</t>
    </r>
    <r>
      <rPr>
        <sz val="14"/>
        <rFont val="MingLiU"/>
        <family val="3"/>
      </rPr>
      <t>旒</t>
    </r>
    <r>
      <rPr>
        <sz val="14"/>
        <rFont val="宋体"/>
        <charset val="134"/>
      </rPr>
      <t>瑠</t>
    </r>
    <r>
      <rPr>
        <sz val="14"/>
        <rFont val="MingLiU"/>
        <family val="3"/>
      </rPr>
      <t>𪕚𤠑䉧𥰣瀏䬟䱖鰡嵧𣠚鎦𦃓𢷶𨶪懰餾䖻裗𪆱𪎣硫遛䚧憀鏐|鎏</t>
    </r>
  </si>
  <si>
    <r>
      <t>秋</t>
    </r>
    <r>
      <rPr>
        <sz val="14"/>
        <rFont val="宋体"/>
        <charset val="134"/>
      </rPr>
      <t>秌鞧</t>
    </r>
    <r>
      <rPr>
        <sz val="14"/>
        <rFont val="MingLiU"/>
        <family val="3"/>
      </rPr>
      <t>緧𦃈鞦湫鶖鰍(</t>
    </r>
    <r>
      <rPr>
        <sz val="14"/>
        <rFont val="宋体"/>
        <charset val="134"/>
      </rPr>
      <t>鰌</t>
    </r>
    <r>
      <rPr>
        <sz val="14"/>
        <rFont val="MingLiU"/>
        <family val="3"/>
      </rPr>
      <t>)楸萩𪓰(𪓵)䵸蟗䨂</t>
    </r>
    <r>
      <rPr>
        <sz val="14"/>
        <rFont val="宋体"/>
        <charset val="134"/>
      </rPr>
      <t>篍</t>
    </r>
    <r>
      <rPr>
        <sz val="14"/>
        <rFont val="MingLiU"/>
        <family val="3"/>
      </rPr>
      <t>趥</t>
    </r>
  </si>
  <si>
    <r>
      <t>由!猷猶悠油攸蕕浟𠧷𢋅冘</t>
    </r>
    <r>
      <rPr>
        <sz val="14"/>
        <rFont val="宋体"/>
        <charset val="134"/>
      </rPr>
      <t>邎</t>
    </r>
    <r>
      <rPr>
        <sz val="14"/>
        <rFont val="MingLiU"/>
        <family val="3"/>
      </rPr>
      <t>輶</t>
    </r>
    <r>
      <rPr>
        <sz val="14"/>
        <rFont val="宋体"/>
        <charset val="134"/>
      </rPr>
      <t>蘨</t>
    </r>
    <r>
      <rPr>
        <sz val="14"/>
        <rFont val="MingLiU"/>
        <family val="3"/>
      </rPr>
      <t>秞蚰蝣</t>
    </r>
    <r>
      <rPr>
        <sz val="14"/>
        <rFont val="宋体"/>
        <charset val="134"/>
      </rPr>
      <t>櫾</t>
    </r>
    <r>
      <rPr>
        <sz val="14"/>
        <rFont val="MingLiU"/>
        <family val="3"/>
      </rPr>
      <t>楢𦳷斿游遊𨒰卣䚻</t>
    </r>
    <r>
      <rPr>
        <sz val="14"/>
        <rFont val="宋体"/>
        <charset val="134"/>
      </rPr>
      <t>鮋</t>
    </r>
    <r>
      <rPr>
        <sz val="14"/>
        <rFont val="MingLiU"/>
        <family val="3"/>
      </rPr>
      <t>䱔抌揄舀偤䍃𤪎</t>
    </r>
    <r>
      <rPr>
        <sz val="14"/>
        <rFont val="宋体"/>
        <charset val="134"/>
      </rPr>
      <t>邮</t>
    </r>
    <r>
      <rPr>
        <sz val="14"/>
        <rFont val="MingLiU"/>
        <family val="3"/>
      </rPr>
      <t>繇㳛㾞囮㘥庮甹𣔴𧡹𦵵[鈾]</t>
    </r>
  </si>
  <si>
    <r>
      <t>遒鮂䎿蝤啾迺𩭓揂揫(揪)湫𣟼[</t>
    </r>
    <r>
      <rPr>
        <sz val="14"/>
        <rFont val="宋体"/>
        <charset val="134"/>
      </rPr>
      <t>鬏</t>
    </r>
    <r>
      <rPr>
        <sz val="14"/>
        <rFont val="MingLiU"/>
        <family val="3"/>
      </rPr>
      <t>]</t>
    </r>
  </si>
  <si>
    <r>
      <t>酋㥢遒䎿崷</t>
    </r>
    <r>
      <rPr>
        <sz val="14"/>
        <rFont val="宋体"/>
        <charset val="134"/>
      </rPr>
      <t>鰌</t>
    </r>
    <r>
      <rPr>
        <sz val="14"/>
        <rFont val="MingLiU"/>
        <family val="3"/>
      </rPr>
      <t>蝤煪𧤕𦵩</t>
    </r>
  </si>
  <si>
    <r>
      <t>犫</t>
    </r>
    <r>
      <rPr>
        <sz val="14"/>
        <rFont val="MingLiU"/>
        <family val="3"/>
      </rPr>
      <t>犨</t>
    </r>
  </si>
  <si>
    <r>
      <t>周州𥺝輖洲賙喌舟</t>
    </r>
    <r>
      <rPr>
        <sz val="14"/>
        <rFont val="宋体"/>
        <charset val="134"/>
      </rPr>
      <t>郮</t>
    </r>
    <r>
      <rPr>
        <sz val="14"/>
        <rFont val="MingLiU"/>
        <family val="3"/>
      </rPr>
      <t>婤</t>
    </r>
  </si>
  <si>
    <r>
      <t>讎𣫐𣀓</t>
    </r>
    <r>
      <rPr>
        <sz val="14"/>
        <rFont val="宋体"/>
        <charset val="134"/>
      </rPr>
      <t>鮋醻</t>
    </r>
    <r>
      <rPr>
        <sz val="14"/>
        <rFont val="MingLiU"/>
        <family val="3"/>
      </rPr>
      <t>(酬)詶雔</t>
    </r>
    <r>
      <rPr>
        <sz val="14"/>
        <rFont val="宋体"/>
        <charset val="134"/>
      </rPr>
      <t>魗</t>
    </r>
    <r>
      <rPr>
        <sz val="14"/>
        <rFont val="MingLiU"/>
        <family val="3"/>
      </rPr>
      <t>𨞪</t>
    </r>
  </si>
  <si>
    <r>
      <t>柔鍒㽥騥蝚蹂葇鞣鰇</t>
    </r>
    <r>
      <rPr>
        <sz val="14"/>
        <rFont val="宋体"/>
        <charset val="134"/>
      </rPr>
      <t>瑈腬</t>
    </r>
    <r>
      <rPr>
        <sz val="14"/>
        <rFont val="MingLiU"/>
        <family val="3"/>
      </rPr>
      <t>鶔揉䰆𨛶䐓</t>
    </r>
  </si>
  <si>
    <r>
      <t>丘</t>
    </r>
    <r>
      <rPr>
        <sz val="14"/>
        <rFont val="宋体"/>
        <charset val="134"/>
      </rPr>
      <t>丠</t>
    </r>
    <r>
      <rPr>
        <sz val="14"/>
        <rFont val="MingLiU"/>
        <family val="3"/>
      </rPr>
      <t>蓲蚯邱訄</t>
    </r>
  </si>
  <si>
    <r>
      <t>䬌秠𡫺衃</t>
    </r>
    <r>
      <rPr>
        <sz val="14"/>
        <rFont val="宋体"/>
        <charset val="134"/>
      </rPr>
      <t>肧</t>
    </r>
    <r>
      <rPr>
        <sz val="14"/>
        <rFont val="MingLiU"/>
        <family val="3"/>
      </rPr>
      <t>紑醅</t>
    </r>
  </si>
  <si>
    <r>
      <t>鳩𦫶𠠳朻䡂㽱𨷺(鬮)</t>
    </r>
    <r>
      <rPr>
        <sz val="14"/>
        <rFont val="宋体"/>
        <charset val="134"/>
      </rPr>
      <t>丩</t>
    </r>
    <r>
      <rPr>
        <sz val="14"/>
        <rFont val="MingLiU"/>
        <family val="3"/>
      </rPr>
      <t>龜勼</t>
    </r>
  </si>
  <si>
    <r>
      <t>不</t>
    </r>
    <r>
      <rPr>
        <sz val="14"/>
        <rFont val="宋体"/>
        <charset val="134"/>
      </rPr>
      <t>哹</t>
    </r>
    <r>
      <rPr>
        <sz val="14"/>
        <rFont val="MingLiU"/>
        <family val="3"/>
      </rPr>
      <t>紑䍍鴀</t>
    </r>
  </si>
  <si>
    <r>
      <t>搜)!𢯱</t>
    </r>
    <r>
      <rPr>
        <sz val="14"/>
        <rFont val="宋体"/>
        <charset val="134"/>
      </rPr>
      <t>捜</t>
    </r>
    <r>
      <rPr>
        <sz val="14"/>
        <rFont val="MingLiU"/>
        <family val="3"/>
      </rPr>
      <t>𩜯(餿)䬒(颼)𣸈(溲)䤹(鎪)廋蒐𦺋獀䐹𨜛(鄋)䗏(</t>
    </r>
    <r>
      <rPr>
        <sz val="14"/>
        <rFont val="宋体"/>
        <charset val="134"/>
      </rPr>
      <t>螋</t>
    </r>
    <r>
      <rPr>
        <sz val="14"/>
        <rFont val="MingLiU"/>
        <family val="3"/>
      </rPr>
      <t>)䮟(騪)</t>
    </r>
    <r>
      <rPr>
        <sz val="14"/>
        <rFont val="宋体"/>
        <charset val="134"/>
      </rPr>
      <t>犙</t>
    </r>
    <r>
      <rPr>
        <sz val="14"/>
        <rFont val="MingLiU"/>
        <family val="3"/>
      </rPr>
      <t>䤇(醙)𧽏</t>
    </r>
  </si>
  <si>
    <r>
      <t>搊𢬆篘</t>
    </r>
    <r>
      <rPr>
        <sz val="14"/>
        <rFont val="宋体"/>
        <charset val="134"/>
      </rPr>
      <t>醔</t>
    </r>
    <r>
      <rPr>
        <sz val="14"/>
        <rFont val="MingLiU"/>
        <family val="3"/>
      </rPr>
      <t>㮲𥻤謅</t>
    </r>
  </si>
  <si>
    <r>
      <t>鄒鄹郰騶齱陬緅䑼𨃘菆棷</t>
    </r>
    <r>
      <rPr>
        <sz val="14"/>
        <rFont val="宋体"/>
        <charset val="134"/>
      </rPr>
      <t>箃</t>
    </r>
    <r>
      <rPr>
        <sz val="14"/>
        <rFont val="MingLiU"/>
        <family val="3"/>
      </rPr>
      <t>𠿈黀</t>
    </r>
  </si>
  <si>
    <r>
      <t>休貅鵂鵂𩢮㾋庥脙𦜵</t>
    </r>
    <r>
      <rPr>
        <sz val="14"/>
        <rFont val="宋体"/>
        <charset val="134"/>
      </rPr>
      <t>髤</t>
    </r>
    <r>
      <rPr>
        <sz val="14"/>
        <rFont val="MingLiU"/>
        <family val="3"/>
      </rPr>
      <t>髹䰍咻㵻</t>
    </r>
  </si>
  <si>
    <r>
      <t>囚泅</t>
    </r>
    <r>
      <rPr>
        <sz val="14"/>
        <rFont val="宋体"/>
        <charset val="134"/>
      </rPr>
      <t>汓</t>
    </r>
    <r>
      <rPr>
        <sz val="14"/>
        <rFont val="MingLiU"/>
        <family val="3"/>
      </rPr>
      <t>苬鮂慒</t>
    </r>
  </si>
  <si>
    <r>
      <t>儔檮躊幬𢃖裯𠷎疇紬綢稠燽薵鯈籌𪆇𪇘棸椆怞𦡴懤</t>
    </r>
    <r>
      <rPr>
        <sz val="14"/>
        <rFont val="宋体"/>
        <charset val="134"/>
      </rPr>
      <t>鮋</t>
    </r>
    <r>
      <rPr>
        <sz val="14"/>
        <rFont val="MingLiU"/>
        <family val="3"/>
      </rPr>
      <t>䬞菗𨞪𢤉</t>
    </r>
  </si>
  <si>
    <r>
      <t>輈盩啁譸侜𩢸調咮𧻖𥎻</t>
    </r>
    <r>
      <rPr>
        <sz val="14"/>
        <rFont val="宋体"/>
        <charset val="134"/>
      </rPr>
      <t>矪</t>
    </r>
  </si>
  <si>
    <r>
      <t>求!𧚍裘仇</t>
    </r>
    <r>
      <rPr>
        <sz val="14"/>
        <rFont val="宋体"/>
        <charset val="134"/>
      </rPr>
      <t>叴</t>
    </r>
    <r>
      <rPr>
        <sz val="14"/>
        <rFont val="MingLiU"/>
        <family val="3"/>
      </rPr>
      <t>厹𡨃頄蛷𧒔逑球璆艽鼽莍䣇賕殏梂朹㭝俅脙𦜵馗䊵絿䜪</t>
    </r>
    <r>
      <rPr>
        <sz val="14"/>
        <rFont val="宋体"/>
        <charset val="134"/>
      </rPr>
      <t>扏</t>
    </r>
    <r>
      <rPr>
        <sz val="14"/>
        <rFont val="MingLiU"/>
        <family val="3"/>
      </rPr>
      <t>銶𩒮𥭑毬䟵犰𧻱</t>
    </r>
    <r>
      <rPr>
        <sz val="14"/>
        <rFont val="宋体"/>
        <charset val="134"/>
      </rPr>
      <t>訅</t>
    </r>
    <r>
      <rPr>
        <sz val="14"/>
        <rFont val="MingLiU"/>
        <family val="3"/>
      </rPr>
      <t>釚捄</t>
    </r>
    <r>
      <rPr>
        <sz val="14"/>
        <rFont val="宋体"/>
        <charset val="134"/>
      </rPr>
      <t>肍</t>
    </r>
    <r>
      <rPr>
        <sz val="14"/>
        <rFont val="MingLiU"/>
        <family val="3"/>
      </rPr>
      <t>𢛃𦬖訄</t>
    </r>
  </si>
  <si>
    <r>
      <t>浮</t>
    </r>
    <r>
      <rPr>
        <sz val="14"/>
        <rFont val="宋体"/>
        <charset val="134"/>
      </rPr>
      <t>哹</t>
    </r>
    <r>
      <rPr>
        <sz val="14"/>
        <rFont val="MingLiU"/>
        <family val="3"/>
      </rPr>
      <t>桴枹𥰛罦䍖琈</t>
    </r>
    <r>
      <rPr>
        <sz val="14"/>
        <rFont val="宋体"/>
        <charset val="134"/>
      </rPr>
      <t>粰</t>
    </r>
    <r>
      <rPr>
        <sz val="14"/>
        <rFont val="MingLiU"/>
        <family val="3"/>
      </rPr>
      <t>䳕罘䱐涪芣蜉烰</t>
    </r>
    <r>
      <rPr>
        <sz val="14"/>
        <rFont val="宋体"/>
        <charset val="134"/>
      </rPr>
      <t>鉜</t>
    </r>
    <r>
      <rPr>
        <sz val="14"/>
        <rFont val="MingLiU"/>
        <family val="3"/>
      </rPr>
      <t>𡦄𢀼艀棓掊䍌䨗</t>
    </r>
  </si>
  <si>
    <r>
      <t>謀䱕雺眸牟侔矛𢦵鍪鞪麰𦭷堥</t>
    </r>
    <r>
      <rPr>
        <sz val="14"/>
        <rFont val="宋体"/>
        <charset val="134"/>
      </rPr>
      <t>劺</t>
    </r>
    <r>
      <rPr>
        <sz val="14"/>
        <rFont val="MingLiU"/>
        <family val="3"/>
      </rPr>
      <t>𨡭蝥蟊鷚𩭾䋷</t>
    </r>
    <r>
      <rPr>
        <sz val="14"/>
        <rFont val="宋体"/>
        <charset val="134"/>
      </rPr>
      <t>恈</t>
    </r>
    <r>
      <rPr>
        <sz val="14"/>
        <rFont val="MingLiU"/>
        <family val="3"/>
      </rPr>
      <t>鴾蛑繆</t>
    </r>
  </si>
  <si>
    <r>
      <t>侯</t>
    </r>
    <r>
      <rPr>
        <sz val="14"/>
        <rFont val="宋体"/>
        <charset val="134"/>
      </rPr>
      <t>矦</t>
    </r>
    <r>
      <rPr>
        <sz val="14"/>
        <rFont val="MingLiU"/>
        <family val="3"/>
      </rPr>
      <t>𥎦</t>
    </r>
    <r>
      <rPr>
        <sz val="14"/>
        <rFont val="宋体"/>
        <charset val="134"/>
      </rPr>
      <t>帿</t>
    </r>
    <r>
      <rPr>
        <sz val="14"/>
        <rFont val="MingLiU"/>
        <family val="3"/>
      </rPr>
      <t>鄇䫛鍭銗猴</t>
    </r>
    <r>
      <rPr>
        <sz val="14"/>
        <rFont val="宋体"/>
        <charset val="134"/>
      </rPr>
      <t>糇</t>
    </r>
    <r>
      <rPr>
        <sz val="14"/>
        <rFont val="MingLiU"/>
        <family val="3"/>
      </rPr>
      <t>翭翵餱喉篌鯸㮢𧮶瘊䗔葔</t>
    </r>
    <r>
      <rPr>
        <sz val="14"/>
        <rFont val="宋体"/>
        <charset val="134"/>
      </rPr>
      <t>骺睺</t>
    </r>
    <r>
      <rPr>
        <sz val="14"/>
        <rFont val="MingLiU"/>
        <family val="3"/>
      </rPr>
      <t>䙈</t>
    </r>
  </si>
  <si>
    <r>
      <t>謳嘔歐甌區漚鷗䁱</t>
    </r>
    <r>
      <rPr>
        <sz val="14"/>
        <rFont val="宋体"/>
        <charset val="134"/>
      </rPr>
      <t>瞘</t>
    </r>
    <r>
      <rPr>
        <sz val="14"/>
        <rFont val="MingLiU"/>
        <family val="3"/>
      </rPr>
      <t>櫙蓲醧</t>
    </r>
    <r>
      <rPr>
        <sz val="14"/>
        <rFont val="宋体"/>
        <charset val="134"/>
      </rPr>
      <t>剾</t>
    </r>
    <r>
      <rPr>
        <sz val="14"/>
        <rFont val="MingLiU"/>
        <family val="3"/>
      </rPr>
      <t>䙔鏂</t>
    </r>
    <r>
      <rPr>
        <sz val="14"/>
        <rFont val="宋体"/>
        <charset val="134"/>
      </rPr>
      <t>膒</t>
    </r>
  </si>
  <si>
    <r>
      <t>樓婁䣚𨻻𧁾蔞𠞭䝏𦎹僂艛耬髏膢𤬏廔</t>
    </r>
    <r>
      <rPr>
        <sz val="14"/>
        <rFont val="宋体"/>
        <charset val="134"/>
      </rPr>
      <t>剅</t>
    </r>
    <r>
      <rPr>
        <sz val="14"/>
        <rFont val="MingLiU"/>
        <family val="3"/>
      </rPr>
      <t>摟嘍瞜螻簍鞻慺鷜䱾褸</t>
    </r>
    <r>
      <rPr>
        <sz val="14"/>
        <rFont val="宋体"/>
        <charset val="134"/>
      </rPr>
      <t>遱</t>
    </r>
    <r>
      <rPr>
        <sz val="14"/>
        <rFont val="MingLiU"/>
        <family val="3"/>
      </rPr>
      <t>謱</t>
    </r>
  </si>
  <si>
    <r>
      <t>涑</t>
    </r>
    <r>
      <rPr>
        <sz val="14"/>
        <rFont val="宋体"/>
        <charset val="134"/>
      </rPr>
      <t>鏉</t>
    </r>
    <r>
      <rPr>
        <sz val="14"/>
        <rFont val="MingLiU"/>
        <family val="3"/>
      </rPr>
      <t>䩳𩌱𩮶</t>
    </r>
    <r>
      <rPr>
        <sz val="14"/>
        <rFont val="宋体"/>
        <charset val="134"/>
      </rPr>
      <t>摗</t>
    </r>
    <r>
      <rPr>
        <sz val="14"/>
        <rFont val="MingLiU"/>
        <family val="3"/>
      </rPr>
      <t>𠘂𡠼</t>
    </r>
  </si>
  <si>
    <r>
      <t>彄摳</t>
    </r>
    <r>
      <rPr>
        <sz val="14"/>
        <rFont val="宋体"/>
        <charset val="134"/>
      </rPr>
      <t>剾</t>
    </r>
    <r>
      <rPr>
        <sz val="14"/>
        <rFont val="MingLiU"/>
        <family val="3"/>
      </rPr>
      <t>韝𢂁滱夠䁱|芤</t>
    </r>
    <r>
      <rPr>
        <sz val="14"/>
        <rFont val="宋体"/>
        <charset val="134"/>
      </rPr>
      <t>瞘</t>
    </r>
    <r>
      <rPr>
        <sz val="14"/>
        <rFont val="MingLiU"/>
        <family val="3"/>
      </rPr>
      <t>|</t>
    </r>
  </si>
  <si>
    <r>
      <t>偷</t>
    </r>
    <r>
      <rPr>
        <sz val="14"/>
        <rFont val="宋体"/>
        <charset val="134"/>
      </rPr>
      <t>鍮</t>
    </r>
    <r>
      <rPr>
        <sz val="14"/>
        <rFont val="MingLiU"/>
        <family val="3"/>
      </rPr>
      <t>媮鋀</t>
    </r>
  </si>
  <si>
    <r>
      <t>頭㓱投𪎨骰𣪌</t>
    </r>
    <r>
      <rPr>
        <sz val="14"/>
        <rFont val="宋体"/>
        <charset val="134"/>
      </rPr>
      <t>坄</t>
    </r>
    <r>
      <rPr>
        <sz val="14"/>
        <rFont val="MingLiU"/>
        <family val="3"/>
      </rPr>
      <t>牏䤅㢏揄窬緰歈𪁞[</t>
    </r>
    <r>
      <rPr>
        <sz val="14"/>
        <rFont val="宋体"/>
        <charset val="134"/>
      </rPr>
      <t>亠</t>
    </r>
    <r>
      <rPr>
        <sz val="14"/>
        <rFont val="MingLiU"/>
        <family val="3"/>
      </rPr>
      <t>]</t>
    </r>
  </si>
  <si>
    <r>
      <t>鉤𠛎溝</t>
    </r>
    <r>
      <rPr>
        <sz val="14"/>
        <rFont val="宋体"/>
        <charset val="134"/>
      </rPr>
      <t>褠</t>
    </r>
    <r>
      <rPr>
        <sz val="14"/>
        <rFont val="MingLiU"/>
        <family val="3"/>
      </rPr>
      <t>韝緱篝𥴴𪓟㗕𤫱䑦冓枸句軥夠鴝|彀[</t>
    </r>
    <r>
      <rPr>
        <sz val="14"/>
        <rFont val="宋体"/>
        <charset val="134"/>
      </rPr>
      <t>鞲</t>
    </r>
    <r>
      <rPr>
        <sz val="14"/>
        <rFont val="MingLiU"/>
        <family val="3"/>
      </rPr>
      <t>][勾]</t>
    </r>
  </si>
  <si>
    <r>
      <t>兜)!</t>
    </r>
    <r>
      <rPr>
        <sz val="14"/>
        <rFont val="宋体"/>
        <charset val="134"/>
      </rPr>
      <t>兠侸吺篼</t>
    </r>
    <r>
      <rPr>
        <sz val="14"/>
        <rFont val="MingLiU"/>
        <family val="3"/>
      </rPr>
      <t>𥆖</t>
    </r>
    <r>
      <rPr>
        <sz val="14"/>
        <rFont val="宋体"/>
        <charset val="134"/>
      </rPr>
      <t>剅</t>
    </r>
    <r>
      <rPr>
        <sz val="14"/>
        <rFont val="MingLiU"/>
        <family val="3"/>
      </rPr>
      <t>𧢗𧯠郖𩮷</t>
    </r>
  </si>
  <si>
    <r>
      <t>裒䯽捊抔掊䏽𩚭䍌</t>
    </r>
    <r>
      <rPr>
        <sz val="14"/>
        <rFont val="宋体"/>
        <charset val="134"/>
      </rPr>
      <t>箁</t>
    </r>
  </si>
  <si>
    <r>
      <t>飍</t>
    </r>
    <r>
      <rPr>
        <sz val="14"/>
        <rFont val="MingLiU"/>
        <family val="3"/>
      </rPr>
      <t>烋</t>
    </r>
  </si>
  <si>
    <r>
      <t>尋𢒫鐔潯</t>
    </r>
    <r>
      <rPr>
        <sz val="14"/>
        <rFont val="宋体"/>
        <charset val="134"/>
      </rPr>
      <t>鱏樳</t>
    </r>
    <r>
      <rPr>
        <sz val="14"/>
        <rFont val="MingLiU"/>
        <family val="3"/>
      </rPr>
      <t>鄩𨼔𦠅𩖣襑枔撏灊鬵𦅀</t>
    </r>
  </si>
  <si>
    <r>
      <t>林琳淋臨痳箖</t>
    </r>
    <r>
      <rPr>
        <sz val="14"/>
        <rFont val="宋体"/>
        <charset val="134"/>
      </rPr>
      <t>瀶</t>
    </r>
    <r>
      <rPr>
        <sz val="14"/>
        <rFont val="MingLiU"/>
        <family val="3"/>
      </rPr>
      <t>霖</t>
    </r>
  </si>
  <si>
    <r>
      <t>沈沉𤘣莐䒞</t>
    </r>
    <r>
      <rPr>
        <sz val="14"/>
        <rFont val="宋体"/>
        <charset val="134"/>
      </rPr>
      <t>霃</t>
    </r>
    <r>
      <rPr>
        <sz val="14"/>
        <rFont val="MingLiU"/>
        <family val="3"/>
      </rPr>
      <t>湛枕鈂</t>
    </r>
  </si>
  <si>
    <r>
      <t>諶愖</t>
    </r>
    <r>
      <rPr>
        <sz val="14"/>
        <rFont val="宋体"/>
        <charset val="134"/>
      </rPr>
      <t>訦</t>
    </r>
    <r>
      <rPr>
        <sz val="14"/>
        <rFont val="MingLiU"/>
        <family val="3"/>
      </rPr>
      <t>忱煁</t>
    </r>
    <r>
      <rPr>
        <sz val="14"/>
        <rFont val="宋体"/>
        <charset val="134"/>
      </rPr>
      <t>瘎</t>
    </r>
    <r>
      <rPr>
        <sz val="14"/>
        <rFont val="MingLiU"/>
        <family val="3"/>
      </rPr>
      <t>㽸</t>
    </r>
  </si>
  <si>
    <r>
      <t>淫霪婬𥮍蟫鷣䒞冘𢓕碪撢𨟏㸒鐔</t>
    </r>
    <r>
      <rPr>
        <sz val="14"/>
        <rFont val="宋体"/>
        <charset val="134"/>
      </rPr>
      <t>鱏</t>
    </r>
  </si>
  <si>
    <r>
      <t>祲梫</t>
    </r>
    <r>
      <rPr>
        <sz val="14"/>
        <rFont val="宋体"/>
        <charset val="134"/>
      </rPr>
      <t>兓</t>
    </r>
    <r>
      <rPr>
        <sz val="14"/>
        <rFont val="MingLiU"/>
        <family val="3"/>
      </rPr>
      <t>埐𩀿𪖼綅𥍯𩻛</t>
    </r>
  </si>
  <si>
    <r>
      <t>琴㩒</t>
    </r>
    <r>
      <rPr>
        <sz val="14"/>
        <rFont val="宋体"/>
        <charset val="134"/>
      </rPr>
      <t>捦</t>
    </r>
    <r>
      <rPr>
        <sz val="14"/>
        <rFont val="MingLiU"/>
        <family val="3"/>
      </rPr>
      <t>擒黔禽芩𨙽檎㕋</t>
    </r>
    <r>
      <rPr>
        <sz val="14"/>
        <rFont val="宋体"/>
        <charset val="134"/>
      </rPr>
      <t>鵭</t>
    </r>
    <r>
      <rPr>
        <sz val="14"/>
        <rFont val="MingLiU"/>
        <family val="3"/>
      </rPr>
      <t>䔷澿凜庈雂㪁㱽黚䅾耹靲</t>
    </r>
  </si>
  <si>
    <r>
      <t>吟</t>
    </r>
    <r>
      <rPr>
        <sz val="14"/>
        <rFont val="宋体"/>
        <charset val="134"/>
      </rPr>
      <t>訡</t>
    </r>
    <r>
      <rPr>
        <sz val="14"/>
        <rFont val="MingLiU"/>
        <family val="3"/>
      </rPr>
      <t>䪩</t>
    </r>
    <r>
      <rPr>
        <sz val="14"/>
        <rFont val="宋体"/>
        <charset val="134"/>
      </rPr>
      <t>唫</t>
    </r>
    <r>
      <rPr>
        <sz val="14"/>
        <rFont val="MingLiU"/>
        <family val="3"/>
      </rPr>
      <t>崟荶碞𩂢</t>
    </r>
    <r>
      <rPr>
        <sz val="14"/>
        <rFont val="宋体"/>
        <charset val="134"/>
      </rPr>
      <t>乑</t>
    </r>
    <r>
      <rPr>
        <sz val="14"/>
        <rFont val="MingLiU"/>
        <family val="3"/>
      </rPr>
      <t>𠪚</t>
    </r>
  </si>
  <si>
    <r>
      <t>歆廞[鑫]</t>
    </r>
    <r>
      <rPr>
        <sz val="14"/>
        <rFont val="宋体"/>
        <charset val="134"/>
      </rPr>
      <t>嬜</t>
    </r>
    <r>
      <rPr>
        <sz val="14"/>
        <rFont val="MingLiU"/>
        <family val="3"/>
      </rPr>
      <t>㽎</t>
    </r>
  </si>
  <si>
    <r>
      <t>金今</t>
    </r>
    <r>
      <rPr>
        <sz val="14"/>
        <rFont val="宋体"/>
        <charset val="134"/>
      </rPr>
      <t>黅</t>
    </r>
    <r>
      <rPr>
        <sz val="14"/>
        <rFont val="MingLiU"/>
        <family val="3"/>
      </rPr>
      <t>衿襟䘳禁㦗𪑙</t>
    </r>
  </si>
  <si>
    <r>
      <t>音陰瘖霠喑</t>
    </r>
    <r>
      <rPr>
        <sz val="14"/>
        <rFont val="宋体"/>
        <charset val="134"/>
      </rPr>
      <t>隌</t>
    </r>
    <r>
      <rPr>
        <sz val="14"/>
        <rFont val="MingLiU"/>
        <family val="3"/>
      </rPr>
      <t>䜾䤃</t>
    </r>
  </si>
  <si>
    <r>
      <t>森參蔘</t>
    </r>
    <r>
      <rPr>
        <sz val="14"/>
        <rFont val="宋体"/>
        <charset val="134"/>
      </rPr>
      <t>曑薓</t>
    </r>
    <r>
      <rPr>
        <sz val="14"/>
        <rFont val="MingLiU"/>
        <family val="3"/>
      </rPr>
      <t>槮襳𥥿</t>
    </r>
    <r>
      <rPr>
        <sz val="14"/>
        <rFont val="宋体"/>
        <charset val="134"/>
      </rPr>
      <t>穼</t>
    </r>
    <r>
      <rPr>
        <sz val="14"/>
        <rFont val="MingLiU"/>
        <family val="3"/>
      </rPr>
      <t>棽</t>
    </r>
  </si>
  <si>
    <r>
      <t>旡簪㻸</t>
    </r>
    <r>
      <rPr>
        <sz val="14"/>
        <rFont val="宋体"/>
        <charset val="134"/>
      </rPr>
      <t>撍</t>
    </r>
  </si>
  <si>
    <r>
      <t>覃𨝸潭曇藫橝蟫譚𧽼燂</t>
    </r>
    <r>
      <rPr>
        <sz val="14"/>
        <rFont val="宋体"/>
        <charset val="134"/>
      </rPr>
      <t>壜</t>
    </r>
    <r>
      <rPr>
        <sz val="14"/>
        <rFont val="MingLiU"/>
        <family val="3"/>
      </rPr>
      <t>鐔眈㽎𦗡𩡝𧂗蕁䊤㽑</t>
    </r>
  </si>
  <si>
    <r>
      <t>參驂䟃</t>
    </r>
    <r>
      <rPr>
        <sz val="14"/>
        <rFont val="宋体"/>
        <charset val="134"/>
      </rPr>
      <t>傪</t>
    </r>
    <r>
      <rPr>
        <sz val="14"/>
        <rFont val="MingLiU"/>
        <family val="3"/>
      </rPr>
      <t>㜗</t>
    </r>
  </si>
  <si>
    <r>
      <t>諳䳺(鵪)媕庵腤菴㞄馣</t>
    </r>
    <r>
      <rPr>
        <sz val="14"/>
        <rFont val="宋体"/>
        <charset val="134"/>
      </rPr>
      <t>嬜</t>
    </r>
    <r>
      <rPr>
        <sz val="14"/>
        <rFont val="MingLiU"/>
        <family val="3"/>
      </rPr>
      <t>韽盦喑</t>
    </r>
  </si>
  <si>
    <r>
      <t>含涵䈄</t>
    </r>
    <r>
      <rPr>
        <sz val="14"/>
        <rFont val="宋体"/>
        <charset val="134"/>
      </rPr>
      <t>筨</t>
    </r>
    <r>
      <rPr>
        <sz val="14"/>
        <rFont val="MingLiU"/>
        <family val="3"/>
      </rPr>
      <t>梒䤴函顄蜬頷𣹢鋡𤭙𠥴䶃</t>
    </r>
    <r>
      <rPr>
        <sz val="14"/>
        <rFont val="宋体"/>
        <charset val="134"/>
      </rPr>
      <t>圅</t>
    </r>
    <r>
      <rPr>
        <sz val="14"/>
        <rFont val="MingLiU"/>
        <family val="3"/>
      </rPr>
      <t>肣䨡𢎘𠗴|</t>
    </r>
    <r>
      <rPr>
        <sz val="14"/>
        <rFont val="宋体"/>
        <charset val="134"/>
      </rPr>
      <t>晗</t>
    </r>
  </si>
  <si>
    <r>
      <t>婪惏</t>
    </r>
    <r>
      <rPr>
        <sz val="14"/>
        <rFont val="宋体"/>
        <charset val="134"/>
      </rPr>
      <t>燷</t>
    </r>
    <r>
      <rPr>
        <sz val="14"/>
        <rFont val="MingLiU"/>
        <family val="3"/>
      </rPr>
      <t>嵐</t>
    </r>
    <r>
      <rPr>
        <sz val="14"/>
        <rFont val="宋体"/>
        <charset val="134"/>
      </rPr>
      <t>葻啉</t>
    </r>
  </si>
  <si>
    <r>
      <t>簪</t>
    </r>
    <r>
      <rPr>
        <sz val="14"/>
        <rFont val="宋体"/>
        <charset val="134"/>
      </rPr>
      <t>撍</t>
    </r>
    <r>
      <rPr>
        <sz val="14"/>
        <rFont val="MingLiU"/>
        <family val="3"/>
      </rPr>
      <t>篸𥸢䐶䍼鐕</t>
    </r>
  </si>
  <si>
    <r>
      <t>耽湛眈酖</t>
    </r>
    <r>
      <rPr>
        <sz val="14"/>
        <rFont val="宋体"/>
        <charset val="134"/>
      </rPr>
      <t>妉</t>
    </r>
    <r>
      <rPr>
        <sz val="14"/>
        <rFont val="MingLiU"/>
        <family val="3"/>
      </rPr>
      <t>甔</t>
    </r>
    <r>
      <rPr>
        <sz val="14"/>
        <rFont val="宋体"/>
        <charset val="134"/>
      </rPr>
      <t>媅</t>
    </r>
    <r>
      <rPr>
        <sz val="14"/>
        <rFont val="MingLiU"/>
        <family val="3"/>
      </rPr>
      <t>𧡪𡖓</t>
    </r>
  </si>
  <si>
    <r>
      <t>㟏𩈣</t>
    </r>
    <r>
      <rPr>
        <sz val="14"/>
        <rFont val="宋体"/>
        <charset val="134"/>
      </rPr>
      <t>馠</t>
    </r>
    <r>
      <rPr>
        <sz val="14"/>
        <rFont val="MingLiU"/>
        <family val="3"/>
      </rPr>
      <t>𣢺唅𡬖𡪶谽</t>
    </r>
  </si>
  <si>
    <r>
      <t>毿蔘</t>
    </r>
    <r>
      <rPr>
        <sz val="14"/>
        <rFont val="宋体"/>
        <charset val="134"/>
      </rPr>
      <t>犙</t>
    </r>
  </si>
  <si>
    <r>
      <t>甘柑䇞</t>
    </r>
    <r>
      <rPr>
        <sz val="14"/>
        <rFont val="宋体"/>
        <charset val="134"/>
      </rPr>
      <t>苷</t>
    </r>
    <r>
      <rPr>
        <sz val="14"/>
        <rFont val="MingLiU"/>
        <family val="3"/>
      </rPr>
      <t>泔𤯎</t>
    </r>
    <r>
      <rPr>
        <sz val="14"/>
        <rFont val="宋体"/>
        <charset val="134"/>
      </rPr>
      <t>媣</t>
    </r>
    <r>
      <rPr>
        <sz val="14"/>
        <rFont val="MingLiU"/>
        <family val="3"/>
      </rPr>
      <t>|疳|</t>
    </r>
  </si>
  <si>
    <r>
      <t>擔儋聸</t>
    </r>
    <r>
      <rPr>
        <sz val="14"/>
        <rFont val="宋体"/>
        <charset val="134"/>
      </rPr>
      <t>頕</t>
    </r>
    <r>
      <rPr>
        <sz val="14"/>
        <rFont val="MingLiU"/>
        <family val="3"/>
      </rPr>
      <t>甔</t>
    </r>
  </si>
  <si>
    <r>
      <t>三參(</t>
    </r>
    <r>
      <rPr>
        <sz val="14"/>
        <rFont val="宋体"/>
        <charset val="134"/>
      </rPr>
      <t>叁</t>
    </r>
    <r>
      <rPr>
        <sz val="14"/>
        <rFont val="MingLiU"/>
        <family val="3"/>
      </rPr>
      <t>)</t>
    </r>
    <r>
      <rPr>
        <sz val="14"/>
        <rFont val="宋体"/>
        <charset val="134"/>
      </rPr>
      <t>弎</t>
    </r>
    <r>
      <rPr>
        <sz val="14"/>
        <rFont val="MingLiU"/>
        <family val="3"/>
      </rPr>
      <t>𢁘鬖</t>
    </r>
  </si>
  <si>
    <r>
      <t>藍襤䰐㩜籃𩈵𪇖</t>
    </r>
    <r>
      <rPr>
        <sz val="14"/>
        <rFont val="宋体"/>
        <charset val="134"/>
      </rPr>
      <t>懢</t>
    </r>
    <r>
      <rPr>
        <sz val="14"/>
        <rFont val="MingLiU"/>
        <family val="3"/>
      </rPr>
      <t>䆾</t>
    </r>
    <r>
      <rPr>
        <sz val="14"/>
        <rFont val="宋体"/>
        <charset val="134"/>
      </rPr>
      <t>儖蘫</t>
    </r>
  </si>
  <si>
    <r>
      <t>慙</t>
    </r>
    <r>
      <rPr>
        <sz val="14"/>
        <rFont val="MingLiU"/>
        <family val="3"/>
      </rPr>
      <t>(慚)鏨䳻㨻</t>
    </r>
  </si>
  <si>
    <r>
      <t>酣甝䗣魽𤯎煔</t>
    </r>
    <r>
      <rPr>
        <sz val="14"/>
        <rFont val="宋体"/>
        <charset val="134"/>
      </rPr>
      <t>炶</t>
    </r>
    <r>
      <rPr>
        <sz val="14"/>
        <rFont val="MingLiU"/>
        <family val="3"/>
      </rPr>
      <t>邯</t>
    </r>
  </si>
  <si>
    <r>
      <t>蚶𧵊</t>
    </r>
    <r>
      <rPr>
        <sz val="14"/>
        <rFont val="宋体"/>
        <charset val="134"/>
      </rPr>
      <t>嬜</t>
    </r>
    <r>
      <rPr>
        <sz val="14"/>
        <rFont val="MingLiU"/>
        <family val="3"/>
      </rPr>
      <t>歛憨</t>
    </r>
  </si>
  <si>
    <r>
      <t>鹽𣡶</t>
    </r>
    <r>
      <rPr>
        <sz val="14"/>
        <rFont val="宋体"/>
        <charset val="134"/>
      </rPr>
      <t>塩</t>
    </r>
    <r>
      <rPr>
        <sz val="14"/>
        <rFont val="MingLiU"/>
        <family val="3"/>
      </rPr>
      <t>閻(閆)壛阽檐簷</t>
    </r>
    <r>
      <rPr>
        <sz val="14"/>
        <rFont val="宋体"/>
        <charset val="134"/>
      </rPr>
      <t>櫩</t>
    </r>
    <r>
      <rPr>
        <sz val="14"/>
        <rFont val="MingLiU"/>
        <family val="3"/>
      </rPr>
      <t>𣡞㶄𪂈䦲㿕𤅸</t>
    </r>
  </si>
  <si>
    <r>
      <t>廉鐮鎌𩄡㡘簾薕薟蘞</t>
    </r>
    <r>
      <rPr>
        <sz val="14"/>
        <rFont val="宋体"/>
        <charset val="134"/>
      </rPr>
      <t>匳</t>
    </r>
    <r>
      <rPr>
        <sz val="14"/>
        <rFont val="MingLiU"/>
        <family val="3"/>
      </rPr>
      <t>(奩)</t>
    </r>
    <r>
      <rPr>
        <sz val="14"/>
        <rFont val="宋体"/>
        <charset val="134"/>
      </rPr>
      <t>籨</t>
    </r>
    <r>
      <rPr>
        <sz val="14"/>
        <rFont val="MingLiU"/>
        <family val="3"/>
      </rPr>
      <t>𥖝獫蠊䆂𨎷𣀃帘鬑覝|</t>
    </r>
    <r>
      <rPr>
        <sz val="14"/>
        <rFont val="宋体"/>
        <charset val="134"/>
      </rPr>
      <t>臁</t>
    </r>
    <r>
      <rPr>
        <sz val="14"/>
        <rFont val="MingLiU"/>
        <family val="3"/>
      </rPr>
      <t>襝</t>
    </r>
  </si>
  <si>
    <r>
      <t>銛暹枮綅𦃌韱襳纖憸孅䯹</t>
    </r>
    <r>
      <rPr>
        <sz val="14"/>
        <rFont val="宋体"/>
        <charset val="134"/>
      </rPr>
      <t>彡</t>
    </r>
    <r>
      <rPr>
        <sz val="14"/>
        <rFont val="MingLiU"/>
        <family val="3"/>
      </rPr>
      <t>𢘁</t>
    </r>
  </si>
  <si>
    <r>
      <t>詹瞻占蟾</t>
    </r>
    <r>
      <rPr>
        <sz val="14"/>
        <rFont val="宋体"/>
        <charset val="134"/>
      </rPr>
      <t>噡厃</t>
    </r>
  </si>
  <si>
    <r>
      <t>𩓾髯蚺呥柟𧦦蛅冉袡䶲㾆舑</t>
    </r>
    <r>
      <rPr>
        <sz val="14"/>
        <rFont val="宋体"/>
        <charset val="134"/>
      </rPr>
      <t>冄</t>
    </r>
  </si>
  <si>
    <r>
      <t>懕</t>
    </r>
    <r>
      <rPr>
        <sz val="14"/>
        <rFont val="MingLiU"/>
        <family val="3"/>
      </rPr>
      <t>猒饜嬮㤿䅧𨣻</t>
    </r>
  </si>
  <si>
    <r>
      <t>㶣𪏂</t>
    </r>
    <r>
      <rPr>
        <sz val="14"/>
        <rFont val="宋体"/>
        <charset val="134"/>
      </rPr>
      <t>誗</t>
    </r>
  </si>
  <si>
    <r>
      <t>添沾</t>
    </r>
    <r>
      <rPr>
        <sz val="14"/>
        <rFont val="宋体"/>
        <charset val="134"/>
      </rPr>
      <t>黇舚</t>
    </r>
  </si>
  <si>
    <r>
      <t>鬑薕</t>
    </r>
    <r>
      <rPr>
        <sz val="14"/>
        <rFont val="宋体"/>
        <charset val="134"/>
      </rPr>
      <t>熑</t>
    </r>
    <r>
      <rPr>
        <sz val="14"/>
        <rFont val="MingLiU"/>
        <family val="3"/>
      </rPr>
      <t>溓</t>
    </r>
    <r>
      <rPr>
        <sz val="14"/>
        <rFont val="宋体"/>
        <charset val="134"/>
      </rPr>
      <t>濓</t>
    </r>
    <r>
      <rPr>
        <sz val="14"/>
        <rFont val="MingLiU"/>
        <family val="3"/>
      </rPr>
      <t>(濂)</t>
    </r>
    <r>
      <rPr>
        <sz val="14"/>
        <rFont val="宋体"/>
        <charset val="134"/>
      </rPr>
      <t>燫</t>
    </r>
  </si>
  <si>
    <r>
      <t>嫌</t>
    </r>
    <r>
      <rPr>
        <sz val="14"/>
        <rFont val="宋体"/>
        <charset val="134"/>
      </rPr>
      <t>稴</t>
    </r>
  </si>
  <si>
    <r>
      <t>鮎</t>
    </r>
    <r>
      <rPr>
        <sz val="14"/>
        <rFont val="MingLiU"/>
        <family val="3"/>
      </rPr>
      <t>(鯰)䬯拈</t>
    </r>
  </si>
  <si>
    <r>
      <t>馦㾾㽐䵌</t>
    </r>
    <r>
      <rPr>
        <sz val="14"/>
        <rFont val="宋体"/>
        <charset val="134"/>
      </rPr>
      <t>欦</t>
    </r>
    <r>
      <rPr>
        <sz val="14"/>
        <rFont val="MingLiU"/>
        <family val="3"/>
      </rPr>
      <t>妗䌠</t>
    </r>
  </si>
  <si>
    <r>
      <t>咸鹹</t>
    </r>
    <r>
      <rPr>
        <sz val="14"/>
        <rFont val="宋体"/>
        <charset val="134"/>
      </rPr>
      <t>醎</t>
    </r>
    <r>
      <rPr>
        <sz val="14"/>
        <rFont val="MingLiU"/>
        <family val="3"/>
      </rPr>
      <t>函𩤥諴鰜</t>
    </r>
    <r>
      <rPr>
        <sz val="14"/>
        <rFont val="宋体"/>
        <charset val="134"/>
      </rPr>
      <t>稴</t>
    </r>
    <r>
      <rPr>
        <sz val="14"/>
        <rFont val="MingLiU"/>
        <family val="3"/>
      </rPr>
      <t>椷㮀</t>
    </r>
    <r>
      <rPr>
        <sz val="14"/>
        <rFont val="宋体"/>
        <charset val="134"/>
      </rPr>
      <t>輱</t>
    </r>
  </si>
  <si>
    <r>
      <t>緘䌠瑊</t>
    </r>
    <r>
      <rPr>
        <sz val="14"/>
        <rFont val="宋体"/>
        <charset val="134"/>
      </rPr>
      <t>玪尲</t>
    </r>
    <r>
      <rPr>
        <sz val="14"/>
        <rFont val="MingLiU"/>
        <family val="3"/>
      </rPr>
      <t>(尷)</t>
    </r>
    <r>
      <rPr>
        <sz val="14"/>
        <rFont val="宋体"/>
        <charset val="134"/>
      </rPr>
      <t>黬</t>
    </r>
    <r>
      <rPr>
        <sz val="14"/>
        <rFont val="MingLiU"/>
        <family val="3"/>
      </rPr>
      <t>𪒹</t>
    </r>
  </si>
  <si>
    <r>
      <t>攕摻</t>
    </r>
    <r>
      <rPr>
        <sz val="14"/>
        <rFont val="宋体"/>
        <charset val="134"/>
      </rPr>
      <t>檆</t>
    </r>
    <r>
      <rPr>
        <sz val="14"/>
        <rFont val="MingLiU"/>
        <family val="3"/>
      </rPr>
      <t>杉櫼𩃔𩁺䀐𨏪𩌰㺑</t>
    </r>
  </si>
  <si>
    <r>
      <t>嵒䫡</t>
    </r>
    <r>
      <rPr>
        <sz val="14"/>
        <rFont val="宋体"/>
        <charset val="134"/>
      </rPr>
      <t>黬</t>
    </r>
    <r>
      <rPr>
        <sz val="14"/>
        <rFont val="MingLiU"/>
        <family val="3"/>
      </rPr>
      <t>羬𧇱麙𪙊碞㺂𧬌</t>
    </r>
  </si>
  <si>
    <r>
      <t>詀䩇</t>
    </r>
    <r>
      <rPr>
        <sz val="14"/>
        <rFont val="宋体"/>
        <charset val="134"/>
      </rPr>
      <t>鵮</t>
    </r>
    <r>
      <rPr>
        <sz val="14"/>
        <rFont val="MingLiU"/>
        <family val="3"/>
      </rPr>
      <t>𪉜</t>
    </r>
  </si>
  <si>
    <r>
      <t>鵮</t>
    </r>
    <r>
      <rPr>
        <sz val="14"/>
        <rFont val="MingLiU"/>
        <family val="3"/>
      </rPr>
      <t>𢽣嵁</t>
    </r>
    <r>
      <rPr>
        <sz val="14"/>
        <rFont val="宋体"/>
        <charset val="134"/>
      </rPr>
      <t>厱</t>
    </r>
    <r>
      <rPr>
        <sz val="14"/>
        <rFont val="MingLiU"/>
        <family val="3"/>
      </rPr>
      <t>𠔺</t>
    </r>
  </si>
  <si>
    <r>
      <t>銜</t>
    </r>
    <r>
      <rPr>
        <sz val="14"/>
        <rFont val="宋体"/>
        <charset val="134"/>
      </rPr>
      <t>甉</t>
    </r>
  </si>
  <si>
    <r>
      <t>巉</t>
    </r>
    <r>
      <rPr>
        <sz val="14"/>
        <rFont val="宋体"/>
        <charset val="134"/>
      </rPr>
      <t>嶃</t>
    </r>
    <r>
      <rPr>
        <sz val="14"/>
        <rFont val="MingLiU"/>
        <family val="3"/>
      </rPr>
      <t>酁艬鑱獑毚嚵</t>
    </r>
  </si>
  <si>
    <r>
      <t>衫纔髟縿</t>
    </r>
    <r>
      <rPr>
        <sz val="14"/>
        <rFont val="宋体"/>
        <charset val="134"/>
      </rPr>
      <t>彡</t>
    </r>
    <r>
      <rPr>
        <sz val="14"/>
        <rFont val="MingLiU"/>
        <family val="3"/>
      </rPr>
      <t>芟穇𩌰</t>
    </r>
  </si>
  <si>
    <r>
      <t>㪁</t>
    </r>
    <r>
      <rPr>
        <sz val="14"/>
        <rFont val="宋体"/>
        <charset val="134"/>
      </rPr>
      <t>厱</t>
    </r>
  </si>
  <si>
    <r>
      <t>懂!董蝀</t>
    </r>
    <r>
      <rPr>
        <sz val="14"/>
        <rFont val="宋体"/>
        <charset val="134"/>
      </rPr>
      <t>箽</t>
    </r>
    <r>
      <rPr>
        <sz val="14"/>
        <rFont val="MingLiU"/>
        <family val="3"/>
      </rPr>
      <t>蕫䵔𧄓</t>
    </r>
  </si>
  <si>
    <t>kan1</t>
  </si>
  <si>
    <t>許干</t>
  </si>
  <si>
    <t>頇鼾</t>
  </si>
  <si>
    <t>han1</t>
  </si>
  <si>
    <t>上平26桓</t>
  </si>
  <si>
    <t>桓</t>
  </si>
  <si>
    <t>乃官</t>
  </si>
  <si>
    <t>濡</t>
  </si>
  <si>
    <t>nuan2</t>
  </si>
  <si>
    <t>胡官</t>
  </si>
  <si>
    <t>huan2</t>
  </si>
  <si>
    <t>五丸</t>
  </si>
  <si>
    <t>多官</t>
  </si>
  <si>
    <t>duan1</t>
  </si>
  <si>
    <t>一丸</t>
  </si>
  <si>
    <t>wan1</t>
  </si>
  <si>
    <t>他端</t>
  </si>
  <si>
    <t>湍貒䵎𪏆煓偳</t>
  </si>
  <si>
    <t>tuan1</t>
  </si>
  <si>
    <t>素官</t>
  </si>
  <si>
    <t>酸狻䝜痠𩆑</t>
  </si>
  <si>
    <t>suan1</t>
  </si>
  <si>
    <t>度官</t>
  </si>
  <si>
    <t>團慱篿剸鄟𧐕敦漙鷒𪆃摶𩅂</t>
  </si>
  <si>
    <t>tuan2</t>
  </si>
  <si>
    <t>在丸</t>
  </si>
  <si>
    <t>刪纂</t>
  </si>
  <si>
    <t>cuan2</t>
  </si>
  <si>
    <t>古丸</t>
  </si>
  <si>
    <t>官悹莞棺觀貫冠涫倌母(毌)</t>
  </si>
  <si>
    <t>guan1</t>
  </si>
  <si>
    <t>落官</t>
  </si>
  <si>
    <t>luan2</t>
  </si>
  <si>
    <t>呼官</t>
  </si>
  <si>
    <t>huan1</t>
  </si>
  <si>
    <t>苦官</t>
  </si>
  <si>
    <t>寬髖</t>
  </si>
  <si>
    <t>kuan1</t>
  </si>
  <si>
    <t>借官</t>
  </si>
  <si>
    <t>zuan1</t>
  </si>
  <si>
    <t>薄官</t>
  </si>
  <si>
    <t>pan2</t>
  </si>
  <si>
    <t>母官</t>
  </si>
  <si>
    <t>man2</t>
  </si>
  <si>
    <t>普官</t>
  </si>
  <si>
    <t>潘㽃番拌㢖𤺏</t>
  </si>
  <si>
    <t>pan1</t>
  </si>
  <si>
    <t>北潘</t>
  </si>
  <si>
    <t>𤳖般(搬)䈲𠦒</t>
  </si>
  <si>
    <t>ban1</t>
  </si>
  <si>
    <t>上平27刪</t>
  </si>
  <si>
    <t>刪</t>
  </si>
  <si>
    <t>所姦</t>
  </si>
  <si>
    <t>刪訕潸𣧱(狦)</t>
  </si>
  <si>
    <t>shan1</t>
  </si>
  <si>
    <t>古還</t>
  </si>
  <si>
    <t>烏關</t>
  </si>
  <si>
    <t>彎灣䘎𩅦潫</t>
  </si>
  <si>
    <t>數還</t>
  </si>
  <si>
    <t>𣠯(閂)</t>
  </si>
  <si>
    <t>shuan1</t>
  </si>
  <si>
    <t>布還</t>
  </si>
  <si>
    <t>莫還</t>
  </si>
  <si>
    <t>蠻謾𪈮獌鬘䅼𪑪</t>
  </si>
  <si>
    <t>五姦</t>
  </si>
  <si>
    <t>姦菅葌䔵|奸</t>
  </si>
  <si>
    <t>普班</t>
  </si>
  <si>
    <t>攀扳眅</t>
  </si>
  <si>
    <t>奴還</t>
  </si>
  <si>
    <t>奻</t>
  </si>
  <si>
    <t>五還</t>
  </si>
  <si>
    <t>𤸷頑</t>
  </si>
  <si>
    <t>丘姦</t>
  </si>
  <si>
    <t>馯</t>
  </si>
  <si>
    <t>阻頑</t>
  </si>
  <si>
    <t>跧</t>
  </si>
  <si>
    <t>zhuan1</t>
  </si>
  <si>
    <t>上平28山</t>
  </si>
  <si>
    <t>所閒</t>
  </si>
  <si>
    <t>古頑</t>
  </si>
  <si>
    <t>鰥綸䤽</t>
  </si>
  <si>
    <t>古閑</t>
  </si>
  <si>
    <t>xian2</t>
  </si>
  <si>
    <t>苦閑</t>
  </si>
  <si>
    <t>士山</t>
  </si>
  <si>
    <t>虥潺孱僝䡲𨬖𡎻</t>
  </si>
  <si>
    <t>chan2</t>
  </si>
  <si>
    <t>許閒</t>
  </si>
  <si>
    <t>羴</t>
  </si>
  <si>
    <t>五閑</t>
  </si>
  <si>
    <t>烏閑</t>
  </si>
  <si>
    <t>黰𦎣殷㸶黫</t>
  </si>
  <si>
    <t>方閑</t>
  </si>
  <si>
    <t>斒虨</t>
  </si>
  <si>
    <t>力閑</t>
  </si>
  <si>
    <t>斕潾𢿻𢛓</t>
  </si>
  <si>
    <t>女閑</t>
  </si>
  <si>
    <t>充山</t>
  </si>
  <si>
    <t>㺗</t>
  </si>
  <si>
    <t>委鰥</t>
  </si>
  <si>
    <t>嬽</t>
  </si>
  <si>
    <t>墜頑</t>
  </si>
  <si>
    <t>窀</t>
  </si>
  <si>
    <t>力頑</t>
  </si>
  <si>
    <t>𡰠</t>
  </si>
  <si>
    <t>跪頑</t>
  </si>
  <si>
    <t>𡰝</t>
  </si>
  <si>
    <t>陟山</t>
  </si>
  <si>
    <t>譠㣶</t>
  </si>
  <si>
    <t>zhan1</t>
  </si>
  <si>
    <t>直閑</t>
  </si>
  <si>
    <t>𤣆</t>
  </si>
  <si>
    <t>獲頑</t>
  </si>
  <si>
    <t>湲</t>
  </si>
  <si>
    <t>昨閑</t>
  </si>
  <si>
    <t>虥𡎻</t>
  </si>
  <si>
    <t>下平1先</t>
  </si>
  <si>
    <t>先</t>
  </si>
  <si>
    <t>蘇前</t>
  </si>
  <si>
    <t>昨先</t>
  </si>
  <si>
    <t>蒼先</t>
  </si>
  <si>
    <t>則前</t>
  </si>
  <si>
    <t>箋牋㮍瀳帴韉淺湔𢃬𣚙轃濺籛𣝕𨕨</t>
  </si>
  <si>
    <t>他前</t>
  </si>
  <si>
    <t>tian1</t>
  </si>
  <si>
    <t>古賢</t>
  </si>
  <si>
    <t>胡田</t>
  </si>
  <si>
    <t>烏前</t>
  </si>
  <si>
    <t>落賢</t>
  </si>
  <si>
    <t>憐!蓮怜嗹縺𪍴𨏩零</t>
  </si>
  <si>
    <t>lian2</t>
  </si>
  <si>
    <t>徒年</t>
  </si>
  <si>
    <t>刪寘</t>
  </si>
  <si>
    <t>tian2</t>
  </si>
  <si>
    <t>nian2</t>
  </si>
  <si>
    <t>都年</t>
  </si>
  <si>
    <t>dian1</t>
  </si>
  <si>
    <t>苦堅</t>
  </si>
  <si>
    <t>五堅</t>
  </si>
  <si>
    <t>莫賢</t>
  </si>
  <si>
    <t>眠瞑䏃矏𥌂䰓㝰</t>
  </si>
  <si>
    <t>mian2</t>
  </si>
  <si>
    <t>部田</t>
  </si>
  <si>
    <t>pian2</t>
  </si>
  <si>
    <t>烏玄</t>
  </si>
  <si>
    <t>古玄</t>
  </si>
  <si>
    <t>涓睊蠲𦮻䅌鵑焆鞙</t>
  </si>
  <si>
    <t>juan1</t>
  </si>
  <si>
    <t>火玄</t>
  </si>
  <si>
    <t>鋗駽㘣梋矎</t>
  </si>
  <si>
    <t>布玄</t>
  </si>
  <si>
    <t>bian1</t>
  </si>
  <si>
    <t>胡涓</t>
  </si>
  <si>
    <t>玄縣懸眩䮄玹玆䙲𥌭𠆺盷胘訇</t>
  </si>
  <si>
    <t>xuan2</t>
  </si>
  <si>
    <t>呼煙</t>
  </si>
  <si>
    <t>崇玄</t>
  </si>
  <si>
    <t>𤜼</t>
  </si>
  <si>
    <t>下平2仙</t>
  </si>
  <si>
    <t>仙A</t>
  </si>
  <si>
    <t>相然</t>
  </si>
  <si>
    <t>昨仙</t>
  </si>
  <si>
    <t>錢𧔢</t>
  </si>
  <si>
    <t>七然</t>
  </si>
  <si>
    <t>遷𨙙𠨧𨝍櫏䉦韆㿊</t>
  </si>
  <si>
    <t>子仙</t>
  </si>
  <si>
    <t>如延</t>
  </si>
  <si>
    <t>ran2</t>
  </si>
  <si>
    <t>以然</t>
  </si>
  <si>
    <t>延埏筵狿郔綖蜒䘰鋋䀽𨕐䢭莚</t>
  </si>
  <si>
    <t>諸延</t>
  </si>
  <si>
    <t>居延</t>
  </si>
  <si>
    <t>甄籈薽</t>
  </si>
  <si>
    <t>仙B</t>
  </si>
  <si>
    <t>張連</t>
  </si>
  <si>
    <t>邅𧾍驙鱣𩼼</t>
  </si>
  <si>
    <t>士連</t>
  </si>
  <si>
    <t>潺孱𨬖䡲𡎻</t>
  </si>
  <si>
    <t>式連</t>
  </si>
  <si>
    <t>丑延</t>
  </si>
  <si>
    <t>chan1</t>
  </si>
  <si>
    <t>市連</t>
  </si>
  <si>
    <t>鋋單蟬撣儃僤禪澶嬋</t>
  </si>
  <si>
    <t>直連</t>
  </si>
  <si>
    <t>許延</t>
  </si>
  <si>
    <t>嘕屳嫣𦒜</t>
  </si>
  <si>
    <t>力延</t>
  </si>
  <si>
    <t>芳連</t>
  </si>
  <si>
    <t>pian1</t>
  </si>
  <si>
    <t>房連</t>
  </si>
  <si>
    <t>便緶楩平諞㛹箯𧍲楄</t>
  </si>
  <si>
    <t>武延</t>
  </si>
  <si>
    <t>疾緣</t>
  </si>
  <si>
    <t>quan2</t>
  </si>
  <si>
    <t>須緣</t>
  </si>
  <si>
    <t>宣揎㩊䳦愃𡈣𩕖瑄𩓧</t>
  </si>
  <si>
    <t>子泉</t>
  </si>
  <si>
    <t>許緣</t>
  </si>
  <si>
    <t>而緣</t>
  </si>
  <si>
    <t>ruan2</t>
  </si>
  <si>
    <t>昌緣</t>
  </si>
  <si>
    <t>穿川灥</t>
  </si>
  <si>
    <t>chuan1</t>
  </si>
  <si>
    <t>與專</t>
  </si>
  <si>
    <t>沿(㳂)鉛(鈆)櫞捐鳶蝝緣䱲𦿂𦛔</t>
  </si>
  <si>
    <t>似宣</t>
  </si>
  <si>
    <t>於緣</t>
  </si>
  <si>
    <t>娟嬛悁蜎𡷡潫𡣬</t>
  </si>
  <si>
    <t>食川</t>
  </si>
  <si>
    <t>chuan2</t>
  </si>
  <si>
    <t>卑連</t>
  </si>
  <si>
    <t>夕連</t>
  </si>
  <si>
    <t>涎!㳄</t>
  </si>
  <si>
    <t>此緣</t>
  </si>
  <si>
    <t>quan1</t>
  </si>
  <si>
    <t>職緣</t>
  </si>
  <si>
    <t>市緣</t>
  </si>
  <si>
    <t>王權</t>
  </si>
  <si>
    <t>員圜圓湲</t>
  </si>
  <si>
    <t>莊緣</t>
  </si>
  <si>
    <t>恮跧䀬蟤</t>
  </si>
  <si>
    <t>山員</t>
  </si>
  <si>
    <t>栓𨏉</t>
  </si>
  <si>
    <t>丑緣</t>
  </si>
  <si>
    <t>渠焉</t>
  </si>
  <si>
    <t>乾虔犍鍵鰬𨜻騝榩揵|𠢅[掮]</t>
  </si>
  <si>
    <t>去乾</t>
  </si>
  <si>
    <t>巨員</t>
  </si>
  <si>
    <t>直攣</t>
  </si>
  <si>
    <t>椽傳</t>
  </si>
  <si>
    <t>呂員</t>
  </si>
  <si>
    <t>攣𤼙𤼣</t>
  </si>
  <si>
    <t>丘圓</t>
  </si>
  <si>
    <t>弮㒽棬(圈)鬈𨟠</t>
  </si>
  <si>
    <t>於乾</t>
  </si>
  <si>
    <t>焉閼蔫嫣鄢</t>
  </si>
  <si>
    <t>有乾</t>
  </si>
  <si>
    <t>漹焉䗡</t>
  </si>
  <si>
    <t>於權</t>
  </si>
  <si>
    <t>嬽潫</t>
  </si>
  <si>
    <t>尺延</t>
  </si>
  <si>
    <t>燀</t>
  </si>
  <si>
    <t>丁全</t>
  </si>
  <si>
    <t>居員</t>
  </si>
  <si>
    <t>勬</t>
  </si>
  <si>
    <t>下平3蕭</t>
  </si>
  <si>
    <t>蕭</t>
  </si>
  <si>
    <t>蘇彫</t>
  </si>
  <si>
    <t>效</t>
  </si>
  <si>
    <t>xiao1</t>
  </si>
  <si>
    <t>吐彫</t>
  </si>
  <si>
    <t>tiao1</t>
  </si>
  <si>
    <t>都聊</t>
  </si>
  <si>
    <t>diao1</t>
  </si>
  <si>
    <t>徒聊</t>
  </si>
  <si>
    <t>tiao2</t>
  </si>
  <si>
    <t>古堯</t>
  </si>
  <si>
    <t>驍梟𥄉澆憿釗邀蟂徼</t>
  </si>
  <si>
    <t>jiao1</t>
  </si>
  <si>
    <t>落蕭</t>
  </si>
  <si>
    <t>liao2</t>
  </si>
  <si>
    <t>五聊</t>
  </si>
  <si>
    <t>堯嶢僥垚顤</t>
  </si>
  <si>
    <t>yao2</t>
  </si>
  <si>
    <t>膮嘵憢㚠𦟞䎄䫞</t>
  </si>
  <si>
    <t>於堯</t>
  </si>
  <si>
    <t>yao1</t>
  </si>
  <si>
    <t>鄡郻𡩇墽𢿣(敲)</t>
  </si>
  <si>
    <t>qiao1</t>
  </si>
  <si>
    <t>下平4宵</t>
  </si>
  <si>
    <t>宵A</t>
  </si>
  <si>
    <t>相邀</t>
  </si>
  <si>
    <t>宵B</t>
  </si>
  <si>
    <t>敕宵</t>
  </si>
  <si>
    <t>chao1</t>
  </si>
  <si>
    <t>陟遙</t>
  </si>
  <si>
    <t>朝=𦩻</t>
  </si>
  <si>
    <t>zhao1</t>
  </si>
  <si>
    <t>直遙</t>
  </si>
  <si>
    <t>chao2</t>
  </si>
  <si>
    <t>許嬌</t>
  </si>
  <si>
    <t>昨焦</t>
  </si>
  <si>
    <t>qiao2</t>
  </si>
  <si>
    <t>舉喬</t>
  </si>
  <si>
    <t>驕嬌憍穚鷮蕎喬簥撟</t>
  </si>
  <si>
    <t>即消</t>
  </si>
  <si>
    <t>如招</t>
  </si>
  <si>
    <t>饒橈襓㹛蟯蕘</t>
  </si>
  <si>
    <t>rao2</t>
  </si>
  <si>
    <t>式招</t>
  </si>
  <si>
    <t>燒𤬖</t>
  </si>
  <si>
    <t>shao1</t>
  </si>
  <si>
    <t>餘昭</t>
  </si>
  <si>
    <t>市昭</t>
  </si>
  <si>
    <t>止遙</t>
  </si>
  <si>
    <t>昭鵃鉊招釗盄皽</t>
  </si>
  <si>
    <t>甫遙</t>
  </si>
  <si>
    <t>biao1</t>
  </si>
  <si>
    <t>甫嬌</t>
  </si>
  <si>
    <t>鑣𩽁臕儦瀌𦔩藨</t>
  </si>
  <si>
    <t>符霄</t>
  </si>
  <si>
    <t>瓢飄剽薸𣞈螵</t>
  </si>
  <si>
    <t>piao2</t>
  </si>
  <si>
    <t>彌遙</t>
  </si>
  <si>
    <t>蜱䖢篻㠺𪃦</t>
  </si>
  <si>
    <t>miao2</t>
  </si>
  <si>
    <t>武瀌</t>
  </si>
  <si>
    <t>於霄</t>
  </si>
  <si>
    <t>要腰葽喓𧍔䙅䳩蟯邀</t>
  </si>
  <si>
    <t>于嬌</t>
  </si>
  <si>
    <t>鴞𨚙</t>
  </si>
  <si>
    <t>巨嬌</t>
  </si>
  <si>
    <t>七遙</t>
  </si>
  <si>
    <t>於喬</t>
  </si>
  <si>
    <t>去遙</t>
  </si>
  <si>
    <t>蹻繑趬蹺䫞㚠</t>
  </si>
  <si>
    <t>尺招</t>
  </si>
  <si>
    <t>怊弨</t>
  </si>
  <si>
    <t>撫招</t>
  </si>
  <si>
    <t>嫖!爂漂杓𩙒旚犥鏢僄𪅃飄慓彯摽𧽤𨄏翲瞟螵嘌𦠎</t>
  </si>
  <si>
    <t>piao1</t>
  </si>
  <si>
    <t>渠遙</t>
  </si>
  <si>
    <t>翹荍𧄍嘺䎗𤖻</t>
  </si>
  <si>
    <t>力昭</t>
  </si>
  <si>
    <t>下平5肴</t>
  </si>
  <si>
    <t>肴</t>
  </si>
  <si>
    <t>胡茅</t>
  </si>
  <si>
    <t>xiao2</t>
  </si>
  <si>
    <t>古肴</t>
  </si>
  <si>
    <t>鉏交</t>
  </si>
  <si>
    <t>巢轈勦𡻝𣝞樔𡏮鄛</t>
  </si>
  <si>
    <t>女交</t>
  </si>
  <si>
    <t>nao2</t>
  </si>
  <si>
    <t>所交</t>
  </si>
  <si>
    <t>莫交</t>
  </si>
  <si>
    <t>茅蝥貓犛罞鶜描媌</t>
  </si>
  <si>
    <t>mao2</t>
  </si>
  <si>
    <t>許交</t>
  </si>
  <si>
    <t>虓猇髇藃穘窙嗃䬘哮庨灱涍嘐顤𩾾㹲|嚆</t>
  </si>
  <si>
    <t>布交</t>
  </si>
  <si>
    <t>bao1</t>
  </si>
  <si>
    <t>匹交</t>
  </si>
  <si>
    <t>pao1</t>
  </si>
  <si>
    <t>口交</t>
  </si>
  <si>
    <t>敲跤骹膠㤍磽䂭礉鄗墝頝</t>
  </si>
  <si>
    <t>五交</t>
  </si>
  <si>
    <t>聱謷磝𢿣</t>
  </si>
  <si>
    <t>側交</t>
  </si>
  <si>
    <t>𦗔罺抓𠿈摷</t>
  </si>
  <si>
    <t>陟交</t>
  </si>
  <si>
    <t>嘲啁䞴鳭鵃</t>
  </si>
  <si>
    <t>楚交</t>
  </si>
  <si>
    <t>抄!䜈鈔𦾱訬䰫</t>
  </si>
  <si>
    <t>薄交</t>
  </si>
  <si>
    <t>pao2</t>
  </si>
  <si>
    <t>於交</t>
  </si>
  <si>
    <t>敕交</t>
  </si>
  <si>
    <t>䫸嘮</t>
  </si>
  <si>
    <t>力嘲</t>
  </si>
  <si>
    <t>lao2</t>
  </si>
  <si>
    <t>直交</t>
  </si>
  <si>
    <t>䄻</t>
  </si>
  <si>
    <t>下平6豪</t>
  </si>
  <si>
    <t>豪</t>
  </si>
  <si>
    <t>胡刀</t>
  </si>
  <si>
    <t>hao2</t>
  </si>
  <si>
    <t>古勞</t>
  </si>
  <si>
    <r>
      <t>東菄鶇䍶𠍀</t>
    </r>
    <r>
      <rPr>
        <sz val="14"/>
        <rFont val="宋体"/>
        <charset val="134"/>
      </rPr>
      <t>倲</t>
    </r>
    <r>
      <rPr>
        <sz val="14"/>
        <rFont val="MingLiU"/>
        <family val="3"/>
      </rPr>
      <t>𩜍𢘐涷蝀凍</t>
    </r>
    <r>
      <rPr>
        <sz val="14"/>
        <rFont val="宋体"/>
        <charset val="134"/>
      </rPr>
      <t>鯟</t>
    </r>
    <r>
      <rPr>
        <sz val="14"/>
        <rFont val="MingLiU"/>
        <family val="3"/>
      </rPr>
      <t>𢔅崠埬𧓕䰤</t>
    </r>
  </si>
  <si>
    <r>
      <t>終</t>
    </r>
    <r>
      <rPr>
        <sz val="14"/>
        <rFont val="宋体"/>
        <charset val="134"/>
      </rPr>
      <t>衆</t>
    </r>
    <r>
      <rPr>
        <sz val="14"/>
        <rFont val="MingLiU"/>
        <family val="3"/>
      </rPr>
      <t>(眾)</t>
    </r>
    <r>
      <rPr>
        <sz val="14"/>
        <rFont val="宋体"/>
        <charset val="134"/>
      </rPr>
      <t>潨</t>
    </r>
    <r>
      <rPr>
        <sz val="14"/>
        <rFont val="MingLiU"/>
        <family val="3"/>
      </rPr>
      <t>𣧩𧑄𩅧䝦䶱䈺螽鼨蔠柊</t>
    </r>
    <r>
      <rPr>
        <sz val="14"/>
        <rFont val="宋体"/>
        <charset val="134"/>
      </rPr>
      <t>鴤泈</t>
    </r>
  </si>
  <si>
    <r>
      <t>崇</t>
    </r>
    <r>
      <rPr>
        <sz val="14"/>
        <rFont val="宋体"/>
        <charset val="134"/>
      </rPr>
      <t>崈</t>
    </r>
    <r>
      <rPr>
        <sz val="14"/>
        <rFont val="MingLiU"/>
        <family val="3"/>
      </rPr>
      <t>㓽𩞉</t>
    </r>
  </si>
  <si>
    <r>
      <t>弓</t>
    </r>
    <r>
      <rPr>
        <sz val="14"/>
        <rFont val="宋体"/>
        <charset val="134"/>
      </rPr>
      <t>躳</t>
    </r>
    <r>
      <rPr>
        <sz val="14"/>
        <rFont val="MingLiU"/>
        <family val="3"/>
      </rPr>
      <t>躬㴦宮匑</t>
    </r>
  </si>
  <si>
    <r>
      <t>瞢夢</t>
    </r>
    <r>
      <rPr>
        <sz val="14"/>
        <rFont val="宋体"/>
        <charset val="134"/>
      </rPr>
      <t>懜</t>
    </r>
    <r>
      <rPr>
        <sz val="14"/>
        <rFont val="MingLiU"/>
        <family val="3"/>
      </rPr>
      <t>𨞯𦫰𧲎</t>
    </r>
  </si>
  <si>
    <r>
      <t>穹𢞏𦵡𥳎</t>
    </r>
    <r>
      <rPr>
        <sz val="14"/>
        <rFont val="宋体"/>
        <charset val="134"/>
      </rPr>
      <t>焪</t>
    </r>
    <r>
      <rPr>
        <sz val="14"/>
        <rFont val="MingLiU"/>
        <family val="3"/>
      </rPr>
      <t>芎匑</t>
    </r>
  </si>
  <si>
    <r>
      <t>豐酆蘴灃</t>
    </r>
    <r>
      <rPr>
        <sz val="14"/>
        <rFont val="宋体"/>
        <charset val="134"/>
      </rPr>
      <t>寷</t>
    </r>
    <r>
      <rPr>
        <sz val="14"/>
        <rFont val="MingLiU"/>
        <family val="3"/>
      </rPr>
      <t>麷㒥𡾿</t>
    </r>
  </si>
  <si>
    <r>
      <t>隆癃𪔳㚅窿</t>
    </r>
    <r>
      <rPr>
        <sz val="14"/>
        <rFont val="宋体"/>
        <charset val="134"/>
      </rPr>
      <t>霳</t>
    </r>
  </si>
  <si>
    <r>
      <t>空箜崆椌硿悾</t>
    </r>
    <r>
      <rPr>
        <sz val="14"/>
        <rFont val="宋体"/>
        <charset val="134"/>
      </rPr>
      <t>埪</t>
    </r>
    <r>
      <rPr>
        <sz val="14"/>
        <rFont val="MingLiU"/>
        <family val="3"/>
      </rPr>
      <t>倥涳</t>
    </r>
    <r>
      <rPr>
        <sz val="14"/>
        <rFont val="宋体"/>
        <charset val="134"/>
      </rPr>
      <t>鵼</t>
    </r>
    <r>
      <rPr>
        <sz val="14"/>
        <rFont val="MingLiU"/>
        <family val="3"/>
      </rPr>
      <t>䅝𦱇𢃐𧌆</t>
    </r>
  </si>
  <si>
    <r>
      <t>公功工疘蚣玒㓚釭魟攻愩</t>
    </r>
    <r>
      <rPr>
        <sz val="14"/>
        <rFont val="宋体"/>
        <charset val="134"/>
      </rPr>
      <t>碽</t>
    </r>
    <r>
      <rPr>
        <sz val="14"/>
        <rFont val="MingLiU"/>
        <family val="3"/>
      </rPr>
      <t>篢</t>
    </r>
  </si>
  <si>
    <r>
      <t>蒙</t>
    </r>
    <r>
      <rPr>
        <sz val="14"/>
        <rFont val="宋体"/>
        <charset val="134"/>
      </rPr>
      <t>冡</t>
    </r>
    <r>
      <rPr>
        <sz val="14"/>
        <rFont val="MingLiU"/>
        <family val="3"/>
      </rPr>
      <t>濛𩦺䰒艨朦矇饛檬𨢊䴿𢄐𨣘鸏幪罞髳蠓𦿏雺霿霧䀄</t>
    </r>
    <r>
      <rPr>
        <sz val="14"/>
        <rFont val="宋体"/>
        <charset val="134"/>
      </rPr>
      <t>懜</t>
    </r>
    <r>
      <rPr>
        <sz val="14"/>
        <rFont val="MingLiU"/>
        <family val="3"/>
      </rPr>
      <t>霥[礞]</t>
    </r>
  </si>
  <si>
    <r>
      <t>籠豅㰍朧𡃡</t>
    </r>
    <r>
      <rPr>
        <sz val="14"/>
        <rFont val="宋体"/>
        <charset val="134"/>
      </rPr>
      <t>龓</t>
    </r>
    <r>
      <rPr>
        <sz val="14"/>
        <rFont val="MingLiU"/>
        <family val="3"/>
      </rPr>
      <t>䪊瀧聾𨏠䆍礱𪚗嚨蘢櫳𤮨巃襱𧙥瓏曨蠪鸗𩟭㟅</t>
    </r>
    <r>
      <rPr>
        <sz val="14"/>
        <rFont val="宋体"/>
        <charset val="134"/>
      </rPr>
      <t>屸</t>
    </r>
  </si>
  <si>
    <r>
      <t>紅!洪</t>
    </r>
    <r>
      <rPr>
        <sz val="14"/>
        <rFont val="宋体"/>
        <charset val="134"/>
      </rPr>
      <t>鉷</t>
    </r>
    <r>
      <rPr>
        <sz val="14"/>
        <rFont val="MingLiU"/>
        <family val="3"/>
      </rPr>
      <t>訌虹仜鴻葒</t>
    </r>
    <r>
      <rPr>
        <sz val="14"/>
        <rFont val="宋体"/>
        <charset val="134"/>
      </rPr>
      <t>葓</t>
    </r>
    <r>
      <rPr>
        <sz val="14"/>
        <rFont val="MingLiU"/>
        <family val="3"/>
      </rPr>
      <t>谼䉺䪦𦏼䫹𨾊烘洚渱𨹁䧆魟䂫</t>
    </r>
  </si>
  <si>
    <r>
      <t>叢藂䕺</t>
    </r>
    <r>
      <rPr>
        <sz val="14"/>
        <rFont val="宋体"/>
        <charset val="134"/>
      </rPr>
      <t>潨</t>
    </r>
    <r>
      <rPr>
        <sz val="14"/>
        <rFont val="MingLiU"/>
        <family val="3"/>
      </rPr>
      <t>𥵫</t>
    </r>
  </si>
  <si>
    <r>
      <t>怱</t>
    </r>
    <r>
      <rPr>
        <sz val="14"/>
        <rFont val="MingLiU"/>
        <family val="3"/>
      </rPr>
      <t>[匆]</t>
    </r>
    <r>
      <rPr>
        <sz val="14"/>
        <rFont val="宋体"/>
        <charset val="134"/>
      </rPr>
      <t>忩葱</t>
    </r>
    <r>
      <rPr>
        <sz val="14"/>
        <rFont val="MingLiU"/>
        <family val="3"/>
      </rPr>
      <t>(蔥)</t>
    </r>
    <r>
      <rPr>
        <sz val="14"/>
        <rFont val="宋体"/>
        <charset val="134"/>
      </rPr>
      <t>聦</t>
    </r>
    <r>
      <rPr>
        <sz val="14"/>
        <rFont val="MingLiU"/>
        <family val="3"/>
      </rPr>
      <t>(聰)</t>
    </r>
    <r>
      <rPr>
        <sz val="14"/>
        <rFont val="宋体"/>
        <charset val="134"/>
      </rPr>
      <t>騘</t>
    </r>
    <r>
      <rPr>
        <sz val="14"/>
        <rFont val="MingLiU"/>
        <family val="3"/>
      </rPr>
      <t>(驄)</t>
    </r>
    <r>
      <rPr>
        <sz val="14"/>
        <rFont val="宋体"/>
        <charset val="134"/>
      </rPr>
      <t>樬</t>
    </r>
    <r>
      <rPr>
        <sz val="14"/>
        <rFont val="MingLiU"/>
        <family val="3"/>
      </rPr>
      <t>𨍉(䡯)(𦇎)𤧚(璁)𨣭(𨣼)</t>
    </r>
    <r>
      <rPr>
        <sz val="14"/>
        <rFont val="宋体"/>
        <charset val="134"/>
      </rPr>
      <t>鍯</t>
    </r>
    <r>
      <rPr>
        <sz val="14"/>
        <rFont val="MingLiU"/>
        <family val="3"/>
      </rPr>
      <t>(</t>
    </r>
    <r>
      <rPr>
        <sz val="14"/>
        <rFont val="宋体"/>
        <charset val="134"/>
      </rPr>
      <t>鏓</t>
    </r>
    <r>
      <rPr>
        <sz val="14"/>
        <rFont val="MingLiU"/>
        <family val="3"/>
      </rPr>
      <t>)㷓(熜)𢉛(𢊕)䗓(蟌)</t>
    </r>
  </si>
  <si>
    <r>
      <t>葼</t>
    </r>
    <r>
      <rPr>
        <sz val="14"/>
        <rFont val="MingLiU"/>
        <family val="3"/>
      </rPr>
      <t>嵕艐鬷猣</t>
    </r>
    <r>
      <rPr>
        <sz val="14"/>
        <rFont val="宋体"/>
        <charset val="134"/>
      </rPr>
      <t>鯼椶</t>
    </r>
    <r>
      <rPr>
        <sz val="14"/>
        <rFont val="MingLiU"/>
        <family val="3"/>
      </rPr>
      <t>(棕)騣(鬃)𥓻翪</t>
    </r>
    <r>
      <rPr>
        <sz val="14"/>
        <rFont val="宋体"/>
        <charset val="134"/>
      </rPr>
      <t>緵</t>
    </r>
    <r>
      <rPr>
        <sz val="14"/>
        <rFont val="MingLiU"/>
        <family val="3"/>
      </rPr>
      <t>㣭稯</t>
    </r>
    <r>
      <rPr>
        <sz val="14"/>
        <rFont val="宋体"/>
        <charset val="134"/>
      </rPr>
      <t>堫</t>
    </r>
    <r>
      <rPr>
        <sz val="14"/>
        <rFont val="MingLiU"/>
        <family val="3"/>
      </rPr>
      <t>蝬</t>
    </r>
    <r>
      <rPr>
        <sz val="14"/>
        <rFont val="宋体"/>
        <charset val="134"/>
      </rPr>
      <t>鬉</t>
    </r>
    <r>
      <rPr>
        <sz val="14"/>
        <rFont val="MingLiU"/>
        <family val="3"/>
      </rPr>
      <t>㚇豵䗥</t>
    </r>
    <r>
      <rPr>
        <sz val="14"/>
        <rFont val="宋体"/>
        <charset val="134"/>
      </rPr>
      <t>嵸</t>
    </r>
    <r>
      <rPr>
        <sz val="14"/>
        <rFont val="MingLiU"/>
        <family val="3"/>
      </rPr>
      <t>𩮀</t>
    </r>
  </si>
  <si>
    <r>
      <t>烘</t>
    </r>
    <r>
      <rPr>
        <sz val="14"/>
        <rFont val="宋体"/>
        <charset val="134"/>
      </rPr>
      <t>叿</t>
    </r>
    <r>
      <rPr>
        <sz val="14"/>
        <rFont val="MingLiU"/>
        <family val="3"/>
      </rPr>
      <t>魟谾𩐠𩗄</t>
    </r>
  </si>
  <si>
    <r>
      <t>檧憽</t>
    </r>
    <r>
      <rPr>
        <sz val="14"/>
        <rFont val="MingLiU"/>
        <family val="3"/>
      </rPr>
      <t>(忪)</t>
    </r>
  </si>
  <si>
    <r>
      <t>冬𠔙苳䳉</t>
    </r>
    <r>
      <rPr>
        <sz val="14"/>
        <rFont val="宋体"/>
        <charset val="134"/>
      </rPr>
      <t>笗</t>
    </r>
    <r>
      <rPr>
        <sz val="14"/>
        <rFont val="MingLiU"/>
        <family val="3"/>
      </rPr>
      <t>𩂓𧲴</t>
    </r>
  </si>
  <si>
    <r>
      <t>彤疼佟炵䳋鼕𢥞𢾮爞㤏痋䂈</t>
    </r>
    <r>
      <rPr>
        <sz val="14"/>
        <rFont val="宋体"/>
        <charset val="134"/>
      </rPr>
      <t>鉵</t>
    </r>
    <r>
      <rPr>
        <sz val="14"/>
        <rFont val="MingLiU"/>
        <family val="3"/>
      </rPr>
      <t>𧹝𩦶浵䶱𠩁鉖𨜳㠽赨</t>
    </r>
  </si>
  <si>
    <r>
      <t>賨琮悰</t>
    </r>
    <r>
      <rPr>
        <sz val="14"/>
        <rFont val="宋体"/>
        <charset val="134"/>
      </rPr>
      <t>潨</t>
    </r>
    <r>
      <rPr>
        <sz val="14"/>
        <rFont val="MingLiU"/>
        <family val="3"/>
      </rPr>
      <t>淙慒鬃㼻孮</t>
    </r>
    <r>
      <rPr>
        <sz val="14"/>
        <rFont val="宋体"/>
        <charset val="134"/>
      </rPr>
      <t>誴</t>
    </r>
    <r>
      <rPr>
        <sz val="14"/>
        <rFont val="MingLiU"/>
        <family val="3"/>
      </rPr>
      <t>𢃏</t>
    </r>
  </si>
  <si>
    <r>
      <t>農䢉</t>
    </r>
    <r>
      <rPr>
        <sz val="14"/>
        <rFont val="宋体"/>
        <charset val="134"/>
      </rPr>
      <t>辳</t>
    </r>
    <r>
      <rPr>
        <sz val="14"/>
        <rFont val="MingLiU"/>
        <family val="3"/>
      </rPr>
      <t>𨑋𩟊噥𩅽</t>
    </r>
    <r>
      <rPr>
        <sz val="14"/>
        <rFont val="宋体"/>
        <charset val="134"/>
      </rPr>
      <t>憹</t>
    </r>
    <r>
      <rPr>
        <sz val="14"/>
        <rFont val="MingLiU"/>
        <family val="3"/>
      </rPr>
      <t>㺜儂𧗕膿</t>
    </r>
  </si>
  <si>
    <r>
      <t>鍾鐘蚣忪䇗</t>
    </r>
    <r>
      <rPr>
        <sz val="14"/>
        <rFont val="宋体"/>
        <charset val="134"/>
      </rPr>
      <t>蹱</t>
    </r>
    <r>
      <rPr>
        <sz val="14"/>
        <rFont val="MingLiU"/>
        <family val="3"/>
      </rPr>
      <t>彸</t>
    </r>
    <r>
      <rPr>
        <sz val="14"/>
        <rFont val="宋体"/>
        <charset val="134"/>
      </rPr>
      <t>衳</t>
    </r>
    <r>
      <rPr>
        <sz val="14"/>
        <rFont val="MingLiU"/>
        <family val="3"/>
      </rPr>
      <t>伀橦籦妐㕬𧢸炂𦬘𨳗鈆</t>
    </r>
  </si>
  <si>
    <r>
      <t>龍𪚝躘鸗</t>
    </r>
    <r>
      <rPr>
        <sz val="14"/>
        <rFont val="宋体"/>
        <charset val="134"/>
      </rPr>
      <t>驡</t>
    </r>
    <r>
      <rPr>
        <sz val="14"/>
        <rFont val="MingLiU"/>
        <family val="3"/>
      </rPr>
      <t>𪚠籠𦪽蘢</t>
    </r>
  </si>
  <si>
    <r>
      <t>舂</t>
    </r>
    <r>
      <rPr>
        <sz val="14"/>
        <rFont val="宋体"/>
        <charset val="134"/>
      </rPr>
      <t>摏</t>
    </r>
    <r>
      <rPr>
        <sz val="14"/>
        <rFont val="MingLiU"/>
        <family val="3"/>
      </rPr>
      <t>蹖憃𧐍𪄻</t>
    </r>
  </si>
  <si>
    <r>
      <t>衝𧘂罿憧䡴艟潼</t>
    </r>
    <r>
      <rPr>
        <sz val="14"/>
        <rFont val="宋体"/>
        <charset val="134"/>
      </rPr>
      <t>褈</t>
    </r>
    <r>
      <rPr>
        <sz val="14"/>
        <rFont val="MingLiU"/>
        <family val="3"/>
      </rPr>
      <t>𠟍𠝤䂌</t>
    </r>
  </si>
  <si>
    <r>
      <t>容溶滽庸𦤘𧴄㺎𤛑墉鎔鏞</t>
    </r>
    <r>
      <rPr>
        <sz val="14"/>
        <rFont val="宋体"/>
        <charset val="134"/>
      </rPr>
      <t>銿</t>
    </r>
    <r>
      <rPr>
        <sz val="14"/>
        <rFont val="MingLiU"/>
        <family val="3"/>
      </rPr>
      <t>鄘傭𪅟𤮇㼸</t>
    </r>
    <r>
      <rPr>
        <sz val="14"/>
        <rFont val="宋体"/>
        <charset val="134"/>
      </rPr>
      <t>鱅</t>
    </r>
    <r>
      <rPr>
        <sz val="14"/>
        <rFont val="MingLiU"/>
        <family val="3"/>
      </rPr>
      <t>蓉䗤傛褣</t>
    </r>
    <r>
      <rPr>
        <sz val="14"/>
        <rFont val="宋体"/>
        <charset val="134"/>
      </rPr>
      <t>搈</t>
    </r>
    <r>
      <rPr>
        <sz val="14"/>
        <rFont val="MingLiU"/>
        <family val="3"/>
      </rPr>
      <t>瑢䈶嵱頌㝐䡆㟾𨲟𪃾槦㣑𢧳</t>
    </r>
  </si>
  <si>
    <r>
      <t>封𡉚犎葑崶|</t>
    </r>
    <r>
      <rPr>
        <sz val="14"/>
        <rFont val="宋体"/>
        <charset val="134"/>
      </rPr>
      <t>篈</t>
    </r>
    <r>
      <rPr>
        <sz val="14"/>
        <rFont val="MingLiU"/>
        <family val="3"/>
      </rPr>
      <t>㜂</t>
    </r>
  </si>
  <si>
    <r>
      <t>胸(</t>
    </r>
    <r>
      <rPr>
        <sz val="14"/>
        <rFont val="宋体"/>
        <charset val="134"/>
      </rPr>
      <t>胷</t>
    </r>
    <r>
      <rPr>
        <sz val="14"/>
        <rFont val="MingLiU"/>
        <family val="3"/>
      </rPr>
      <t>)凶𣧑恟𧧗</t>
    </r>
    <r>
      <rPr>
        <sz val="14"/>
        <rFont val="宋体"/>
        <charset val="134"/>
      </rPr>
      <t>訩</t>
    </r>
    <r>
      <rPr>
        <sz val="14"/>
        <rFont val="MingLiU"/>
        <family val="3"/>
      </rPr>
      <t>銎洶兇匈</t>
    </r>
  </si>
  <si>
    <r>
      <t>濃!醲𨑊襛穠</t>
    </r>
    <r>
      <rPr>
        <sz val="14"/>
        <rFont val="宋体"/>
        <charset val="134"/>
      </rPr>
      <t>檂</t>
    </r>
    <r>
      <rPr>
        <sz val="14"/>
        <rFont val="MingLiU"/>
        <family val="3"/>
      </rPr>
      <t>𪒬𨲳|㺜</t>
    </r>
  </si>
  <si>
    <r>
      <t>重緟</t>
    </r>
    <r>
      <rPr>
        <sz val="14"/>
        <rFont val="宋体"/>
        <charset val="134"/>
      </rPr>
      <t>褈</t>
    </r>
    <r>
      <rPr>
        <sz val="14"/>
        <rFont val="MingLiU"/>
        <family val="3"/>
      </rPr>
      <t>蝩穜䳯</t>
    </r>
  </si>
  <si>
    <r>
      <t>從</t>
    </r>
    <r>
      <rPr>
        <sz val="14"/>
        <rFont val="宋体"/>
        <charset val="134"/>
      </rPr>
      <t>从</t>
    </r>
    <r>
      <rPr>
        <sz val="14"/>
        <rFont val="MingLiU"/>
        <family val="3"/>
      </rPr>
      <t>𩀰</t>
    </r>
  </si>
  <si>
    <r>
      <t>蹱</t>
    </r>
    <r>
      <rPr>
        <sz val="14"/>
        <rFont val="MingLiU"/>
        <family val="3"/>
      </rPr>
      <t>傭𦟛𨙦䝑𨤩𪒒</t>
    </r>
  </si>
  <si>
    <r>
      <t>逢縫夆</t>
    </r>
    <r>
      <rPr>
        <sz val="14"/>
        <rFont val="宋体"/>
        <charset val="134"/>
      </rPr>
      <t>漨</t>
    </r>
    <r>
      <rPr>
        <sz val="14"/>
        <rFont val="MingLiU"/>
        <family val="3"/>
      </rPr>
      <t>䩼𥎌𥛝捀</t>
    </r>
  </si>
  <si>
    <r>
      <t>峯</t>
    </r>
    <r>
      <rPr>
        <sz val="14"/>
        <rFont val="MingLiU"/>
        <family val="3"/>
      </rPr>
      <t>(峰)鋒丰𡴀𢓱妦</t>
    </r>
    <r>
      <rPr>
        <sz val="14"/>
        <rFont val="宋体"/>
        <charset val="134"/>
      </rPr>
      <t>蠭</t>
    </r>
    <r>
      <rPr>
        <sz val="14"/>
        <rFont val="MingLiU"/>
        <family val="3"/>
      </rPr>
      <t>蜂𧒒蘴桻㷭烽</t>
    </r>
    <r>
      <rPr>
        <sz val="14"/>
        <rFont val="宋体"/>
        <charset val="134"/>
      </rPr>
      <t>莑仹</t>
    </r>
    <r>
      <rPr>
        <sz val="14"/>
        <rFont val="MingLiU"/>
        <family val="3"/>
      </rPr>
      <t>㸼</t>
    </r>
  </si>
  <si>
    <r>
      <t>縱𣯨蹤䡮樅</t>
    </r>
    <r>
      <rPr>
        <sz val="14"/>
        <rFont val="宋体"/>
        <charset val="134"/>
      </rPr>
      <t>磫</t>
    </r>
    <r>
      <rPr>
        <sz val="14"/>
        <rFont val="MingLiU"/>
        <family val="3"/>
      </rPr>
      <t>豵熧𧺣</t>
    </r>
  </si>
  <si>
    <r>
      <t>茸襛䩸髶䇯</t>
    </r>
    <r>
      <rPr>
        <sz val="14"/>
        <rFont val="宋体"/>
        <charset val="134"/>
      </rPr>
      <t>搑</t>
    </r>
    <r>
      <rPr>
        <sz val="14"/>
        <rFont val="MingLiU"/>
        <family val="3"/>
      </rPr>
      <t>𥎂榵</t>
    </r>
    <r>
      <rPr>
        <sz val="14"/>
        <rFont val="宋体"/>
        <charset val="134"/>
      </rPr>
      <t>穁</t>
    </r>
    <r>
      <rPr>
        <sz val="14"/>
        <rFont val="MingLiU"/>
        <family val="3"/>
      </rPr>
      <t>穠</t>
    </r>
  </si>
  <si>
    <r>
      <t>鱅</t>
    </r>
    <r>
      <rPr>
        <sz val="14"/>
        <rFont val="MingLiU"/>
        <family val="3"/>
      </rPr>
      <t>慵𩌨</t>
    </r>
  </si>
  <si>
    <r>
      <t>恭龔供珙共廾䢼𤱨</t>
    </r>
    <r>
      <rPr>
        <sz val="14"/>
        <rFont val="宋体"/>
        <charset val="134"/>
      </rPr>
      <t>髸</t>
    </r>
    <r>
      <rPr>
        <sz val="14"/>
        <rFont val="MingLiU"/>
        <family val="3"/>
      </rPr>
      <t>䳍</t>
    </r>
  </si>
  <si>
    <r>
      <t>蜙淞</t>
    </r>
    <r>
      <rPr>
        <sz val="14"/>
        <rFont val="宋体"/>
        <charset val="134"/>
      </rPr>
      <t>凇</t>
    </r>
    <r>
      <rPr>
        <sz val="14"/>
        <rFont val="MingLiU"/>
        <family val="3"/>
      </rPr>
      <t>鬆倯𢔋</t>
    </r>
  </si>
  <si>
    <r>
      <t>厖駹</t>
    </r>
    <r>
      <rPr>
        <sz val="14"/>
        <rFont val="宋体"/>
        <charset val="134"/>
      </rPr>
      <t>狵</t>
    </r>
    <r>
      <rPr>
        <sz val="14"/>
        <rFont val="MingLiU"/>
        <family val="3"/>
      </rPr>
      <t>尨</t>
    </r>
    <r>
      <rPr>
        <sz val="14"/>
        <rFont val="宋体"/>
        <charset val="134"/>
      </rPr>
      <t>浝</t>
    </r>
    <r>
      <rPr>
        <sz val="14"/>
        <rFont val="MingLiU"/>
        <family val="3"/>
      </rPr>
      <t>哤牻娏䵨㟌蛖𥆙痝𠈵</t>
    </r>
  </si>
  <si>
    <r>
      <t>窗)!囪</t>
    </r>
    <r>
      <rPr>
        <sz val="14"/>
        <rFont val="宋体"/>
        <charset val="134"/>
      </rPr>
      <t>牎窓</t>
    </r>
    <r>
      <rPr>
        <sz val="14"/>
        <rFont val="MingLiU"/>
        <family val="3"/>
      </rPr>
      <t>䎫</t>
    </r>
    <r>
      <rPr>
        <sz val="14"/>
        <rFont val="宋体"/>
        <charset val="134"/>
      </rPr>
      <t>堫</t>
    </r>
    <r>
      <rPr>
        <sz val="14"/>
        <rFont val="MingLiU"/>
        <family val="3"/>
      </rPr>
      <t>摐鏦𥍷</t>
    </r>
  </si>
  <si>
    <r>
      <t>栙</t>
    </r>
    <r>
      <rPr>
        <sz val="14"/>
        <rFont val="MingLiU"/>
        <family val="3"/>
      </rPr>
      <t>䜶降缸</t>
    </r>
    <r>
      <rPr>
        <sz val="14"/>
        <rFont val="宋体"/>
        <charset val="134"/>
      </rPr>
      <t>缻</t>
    </r>
    <r>
      <rPr>
        <sz val="14"/>
        <rFont val="MingLiU"/>
        <family val="3"/>
      </rPr>
      <t>洚</t>
    </r>
    <r>
      <rPr>
        <sz val="14"/>
        <rFont val="宋体"/>
        <charset val="134"/>
      </rPr>
      <t>夅跭</t>
    </r>
  </si>
  <si>
    <r>
      <t>胮</t>
    </r>
    <r>
      <rPr>
        <sz val="14"/>
        <rFont val="MingLiU"/>
        <family val="3"/>
      </rPr>
      <t>𤵸𩐨𪔔𪐿</t>
    </r>
  </si>
  <si>
    <r>
      <t>龐逄</t>
    </r>
    <r>
      <rPr>
        <sz val="14"/>
        <rFont val="宋体"/>
        <charset val="134"/>
      </rPr>
      <t>胮</t>
    </r>
    <r>
      <rPr>
        <sz val="14"/>
        <rFont val="MingLiU"/>
        <family val="3"/>
      </rPr>
      <t>𩐨舽</t>
    </r>
  </si>
  <si>
    <r>
      <t>肛</t>
    </r>
    <r>
      <rPr>
        <sz val="14"/>
        <rFont val="宋体"/>
        <charset val="134"/>
      </rPr>
      <t>啌</t>
    </r>
    <r>
      <rPr>
        <sz val="14"/>
        <rFont val="MingLiU"/>
        <family val="3"/>
      </rPr>
      <t>谾舡|𨋪[夯]|</t>
    </r>
  </si>
  <si>
    <r>
      <t>腔𤟄</t>
    </r>
    <r>
      <rPr>
        <sz val="14"/>
        <rFont val="宋体"/>
        <charset val="134"/>
      </rPr>
      <t>羫</t>
    </r>
    <r>
      <rPr>
        <sz val="14"/>
        <rFont val="MingLiU"/>
        <family val="3"/>
      </rPr>
      <t>控椌悾跫涳崆𩩝㾤㼹</t>
    </r>
  </si>
  <si>
    <r>
      <t>幢撞橦𣃘</t>
    </r>
    <r>
      <rPr>
        <sz val="14"/>
        <rFont val="宋体"/>
        <charset val="134"/>
      </rPr>
      <t>噇</t>
    </r>
    <r>
      <rPr>
        <sz val="14"/>
        <rFont val="MingLiU"/>
        <family val="3"/>
      </rPr>
      <t>𩪘</t>
    </r>
  </si>
  <si>
    <r>
      <t>支𥾣只汥㲍卮(</t>
    </r>
    <r>
      <rPr>
        <sz val="14"/>
        <rFont val="宋体"/>
        <charset val="134"/>
      </rPr>
      <t>巵</t>
    </r>
    <r>
      <rPr>
        <sz val="14"/>
        <rFont val="MingLiU"/>
        <family val="3"/>
      </rPr>
      <t>)梔衹枝㽻衼肢胑𨈛禔</t>
    </r>
    <r>
      <rPr>
        <sz val="14"/>
        <rFont val="宋体"/>
        <charset val="134"/>
      </rPr>
      <t>馶</t>
    </r>
    <r>
      <rPr>
        <sz val="14"/>
        <rFont val="MingLiU"/>
        <family val="3"/>
      </rPr>
      <t>氏疻㩼鳷䧴觶榰㯄𪂅𧌔眵䡋𩍲</t>
    </r>
  </si>
  <si>
    <r>
      <t>移䄬迻𠩗杝鉹袲箷𥠥㥴詑簃䔟熪</t>
    </r>
    <r>
      <rPr>
        <sz val="14"/>
        <rFont val="宋体"/>
        <charset val="134"/>
      </rPr>
      <t>扅</t>
    </r>
    <r>
      <rPr>
        <sz val="14"/>
        <rFont val="MingLiU"/>
        <family val="3"/>
      </rPr>
      <t>衪暆迆(迤)𤝻栘歋酏匜拸謻𠗺蛇</t>
    </r>
    <r>
      <rPr>
        <sz val="14"/>
        <rFont val="宋体"/>
        <charset val="134"/>
      </rPr>
      <t>虵</t>
    </r>
    <r>
      <rPr>
        <sz val="14"/>
        <rFont val="MingLiU"/>
        <family val="3"/>
      </rPr>
      <t>螔𠐀𣣢䬁</t>
    </r>
  </si>
  <si>
    <r>
      <t>爲</t>
    </r>
    <r>
      <rPr>
        <sz val="14"/>
        <rFont val="MingLiU"/>
        <family val="3"/>
      </rPr>
      <t>為</t>
    </r>
    <r>
      <rPr>
        <sz val="14"/>
        <rFont val="宋体"/>
        <charset val="134"/>
      </rPr>
      <t>潙</t>
    </r>
    <r>
      <rPr>
        <sz val="14"/>
        <rFont val="MingLiU"/>
        <family val="3"/>
      </rPr>
      <t>䧦鄬𩻟</t>
    </r>
  </si>
  <si>
    <r>
      <t>嬀</t>
    </r>
    <r>
      <rPr>
        <sz val="14"/>
        <rFont val="MingLiU"/>
        <family val="3"/>
      </rPr>
      <t>(媯)</t>
    </r>
    <r>
      <rPr>
        <sz val="14"/>
        <rFont val="宋体"/>
        <charset val="134"/>
      </rPr>
      <t>潙</t>
    </r>
    <r>
      <rPr>
        <sz val="14"/>
        <rFont val="MingLiU"/>
        <family val="3"/>
      </rPr>
      <t>(溈)</t>
    </r>
  </si>
  <si>
    <r>
      <t>糜縻㸏𪎕蘼䊳𪎭𦗕</t>
    </r>
    <r>
      <rPr>
        <sz val="14"/>
        <rFont val="宋体"/>
        <charset val="134"/>
      </rPr>
      <t>醿</t>
    </r>
  </si>
  <si>
    <r>
      <t>垂!</t>
    </r>
    <r>
      <rPr>
        <sz val="14"/>
        <rFont val="宋体"/>
        <charset val="134"/>
      </rPr>
      <t>埀</t>
    </r>
    <r>
      <rPr>
        <sz val="14"/>
        <rFont val="MingLiU"/>
        <family val="3"/>
      </rPr>
      <t>陲倕𦈼𨿠圌</t>
    </r>
    <r>
      <rPr>
        <sz val="14"/>
        <rFont val="宋体"/>
        <charset val="134"/>
      </rPr>
      <t>篅</t>
    </r>
    <r>
      <rPr>
        <sz val="14"/>
        <rFont val="MingLiU"/>
        <family val="3"/>
      </rPr>
      <t>𥳙𠂹</t>
    </r>
  </si>
  <si>
    <r>
      <t>吹炊䶴{</t>
    </r>
    <r>
      <rPr>
        <sz val="14"/>
        <rFont val="宋体"/>
        <charset val="134"/>
      </rPr>
      <t>龡</t>
    </r>
  </si>
  <si>
    <r>
      <t>鈹帔</t>
    </r>
    <r>
      <rPr>
        <sz val="14"/>
        <rFont val="宋体"/>
        <charset val="134"/>
      </rPr>
      <t>鮍</t>
    </r>
    <r>
      <rPr>
        <sz val="14"/>
        <rFont val="MingLiU"/>
        <family val="3"/>
      </rPr>
      <t>披𤱍</t>
    </r>
    <r>
      <rPr>
        <sz val="14"/>
        <rFont val="宋体"/>
        <charset val="134"/>
      </rPr>
      <t>耚狓</t>
    </r>
    <r>
      <rPr>
        <sz val="14"/>
        <rFont val="MingLiU"/>
        <family val="3"/>
      </rPr>
      <t>翍</t>
    </r>
    <r>
      <rPr>
        <sz val="14"/>
        <rFont val="宋体"/>
        <charset val="134"/>
      </rPr>
      <t>旇秛</t>
    </r>
    <r>
      <rPr>
        <sz val="14"/>
        <rFont val="MingLiU"/>
        <family val="3"/>
      </rPr>
      <t>㿫㱟</t>
    </r>
  </si>
  <si>
    <r>
      <t>陂詖碑羆𥀍𨰟𤜑𨧦𥶓襬藣|㗗㽡</t>
    </r>
    <r>
      <rPr>
        <sz val="14"/>
        <rFont val="宋体"/>
        <charset val="134"/>
      </rPr>
      <t>焷</t>
    </r>
    <r>
      <rPr>
        <sz val="14"/>
        <rFont val="MingLiU"/>
        <family val="3"/>
      </rPr>
      <t>䴽錍</t>
    </r>
  </si>
  <si>
    <r>
      <t>奇(</t>
    </r>
    <r>
      <rPr>
        <sz val="14"/>
        <rFont val="宋体"/>
        <charset val="134"/>
      </rPr>
      <t>竒</t>
    </r>
    <r>
      <rPr>
        <sz val="14"/>
        <rFont val="MingLiU"/>
        <family val="3"/>
      </rPr>
      <t>)琦騎鵸</t>
    </r>
    <r>
      <rPr>
        <sz val="14"/>
        <rFont val="宋体"/>
        <charset val="134"/>
      </rPr>
      <t>弜</t>
    </r>
    <r>
      <rPr>
        <sz val="14"/>
        <rFont val="MingLiU"/>
        <family val="3"/>
      </rPr>
      <t>鬾碕㩽𢺷錡</t>
    </r>
  </si>
  <si>
    <r>
      <t>祇示衹岐歧𨙸</t>
    </r>
    <r>
      <rPr>
        <sz val="14"/>
        <rFont val="宋体"/>
        <charset val="134"/>
      </rPr>
      <t>馶</t>
    </r>
    <r>
      <rPr>
        <sz val="14"/>
        <rFont val="MingLiU"/>
        <family val="3"/>
      </rPr>
      <t>疧蚑忯䞚</t>
    </r>
    <r>
      <rPr>
        <sz val="14"/>
        <rFont val="宋体"/>
        <charset val="134"/>
      </rPr>
      <t>翄</t>
    </r>
    <r>
      <rPr>
        <sz val="14"/>
        <rFont val="MingLiU"/>
        <family val="3"/>
      </rPr>
      <t>𢻚軝𩉬</t>
    </r>
    <r>
      <rPr>
        <sz val="14"/>
        <rFont val="宋体"/>
        <charset val="134"/>
      </rPr>
      <t>芪</t>
    </r>
    <r>
      <rPr>
        <sz val="14"/>
        <rFont val="MingLiU"/>
        <family val="3"/>
      </rPr>
      <t>汥跂䲬蚑䉻𦭲伎𨱜𠁭</t>
    </r>
  </si>
  <si>
    <r>
      <t>犧羲</t>
    </r>
    <r>
      <rPr>
        <sz val="14"/>
        <rFont val="宋体"/>
        <charset val="134"/>
      </rPr>
      <t>焁</t>
    </r>
    <r>
      <rPr>
        <sz val="14"/>
        <rFont val="MingLiU"/>
        <family val="3"/>
      </rPr>
      <t>桸巇羛戲𤃪曦𢹍𧕆䚙䖒㺣𣤴𢨛㚀</t>
    </r>
    <r>
      <rPr>
        <sz val="14"/>
        <rFont val="宋体"/>
        <charset val="134"/>
      </rPr>
      <t>隵</t>
    </r>
  </si>
  <si>
    <r>
      <t>宜</t>
    </r>
    <r>
      <rPr>
        <sz val="14"/>
        <rFont val="宋体"/>
        <charset val="134"/>
      </rPr>
      <t>宐</t>
    </r>
    <r>
      <rPr>
        <sz val="14"/>
        <rFont val="MingLiU"/>
        <family val="3"/>
      </rPr>
      <t>𠣨㝖儀𥪺䣡䴊轙涯崖</t>
    </r>
  </si>
  <si>
    <r>
      <t>匙!提𦑡㖷䈕堤禔𦳚忯姼</t>
    </r>
    <r>
      <rPr>
        <sz val="14"/>
        <rFont val="宋体"/>
        <charset val="134"/>
      </rPr>
      <t>眂</t>
    </r>
    <r>
      <rPr>
        <sz val="14"/>
        <rFont val="MingLiU"/>
        <family val="3"/>
      </rPr>
      <t>𣏚</t>
    </r>
  </si>
  <si>
    <r>
      <t>離籬醨罹璃酈𣀷驪𪖂樆鸝鵹𪅆縭褵蘺䕻麗离䍦㰚蠡䅻孋漓灕𧕯㷰𧕮攡黐</t>
    </r>
    <r>
      <rPr>
        <sz val="14"/>
        <rFont val="宋体"/>
        <charset val="134"/>
      </rPr>
      <t>矖穲</t>
    </r>
    <r>
      <rPr>
        <sz val="14"/>
        <rFont val="MingLiU"/>
        <family val="3"/>
      </rPr>
      <t>𢟢𢥗謧劙</t>
    </r>
  </si>
  <si>
    <r>
      <t>疵骴玼茈𣐑胔飺</t>
    </r>
    <r>
      <rPr>
        <sz val="14"/>
        <rFont val="宋体"/>
        <charset val="134"/>
      </rPr>
      <t>鴜</t>
    </r>
  </si>
  <si>
    <r>
      <t>貲</t>
    </r>
    <r>
      <rPr>
        <sz val="14"/>
        <rFont val="宋体"/>
        <charset val="134"/>
      </rPr>
      <t>頾</t>
    </r>
    <r>
      <rPr>
        <sz val="14"/>
        <rFont val="MingLiU"/>
        <family val="3"/>
      </rPr>
      <t>(髭</t>
    </r>
    <r>
      <rPr>
        <sz val="14"/>
        <rFont val="宋体"/>
        <charset val="134"/>
      </rPr>
      <t>頿</t>
    </r>
    <r>
      <rPr>
        <sz val="14"/>
        <rFont val="MingLiU"/>
        <family val="3"/>
      </rPr>
      <t>)訾𪕊鮆訾鄑㠿媊𨚖㰣鈭</t>
    </r>
    <r>
      <rPr>
        <sz val="14"/>
        <rFont val="宋体"/>
        <charset val="134"/>
      </rPr>
      <t>姕</t>
    </r>
    <r>
      <rPr>
        <sz val="14"/>
        <rFont val="MingLiU"/>
        <family val="3"/>
      </rPr>
      <t>𦺱䖪觜</t>
    </r>
  </si>
  <si>
    <r>
      <t>羈畸羇掎攲</t>
    </r>
    <r>
      <rPr>
        <sz val="14"/>
        <rFont val="宋体"/>
        <charset val="134"/>
      </rPr>
      <t>竒</t>
    </r>
    <r>
      <rPr>
        <sz val="14"/>
        <rFont val="MingLiU"/>
        <family val="3"/>
      </rPr>
      <t>(奇)㱦妓</t>
    </r>
    <r>
      <rPr>
        <sz val="14"/>
        <rFont val="宋体"/>
        <charset val="134"/>
      </rPr>
      <t>躸</t>
    </r>
  </si>
  <si>
    <r>
      <t>卑鵯椑箄裨鞞𩔹痺</t>
    </r>
    <r>
      <rPr>
        <sz val="14"/>
        <rFont val="宋体"/>
        <charset val="134"/>
      </rPr>
      <t>渒</t>
    </r>
    <r>
      <rPr>
        <sz val="14"/>
        <rFont val="MingLiU"/>
        <family val="3"/>
      </rPr>
      <t>錍𢃍</t>
    </r>
  </si>
  <si>
    <r>
      <t>陴𩫫</t>
    </r>
    <r>
      <rPr>
        <sz val="14"/>
        <rFont val="宋体"/>
        <charset val="134"/>
      </rPr>
      <t>焷</t>
    </r>
    <r>
      <rPr>
        <sz val="14"/>
        <rFont val="MingLiU"/>
        <family val="3"/>
      </rPr>
      <t>脾䴽埤裨蜱𧓎螷蠯㯅郫𪌈紕</t>
    </r>
  </si>
  <si>
    <r>
      <t>𦇲絁施葹䙾</t>
    </r>
    <r>
      <rPr>
        <sz val="14"/>
        <rFont val="宋体"/>
        <charset val="134"/>
      </rPr>
      <t>鍦</t>
    </r>
    <r>
      <rPr>
        <sz val="14"/>
        <rFont val="MingLiU"/>
        <family val="3"/>
      </rPr>
      <t>鉈鸍𪓿䗐𧠜𢻫</t>
    </r>
  </si>
  <si>
    <r>
      <t>斯虒𩆵榹㴲廝㒋凘磃㾷傂謕鼶𪆁蟴㽄螔䫢䌳䔮菥𥕶蜤</t>
    </r>
    <r>
      <rPr>
        <sz val="14"/>
        <rFont val="宋体"/>
        <charset val="134"/>
      </rPr>
      <t>燍</t>
    </r>
    <r>
      <rPr>
        <sz val="14"/>
        <rFont val="MingLiU"/>
        <family val="3"/>
      </rPr>
      <t>禠</t>
    </r>
    <r>
      <rPr>
        <sz val="14"/>
        <rFont val="宋体"/>
        <charset val="134"/>
      </rPr>
      <t>鐁</t>
    </r>
  </si>
  <si>
    <r>
      <t>摛螭誺魑黐㷰离𡴥</t>
    </r>
    <r>
      <rPr>
        <sz val="14"/>
        <rFont val="宋体"/>
        <charset val="134"/>
      </rPr>
      <t>彲</t>
    </r>
  </si>
  <si>
    <r>
      <t>彌獼</t>
    </r>
    <r>
      <rPr>
        <sz val="14"/>
        <rFont val="宋体"/>
        <charset val="134"/>
      </rPr>
      <t>弥</t>
    </r>
    <r>
      <rPr>
        <sz val="14"/>
        <rFont val="MingLiU"/>
        <family val="3"/>
      </rPr>
      <t>𪂕</t>
    </r>
    <r>
      <rPr>
        <sz val="14"/>
        <rFont val="宋体"/>
        <charset val="134"/>
      </rPr>
      <t>镾</t>
    </r>
    <r>
      <rPr>
        <sz val="14"/>
        <rFont val="MingLiU"/>
        <family val="3"/>
      </rPr>
      <t>䍘𨤐𥉓㣆𥸀</t>
    </r>
    <r>
      <rPr>
        <sz val="14"/>
        <rFont val="宋体"/>
        <charset val="134"/>
      </rPr>
      <t>擟</t>
    </r>
    <r>
      <rPr>
        <sz val="14"/>
        <rFont val="MingLiU"/>
        <family val="3"/>
      </rPr>
      <t>麊冞㜷䥸𥎖瀰</t>
    </r>
  </si>
  <si>
    <r>
      <t>雌</t>
    </r>
    <r>
      <rPr>
        <sz val="14"/>
        <rFont val="宋体"/>
        <charset val="134"/>
      </rPr>
      <t>姕</t>
    </r>
    <r>
      <rPr>
        <sz val="14"/>
        <rFont val="MingLiU"/>
        <family val="3"/>
      </rPr>
      <t>(胔）鈭𦍧</t>
    </r>
  </si>
  <si>
    <r>
      <t>知䵹</t>
    </r>
    <r>
      <rPr>
        <sz val="14"/>
        <rFont val="宋体"/>
        <charset val="134"/>
      </rPr>
      <t>鼅</t>
    </r>
    <r>
      <rPr>
        <sz val="14"/>
        <rFont val="MingLiU"/>
        <family val="3"/>
      </rPr>
      <t>蜘䣽䝷</t>
    </r>
  </si>
  <si>
    <r>
      <t>詑</t>
    </r>
    <r>
      <rPr>
        <sz val="14"/>
        <rFont val="宋体"/>
        <charset val="134"/>
      </rPr>
      <t>焁</t>
    </r>
  </si>
  <si>
    <r>
      <t>釃簁(篩）欐襹𧕯</t>
    </r>
    <r>
      <rPr>
        <sz val="14"/>
        <rFont val="宋体"/>
        <charset val="134"/>
      </rPr>
      <t>籭</t>
    </r>
    <r>
      <rPr>
        <sz val="14"/>
        <rFont val="MingLiU"/>
        <family val="3"/>
      </rPr>
      <t>褷</t>
    </r>
  </si>
  <si>
    <r>
      <t>規！𩓸𩓡槻</t>
    </r>
    <r>
      <rPr>
        <sz val="14"/>
        <rFont val="宋体"/>
        <charset val="134"/>
      </rPr>
      <t>鬹</t>
    </r>
    <r>
      <rPr>
        <sz val="14"/>
        <rFont val="MingLiU"/>
        <family val="3"/>
      </rPr>
      <t>𨾚摫</t>
    </r>
  </si>
  <si>
    <r>
      <t>衰</t>
    </r>
    <r>
      <rPr>
        <sz val="14"/>
        <rFont val="宋体"/>
        <charset val="134"/>
      </rPr>
      <t>夊</t>
    </r>
  </si>
  <si>
    <r>
      <t>脂祗汦砥栺</t>
    </r>
    <r>
      <rPr>
        <sz val="14"/>
        <rFont val="宋体"/>
        <charset val="134"/>
      </rPr>
      <t>鴲</t>
    </r>
    <r>
      <rPr>
        <sz val="14"/>
        <rFont val="MingLiU"/>
        <family val="3"/>
      </rPr>
      <t>㴯疻䓜𥁼</t>
    </r>
  </si>
  <si>
    <r>
      <t>姨</t>
    </r>
    <r>
      <rPr>
        <sz val="14"/>
        <rFont val="宋体"/>
        <charset val="134"/>
      </rPr>
      <t>彞</t>
    </r>
    <r>
      <rPr>
        <sz val="14"/>
        <rFont val="MingLiU"/>
        <family val="3"/>
      </rPr>
      <t>(彝)寅夷峓恞眱𣟗珆蔩𡰥痍䧅荑桋蛦胰</t>
    </r>
    <r>
      <rPr>
        <sz val="14"/>
        <rFont val="宋体"/>
        <charset val="134"/>
      </rPr>
      <t>鮧</t>
    </r>
    <r>
      <rPr>
        <sz val="14"/>
        <rFont val="MingLiU"/>
        <family val="3"/>
      </rPr>
      <t>羠羨鏔𢓡</t>
    </r>
    <r>
      <rPr>
        <sz val="14"/>
        <rFont val="宋体"/>
        <charset val="134"/>
      </rPr>
      <t>鴺</t>
    </r>
    <r>
      <rPr>
        <sz val="14"/>
        <rFont val="MingLiU"/>
        <family val="3"/>
      </rPr>
      <t>𡱐跠洟</t>
    </r>
  </si>
  <si>
    <r>
      <t>師鰤</t>
    </r>
    <r>
      <rPr>
        <sz val="14"/>
        <rFont val="宋体"/>
        <charset val="134"/>
      </rPr>
      <t>蒒</t>
    </r>
    <r>
      <rPr>
        <sz val="14"/>
        <rFont val="MingLiU"/>
        <family val="3"/>
      </rPr>
      <t>篩獅螄</t>
    </r>
  </si>
  <si>
    <r>
      <t>𣬈毗比琵㮰芘沘貔</t>
    </r>
    <r>
      <rPr>
        <sz val="14"/>
        <rFont val="宋体"/>
        <charset val="134"/>
      </rPr>
      <t>豼</t>
    </r>
    <r>
      <rPr>
        <sz val="14"/>
        <rFont val="MingLiU"/>
        <family val="3"/>
      </rPr>
      <t>膍</t>
    </r>
    <r>
      <rPr>
        <sz val="14"/>
        <rFont val="宋体"/>
        <charset val="134"/>
      </rPr>
      <t>肶</t>
    </r>
    <r>
      <rPr>
        <sz val="14"/>
        <rFont val="MingLiU"/>
        <family val="3"/>
      </rPr>
      <t>蚍𧖈枇仳𨈚</t>
    </r>
    <r>
      <rPr>
        <sz val="14"/>
        <rFont val="宋体"/>
        <charset val="134"/>
      </rPr>
      <t>魮</t>
    </r>
    <r>
      <rPr>
        <sz val="14"/>
        <rFont val="MingLiU"/>
        <family val="3"/>
      </rPr>
      <t>鈚𦳈𦊁阰𧑜鵧</t>
    </r>
  </si>
  <si>
    <r>
      <t>鴟𨾦</t>
    </r>
    <r>
      <rPr>
        <sz val="14"/>
        <rFont val="宋体"/>
        <charset val="134"/>
      </rPr>
      <t>鵄</t>
    </r>
    <r>
      <rPr>
        <sz val="14"/>
        <rFont val="MingLiU"/>
        <family val="3"/>
      </rPr>
      <t>胵𩶅𧪡𨒬</t>
    </r>
  </si>
  <si>
    <r>
      <t>絺郗辴𥭘</t>
    </r>
    <r>
      <rPr>
        <sz val="14"/>
        <rFont val="宋体"/>
        <charset val="134"/>
      </rPr>
      <t>脪</t>
    </r>
    <r>
      <rPr>
        <sz val="14"/>
        <rFont val="MingLiU"/>
        <family val="3"/>
      </rPr>
      <t>瓻</t>
    </r>
    <r>
      <rPr>
        <sz val="14"/>
        <rFont val="宋体"/>
        <charset val="134"/>
      </rPr>
      <t>訵</t>
    </r>
  </si>
  <si>
    <r>
      <t>茨薋薺餈(</t>
    </r>
    <r>
      <rPr>
        <sz val="14"/>
        <rFont val="宋体"/>
        <charset val="134"/>
      </rPr>
      <t>糍</t>
    </r>
    <r>
      <rPr>
        <sz val="14"/>
        <rFont val="MingLiU"/>
        <family val="3"/>
      </rPr>
      <t>)𩜴</t>
    </r>
    <r>
      <rPr>
        <sz val="14"/>
        <rFont val="宋体"/>
        <charset val="134"/>
      </rPr>
      <t>垐</t>
    </r>
    <r>
      <rPr>
        <sz val="14"/>
        <rFont val="MingLiU"/>
        <family val="3"/>
      </rPr>
      <t>䆅𧓉瓷澬𥿆𨌅𩆂</t>
    </r>
  </si>
  <si>
    <r>
      <t>尼柅怩</t>
    </r>
    <r>
      <rPr>
        <sz val="14"/>
        <rFont val="宋体"/>
        <charset val="134"/>
      </rPr>
      <t>蚭</t>
    </r>
    <r>
      <rPr>
        <sz val="14"/>
        <rFont val="MingLiU"/>
        <family val="3"/>
      </rPr>
      <t>跜呢𩚯䝚</t>
    </r>
  </si>
  <si>
    <r>
      <t>遲!墀𡎰坻泜</t>
    </r>
    <r>
      <rPr>
        <sz val="14"/>
        <rFont val="宋体"/>
        <charset val="134"/>
      </rPr>
      <t>遟</t>
    </r>
    <r>
      <rPr>
        <sz val="14"/>
        <rFont val="MingLiU"/>
        <family val="3"/>
      </rPr>
      <t>蚳</t>
    </r>
    <r>
      <rPr>
        <sz val="14"/>
        <rFont val="宋体"/>
        <charset val="134"/>
      </rPr>
      <t>岻</t>
    </r>
    <r>
      <rPr>
        <sz val="14"/>
        <rFont val="MingLiU"/>
        <family val="3"/>
      </rPr>
      <t>彽阺荎</t>
    </r>
    <r>
      <rPr>
        <sz val="14"/>
        <rFont val="宋体"/>
        <charset val="134"/>
      </rPr>
      <t>菭</t>
    </r>
    <r>
      <rPr>
        <sz val="14"/>
        <rFont val="MingLiU"/>
        <family val="3"/>
      </rPr>
      <t>謘莉貾</t>
    </r>
  </si>
  <si>
    <r>
      <t>私</t>
    </r>
    <r>
      <rPr>
        <sz val="14"/>
        <rFont val="宋体"/>
        <charset val="134"/>
      </rPr>
      <t>鋖</t>
    </r>
    <r>
      <rPr>
        <sz val="14"/>
        <rFont val="MingLiU"/>
        <family val="3"/>
      </rPr>
      <t>(</t>
    </r>
    <r>
      <rPr>
        <sz val="14"/>
        <rFont val="宋体"/>
        <charset val="134"/>
      </rPr>
      <t>鐁</t>
    </r>
    <r>
      <rPr>
        <sz val="14"/>
        <rFont val="MingLiU"/>
        <family val="3"/>
      </rPr>
      <t>）𦮺㺨</t>
    </r>
    <r>
      <rPr>
        <sz val="14"/>
        <rFont val="宋体"/>
        <charset val="134"/>
      </rPr>
      <t>厶</t>
    </r>
  </si>
  <si>
    <r>
      <t>鬐𦓀耆</t>
    </r>
    <r>
      <rPr>
        <sz val="14"/>
        <rFont val="宋体"/>
        <charset val="134"/>
      </rPr>
      <t>愭</t>
    </r>
    <r>
      <rPr>
        <sz val="14"/>
        <rFont val="MingLiU"/>
        <family val="3"/>
      </rPr>
      <t>𧡺𥉙䅲祁𨪌鰭鮨</t>
    </r>
  </si>
  <si>
    <r>
      <t>棃</t>
    </r>
    <r>
      <rPr>
        <sz val="14"/>
        <rFont val="MingLiU"/>
        <family val="3"/>
      </rPr>
      <t>梨𠠍秜蜊蔾</t>
    </r>
    <r>
      <rPr>
        <sz val="14"/>
        <rFont val="宋体"/>
        <charset val="134"/>
      </rPr>
      <t>犂刕</t>
    </r>
    <r>
      <rPr>
        <sz val="14"/>
        <rFont val="MingLiU"/>
        <family val="3"/>
      </rPr>
      <t>𢤂鯬鑗䴻</t>
    </r>
    <r>
      <rPr>
        <sz val="14"/>
        <rFont val="宋体"/>
        <charset val="134"/>
      </rPr>
      <t>蟍</t>
    </r>
    <r>
      <rPr>
        <sz val="14"/>
        <rFont val="MingLiU"/>
        <family val="3"/>
      </rPr>
      <t>𨟀(犁)</t>
    </r>
  </si>
  <si>
    <r>
      <t>追䨨</t>
    </r>
    <r>
      <rPr>
        <sz val="14"/>
        <rFont val="宋体"/>
        <charset val="134"/>
      </rPr>
      <t>娺</t>
    </r>
  </si>
  <si>
    <r>
      <t>蕤</t>
    </r>
    <r>
      <rPr>
        <sz val="14"/>
        <rFont val="宋体"/>
        <charset val="134"/>
      </rPr>
      <t>甤</t>
    </r>
    <r>
      <rPr>
        <sz val="14"/>
        <rFont val="MingLiU"/>
        <family val="3"/>
      </rPr>
      <t>緌擩桵䅑捼</t>
    </r>
  </si>
  <si>
    <r>
      <t>惟𣄧維遺濰壝𥌰蓶䜅</t>
    </r>
    <r>
      <rPr>
        <sz val="14"/>
        <rFont val="宋体"/>
        <charset val="134"/>
      </rPr>
      <t>琟</t>
    </r>
    <r>
      <rPr>
        <sz val="14"/>
        <rFont val="MingLiU"/>
        <family val="3"/>
      </rPr>
      <t>唯𧔥</t>
    </r>
  </si>
  <si>
    <r>
      <t>㶟纍虆欙(樏)𤜖𡿔𡤯(嫘)瓃𥍔鸓儽</t>
    </r>
    <r>
      <rPr>
        <sz val="14"/>
        <rFont val="宋体"/>
        <charset val="134"/>
      </rPr>
      <t>纝</t>
    </r>
    <r>
      <rPr>
        <sz val="14"/>
        <rFont val="MingLiU"/>
        <family val="3"/>
      </rPr>
      <t>|(縲)</t>
    </r>
  </si>
  <si>
    <r>
      <t>雖!綏荾荽䒘葰浽</t>
    </r>
    <r>
      <rPr>
        <sz val="14"/>
        <rFont val="宋体"/>
        <charset val="134"/>
      </rPr>
      <t>奞夊</t>
    </r>
    <r>
      <rPr>
        <sz val="14"/>
        <rFont val="MingLiU"/>
        <family val="3"/>
      </rPr>
      <t>睢=濉䅑</t>
    </r>
  </si>
  <si>
    <r>
      <t>逵夔𣦞馗戣</t>
    </r>
    <r>
      <rPr>
        <sz val="14"/>
        <rFont val="宋体"/>
        <charset val="134"/>
      </rPr>
      <t>鍨</t>
    </r>
    <r>
      <rPr>
        <sz val="14"/>
        <rFont val="MingLiU"/>
        <family val="3"/>
      </rPr>
      <t>騤犪躨𦝢艽䟸𠊾頯𠐽𧢦𢌳頄</t>
    </r>
  </si>
  <si>
    <r>
      <t>眉</t>
    </r>
    <r>
      <rPr>
        <sz val="14"/>
        <rFont val="宋体"/>
        <charset val="134"/>
      </rPr>
      <t>睂</t>
    </r>
    <r>
      <rPr>
        <sz val="14"/>
        <rFont val="MingLiU"/>
        <family val="3"/>
      </rPr>
      <t>嵋湄𤃱</t>
    </r>
    <r>
      <rPr>
        <sz val="14"/>
        <rFont val="宋体"/>
        <charset val="134"/>
      </rPr>
      <t>鶥</t>
    </r>
    <r>
      <rPr>
        <sz val="14"/>
        <rFont val="MingLiU"/>
        <family val="3"/>
      </rPr>
      <t>楣瑂</t>
    </r>
    <r>
      <rPr>
        <sz val="14"/>
        <rFont val="宋体"/>
        <charset val="134"/>
      </rPr>
      <t>矀</t>
    </r>
    <r>
      <rPr>
        <sz val="14"/>
        <rFont val="MingLiU"/>
        <family val="3"/>
      </rPr>
      <t>覹䉠黴麋蘪郿㵟薇𦗕</t>
    </r>
    <r>
      <rPr>
        <sz val="14"/>
        <rFont val="宋体"/>
        <charset val="134"/>
      </rPr>
      <t>葿</t>
    </r>
    <r>
      <rPr>
        <sz val="14"/>
        <rFont val="MingLiU"/>
        <family val="3"/>
      </rPr>
      <t>攗|</t>
    </r>
    <r>
      <rPr>
        <sz val="14"/>
        <rFont val="宋体"/>
        <charset val="134"/>
      </rPr>
      <t>猸</t>
    </r>
  </si>
  <si>
    <r>
      <t>邳</t>
    </r>
    <r>
      <rPr>
        <sz val="14"/>
        <rFont val="宋体"/>
        <charset val="134"/>
      </rPr>
      <t>鉟</t>
    </r>
    <r>
      <rPr>
        <sz val="14"/>
        <rFont val="MingLiU"/>
        <family val="3"/>
      </rPr>
      <t>䲹岯魾䫠</t>
    </r>
  </si>
  <si>
    <r>
      <t>丕㔻伾秠䪹駓怌䫠</t>
    </r>
    <r>
      <rPr>
        <sz val="14"/>
        <rFont val="宋体"/>
        <charset val="134"/>
      </rPr>
      <t>豾</t>
    </r>
    <r>
      <rPr>
        <sz val="14"/>
        <rFont val="MingLiU"/>
        <family val="3"/>
      </rPr>
      <t>髬魾</t>
    </r>
    <r>
      <rPr>
        <sz val="14"/>
        <rFont val="宋体"/>
        <charset val="134"/>
      </rPr>
      <t>鉟</t>
    </r>
    <r>
      <rPr>
        <sz val="14"/>
        <rFont val="MingLiU"/>
        <family val="3"/>
      </rPr>
      <t>|苤</t>
    </r>
  </si>
  <si>
    <r>
      <t>倠</t>
    </r>
    <r>
      <rPr>
        <sz val="14"/>
        <rFont val="宋体"/>
        <charset val="134"/>
      </rPr>
      <t>婎</t>
    </r>
    <r>
      <rPr>
        <sz val="14"/>
        <rFont val="MingLiU"/>
        <family val="3"/>
      </rPr>
      <t>睢眭𢊄</t>
    </r>
  </si>
  <si>
    <r>
      <t>鎚椎槌</t>
    </r>
    <r>
      <rPr>
        <sz val="14"/>
        <rFont val="宋体"/>
        <charset val="134"/>
      </rPr>
      <t>桘顀</t>
    </r>
  </si>
  <si>
    <r>
      <t>紕㩺𦀘𧧺</t>
    </r>
    <r>
      <rPr>
        <sz val="14"/>
        <rFont val="宋体"/>
        <charset val="134"/>
      </rPr>
      <t>悂</t>
    </r>
    <r>
      <rPr>
        <sz val="14"/>
        <rFont val="MingLiU"/>
        <family val="3"/>
      </rPr>
      <t>𢞗</t>
    </r>
  </si>
  <si>
    <r>
      <t>咦</t>
    </r>
    <r>
      <rPr>
        <sz val="14"/>
        <rFont val="宋体"/>
        <charset val="134"/>
      </rPr>
      <t>忾</t>
    </r>
    <r>
      <rPr>
        <sz val="14"/>
        <rFont val="MingLiU"/>
        <family val="3"/>
      </rPr>
      <t>䐅𣢂屎</t>
    </r>
  </si>
  <si>
    <r>
      <t>飴𩛛䬮怡</t>
    </r>
    <r>
      <rPr>
        <sz val="14"/>
        <rFont val="宋体"/>
        <charset val="134"/>
      </rPr>
      <t>弬</t>
    </r>
    <r>
      <rPr>
        <sz val="14"/>
        <rFont val="MingLiU"/>
        <family val="3"/>
      </rPr>
      <t>媐异㼢𣐵鏔圯貽</t>
    </r>
    <r>
      <rPr>
        <sz val="14"/>
        <rFont val="宋体"/>
        <charset val="134"/>
      </rPr>
      <t>巸</t>
    </r>
    <r>
      <rPr>
        <sz val="14"/>
        <rFont val="MingLiU"/>
        <family val="3"/>
      </rPr>
      <t>洍𦣝𩠞頤詒㺿沶宧𦚟䱌姬台眙瓵</t>
    </r>
  </si>
  <si>
    <r>
      <t>時</t>
    </r>
    <r>
      <rPr>
        <sz val="14"/>
        <rFont val="宋体"/>
        <charset val="134"/>
      </rPr>
      <t>旹</t>
    </r>
    <r>
      <rPr>
        <sz val="14"/>
        <rFont val="MingLiU"/>
        <family val="3"/>
      </rPr>
      <t>塒鼭榯蒔鰣</t>
    </r>
  </si>
  <si>
    <r>
      <t>思</t>
    </r>
    <r>
      <rPr>
        <sz val="14"/>
        <rFont val="宋体"/>
        <charset val="134"/>
      </rPr>
      <t>恖</t>
    </r>
    <r>
      <rPr>
        <sz val="14"/>
        <rFont val="MingLiU"/>
        <family val="3"/>
      </rPr>
      <t>司罳伺絲緦</t>
    </r>
    <r>
      <rPr>
        <sz val="14"/>
        <rFont val="宋体"/>
        <charset val="134"/>
      </rPr>
      <t>悤</t>
    </r>
    <r>
      <rPr>
        <sz val="14"/>
        <rFont val="MingLiU"/>
        <family val="3"/>
      </rPr>
      <t>禗覗㺇𥄶蕬偲楒|鷥</t>
    </r>
  </si>
  <si>
    <r>
      <t>其期旗綦</t>
    </r>
    <r>
      <rPr>
        <sz val="14"/>
        <rFont val="宋体"/>
        <charset val="134"/>
      </rPr>
      <t>綨</t>
    </r>
    <r>
      <rPr>
        <sz val="14"/>
        <rFont val="MingLiU"/>
        <family val="3"/>
      </rPr>
      <t>𢃛萁𧯯</t>
    </r>
    <r>
      <rPr>
        <sz val="14"/>
        <rFont val="宋体"/>
        <charset val="134"/>
      </rPr>
      <t>蜝</t>
    </r>
    <r>
      <rPr>
        <sz val="14"/>
        <rFont val="MingLiU"/>
        <family val="3"/>
      </rPr>
      <t>琪麒騏淇䳢錤藄</t>
    </r>
    <r>
      <rPr>
        <sz val="14"/>
        <rFont val="宋体"/>
        <charset val="134"/>
      </rPr>
      <t>棊櫀</t>
    </r>
    <r>
      <rPr>
        <sz val="14"/>
        <rFont val="MingLiU"/>
        <family val="3"/>
      </rPr>
      <t>碁(棋)𤪌</t>
    </r>
    <r>
      <rPr>
        <sz val="14"/>
        <rFont val="宋体"/>
        <charset val="134"/>
      </rPr>
      <t>璂</t>
    </r>
    <r>
      <rPr>
        <sz val="14"/>
        <rFont val="MingLiU"/>
        <family val="3"/>
      </rPr>
      <t>鯕蘄祺</t>
    </r>
    <r>
      <rPr>
        <sz val="14"/>
        <rFont val="宋体"/>
        <charset val="134"/>
      </rPr>
      <t>禥</t>
    </r>
    <r>
      <rPr>
        <sz val="14"/>
        <rFont val="MingLiU"/>
        <family val="3"/>
      </rPr>
      <t>踑𦪆䑴</t>
    </r>
    <r>
      <rPr>
        <sz val="14"/>
        <rFont val="宋体"/>
        <charset val="134"/>
      </rPr>
      <t>畁</t>
    </r>
    <r>
      <rPr>
        <sz val="14"/>
        <rFont val="MingLiU"/>
        <family val="3"/>
      </rPr>
      <t>䶞|</t>
    </r>
    <r>
      <rPr>
        <sz val="14"/>
        <rFont val="宋体"/>
        <charset val="134"/>
      </rPr>
      <t>蜝</t>
    </r>
    <r>
      <rPr>
        <sz val="14"/>
        <rFont val="MingLiU"/>
        <family val="3"/>
      </rPr>
      <t>(蜞)亓</t>
    </r>
  </si>
  <si>
    <r>
      <t>而栭𣚊𨼏陾陑</t>
    </r>
    <r>
      <rPr>
        <sz val="14"/>
        <rFont val="宋体"/>
        <charset val="134"/>
      </rPr>
      <t>髵</t>
    </r>
    <r>
      <rPr>
        <sz val="14"/>
        <rFont val="MingLiU"/>
        <family val="3"/>
      </rPr>
      <t>峏𨎪輀𦠌胹𦓒𩰴洏鮞耏咡䎠</t>
    </r>
    <r>
      <rPr>
        <sz val="14"/>
        <rFont val="宋体"/>
        <charset val="134"/>
      </rPr>
      <t>誀</t>
    </r>
    <r>
      <rPr>
        <sz val="14"/>
        <rFont val="MingLiU"/>
        <family val="3"/>
      </rPr>
      <t>鴯</t>
    </r>
  </si>
  <si>
    <t>去金</t>
  </si>
  <si>
    <t>欽菳衾嶔顉</t>
  </si>
  <si>
    <t>魚金</t>
  </si>
  <si>
    <t>許金</t>
  </si>
  <si>
    <t>居吟</t>
  </si>
  <si>
    <t>於金</t>
  </si>
  <si>
    <t>所今</t>
  </si>
  <si>
    <t>鋤針</t>
  </si>
  <si>
    <t>岑涔㞥梣𣠟𩅨𩻛䅾笒</t>
  </si>
  <si>
    <t>側吟</t>
  </si>
  <si>
    <t>楚簪</t>
  </si>
  <si>
    <t>嵾參梫𥤇駸槮</t>
  </si>
  <si>
    <t>充針</t>
  </si>
  <si>
    <t>𧡪</t>
  </si>
  <si>
    <t>下平22覃</t>
  </si>
  <si>
    <t>覃</t>
  </si>
  <si>
    <t>徒含</t>
  </si>
  <si>
    <t>咸</t>
  </si>
  <si>
    <t>倉含</t>
  </si>
  <si>
    <t>那含</t>
  </si>
  <si>
    <t>南男柟楠抩䶲𤱣</t>
  </si>
  <si>
    <t>烏含</t>
  </si>
  <si>
    <t>胡男</t>
  </si>
  <si>
    <t>22-&gt;20!</t>
  </si>
  <si>
    <t>盧含</t>
  </si>
  <si>
    <t>昨含</t>
  </si>
  <si>
    <t>蠶撏䣟𨅔</t>
  </si>
  <si>
    <t>作含</t>
  </si>
  <si>
    <t>刪錯</t>
  </si>
  <si>
    <t>zan1</t>
  </si>
  <si>
    <t>他含</t>
  </si>
  <si>
    <t>探撢貪|欿㵅僋</t>
  </si>
  <si>
    <t>7-&gt;3!</t>
  </si>
  <si>
    <t>丁含</t>
  </si>
  <si>
    <t>口含</t>
  </si>
  <si>
    <t>堪!龕𢦟𩑟戡𤯌嵁𤬪撖㪁</t>
  </si>
  <si>
    <t>火含</t>
  </si>
  <si>
    <t>蘇含</t>
  </si>
  <si>
    <t>古南</t>
  </si>
  <si>
    <t>弇淦䶃䌠蜬</t>
  </si>
  <si>
    <t>五含</t>
  </si>
  <si>
    <t>䜙嵁𡪁</t>
  </si>
  <si>
    <t>下平23談</t>
  </si>
  <si>
    <t>談</t>
  </si>
  <si>
    <t>徒甘</t>
  </si>
  <si>
    <t>談郯惔錟淡痰澹倓餤𥰨㶣</t>
  </si>
  <si>
    <t>古三</t>
  </si>
  <si>
    <t>都甘</t>
  </si>
  <si>
    <t>蘇甘</t>
  </si>
  <si>
    <t>魯甘</t>
  </si>
  <si>
    <t>苦甘</t>
  </si>
  <si>
    <t>坩</t>
  </si>
  <si>
    <t>他酣</t>
  </si>
  <si>
    <t>舑聃𨈭緂㘱(坍)䔜䆱㴂𦸁</t>
  </si>
  <si>
    <t>昨甘</t>
  </si>
  <si>
    <t>胡甘</t>
  </si>
  <si>
    <t>武酣</t>
  </si>
  <si>
    <t>姏</t>
  </si>
  <si>
    <t>昨三</t>
  </si>
  <si>
    <t>𩈻</t>
  </si>
  <si>
    <t>呼談</t>
  </si>
  <si>
    <t>下平24鹽</t>
  </si>
  <si>
    <t>鹽A</t>
  </si>
  <si>
    <t>余廉</t>
  </si>
  <si>
    <t>鹽</t>
  </si>
  <si>
    <t>力鹽</t>
  </si>
  <si>
    <t>鹽B</t>
  </si>
  <si>
    <t>府廉</t>
  </si>
  <si>
    <t>砭=𥑁</t>
  </si>
  <si>
    <t>息廉</t>
  </si>
  <si>
    <t>七廉</t>
  </si>
  <si>
    <t>籤臉䑎鹼槧憸僉𠠃㡨譣|簽|</t>
  </si>
  <si>
    <t>職廉</t>
  </si>
  <si>
    <t>視占</t>
  </si>
  <si>
    <t>棎蟾撏</t>
  </si>
  <si>
    <t>失廉</t>
  </si>
  <si>
    <t>苫痁𡝫</t>
  </si>
  <si>
    <t>處占</t>
  </si>
  <si>
    <t>䪜㚲幨襜裧𤎥㾆緂妗𢛈𢃔</t>
  </si>
  <si>
    <t>汝鹽</t>
  </si>
  <si>
    <t>女廉</t>
  </si>
  <si>
    <t>黏粘䬯</t>
  </si>
  <si>
    <t>于廉</t>
  </si>
  <si>
    <t>炎</t>
  </si>
  <si>
    <t>張廉</t>
  </si>
  <si>
    <t>霑沾𪏉</t>
  </si>
  <si>
    <t>丑廉</t>
  </si>
  <si>
    <t>覘𡝫</t>
  </si>
  <si>
    <t>央炎</t>
  </si>
  <si>
    <t>淹菴崦醃䣍閹</t>
  </si>
  <si>
    <t>丘廉</t>
  </si>
  <si>
    <t>𢜩𨦄</t>
  </si>
  <si>
    <t>語廉</t>
  </si>
  <si>
    <t>𪙊</t>
  </si>
  <si>
    <t>子廉</t>
  </si>
  <si>
    <t>尖殲瀸㡨𡄑漸虃熸䇝𩅼鑯鋟𩃔</t>
  </si>
  <si>
    <t>昨鹽</t>
  </si>
  <si>
    <t>潛朁鬵𥮒灊䁮燂𤎢螹</t>
  </si>
  <si>
    <t>巨淹</t>
  </si>
  <si>
    <t>箝鉗𢁮鉆黚拑黔羬鳹雂鍼鈐</t>
  </si>
  <si>
    <t>一鹽</t>
  </si>
  <si>
    <t>徐鹽</t>
  </si>
  <si>
    <t>燅𤍙燖爓𦢨䕭𢸧㰊𢅮</t>
  </si>
  <si>
    <t>史炎</t>
  </si>
  <si>
    <t>襳</t>
  </si>
  <si>
    <t>直炎</t>
  </si>
  <si>
    <t>巨鹽</t>
  </si>
  <si>
    <t>鍼</t>
  </si>
  <si>
    <t>下平25添</t>
  </si>
  <si>
    <t>添</t>
  </si>
  <si>
    <t>他兼</t>
  </si>
  <si>
    <t>丁兼</t>
  </si>
  <si>
    <t>𩬑詀㤴𧚊𦕒䀡敁(掂)佔</t>
  </si>
  <si>
    <t>徒兼</t>
  </si>
  <si>
    <t>甜恬湉菾𦳇</t>
  </si>
  <si>
    <t>勒兼</t>
  </si>
  <si>
    <t>苦兼</t>
  </si>
  <si>
    <t>謙䌠</t>
  </si>
  <si>
    <t>古甜</t>
  </si>
  <si>
    <t>兼縑鶼鰜蒹𥻧𦋰</t>
  </si>
  <si>
    <t>奴兼</t>
  </si>
  <si>
    <t>許兼</t>
  </si>
  <si>
    <t>下平26咸</t>
  </si>
  <si>
    <t>胡讒</t>
  </si>
  <si>
    <t>古咸</t>
  </si>
  <si>
    <t>所咸</t>
  </si>
  <si>
    <t>乙咸</t>
  </si>
  <si>
    <t>𤟟淊黯</t>
  </si>
  <si>
    <t>五咸</t>
  </si>
  <si>
    <t>許咸</t>
  </si>
  <si>
    <t>㰹𧍧妗𧮰䩂</t>
  </si>
  <si>
    <t>竹咸</t>
  </si>
  <si>
    <t>女咸</t>
  </si>
  <si>
    <t>諵喃</t>
  </si>
  <si>
    <t>士咸</t>
  </si>
  <si>
    <t>讒獑鏨饞毚㺥𪗂欃攙𪖎𢽝儳酁</t>
  </si>
  <si>
    <t>苦咸</t>
  </si>
  <si>
    <t>下平27銜</t>
  </si>
  <si>
    <t>銜</t>
  </si>
  <si>
    <t>鋤銜</t>
  </si>
  <si>
    <t>五銜</t>
  </si>
  <si>
    <t>巖(岩)礹𡆑</t>
  </si>
  <si>
    <t>楚銜</t>
  </si>
  <si>
    <t>攙</t>
  </si>
  <si>
    <t>所銜</t>
  </si>
  <si>
    <t>谷銜</t>
  </si>
  <si>
    <t>監礛鑑𥌈</t>
  </si>
  <si>
    <t>白銜</t>
  </si>
  <si>
    <t>𨂝</t>
  </si>
  <si>
    <t>口銜</t>
  </si>
  <si>
    <t>嵌</t>
  </si>
  <si>
    <t>下平28嚴</t>
  </si>
  <si>
    <t>嚴</t>
  </si>
  <si>
    <t>語𩏩</t>
  </si>
  <si>
    <t>嚴䉷</t>
  </si>
  <si>
    <t>𩏩杴㿌𥟕蘞</t>
  </si>
  <si>
    <t>於嚴</t>
  </si>
  <si>
    <t>醃腌</t>
  </si>
  <si>
    <t>丘嚴</t>
  </si>
  <si>
    <t>下平29凡</t>
  </si>
  <si>
    <t>凡</t>
  </si>
  <si>
    <t>符咸</t>
  </si>
  <si>
    <t>凡帆𠆩𦨲氾颿柉</t>
  </si>
  <si>
    <t>匹凡</t>
  </si>
  <si>
    <t>䒦范</t>
  </si>
  <si>
    <t>上1懂</t>
  </si>
  <si>
    <t>上</t>
  </si>
  <si>
    <t>多動</t>
  </si>
  <si>
    <t>dong3</t>
  </si>
  <si>
    <t>董</t>
  </si>
  <si>
    <t>莫孔</t>
  </si>
  <si>
    <t>蠓𤾬鸏濛朦曚懵</t>
  </si>
  <si>
    <t>meng3</t>
  </si>
  <si>
    <t>康董</t>
  </si>
  <si>
    <t>孔倥</t>
  </si>
  <si>
    <t>kong3</t>
  </si>
  <si>
    <t>先孔</t>
  </si>
  <si>
    <t>㪌䉥𣞷</t>
  </si>
  <si>
    <t>song3</t>
  </si>
  <si>
    <t>他孔</t>
  </si>
  <si>
    <t>侗桶曈捅</t>
  </si>
  <si>
    <t>tong3</t>
  </si>
  <si>
    <t>作孔</t>
  </si>
  <si>
    <t>zong3</t>
  </si>
  <si>
    <t>胡孔</t>
  </si>
  <si>
    <t>澒鴻𧋔𠳃汞</t>
  </si>
  <si>
    <t>hong4</t>
  </si>
  <si>
    <t>烏孔</t>
  </si>
  <si>
    <t>weng3</t>
  </si>
  <si>
    <t>奴動</t>
  </si>
  <si>
    <t>𨑊</t>
  </si>
  <si>
    <t>nong3</t>
  </si>
  <si>
    <t>邊孔</t>
  </si>
  <si>
    <t>琫菶𦂌俸</t>
  </si>
  <si>
    <t>beng3</t>
  </si>
  <si>
    <t>力董</t>
  </si>
  <si>
    <t>long3</t>
  </si>
  <si>
    <t>呼孔</t>
  </si>
  <si>
    <t>嗊𢦅</t>
  </si>
  <si>
    <t>hong3</t>
  </si>
  <si>
    <t>dong4</t>
  </si>
  <si>
    <t>蒲蠓</t>
  </si>
  <si>
    <t>菶唪埲</t>
  </si>
  <si>
    <t>beng4</t>
  </si>
  <si>
    <t>上2腫</t>
  </si>
  <si>
    <t>之隴</t>
  </si>
  <si>
    <t>zhong3</t>
  </si>
  <si>
    <t>腫</t>
  </si>
  <si>
    <t>丑隴</t>
  </si>
  <si>
    <t>chong3</t>
  </si>
  <si>
    <t>力踵</t>
  </si>
  <si>
    <t>於隴</t>
  </si>
  <si>
    <t>擁𢶜壅|臃|</t>
  </si>
  <si>
    <t>yong3</t>
  </si>
  <si>
    <t>而隴</t>
  </si>
  <si>
    <t>rong3</t>
  </si>
  <si>
    <t>直隴</t>
  </si>
  <si>
    <t>重𢝆襱鮦</t>
  </si>
  <si>
    <t>zhong4</t>
  </si>
  <si>
    <t>知隴</t>
  </si>
  <si>
    <t>冢塚</t>
  </si>
  <si>
    <t>扶隴</t>
  </si>
  <si>
    <t>奉唪</t>
  </si>
  <si>
    <t>feng4</t>
  </si>
  <si>
    <t>敷奉</t>
  </si>
  <si>
    <t>捧</t>
  </si>
  <si>
    <t>feng3</t>
  </si>
  <si>
    <t>余隴</t>
  </si>
  <si>
    <t>丘隴</t>
  </si>
  <si>
    <t>恐𢖶𦶐</t>
  </si>
  <si>
    <t>qiong3</t>
  </si>
  <si>
    <t>shung4</t>
  </si>
  <si>
    <t>居悚</t>
  </si>
  <si>
    <t>jiong3</t>
  </si>
  <si>
    <t>息拱</t>
  </si>
  <si>
    <t>許拱</t>
  </si>
  <si>
    <t>xiong3</t>
  </si>
  <si>
    <t>方勇</t>
  </si>
  <si>
    <t>覂𢇫</t>
  </si>
  <si>
    <t>上2腫*</t>
  </si>
  <si>
    <t>都𪁪</t>
  </si>
  <si>
    <t>湩</t>
  </si>
  <si>
    <t>莫湩</t>
  </si>
  <si>
    <t>𪁪䏵</t>
  </si>
  <si>
    <t>渠隴</t>
  </si>
  <si>
    <t>䅃</t>
  </si>
  <si>
    <t>jiong4</t>
  </si>
  <si>
    <t>充隴</t>
  </si>
  <si>
    <t>職勇</t>
  </si>
  <si>
    <t>𢃭𢃓</t>
  </si>
  <si>
    <t>子冢</t>
  </si>
  <si>
    <t>䙕</t>
  </si>
  <si>
    <t>上3講</t>
  </si>
  <si>
    <t>古項</t>
  </si>
  <si>
    <t>講港傋耩</t>
  </si>
  <si>
    <t>jiang3</t>
  </si>
  <si>
    <t>講</t>
  </si>
  <si>
    <t>步項</t>
  </si>
  <si>
    <t>bang4</t>
  </si>
  <si>
    <t>烏項</t>
  </si>
  <si>
    <t>慃</t>
  </si>
  <si>
    <t>yang3</t>
  </si>
  <si>
    <t>武項</t>
  </si>
  <si>
    <t>𠈵</t>
  </si>
  <si>
    <t>mang3</t>
  </si>
  <si>
    <t>胡講</t>
  </si>
  <si>
    <t>項缿</t>
  </si>
  <si>
    <t>xiang4</t>
  </si>
  <si>
    <t>巴講</t>
  </si>
  <si>
    <t>𦂌(綁)</t>
  </si>
  <si>
    <t>bang3</t>
  </si>
  <si>
    <t>虚慃</t>
  </si>
  <si>
    <t>傋𢞡</t>
  </si>
  <si>
    <t>xiang3</t>
  </si>
  <si>
    <t>上4紙</t>
  </si>
  <si>
    <t>諸氏</t>
  </si>
  <si>
    <t>坻原作坻</t>
  </si>
  <si>
    <t>zhi3</t>
  </si>
  <si>
    <t>紙</t>
  </si>
  <si>
    <t>承紙</t>
  </si>
  <si>
    <t>是氏媞諟恀徥𤜣褆姼䟗</t>
  </si>
  <si>
    <t>shi4</t>
  </si>
  <si>
    <t>文彼</t>
  </si>
  <si>
    <t>靡𨇻𪎓骳𦗕𡬍蘼</t>
  </si>
  <si>
    <t>mi3</t>
  </si>
  <si>
    <t>甫委</t>
  </si>
  <si>
    <t>bi3</t>
  </si>
  <si>
    <t>皮彼</t>
  </si>
  <si>
    <t>被罷</t>
  </si>
  <si>
    <t>pi4</t>
  </si>
  <si>
    <t>許委</t>
  </si>
  <si>
    <t>hui3</t>
  </si>
  <si>
    <t>於詭</t>
  </si>
  <si>
    <t>委骫蜲𠷏䍴</t>
  </si>
  <si>
    <t>wei3</t>
  </si>
  <si>
    <t>去委</t>
  </si>
  <si>
    <t>跪𣄲</t>
  </si>
  <si>
    <t>kui3</t>
  </si>
  <si>
    <t>過委</t>
  </si>
  <si>
    <t>gui3</t>
  </si>
  <si>
    <t>息委</t>
  </si>
  <si>
    <t>髓嶲靃䭉𣿂</t>
  </si>
  <si>
    <t>sui3</t>
  </si>
  <si>
    <t>力委</t>
  </si>
  <si>
    <t>lei3</t>
  </si>
  <si>
    <t>渠綺</t>
  </si>
  <si>
    <t>技妓徛伎錡䗁</t>
  </si>
  <si>
    <t>ji4</t>
  </si>
  <si>
    <t>於綺</t>
  </si>
  <si>
    <t>yi3</t>
  </si>
  <si>
    <t>居綺</t>
  </si>
  <si>
    <t>掎剞庋踦攲㞆㱦</t>
  </si>
  <si>
    <t>ji3</t>
  </si>
  <si>
    <t>墟彼</t>
  </si>
  <si>
    <t>綺婍碕䞚㥓觭㾨</t>
  </si>
  <si>
    <t>qi3</t>
  </si>
  <si>
    <t>魚倚</t>
  </si>
  <si>
    <t>螘蟻蛾錡礒齮艤檥㠖轙羛䰙</t>
  </si>
  <si>
    <t>韋委</t>
  </si>
  <si>
    <t>即委</t>
  </si>
  <si>
    <t>嘴)!觜(㭰)*</t>
  </si>
  <si>
    <t>zui3</t>
  </si>
  <si>
    <t>如累</t>
  </si>
  <si>
    <t>rui3</t>
  </si>
  <si>
    <t>雌氏</t>
  </si>
  <si>
    <t>此跐佌玼泚𩢑𠈈𧺼𡘌</t>
  </si>
  <si>
    <t>ci3</t>
  </si>
  <si>
    <t>池爾</t>
  </si>
  <si>
    <t>豸褫陊䊓踶傂杝阤䚦廌褆徥</t>
  </si>
  <si>
    <t>zhi4</t>
  </si>
  <si>
    <t>斯氏</t>
  </si>
  <si>
    <t>si3</t>
  </si>
  <si>
    <t>移爾</t>
  </si>
  <si>
    <t>力紙</t>
  </si>
  <si>
    <t>邐峛㸚</t>
  </si>
  <si>
    <t>li3</t>
  </si>
  <si>
    <t>所綺</t>
  </si>
  <si>
    <t>shi3</t>
  </si>
  <si>
    <t>并弭</t>
  </si>
  <si>
    <t>𢔌俾鞞箄𪐄髀崥𦸣𠬈𢳋</t>
  </si>
  <si>
    <t>兒氏</t>
  </si>
  <si>
    <t>er3</t>
  </si>
  <si>
    <t>綿婢</t>
  </si>
  <si>
    <t>便婢</t>
  </si>
  <si>
    <t>婢庳</t>
  </si>
  <si>
    <t>尺氏</t>
  </si>
  <si>
    <t>chi3</t>
  </si>
  <si>
    <t>施是</t>
  </si>
  <si>
    <t>弛豕阤</t>
  </si>
  <si>
    <t>將此</t>
  </si>
  <si>
    <t>zi3</t>
  </si>
  <si>
    <t>之累</t>
  </si>
  <si>
    <t>捶箠𦓝䮔沝</t>
  </si>
  <si>
    <t>zhui3</t>
  </si>
  <si>
    <t>初委</t>
  </si>
  <si>
    <t>揣㪜</t>
  </si>
  <si>
    <t>chuai3</t>
  </si>
  <si>
    <t>隨婢</t>
  </si>
  <si>
    <t>𤢍</t>
  </si>
  <si>
    <t>sui4</t>
  </si>
  <si>
    <t>側氏</t>
  </si>
  <si>
    <t>㧗跐</t>
  </si>
  <si>
    <t>匹靡</t>
  </si>
  <si>
    <t>pi3</t>
  </si>
  <si>
    <t>匹婢</t>
  </si>
  <si>
    <t>羊捶</t>
  </si>
  <si>
    <t>䓈䔺芛撱䝐𤼒</t>
  </si>
  <si>
    <t>才捶</t>
  </si>
  <si>
    <t>惢</t>
  </si>
  <si>
    <t>zui4</t>
  </si>
  <si>
    <t>丘弭</t>
  </si>
  <si>
    <t>跬䞨頍䠑</t>
  </si>
  <si>
    <t>女氏</t>
  </si>
  <si>
    <t>狔旎抳</t>
  </si>
  <si>
    <t>ni3</t>
  </si>
  <si>
    <t>硊頠𪀗姽</t>
  </si>
  <si>
    <t>渠委</t>
  </si>
  <si>
    <t>跪</t>
  </si>
  <si>
    <t>gui4</t>
  </si>
  <si>
    <t>敕豸</t>
  </si>
  <si>
    <t>褫</t>
  </si>
  <si>
    <t>陟侈</t>
  </si>
  <si>
    <t>㨖𧛢</t>
  </si>
  <si>
    <t>興倚</t>
  </si>
  <si>
    <t>𪖪</t>
  </si>
  <si>
    <t>xi3</t>
  </si>
  <si>
    <t>企跂</t>
  </si>
  <si>
    <t>時髓</t>
  </si>
  <si>
    <t>菙㥨</t>
  </si>
  <si>
    <t>shui4</t>
  </si>
  <si>
    <t>居氏</t>
  </si>
  <si>
    <t>枳</t>
  </si>
  <si>
    <t>上5旨</t>
  </si>
  <si>
    <t>職雉</t>
  </si>
  <si>
    <t>承矢</t>
  </si>
  <si>
    <t>無鄙</t>
  </si>
  <si>
    <t>美媺𤛎渼媄</t>
  </si>
  <si>
    <t>方美</t>
  </si>
  <si>
    <t>徐姊</t>
  </si>
  <si>
    <t>兕𧰽𠒅𠒃羠薙䒨|𧱅薙</t>
  </si>
  <si>
    <t>si4</t>
  </si>
  <si>
    <t>居履</t>
  </si>
  <si>
    <t>几𪊨麂㞦机䢳𤜝㞛䂹</t>
  </si>
  <si>
    <t>將几</t>
  </si>
  <si>
    <t>姊秭</t>
  </si>
  <si>
    <t>卑履</t>
  </si>
  <si>
    <t>比!匕妣秕䃾沘枇朼疕髀</t>
  </si>
  <si>
    <t>居洧</t>
  </si>
  <si>
    <t>軌簋朹晷厬𣷾宄匭㔲頯氿𧗝</t>
  </si>
  <si>
    <t>㔲原文九改卜</t>
  </si>
  <si>
    <t>榮美</t>
  </si>
  <si>
    <t>洧鮪痏䵋</t>
  </si>
  <si>
    <t>式視</t>
  </si>
  <si>
    <t>屎=𦳊!矢=𠂕</t>
  </si>
  <si>
    <t>直几</t>
  </si>
  <si>
    <t>雉滍薙</t>
  </si>
  <si>
    <t>息姊</t>
  </si>
  <si>
    <t>死</t>
  </si>
  <si>
    <t>扶履</t>
  </si>
  <si>
    <t>牝</t>
  </si>
  <si>
    <t>bi4</t>
  </si>
  <si>
    <t>力几</t>
  </si>
  <si>
    <t>履</t>
  </si>
  <si>
    <t>式軌</t>
  </si>
  <si>
    <t>水</t>
  </si>
  <si>
    <t>shui3</t>
  </si>
  <si>
    <t>力軌</t>
  </si>
  <si>
    <t>求癸</t>
  </si>
  <si>
    <t>揆楑𢜽嫢湀</t>
  </si>
  <si>
    <t>千水</t>
  </si>
  <si>
    <t>趡踓𨿐</t>
  </si>
  <si>
    <t>cui3</t>
  </si>
  <si>
    <t>女履</t>
  </si>
  <si>
    <t>柅</t>
  </si>
  <si>
    <t>居誄</t>
  </si>
  <si>
    <t>癸湀</t>
  </si>
  <si>
    <t>符鄙</t>
  </si>
  <si>
    <t>否痞圮仳殍𢁦䤏(𡺮)𢻹</t>
  </si>
  <si>
    <t>徂累</t>
  </si>
  <si>
    <t>㠑</t>
  </si>
  <si>
    <t>匹鄙</t>
  </si>
  <si>
    <t>嚭秠疕𡺮𢻹</t>
  </si>
  <si>
    <t>如壘</t>
  </si>
  <si>
    <t>以水</t>
  </si>
  <si>
    <t>唯蓶䲊壝瀢孈㨊踓</t>
  </si>
  <si>
    <t>於几</t>
  </si>
  <si>
    <t>㰻</t>
  </si>
  <si>
    <t>遵誄</t>
  </si>
  <si>
    <t>豬几</t>
  </si>
  <si>
    <t>楮几</t>
  </si>
  <si>
    <t>𧖛)</t>
  </si>
  <si>
    <t>止姊</t>
  </si>
  <si>
    <t>𧿲</t>
  </si>
  <si>
    <t>火癸</t>
  </si>
  <si>
    <t>䁤</t>
  </si>
  <si>
    <t>䣀</t>
  </si>
  <si>
    <t>跽</t>
  </si>
  <si>
    <t>丘軌</t>
  </si>
  <si>
    <t>上6止</t>
  </si>
  <si>
    <t>諸市</t>
  </si>
  <si>
    <t>時止</t>
  </si>
  <si>
    <t>市恃畤</t>
  </si>
  <si>
    <t>陟里</t>
  </si>
  <si>
    <t>徵𧩼㨖</t>
  </si>
  <si>
    <t>居里</t>
  </si>
  <si>
    <t>紀己妀𠮯</t>
  </si>
  <si>
    <t>羊己</t>
  </si>
  <si>
    <t>詳里</t>
  </si>
  <si>
    <t>史使駛𩰢</t>
  </si>
  <si>
    <t>而止</t>
  </si>
  <si>
    <t>耳洱駬𪕔䋙</t>
  </si>
  <si>
    <t>良士</t>
  </si>
  <si>
    <t>里裏(裡)鯉悝李㾖理娌俚𨛋</t>
  </si>
  <si>
    <t>胥里</t>
  </si>
  <si>
    <t>枲萆𤟧䈚葸諰𠪙</t>
  </si>
  <si>
    <t>詩止</t>
  </si>
  <si>
    <t>始</t>
  </si>
  <si>
    <t>直里</t>
  </si>
  <si>
    <t>墟里</t>
  </si>
  <si>
    <t>鉏里</t>
  </si>
  <si>
    <t>即里</t>
  </si>
  <si>
    <t>于紀</t>
  </si>
  <si>
    <t>矣𦮸</t>
  </si>
  <si>
    <t>魚紀</t>
  </si>
  <si>
    <t>昌里</t>
  </si>
  <si>
    <t>齒紕</t>
  </si>
  <si>
    <t>敕里</t>
  </si>
  <si>
    <t>恥祉褫</t>
  </si>
  <si>
    <t>初紀</t>
  </si>
  <si>
    <t>𠟴欼㱀</t>
  </si>
  <si>
    <t>阻史</t>
  </si>
  <si>
    <t>滓笫𠂔胏䔂</t>
  </si>
  <si>
    <t>於擬</t>
  </si>
  <si>
    <t>乃里</t>
  </si>
  <si>
    <t>上7尾</t>
  </si>
  <si>
    <t>無匪</t>
  </si>
  <si>
    <t>尾亹斖浘娓䞔䅏䬿</t>
  </si>
  <si>
    <t>尾</t>
  </si>
  <si>
    <t>於豈</t>
  </si>
  <si>
    <t>袪狶</t>
  </si>
  <si>
    <t>豈䔇</t>
  </si>
  <si>
    <t>居狶</t>
  </si>
  <si>
    <t>蟣幾穖𩴆</t>
  </si>
  <si>
    <t>敷尾</t>
  </si>
  <si>
    <t>斐菲胐悱𩦎奜䨽</t>
  </si>
  <si>
    <t>fei3</t>
  </si>
  <si>
    <t>府尾</t>
  </si>
  <si>
    <t>匪篚棐餥榧蜰䕁蜚</t>
  </si>
  <si>
    <t>于鬼</t>
  </si>
  <si>
    <t>居偉</t>
  </si>
  <si>
    <t>鬼</t>
  </si>
  <si>
    <t>許偉</t>
  </si>
  <si>
    <t>虺𤈦𩃾虫卉</t>
  </si>
  <si>
    <t>魚豈</t>
  </si>
  <si>
    <t>顗螘</t>
  </si>
  <si>
    <t>於鬼</t>
  </si>
  <si>
    <t>浮鬼</t>
  </si>
  <si>
    <t>膹䆏橨蟦陫䒈</t>
  </si>
  <si>
    <t>fei4</t>
  </si>
  <si>
    <t>上8語</t>
  </si>
  <si>
    <t>魚巨</t>
  </si>
  <si>
    <t>yu3</t>
  </si>
  <si>
    <t>語</t>
  </si>
  <si>
    <t>力舉</t>
  </si>
  <si>
    <t>lv3</t>
  </si>
  <si>
    <t>zhu4</t>
  </si>
  <si>
    <t>與与歟予藇𢌱㦛</t>
  </si>
  <si>
    <t>章与</t>
  </si>
  <si>
    <t>zhu3</t>
  </si>
  <si>
    <t>人渚</t>
  </si>
  <si>
    <t>ru3</t>
  </si>
  <si>
    <t>暑鼠黍𧑓癙</t>
  </si>
  <si>
    <t>shu3</t>
  </si>
  <si>
    <t>昌與</t>
  </si>
  <si>
    <t>杵處</t>
  </si>
  <si>
    <t>chu3</t>
  </si>
  <si>
    <t>諝胥稰醑糈楈𥚩㥠湑</t>
  </si>
  <si>
    <t>xu3</t>
  </si>
  <si>
    <t>女籹</t>
  </si>
  <si>
    <t>nv3</t>
  </si>
  <si>
    <t>虚吕</t>
  </si>
  <si>
    <t>許鄦</t>
  </si>
  <si>
    <t>ju4</t>
  </si>
  <si>
    <t>創舉</t>
  </si>
  <si>
    <t>阻俎</t>
  </si>
  <si>
    <t>牀吕</t>
  </si>
  <si>
    <t>齟鉏</t>
  </si>
  <si>
    <t>shu4</t>
  </si>
  <si>
    <t>沮!咀怚袓跙𧽟</t>
  </si>
  <si>
    <r>
      <t>頃𩒵(</t>
    </r>
    <r>
      <rPr>
        <sz val="14"/>
        <rFont val="宋体"/>
        <charset val="134"/>
      </rPr>
      <t>頔</t>
    </r>
    <r>
      <rPr>
        <sz val="14"/>
        <rFont val="MingLiU"/>
        <family val="3"/>
      </rPr>
      <t>)㩩</t>
    </r>
    <r>
      <rPr>
        <sz val="14"/>
        <rFont val="宋体"/>
        <charset val="134"/>
      </rPr>
      <t>檾苘</t>
    </r>
    <r>
      <rPr>
        <sz val="14"/>
        <rFont val="MingLiU"/>
        <family val="3"/>
      </rPr>
      <t>䔛</t>
    </r>
  </si>
  <si>
    <r>
      <t>省渻</t>
    </r>
    <r>
      <rPr>
        <sz val="14"/>
        <rFont val="宋体"/>
        <charset val="134"/>
      </rPr>
      <t>睲</t>
    </r>
    <r>
      <rPr>
        <sz val="14"/>
        <rFont val="MingLiU"/>
        <family val="3"/>
      </rPr>
      <t>惺㮐𢜫</t>
    </r>
  </si>
  <si>
    <r>
      <t>徎</t>
    </r>
    <r>
      <rPr>
        <sz val="14"/>
        <rFont val="MingLiU"/>
        <family val="3"/>
      </rPr>
      <t>𣵹</t>
    </r>
  </si>
  <si>
    <r>
      <t>迥</t>
    </r>
    <r>
      <rPr>
        <sz val="14"/>
        <rFont val="宋体"/>
        <charset val="134"/>
      </rPr>
      <t>冋</t>
    </r>
    <r>
      <rPr>
        <sz val="14"/>
        <rFont val="MingLiU"/>
        <family val="3"/>
      </rPr>
      <t>炯泂𦳖</t>
    </r>
  </si>
  <si>
    <r>
      <t>熲炅炯𠖷㯋𩚱</t>
    </r>
    <r>
      <rPr>
        <sz val="14"/>
        <rFont val="宋体"/>
        <charset val="134"/>
      </rPr>
      <t>煛</t>
    </r>
    <r>
      <rPr>
        <sz val="14"/>
        <rFont val="MingLiU"/>
        <family val="3"/>
      </rPr>
      <t>𧍮</t>
    </r>
  </si>
  <si>
    <r>
      <t>頂𩠑𩕢</t>
    </r>
    <r>
      <rPr>
        <sz val="14"/>
        <rFont val="宋体"/>
        <charset val="134"/>
      </rPr>
      <t>奵</t>
    </r>
    <r>
      <rPr>
        <sz val="14"/>
        <rFont val="MingLiU"/>
        <family val="3"/>
      </rPr>
      <t>耵鼎薡酊濎葶靪打㞟</t>
    </r>
  </si>
  <si>
    <r>
      <t>挺艇鋌梃娗町霆莛</t>
    </r>
    <r>
      <rPr>
        <sz val="14"/>
        <rFont val="宋体"/>
        <charset val="134"/>
      </rPr>
      <t>涏</t>
    </r>
    <r>
      <rPr>
        <sz val="14"/>
        <rFont val="MingLiU"/>
        <family val="3"/>
      </rPr>
      <t>蜓訂</t>
    </r>
    <r>
      <rPr>
        <sz val="14"/>
        <rFont val="宋体"/>
        <charset val="134"/>
      </rPr>
      <t>誔</t>
    </r>
  </si>
  <si>
    <r>
      <t>珽圢脡侹頲</t>
    </r>
    <r>
      <rPr>
        <sz val="14"/>
        <rFont val="宋体"/>
        <charset val="134"/>
      </rPr>
      <t>徎</t>
    </r>
    <r>
      <rPr>
        <sz val="14"/>
        <rFont val="MingLiU"/>
        <family val="3"/>
      </rPr>
      <t>𡈼町艼𤱹𦉬䦐</t>
    </r>
  </si>
  <si>
    <r>
      <t>婞[悻]涬鋞脛</t>
    </r>
    <r>
      <rPr>
        <sz val="14"/>
        <rFont val="宋体"/>
        <charset val="134"/>
      </rPr>
      <t>緈</t>
    </r>
  </si>
  <si>
    <r>
      <t>褧</t>
    </r>
    <r>
      <rPr>
        <sz val="14"/>
        <rFont val="宋体"/>
        <charset val="134"/>
      </rPr>
      <t>檾苘</t>
    </r>
    <r>
      <rPr>
        <sz val="14"/>
        <rFont val="MingLiU"/>
        <family val="3"/>
      </rPr>
      <t>烓顈絅</t>
    </r>
  </si>
  <si>
    <r>
      <t>巊</t>
    </r>
    <r>
      <rPr>
        <sz val="14"/>
        <rFont val="MingLiU"/>
        <family val="3"/>
      </rPr>
      <t>瀴𩳍</t>
    </r>
  </si>
  <si>
    <r>
      <t>竝</t>
    </r>
    <r>
      <rPr>
        <sz val="14"/>
        <rFont val="MingLiU"/>
        <family val="3"/>
      </rPr>
      <t>並</t>
    </r>
    <r>
      <rPr>
        <sz val="14"/>
        <rFont val="宋体"/>
        <charset val="134"/>
      </rPr>
      <t>鮩</t>
    </r>
    <r>
      <rPr>
        <sz val="14"/>
        <rFont val="MingLiU"/>
        <family val="3"/>
      </rPr>
      <t>併</t>
    </r>
  </si>
  <si>
    <r>
      <t>拯</t>
    </r>
    <r>
      <rPr>
        <sz val="14"/>
        <rFont val="宋体"/>
        <charset val="134"/>
      </rPr>
      <t>抍</t>
    </r>
    <r>
      <rPr>
        <sz val="14"/>
        <rFont val="MingLiU"/>
        <family val="3"/>
      </rPr>
      <t>撜𨋬氶</t>
    </r>
  </si>
  <si>
    <r>
      <t>肯</t>
    </r>
    <r>
      <rPr>
        <sz val="14"/>
        <rFont val="宋体"/>
        <charset val="134"/>
      </rPr>
      <t>肎</t>
    </r>
  </si>
  <si>
    <r>
      <t>柳罶𦊑懰珋𩖴嬼䉧𪕋</t>
    </r>
    <r>
      <rPr>
        <sz val="14"/>
        <rFont val="宋体"/>
        <charset val="134"/>
      </rPr>
      <t>熮</t>
    </r>
    <r>
      <rPr>
        <sz val="14"/>
        <rFont val="MingLiU"/>
        <family val="3"/>
      </rPr>
      <t>瀏綹𨋖茆</t>
    </r>
  </si>
  <si>
    <r>
      <t>肘</t>
    </r>
    <r>
      <rPr>
        <sz val="14"/>
        <rFont val="宋体"/>
        <charset val="134"/>
      </rPr>
      <t>疛</t>
    </r>
    <r>
      <rPr>
        <sz val="14"/>
        <rFont val="MingLiU"/>
        <family val="3"/>
      </rPr>
      <t>𤶡扭</t>
    </r>
  </si>
  <si>
    <r>
      <t>醜𧃝</t>
    </r>
    <r>
      <rPr>
        <sz val="14"/>
        <rFont val="宋体"/>
        <charset val="134"/>
      </rPr>
      <t>魗</t>
    </r>
  </si>
  <si>
    <r>
      <t>蹂楺煣輮</t>
    </r>
    <r>
      <rPr>
        <sz val="14"/>
        <rFont val="宋体"/>
        <charset val="134"/>
      </rPr>
      <t>沑</t>
    </r>
    <r>
      <rPr>
        <sz val="14"/>
        <rFont val="MingLiU"/>
        <family val="3"/>
      </rPr>
      <t>禸葇𥠊韖粈|禸</t>
    </r>
  </si>
  <si>
    <r>
      <t>舅</t>
    </r>
    <r>
      <rPr>
        <sz val="14"/>
        <rFont val="宋体"/>
        <charset val="134"/>
      </rPr>
      <t>倃</t>
    </r>
    <r>
      <rPr>
        <sz val="14"/>
        <rFont val="MingLiU"/>
        <family val="3"/>
      </rPr>
      <t>臼</t>
    </r>
    <r>
      <rPr>
        <sz val="14"/>
        <rFont val="宋体"/>
        <charset val="134"/>
      </rPr>
      <t>齨</t>
    </r>
    <r>
      <rPr>
        <sz val="14"/>
        <rFont val="MingLiU"/>
        <family val="3"/>
      </rPr>
      <t>麔咎䳎䊆𤷑𢛃䛮|𣓌(</t>
    </r>
    <r>
      <rPr>
        <sz val="14"/>
        <rFont val="宋体"/>
        <charset val="134"/>
      </rPr>
      <t>桕</t>
    </r>
    <r>
      <rPr>
        <sz val="14"/>
        <rFont val="MingLiU"/>
        <family val="3"/>
      </rPr>
      <t>)</t>
    </r>
  </si>
  <si>
    <r>
      <t>紂䈙鮦</t>
    </r>
    <r>
      <rPr>
        <sz val="14"/>
        <rFont val="宋体"/>
        <charset val="134"/>
      </rPr>
      <t>葤</t>
    </r>
    <r>
      <rPr>
        <sz val="14"/>
        <rFont val="MingLiU"/>
        <family val="3"/>
      </rPr>
      <t>棸𦡴</t>
    </r>
  </si>
  <si>
    <r>
      <t>誘!酉</t>
    </r>
    <r>
      <rPr>
        <sz val="14"/>
        <rFont val="宋体"/>
        <charset val="134"/>
      </rPr>
      <t>丣</t>
    </r>
    <r>
      <rPr>
        <sz val="14"/>
        <rFont val="MingLiU"/>
        <family val="3"/>
      </rPr>
      <t>𦍶䛻牖卣槱𥟁莠羑庮</t>
    </r>
    <r>
      <rPr>
        <sz val="14"/>
        <rFont val="宋体"/>
        <charset val="134"/>
      </rPr>
      <t>蜏</t>
    </r>
    <r>
      <rPr>
        <sz val="14"/>
        <rFont val="MingLiU"/>
        <family val="3"/>
      </rPr>
      <t>㝌𣣸琇</t>
    </r>
    <r>
      <rPr>
        <sz val="14"/>
        <rFont val="宋体"/>
        <charset val="134"/>
      </rPr>
      <t>梄</t>
    </r>
    <r>
      <rPr>
        <sz val="14"/>
        <rFont val="MingLiU"/>
        <family val="3"/>
      </rPr>
      <t>𤪎輶𨣆𦏇</t>
    </r>
  </si>
  <si>
    <r>
      <t>受壽</t>
    </r>
    <r>
      <rPr>
        <sz val="14"/>
        <rFont val="宋体"/>
        <charset val="134"/>
      </rPr>
      <t>璹</t>
    </r>
    <r>
      <rPr>
        <sz val="14"/>
        <rFont val="MingLiU"/>
        <family val="3"/>
      </rPr>
      <t>綬𨞪</t>
    </r>
  </si>
  <si>
    <r>
      <t>帚</t>
    </r>
    <r>
      <rPr>
        <sz val="14"/>
        <rFont val="宋体"/>
        <charset val="134"/>
      </rPr>
      <t>箒</t>
    </r>
    <r>
      <rPr>
        <sz val="14"/>
        <rFont val="MingLiU"/>
        <family val="3"/>
      </rPr>
      <t>𧳜鯞</t>
    </r>
    <r>
      <rPr>
        <sz val="14"/>
        <rFont val="宋体"/>
        <charset val="134"/>
      </rPr>
      <t>晭</t>
    </r>
  </si>
  <si>
    <r>
      <t>母牡某拇</t>
    </r>
    <r>
      <rPr>
        <sz val="14"/>
        <rFont val="宋体"/>
        <charset val="134"/>
      </rPr>
      <t>胟</t>
    </r>
    <r>
      <rPr>
        <sz val="14"/>
        <rFont val="MingLiU"/>
        <family val="3"/>
      </rPr>
      <t>𠭇(畝)</t>
    </r>
    <r>
      <rPr>
        <sz val="14"/>
        <rFont val="宋体"/>
        <charset val="134"/>
      </rPr>
      <t>畮畞</t>
    </r>
    <r>
      <rPr>
        <sz val="14"/>
        <rFont val="MingLiU"/>
        <family val="3"/>
      </rPr>
      <t>莽𤝕𤵝踇𧿹䳇(鵡)</t>
    </r>
  </si>
  <si>
    <r>
      <t>部培</t>
    </r>
    <r>
      <rPr>
        <sz val="14"/>
        <rFont val="宋体"/>
        <charset val="134"/>
      </rPr>
      <t>犃</t>
    </r>
    <r>
      <rPr>
        <sz val="14"/>
        <rFont val="MingLiU"/>
        <family val="3"/>
      </rPr>
      <t>䏽瓿䍌䴺篰蔀婄</t>
    </r>
  </si>
  <si>
    <r>
      <t>斗㪷枓蚪</t>
    </r>
    <r>
      <rPr>
        <sz val="14"/>
        <rFont val="宋体"/>
        <charset val="134"/>
      </rPr>
      <t>阧</t>
    </r>
    <r>
      <rPr>
        <sz val="14"/>
        <rFont val="MingLiU"/>
        <family val="3"/>
      </rPr>
      <t>陡抖襡</t>
    </r>
  </si>
  <si>
    <r>
      <t>𪌜</t>
    </r>
    <r>
      <rPr>
        <sz val="14"/>
        <rFont val="宋体"/>
        <charset val="134"/>
      </rPr>
      <t>飳</t>
    </r>
    <r>
      <rPr>
        <sz val="14"/>
        <rFont val="MingLiU"/>
        <family val="3"/>
      </rPr>
      <t>妵黈𩿢蘣斢鈄䱏</t>
    </r>
  </si>
  <si>
    <r>
      <t>苟</t>
    </r>
    <r>
      <rPr>
        <sz val="14"/>
        <rFont val="宋体"/>
        <charset val="134"/>
      </rPr>
      <t>玽</t>
    </r>
    <r>
      <rPr>
        <sz val="14"/>
        <rFont val="MingLiU"/>
        <family val="3"/>
      </rPr>
      <t>狗垢笱𦊒耇詬枸茩岣</t>
    </r>
    <r>
      <rPr>
        <sz val="14"/>
        <rFont val="宋体"/>
        <charset val="134"/>
      </rPr>
      <t>敂豿</t>
    </r>
  </si>
  <si>
    <r>
      <t>藕蕅偶耦</t>
    </r>
    <r>
      <rPr>
        <sz val="14"/>
        <rFont val="宋体"/>
        <charset val="134"/>
      </rPr>
      <t>髃</t>
    </r>
    <r>
      <rPr>
        <sz val="14"/>
        <rFont val="MingLiU"/>
        <family val="3"/>
      </rPr>
      <t>㼴</t>
    </r>
  </si>
  <si>
    <r>
      <t>㝅㳶陾𡝦</t>
    </r>
    <r>
      <rPr>
        <sz val="14"/>
        <rFont val="宋体"/>
        <charset val="134"/>
      </rPr>
      <t>啂</t>
    </r>
    <r>
      <rPr>
        <sz val="14"/>
        <rFont val="MingLiU"/>
        <family val="3"/>
      </rPr>
      <t>𡭾</t>
    </r>
  </si>
  <si>
    <r>
      <t>叜</t>
    </r>
    <r>
      <rPr>
        <sz val="14"/>
        <rFont val="MingLiU"/>
        <family val="3"/>
      </rPr>
      <t>叟𠊯(</t>
    </r>
    <r>
      <rPr>
        <sz val="14"/>
        <rFont val="宋体"/>
        <charset val="134"/>
      </rPr>
      <t>傁</t>
    </r>
    <r>
      <rPr>
        <sz val="14"/>
        <rFont val="MingLiU"/>
        <family val="3"/>
      </rPr>
      <t>)嗾𠻛𥈃(瞍)謏擻藪籔䏂</t>
    </r>
    <r>
      <rPr>
        <sz val="14"/>
        <rFont val="宋体"/>
        <charset val="134"/>
      </rPr>
      <t>廀</t>
    </r>
    <r>
      <rPr>
        <sz val="14"/>
        <rFont val="MingLiU"/>
        <family val="3"/>
      </rPr>
      <t>(廋)棷駷操</t>
    </r>
  </si>
  <si>
    <r>
      <t>歐(嘔)毆=敺㸸𠙶</t>
    </r>
    <r>
      <rPr>
        <sz val="14"/>
        <rFont val="宋体"/>
        <charset val="134"/>
      </rPr>
      <t>塸</t>
    </r>
    <r>
      <rPr>
        <sz val="14"/>
        <rFont val="MingLiU"/>
        <family val="3"/>
      </rPr>
      <t>䙔|慪</t>
    </r>
  </si>
  <si>
    <r>
      <t>簍!塿嘍</t>
    </r>
    <r>
      <rPr>
        <sz val="14"/>
        <rFont val="宋体"/>
        <charset val="134"/>
      </rPr>
      <t>甊</t>
    </r>
    <r>
      <rPr>
        <sz val="14"/>
        <rFont val="MingLiU"/>
        <family val="3"/>
      </rPr>
      <t>𪍣嶁㪹謱漊䅹</t>
    </r>
  </si>
  <si>
    <r>
      <t>朕𦩗 (𦩎)</t>
    </r>
    <r>
      <rPr>
        <sz val="14"/>
        <rFont val="宋体"/>
        <charset val="134"/>
      </rPr>
      <t>鰧</t>
    </r>
    <r>
      <rPr>
        <sz val="14"/>
        <rFont val="MingLiU"/>
        <family val="3"/>
      </rPr>
      <t>螣栚顩</t>
    </r>
  </si>
  <si>
    <r>
      <t>廩㐭懍菻凜凜顲𤎭</t>
    </r>
    <r>
      <rPr>
        <sz val="14"/>
        <rFont val="宋体"/>
        <charset val="134"/>
      </rPr>
      <t>癛</t>
    </r>
    <r>
      <rPr>
        <sz val="14"/>
        <rFont val="MingLiU"/>
        <family val="3"/>
      </rPr>
      <t>|檁</t>
    </r>
    <r>
      <rPr>
        <sz val="14"/>
        <rFont val="宋体"/>
        <charset val="134"/>
      </rPr>
      <t>澟</t>
    </r>
  </si>
  <si>
    <r>
      <t>荏飪</t>
    </r>
    <r>
      <rPr>
        <sz val="14"/>
        <rFont val="宋体"/>
        <charset val="134"/>
      </rPr>
      <t>餁</t>
    </r>
    <r>
      <rPr>
        <sz val="14"/>
        <rFont val="MingLiU"/>
        <family val="3"/>
      </rPr>
      <t>䭃稔栠恁</t>
    </r>
    <r>
      <rPr>
        <sz val="14"/>
        <rFont val="宋体"/>
        <charset val="134"/>
      </rPr>
      <t>袵</t>
    </r>
    <r>
      <rPr>
        <sz val="14"/>
        <rFont val="MingLiU"/>
        <family val="3"/>
      </rPr>
      <t>䏕䇮棯𢆉銋腍</t>
    </r>
  </si>
  <si>
    <r>
      <t>沈邥</t>
    </r>
    <r>
      <rPr>
        <sz val="14"/>
        <rFont val="宋体"/>
        <charset val="134"/>
      </rPr>
      <t>宷</t>
    </r>
    <r>
      <rPr>
        <sz val="14"/>
        <rFont val="MingLiU"/>
        <family val="3"/>
      </rPr>
      <t>審㰂瞫諗䰼</t>
    </r>
    <r>
      <rPr>
        <sz val="14"/>
        <rFont val="宋体"/>
        <charset val="134"/>
      </rPr>
      <t>魫</t>
    </r>
    <r>
      <rPr>
        <sz val="14"/>
        <rFont val="MingLiU"/>
        <family val="3"/>
      </rPr>
      <t>淰㜤䀢𩶇𧀯|嬸|</t>
    </r>
  </si>
  <si>
    <r>
      <t>甚</t>
    </r>
    <r>
      <rPr>
        <sz val="14"/>
        <rFont val="宋体"/>
        <charset val="134"/>
      </rPr>
      <t>訦</t>
    </r>
  </si>
  <si>
    <r>
      <t>墋</t>
    </r>
    <r>
      <rPr>
        <sz val="14"/>
        <rFont val="宋体"/>
        <charset val="134"/>
      </rPr>
      <t>醦</t>
    </r>
    <r>
      <rPr>
        <sz val="14"/>
        <rFont val="MingLiU"/>
        <family val="3"/>
      </rPr>
      <t>磣</t>
    </r>
  </si>
  <si>
    <r>
      <t>噤䫴</t>
    </r>
    <r>
      <rPr>
        <sz val="14"/>
        <rFont val="宋体"/>
        <charset val="134"/>
      </rPr>
      <t>凚唫</t>
    </r>
  </si>
  <si>
    <r>
      <t>㾕</t>
    </r>
    <r>
      <rPr>
        <sz val="14"/>
        <rFont val="宋体"/>
        <charset val="134"/>
      </rPr>
      <t>瘮</t>
    </r>
    <r>
      <rPr>
        <sz val="14"/>
        <rFont val="MingLiU"/>
        <family val="3"/>
      </rPr>
      <t>槮</t>
    </r>
  </si>
  <si>
    <r>
      <t>感𥸡</t>
    </r>
    <r>
      <rPr>
        <sz val="14"/>
        <rFont val="宋体"/>
        <charset val="134"/>
      </rPr>
      <t>鱤</t>
    </r>
    <r>
      <rPr>
        <sz val="14"/>
        <rFont val="MingLiU"/>
        <family val="3"/>
      </rPr>
      <t>灝</t>
    </r>
    <r>
      <rPr>
        <sz val="14"/>
        <rFont val="宋体"/>
        <charset val="134"/>
      </rPr>
      <t>贑</t>
    </r>
    <r>
      <rPr>
        <sz val="14"/>
        <rFont val="MingLiU"/>
        <family val="3"/>
      </rPr>
      <t>䤗贛㔶𧆐䃭灨</t>
    </r>
  </si>
  <si>
    <r>
      <t>晻黭</t>
    </r>
    <r>
      <rPr>
        <sz val="14"/>
        <rFont val="宋体"/>
        <charset val="134"/>
      </rPr>
      <t>揞</t>
    </r>
    <r>
      <rPr>
        <sz val="14"/>
        <rFont val="MingLiU"/>
        <family val="3"/>
      </rPr>
      <t>唵</t>
    </r>
    <r>
      <rPr>
        <sz val="14"/>
        <rFont val="宋体"/>
        <charset val="134"/>
      </rPr>
      <t>隌罯</t>
    </r>
    <r>
      <rPr>
        <sz val="14"/>
        <rFont val="MingLiU"/>
        <family val="3"/>
      </rPr>
      <t>黤㞄</t>
    </r>
  </si>
  <si>
    <r>
      <t>慘憯朁黲㜗</t>
    </r>
    <r>
      <rPr>
        <sz val="14"/>
        <rFont val="宋体"/>
        <charset val="134"/>
      </rPr>
      <t>傪</t>
    </r>
    <r>
      <rPr>
        <sz val="14"/>
        <rFont val="MingLiU"/>
        <family val="3"/>
      </rPr>
      <t>噆䫩</t>
    </r>
  </si>
  <si>
    <r>
      <t>昝寁</t>
    </r>
    <r>
      <rPr>
        <sz val="14"/>
        <rFont val="宋体"/>
        <charset val="134"/>
      </rPr>
      <t>撍</t>
    </r>
  </si>
  <si>
    <r>
      <t>糂</t>
    </r>
    <r>
      <rPr>
        <sz val="14"/>
        <rFont val="MingLiU"/>
        <family val="3"/>
      </rPr>
      <t>糝</t>
    </r>
    <r>
      <rPr>
        <sz val="14"/>
        <rFont val="宋体"/>
        <charset val="134"/>
      </rPr>
      <t>糣</t>
    </r>
    <r>
      <rPr>
        <sz val="14"/>
        <rFont val="MingLiU"/>
        <family val="3"/>
      </rPr>
      <t>𢕕㧲槮䫩䊉</t>
    </r>
  </si>
  <si>
    <r>
      <t>坎歁</t>
    </r>
    <r>
      <rPr>
        <sz val="14"/>
        <rFont val="宋体"/>
        <charset val="134"/>
      </rPr>
      <t>惂輡</t>
    </r>
    <r>
      <rPr>
        <sz val="14"/>
        <rFont val="MingLiU"/>
        <family val="3"/>
      </rPr>
      <t>錎轗埳顑竷</t>
    </r>
    <r>
      <rPr>
        <sz val="14"/>
        <rFont val="宋体"/>
        <charset val="134"/>
      </rPr>
      <t>臽</t>
    </r>
  </si>
  <si>
    <r>
      <t>頷頜𡣊撼淊菡欿蜭涵肣𢎘𢇞𢃗</t>
    </r>
    <r>
      <rPr>
        <sz val="14"/>
        <rFont val="宋体"/>
        <charset val="134"/>
      </rPr>
      <t>莟</t>
    </r>
    <r>
      <rPr>
        <sz val="14"/>
        <rFont val="MingLiU"/>
        <family val="3"/>
      </rPr>
      <t>顄𡻡</t>
    </r>
  </si>
  <si>
    <r>
      <t>壈</t>
    </r>
    <r>
      <rPr>
        <sz val="14"/>
        <rFont val="宋体"/>
        <charset val="134"/>
      </rPr>
      <t>燷</t>
    </r>
    <r>
      <rPr>
        <sz val="14"/>
        <rFont val="MingLiU"/>
        <family val="3"/>
      </rPr>
      <t>𨎹浨醂顲𠓭纜</t>
    </r>
    <r>
      <rPr>
        <sz val="14"/>
        <rFont val="宋体"/>
        <charset val="134"/>
      </rPr>
      <t>漤</t>
    </r>
  </si>
  <si>
    <r>
      <t>黕耽𡖓衴䪴丼</t>
    </r>
    <r>
      <rPr>
        <sz val="14"/>
        <rFont val="宋体"/>
        <charset val="134"/>
      </rPr>
      <t>瓭</t>
    </r>
    <r>
      <rPr>
        <sz val="14"/>
        <rFont val="MingLiU"/>
        <family val="3"/>
      </rPr>
      <t>抌𥴶</t>
    </r>
  </si>
  <si>
    <r>
      <t>覽爁</t>
    </r>
    <r>
      <rPr>
        <sz val="14"/>
        <rFont val="宋体"/>
        <charset val="134"/>
      </rPr>
      <t>擥</t>
    </r>
    <r>
      <rPr>
        <sz val="14"/>
        <rFont val="MingLiU"/>
        <family val="3"/>
      </rPr>
      <t>攬欖</t>
    </r>
    <r>
      <rPr>
        <sz val="14"/>
        <rFont val="宋体"/>
        <charset val="134"/>
      </rPr>
      <t>罱</t>
    </r>
  </si>
  <si>
    <r>
      <t>埯</t>
    </r>
    <r>
      <rPr>
        <sz val="14"/>
        <rFont val="MingLiU"/>
        <family val="3"/>
      </rPr>
      <t>揜</t>
    </r>
  </si>
  <si>
    <r>
      <t>琰剡𨁹棪燄淡扊淊</t>
    </r>
    <r>
      <rPr>
        <sz val="14"/>
        <rFont val="宋体"/>
        <charset val="134"/>
      </rPr>
      <t>夵</t>
    </r>
    <r>
      <rPr>
        <sz val="14"/>
        <rFont val="MingLiU"/>
        <family val="3"/>
      </rPr>
      <t>䎦䌪</t>
    </r>
  </si>
  <si>
    <r>
      <t>𩑳</t>
    </r>
    <r>
      <rPr>
        <sz val="14"/>
        <rFont val="宋体"/>
        <charset val="134"/>
      </rPr>
      <t>嵰</t>
    </r>
  </si>
  <si>
    <r>
      <t>顩</t>
    </r>
    <r>
      <rPr>
        <sz val="14"/>
        <rFont val="宋体"/>
        <charset val="134"/>
      </rPr>
      <t>广</t>
    </r>
    <r>
      <rPr>
        <sz val="14"/>
        <rFont val="MingLiU"/>
        <family val="3"/>
      </rPr>
      <t>隒嬐䲓嶮噞</t>
    </r>
  </si>
  <si>
    <r>
      <t>黶𧞣</t>
    </r>
    <r>
      <rPr>
        <sz val="14"/>
        <rFont val="宋体"/>
        <charset val="134"/>
      </rPr>
      <t>檿</t>
    </r>
    <r>
      <rPr>
        <sz val="14"/>
        <rFont val="MingLiU"/>
        <family val="3"/>
      </rPr>
      <t>厭魘厴</t>
    </r>
    <r>
      <rPr>
        <sz val="14"/>
        <rFont val="宋体"/>
        <charset val="134"/>
      </rPr>
      <t>擪</t>
    </r>
    <r>
      <rPr>
        <sz val="14"/>
        <rFont val="MingLiU"/>
        <family val="3"/>
      </rPr>
      <t>酓</t>
    </r>
  </si>
  <si>
    <r>
      <t>諂</t>
    </r>
    <r>
      <rPr>
        <sz val="14"/>
        <rFont val="宋体"/>
        <charset val="134"/>
      </rPr>
      <t>讇</t>
    </r>
  </si>
  <si>
    <r>
      <t>嗛歉慊</t>
    </r>
    <r>
      <rPr>
        <sz val="14"/>
        <rFont val="宋体"/>
        <charset val="134"/>
      </rPr>
      <t>膁</t>
    </r>
  </si>
  <si>
    <r>
      <t>稴</t>
    </r>
    <r>
      <rPr>
        <sz val="14"/>
        <rFont val="MingLiU"/>
        <family val="3"/>
      </rPr>
      <t>溓𤬓</t>
    </r>
  </si>
  <si>
    <r>
      <t>𡕢</t>
    </r>
    <r>
      <rPr>
        <sz val="14"/>
        <rFont val="宋体"/>
        <charset val="134"/>
      </rPr>
      <t>厸</t>
    </r>
  </si>
  <si>
    <r>
      <t>儼</t>
    </r>
    <r>
      <rPr>
        <sz val="14"/>
        <rFont val="宋体"/>
        <charset val="134"/>
      </rPr>
      <t>广</t>
    </r>
    <r>
      <rPr>
        <sz val="14"/>
        <rFont val="MingLiU"/>
        <family val="3"/>
      </rPr>
      <t>𠆲㢂礹𢇘曮</t>
    </r>
  </si>
  <si>
    <r>
      <t>埯</t>
    </r>
    <r>
      <rPr>
        <sz val="14"/>
        <rFont val="MingLiU"/>
        <family val="3"/>
      </rPr>
      <t>𣃧</t>
    </r>
  </si>
  <si>
    <r>
      <t>豏[餡]減㺝喊㺌𡞣𥻇</t>
    </r>
    <r>
      <rPr>
        <sz val="14"/>
        <rFont val="宋体"/>
        <charset val="134"/>
      </rPr>
      <t>甉</t>
    </r>
  </si>
  <si>
    <r>
      <t>鹼(</t>
    </r>
    <r>
      <rPr>
        <sz val="14"/>
        <rFont val="宋体"/>
        <charset val="134"/>
      </rPr>
      <t>碱</t>
    </r>
    <r>
      <rPr>
        <sz val="14"/>
        <rFont val="MingLiU"/>
        <family val="3"/>
      </rPr>
      <t>)(堿)</t>
    </r>
    <r>
      <rPr>
        <sz val="14"/>
        <rFont val="宋体"/>
        <charset val="134"/>
      </rPr>
      <t>鹻</t>
    </r>
    <r>
      <rPr>
        <sz val="14"/>
        <rFont val="MingLiU"/>
        <family val="3"/>
      </rPr>
      <t>減𥳒</t>
    </r>
  </si>
  <si>
    <r>
      <t>瀺</t>
    </r>
    <r>
      <rPr>
        <sz val="14"/>
        <rFont val="宋体"/>
        <charset val="134"/>
      </rPr>
      <t>嶃</t>
    </r>
    <r>
      <rPr>
        <sz val="14"/>
        <rFont val="MingLiU"/>
        <family val="3"/>
      </rPr>
      <t>(嶄)嵁</t>
    </r>
  </si>
  <si>
    <r>
      <t>臉</t>
    </r>
    <r>
      <rPr>
        <sz val="14"/>
        <rFont val="宋体"/>
        <charset val="134"/>
      </rPr>
      <t>醶</t>
    </r>
  </si>
  <si>
    <r>
      <t>闞</t>
    </r>
    <r>
      <rPr>
        <sz val="14"/>
        <rFont val="宋体"/>
        <charset val="134"/>
      </rPr>
      <t>欦</t>
    </r>
  </si>
  <si>
    <r>
      <t>摻㺑</t>
    </r>
    <r>
      <rPr>
        <sz val="14"/>
        <rFont val="宋体"/>
        <charset val="134"/>
      </rPr>
      <t>醦</t>
    </r>
    <r>
      <rPr>
        <sz val="14"/>
        <rFont val="MingLiU"/>
        <family val="3"/>
      </rPr>
      <t>𧀵</t>
    </r>
  </si>
  <si>
    <r>
      <t>錽</t>
    </r>
    <r>
      <rPr>
        <sz val="14"/>
        <rFont val="MingLiU"/>
        <family val="3"/>
      </rPr>
      <t>𡕢𢨔</t>
    </r>
  </si>
  <si>
    <r>
      <t>送鬆</t>
    </r>
    <r>
      <rPr>
        <sz val="14"/>
        <rFont val="宋体"/>
        <charset val="134"/>
      </rPr>
      <t>凇</t>
    </r>
  </si>
  <si>
    <r>
      <t>凍!涷棟湩㼯𩭩䍶[</t>
    </r>
    <r>
      <rPr>
        <sz val="14"/>
        <rFont val="宋体"/>
        <charset val="134"/>
      </rPr>
      <t>腖</t>
    </r>
    <r>
      <rPr>
        <sz val="14"/>
        <rFont val="MingLiU"/>
        <family val="3"/>
      </rPr>
      <t>]</t>
    </r>
  </si>
  <si>
    <r>
      <t>糉</t>
    </r>
    <r>
      <rPr>
        <sz val="14"/>
        <rFont val="MingLiU"/>
        <family val="3"/>
      </rPr>
      <t>粽䁓</t>
    </r>
    <r>
      <rPr>
        <sz val="14"/>
        <rFont val="宋体"/>
        <charset val="134"/>
      </rPr>
      <t>偬</t>
    </r>
    <r>
      <rPr>
        <sz val="14"/>
        <rFont val="MingLiU"/>
        <family val="3"/>
      </rPr>
      <t>(傯)㚇</t>
    </r>
    <r>
      <rPr>
        <sz val="14"/>
        <rFont val="宋体"/>
        <charset val="134"/>
      </rPr>
      <t>鯼緵</t>
    </r>
  </si>
  <si>
    <r>
      <t>𧩪(謥)(</t>
    </r>
    <r>
      <rPr>
        <sz val="14"/>
        <rFont val="宋体"/>
        <charset val="134"/>
      </rPr>
      <t>憁</t>
    </r>
    <r>
      <rPr>
        <sz val="14"/>
        <rFont val="MingLiU"/>
        <family val="3"/>
      </rPr>
      <t>)</t>
    </r>
  </si>
  <si>
    <r>
      <t>洞恫</t>
    </r>
    <r>
      <rPr>
        <sz val="14"/>
        <rFont val="宋体"/>
        <charset val="134"/>
      </rPr>
      <t>眮</t>
    </r>
    <r>
      <rPr>
        <sz val="14"/>
        <rFont val="MingLiU"/>
        <family val="3"/>
      </rPr>
      <t>絧㓊峒詷胴慟筒駧衕迵戙㗢𩐵</t>
    </r>
  </si>
  <si>
    <r>
      <t>焪</t>
    </r>
    <r>
      <rPr>
        <sz val="14"/>
        <rFont val="MingLiU"/>
        <family val="3"/>
      </rPr>
      <t>䛪䠻</t>
    </r>
  </si>
  <si>
    <r>
      <t>哄烘港</t>
    </r>
    <r>
      <rPr>
        <sz val="14"/>
        <rFont val="宋体"/>
        <charset val="134"/>
      </rPr>
      <t>閧</t>
    </r>
    <r>
      <rPr>
        <sz val="14"/>
        <rFont val="MingLiU"/>
        <family val="3"/>
      </rPr>
      <t>蕻</t>
    </r>
  </si>
  <si>
    <r>
      <t>齈</t>
    </r>
    <r>
      <rPr>
        <sz val="14"/>
        <rFont val="宋体"/>
        <charset val="134"/>
      </rPr>
      <t>癑</t>
    </r>
  </si>
  <si>
    <r>
      <t>頌誦訟</t>
    </r>
    <r>
      <rPr>
        <sz val="14"/>
        <rFont val="宋体"/>
        <charset val="134"/>
      </rPr>
      <t>吅</t>
    </r>
  </si>
  <si>
    <r>
      <t>供</t>
    </r>
    <r>
      <rPr>
        <sz val="14"/>
        <rFont val="宋体"/>
        <charset val="134"/>
      </rPr>
      <t>龏</t>
    </r>
  </si>
  <si>
    <r>
      <t>湩堹</t>
    </r>
    <r>
      <rPr>
        <sz val="14"/>
        <rFont val="宋体"/>
        <charset val="134"/>
      </rPr>
      <t>諥</t>
    </r>
  </si>
  <si>
    <r>
      <t>蹱</t>
    </r>
    <r>
      <rPr>
        <sz val="14"/>
        <rFont val="MingLiU"/>
        <family val="3"/>
      </rPr>
      <t>憃</t>
    </r>
  </si>
  <si>
    <r>
      <t>贚</t>
    </r>
    <r>
      <rPr>
        <sz val="14"/>
        <rFont val="MingLiU"/>
        <family val="3"/>
      </rPr>
      <t>躘儱</t>
    </r>
  </si>
  <si>
    <r>
      <t>巷衖</t>
    </r>
    <r>
      <rPr>
        <sz val="14"/>
        <rFont val="宋体"/>
        <charset val="134"/>
      </rPr>
      <t>閧</t>
    </r>
  </si>
  <si>
    <r>
      <t>肨</t>
    </r>
    <r>
      <rPr>
        <sz val="14"/>
        <rFont val="MingLiU"/>
        <family val="3"/>
      </rPr>
      <t>(胖)</t>
    </r>
  </si>
  <si>
    <r>
      <t>詈荔離㿛</t>
    </r>
    <r>
      <rPr>
        <sz val="14"/>
        <rFont val="宋体"/>
        <charset val="134"/>
      </rPr>
      <t>珕</t>
    </r>
    <r>
      <rPr>
        <sz val="14"/>
        <rFont val="MingLiU"/>
        <family val="3"/>
      </rPr>
      <t>𥶾</t>
    </r>
  </si>
  <si>
    <r>
      <t>賜𧀩澌𣩠儩</t>
    </r>
    <r>
      <rPr>
        <sz val="14"/>
        <rFont val="宋体"/>
        <charset val="134"/>
      </rPr>
      <t>杫</t>
    </r>
  </si>
  <si>
    <r>
      <t>䞈垝㩻</t>
    </r>
    <r>
      <rPr>
        <sz val="14"/>
        <rFont val="宋体"/>
        <charset val="134"/>
      </rPr>
      <t>攱</t>
    </r>
    <r>
      <rPr>
        <sz val="14"/>
        <rFont val="MingLiU"/>
        <family val="3"/>
      </rPr>
      <t>𢈌</t>
    </r>
  </si>
  <si>
    <r>
      <t>帔</t>
    </r>
    <r>
      <rPr>
        <sz val="14"/>
        <rFont val="宋体"/>
        <charset val="134"/>
      </rPr>
      <t>秛</t>
    </r>
    <r>
      <rPr>
        <sz val="14"/>
        <rFont val="MingLiU"/>
        <family val="3"/>
      </rPr>
      <t>襬</t>
    </r>
  </si>
  <si>
    <r>
      <t>賁</t>
    </r>
    <r>
      <rPr>
        <sz val="14"/>
        <rFont val="宋体"/>
        <charset val="134"/>
      </rPr>
      <t>佊</t>
    </r>
    <r>
      <rPr>
        <sz val="14"/>
        <rFont val="MingLiU"/>
        <family val="3"/>
      </rPr>
      <t>詖</t>
    </r>
    <r>
      <rPr>
        <sz val="14"/>
        <rFont val="宋体"/>
        <charset val="134"/>
      </rPr>
      <t>貱</t>
    </r>
    <r>
      <rPr>
        <sz val="14"/>
        <rFont val="MingLiU"/>
        <family val="3"/>
      </rPr>
      <t>陂跛藣</t>
    </r>
  </si>
  <si>
    <r>
      <t>髲被鞁㢰</t>
    </r>
    <r>
      <rPr>
        <sz val="14"/>
        <rFont val="宋体"/>
        <charset val="134"/>
      </rPr>
      <t>旇</t>
    </r>
    <r>
      <rPr>
        <sz val="14"/>
        <rFont val="MingLiU"/>
        <family val="3"/>
      </rPr>
      <t>𤿙</t>
    </r>
  </si>
  <si>
    <r>
      <t>芰騎鬾</t>
    </r>
    <r>
      <rPr>
        <sz val="14"/>
        <rFont val="宋体"/>
        <charset val="134"/>
      </rPr>
      <t>輢</t>
    </r>
    <r>
      <rPr>
        <sz val="14"/>
        <rFont val="MingLiU"/>
        <family val="3"/>
      </rPr>
      <t>䝸㧘汥䛋</t>
    </r>
  </si>
  <si>
    <r>
      <t>議誼</t>
    </r>
    <r>
      <rPr>
        <sz val="14"/>
        <rFont val="宋体"/>
        <charset val="134"/>
      </rPr>
      <t>竩</t>
    </r>
    <r>
      <rPr>
        <sz val="14"/>
        <rFont val="MingLiU"/>
        <family val="3"/>
      </rPr>
      <t>𥫃義𩈭</t>
    </r>
  </si>
  <si>
    <r>
      <t>倚</t>
    </r>
    <r>
      <rPr>
        <sz val="14"/>
        <rFont val="宋体"/>
        <charset val="134"/>
      </rPr>
      <t>輢</t>
    </r>
    <r>
      <rPr>
        <sz val="14"/>
        <rFont val="MingLiU"/>
        <family val="3"/>
      </rPr>
      <t>陭</t>
    </r>
  </si>
  <si>
    <r>
      <t>戲</t>
    </r>
    <r>
      <rPr>
        <sz val="14"/>
        <rFont val="宋体"/>
        <charset val="134"/>
      </rPr>
      <t>嚱</t>
    </r>
  </si>
  <si>
    <r>
      <t>縊㱲</t>
    </r>
    <r>
      <rPr>
        <sz val="14"/>
        <rFont val="宋体"/>
        <charset val="134"/>
      </rPr>
      <t>螠</t>
    </r>
  </si>
  <si>
    <r>
      <t>翅</t>
    </r>
    <r>
      <rPr>
        <sz val="14"/>
        <rFont val="宋体"/>
        <charset val="134"/>
      </rPr>
      <t>翄</t>
    </r>
    <r>
      <rPr>
        <sz val="14"/>
        <rFont val="MingLiU"/>
        <family val="3"/>
      </rPr>
      <t>𦐊施</t>
    </r>
    <r>
      <rPr>
        <sz val="14"/>
        <rFont val="宋体"/>
        <charset val="134"/>
      </rPr>
      <t>馶</t>
    </r>
    <r>
      <rPr>
        <sz val="14"/>
        <rFont val="MingLiU"/>
        <family val="3"/>
      </rPr>
      <t>啻</t>
    </r>
    <r>
      <rPr>
        <sz val="14"/>
        <rFont val="宋体"/>
        <charset val="134"/>
      </rPr>
      <t>鍦</t>
    </r>
    <r>
      <rPr>
        <sz val="14"/>
        <rFont val="MingLiU"/>
        <family val="3"/>
      </rPr>
      <t>䗐䧴</t>
    </r>
    <r>
      <rPr>
        <sz val="14"/>
        <rFont val="宋体"/>
        <charset val="134"/>
      </rPr>
      <t>卶</t>
    </r>
    <r>
      <rPr>
        <sz val="14"/>
        <rFont val="MingLiU"/>
        <family val="3"/>
      </rPr>
      <t>𤖻㒾翨</t>
    </r>
  </si>
  <si>
    <r>
      <t>僞</t>
    </r>
    <r>
      <rPr>
        <sz val="14"/>
        <rFont val="MingLiU"/>
        <family val="3"/>
      </rPr>
      <t>(偽)</t>
    </r>
  </si>
  <si>
    <r>
      <t>馶</t>
    </r>
    <r>
      <rPr>
        <sz val="14"/>
        <rFont val="MingLiU"/>
        <family val="3"/>
      </rPr>
      <t>翨</t>
    </r>
  </si>
  <si>
    <r>
      <t>至摯贄鷙礩䥍</t>
    </r>
    <r>
      <rPr>
        <sz val="14"/>
        <rFont val="宋体"/>
        <charset val="134"/>
      </rPr>
      <t>鴲</t>
    </r>
    <r>
      <rPr>
        <sz val="14"/>
        <rFont val="MingLiU"/>
        <family val="3"/>
      </rPr>
      <t>懥䲀𩊝𩊞𢄢𡠗</t>
    </r>
  </si>
  <si>
    <r>
      <t>郿媚魅</t>
    </r>
    <r>
      <rPr>
        <sz val="14"/>
        <rFont val="宋体"/>
        <charset val="134"/>
      </rPr>
      <t>鬽篃</t>
    </r>
    <r>
      <rPr>
        <sz val="14"/>
        <rFont val="MingLiU"/>
        <family val="3"/>
      </rPr>
      <t>蝞嚜䉋煝娓</t>
    </r>
  </si>
  <si>
    <r>
      <t>遂彗隧襚旞璲檖𣔾𤓫𤎩燧</t>
    </r>
    <r>
      <rPr>
        <sz val="14"/>
        <rFont val="宋体"/>
        <charset val="134"/>
      </rPr>
      <t>澻</t>
    </r>
    <r>
      <rPr>
        <sz val="14"/>
        <rFont val="MingLiU"/>
        <family val="3"/>
      </rPr>
      <t>䡵鐆鐩穟𦼯蔧𦂁㒸𥝩穗䉌𩏚(𨎥)</t>
    </r>
  </si>
  <si>
    <r>
      <t>邃祟誶粹睟𠭥賥</t>
    </r>
    <r>
      <rPr>
        <sz val="14"/>
        <rFont val="宋体"/>
        <charset val="134"/>
      </rPr>
      <t>譢</t>
    </r>
    <r>
      <rPr>
        <sz val="14"/>
        <rFont val="MingLiU"/>
        <family val="3"/>
      </rPr>
      <t>𢢝</t>
    </r>
  </si>
  <si>
    <r>
      <t>類淚瓃𦝭</t>
    </r>
    <r>
      <rPr>
        <sz val="14"/>
        <rFont val="宋体"/>
        <charset val="134"/>
      </rPr>
      <t>垒</t>
    </r>
    <r>
      <rPr>
        <sz val="14"/>
        <rFont val="MingLiU"/>
        <family val="3"/>
      </rPr>
      <t>蘱纍䇐禷</t>
    </r>
  </si>
  <si>
    <r>
      <t>匱蕢臾(𠀐)饋餽𦆠櫃樻</t>
    </r>
    <r>
      <rPr>
        <sz val="14"/>
        <rFont val="宋体"/>
        <charset val="134"/>
      </rPr>
      <t>鞼</t>
    </r>
    <r>
      <rPr>
        <sz val="14"/>
        <rFont val="MingLiU"/>
        <family val="3"/>
      </rPr>
      <t>簣𩌃</t>
    </r>
  </si>
  <si>
    <r>
      <t>濞</t>
    </r>
    <r>
      <rPr>
        <sz val="14"/>
        <rFont val="宋体"/>
        <charset val="134"/>
      </rPr>
      <t>嚊</t>
    </r>
    <r>
      <rPr>
        <sz val="14"/>
        <rFont val="MingLiU"/>
        <family val="3"/>
      </rPr>
      <t>䑄㿙𦤢淠</t>
    </r>
  </si>
  <si>
    <r>
      <t>備</t>
    </r>
    <r>
      <rPr>
        <sz val="14"/>
        <rFont val="宋体"/>
        <charset val="134"/>
      </rPr>
      <t>俻</t>
    </r>
    <r>
      <rPr>
        <sz val="14"/>
        <rFont val="MingLiU"/>
        <family val="3"/>
      </rPr>
      <t>𤰇𤰈𡚤奰䑄糒犕</t>
    </r>
    <r>
      <rPr>
        <sz val="14"/>
        <rFont val="宋体"/>
        <charset val="134"/>
      </rPr>
      <t>絥鞴</t>
    </r>
    <r>
      <rPr>
        <sz val="14"/>
        <rFont val="MingLiU"/>
        <family val="3"/>
      </rPr>
      <t>韍贔𣖾㣁𩇯㸢</t>
    </r>
  </si>
  <si>
    <r>
      <t>愧!媿</t>
    </r>
    <r>
      <rPr>
        <sz val="14"/>
        <rFont val="宋体"/>
        <charset val="134"/>
      </rPr>
      <t>聭謉</t>
    </r>
    <r>
      <rPr>
        <sz val="14"/>
        <rFont val="MingLiU"/>
        <family val="3"/>
      </rPr>
      <t>騩䁛|餽螝頍</t>
    </r>
  </si>
  <si>
    <r>
      <t>喟嘳樻䯣䰎腃</t>
    </r>
    <r>
      <rPr>
        <sz val="14"/>
        <rFont val="宋体"/>
        <charset val="134"/>
      </rPr>
      <t>䙡尯</t>
    </r>
    <r>
      <rPr>
        <sz val="14"/>
        <rFont val="MingLiU"/>
        <family val="3"/>
      </rPr>
      <t>𨌗</t>
    </r>
  </si>
  <si>
    <r>
      <t>嗜𩜼醏視</t>
    </r>
    <r>
      <rPr>
        <sz val="14"/>
        <rFont val="宋体"/>
        <charset val="134"/>
      </rPr>
      <t>眎眂</t>
    </r>
  </si>
  <si>
    <r>
      <t>利𥝤䬆</t>
    </r>
    <r>
      <rPr>
        <sz val="14"/>
        <rFont val="宋体"/>
        <charset val="134"/>
      </rPr>
      <t>莅</t>
    </r>
    <r>
      <rPr>
        <sz val="14"/>
        <rFont val="MingLiU"/>
        <family val="3"/>
      </rPr>
      <t>(蒞)</t>
    </r>
    <r>
      <rPr>
        <sz val="14"/>
        <rFont val="宋体"/>
        <charset val="134"/>
      </rPr>
      <t>涖</t>
    </r>
    <r>
      <rPr>
        <sz val="14"/>
        <rFont val="MingLiU"/>
        <family val="3"/>
      </rPr>
      <t>痢䚕䇐</t>
    </r>
  </si>
  <si>
    <r>
      <t>棄</t>
    </r>
    <r>
      <rPr>
        <sz val="14"/>
        <rFont val="宋体"/>
        <charset val="134"/>
      </rPr>
      <t>弃夡</t>
    </r>
    <r>
      <rPr>
        <sz val="14"/>
        <rFont val="MingLiU"/>
        <family val="3"/>
      </rPr>
      <t>㞓蟿</t>
    </r>
  </si>
  <si>
    <r>
      <t>緻稚</t>
    </r>
    <r>
      <rPr>
        <sz val="14"/>
        <rFont val="宋体"/>
        <charset val="134"/>
      </rPr>
      <t>遟稺</t>
    </r>
    <r>
      <rPr>
        <sz val="14"/>
        <rFont val="MingLiU"/>
        <family val="3"/>
      </rPr>
      <t>𦃘𩹈治𠊷𢴧謘𩋩𦥐</t>
    </r>
  </si>
  <si>
    <r>
      <t>杘</t>
    </r>
    <r>
      <rPr>
        <sz val="14"/>
        <rFont val="MingLiU"/>
        <family val="3"/>
      </rPr>
      <t>𣐉誺𦥊</t>
    </r>
    <r>
      <rPr>
        <sz val="14"/>
        <rFont val="宋体"/>
        <charset val="134"/>
      </rPr>
      <t>訵</t>
    </r>
    <r>
      <rPr>
        <sz val="14"/>
        <rFont val="MingLiU"/>
        <family val="3"/>
      </rPr>
      <t>𡳭跮𧩼</t>
    </r>
  </si>
  <si>
    <r>
      <t>冀</t>
    </r>
    <r>
      <rPr>
        <sz val="14"/>
        <rFont val="宋体"/>
        <charset val="134"/>
      </rPr>
      <t>兾</t>
    </r>
    <r>
      <rPr>
        <sz val="14"/>
        <rFont val="MingLiU"/>
        <family val="3"/>
      </rPr>
      <t>覬穊驥𩥉洎懻</t>
    </r>
  </si>
  <si>
    <r>
      <t>臮暨鱀洎</t>
    </r>
    <r>
      <rPr>
        <sz val="14"/>
        <rFont val="宋体"/>
        <charset val="134"/>
      </rPr>
      <t>垍</t>
    </r>
    <r>
      <rPr>
        <sz val="14"/>
        <rFont val="MingLiU"/>
        <family val="3"/>
      </rPr>
      <t>塈𣽍</t>
    </r>
  </si>
  <si>
    <r>
      <t>悸𠊾</t>
    </r>
    <r>
      <rPr>
        <sz val="14"/>
        <rFont val="宋体"/>
        <charset val="134"/>
      </rPr>
      <t>猤</t>
    </r>
    <r>
      <rPr>
        <sz val="14"/>
        <rFont val="MingLiU"/>
        <family val="3"/>
      </rPr>
      <t>𡬄痵</t>
    </r>
  </si>
  <si>
    <r>
      <t>翠濢</t>
    </r>
    <r>
      <rPr>
        <sz val="14"/>
        <rFont val="宋体"/>
        <charset val="134"/>
      </rPr>
      <t>臎</t>
    </r>
  </si>
  <si>
    <r>
      <t>二</t>
    </r>
    <r>
      <rPr>
        <sz val="14"/>
        <rFont val="宋体"/>
        <charset val="134"/>
      </rPr>
      <t>弍</t>
    </r>
    <r>
      <rPr>
        <sz val="14"/>
        <rFont val="MingLiU"/>
        <family val="3"/>
      </rPr>
      <t>貳樲髶</t>
    </r>
  </si>
  <si>
    <r>
      <t>懿饐㙪欭</t>
    </r>
    <r>
      <rPr>
        <sz val="14"/>
        <rFont val="宋体"/>
        <charset val="134"/>
      </rPr>
      <t>鷧撎</t>
    </r>
    <r>
      <rPr>
        <sz val="14"/>
        <rFont val="MingLiU"/>
        <family val="3"/>
      </rPr>
      <t>亄</t>
    </r>
  </si>
  <si>
    <r>
      <t>四</t>
    </r>
    <r>
      <rPr>
        <sz val="14"/>
        <rFont val="宋体"/>
        <charset val="134"/>
      </rPr>
      <t>亖</t>
    </r>
    <r>
      <rPr>
        <sz val="14"/>
        <rFont val="MingLiU"/>
        <family val="3"/>
      </rPr>
      <t>肆𩬶柶泗</t>
    </r>
    <r>
      <rPr>
        <sz val="14"/>
        <rFont val="宋体"/>
        <charset val="134"/>
      </rPr>
      <t>牭</t>
    </r>
    <r>
      <rPr>
        <sz val="14"/>
        <rFont val="MingLiU"/>
        <family val="3"/>
      </rPr>
      <t>𧳙㣈=𨽼駟𦞤蕼肂</t>
    </r>
  </si>
  <si>
    <r>
      <t>䁤</t>
    </r>
    <r>
      <rPr>
        <sz val="14"/>
        <rFont val="宋体"/>
        <charset val="134"/>
      </rPr>
      <t>婎</t>
    </r>
    <r>
      <rPr>
        <sz val="14"/>
        <rFont val="MingLiU"/>
        <family val="3"/>
      </rPr>
      <t>睢</t>
    </r>
  </si>
  <si>
    <r>
      <t>萃</t>
    </r>
    <r>
      <rPr>
        <sz val="14"/>
        <rFont val="宋体"/>
        <charset val="134"/>
      </rPr>
      <t>顇</t>
    </r>
    <r>
      <rPr>
        <sz val="14"/>
        <rFont val="MingLiU"/>
        <family val="3"/>
      </rPr>
      <t>悴㱖䆊瘁</t>
    </r>
  </si>
  <si>
    <r>
      <t>齂㕧</t>
    </r>
    <r>
      <rPr>
        <sz val="14"/>
        <rFont val="宋体"/>
        <charset val="134"/>
      </rPr>
      <t>屓</t>
    </r>
    <r>
      <rPr>
        <sz val="14"/>
        <rFont val="MingLiU"/>
        <family val="3"/>
      </rPr>
      <t>呬𤡬䨳</t>
    </r>
  </si>
  <si>
    <r>
      <t>肄殔㡼貤勩</t>
    </r>
    <r>
      <rPr>
        <sz val="14"/>
        <rFont val="宋体"/>
        <charset val="134"/>
      </rPr>
      <t>隶</t>
    </r>
    <r>
      <rPr>
        <sz val="14"/>
        <rFont val="MingLiU"/>
        <family val="3"/>
      </rPr>
      <t>㣇𥿫</t>
    </r>
  </si>
  <si>
    <r>
      <t>示諡謚</t>
    </r>
    <r>
      <rPr>
        <sz val="14"/>
        <rFont val="宋体"/>
        <charset val="134"/>
      </rPr>
      <t>眎</t>
    </r>
    <r>
      <rPr>
        <sz val="14"/>
        <rFont val="MingLiU"/>
        <family val="3"/>
      </rPr>
      <t>貤</t>
    </r>
  </si>
  <si>
    <r>
      <t>志誌痣織識</t>
    </r>
    <r>
      <rPr>
        <sz val="14"/>
        <rFont val="宋体"/>
        <charset val="134"/>
      </rPr>
      <t>娡</t>
    </r>
    <r>
      <rPr>
        <sz val="14"/>
        <rFont val="MingLiU"/>
        <family val="3"/>
      </rPr>
      <t>䓌</t>
    </r>
  </si>
  <si>
    <r>
      <t>寺嗣=</t>
    </r>
    <r>
      <rPr>
        <sz val="14"/>
        <rFont val="宋体"/>
        <charset val="134"/>
      </rPr>
      <t>孠飤</t>
    </r>
    <r>
      <rPr>
        <sz val="14"/>
        <rFont val="MingLiU"/>
        <family val="3"/>
      </rPr>
      <t>=飼</t>
    </r>
  </si>
  <si>
    <r>
      <t>蛓=蚝=</t>
    </r>
    <r>
      <rPr>
        <sz val="14"/>
        <rFont val="宋体"/>
        <charset val="134"/>
      </rPr>
      <t>螆</t>
    </r>
    <r>
      <rPr>
        <sz val="14"/>
        <rFont val="MingLiU"/>
        <family val="3"/>
      </rPr>
      <t>=𧉠</t>
    </r>
  </si>
  <si>
    <r>
      <t>試</t>
    </r>
    <r>
      <rPr>
        <sz val="14"/>
        <rFont val="宋体"/>
        <charset val="134"/>
      </rPr>
      <t>弑</t>
    </r>
    <r>
      <rPr>
        <sz val="14"/>
        <rFont val="MingLiU"/>
        <family val="3"/>
      </rPr>
      <t>幟僿</t>
    </r>
  </si>
  <si>
    <r>
      <t>字牸孳孖</t>
    </r>
    <r>
      <rPr>
        <sz val="14"/>
        <rFont val="宋体"/>
        <charset val="134"/>
      </rPr>
      <t>茡</t>
    </r>
    <r>
      <rPr>
        <sz val="14"/>
        <rFont val="MingLiU"/>
        <family val="3"/>
      </rPr>
      <t>芓</t>
    </r>
  </si>
  <si>
    <r>
      <t>餌𩱓珥衈毦咡刵佴</t>
    </r>
    <r>
      <rPr>
        <sz val="14"/>
        <rFont val="宋体"/>
        <charset val="134"/>
      </rPr>
      <t>誀</t>
    </r>
    <r>
      <rPr>
        <sz val="14"/>
        <rFont val="MingLiU"/>
        <family val="3"/>
      </rPr>
      <t>洱䎶㛅䏪䣵眲𦖢</t>
    </r>
  </si>
  <si>
    <r>
      <t>侍蒔=</t>
    </r>
    <r>
      <rPr>
        <sz val="14"/>
        <rFont val="宋体"/>
        <charset val="134"/>
      </rPr>
      <t>秲</t>
    </r>
  </si>
  <si>
    <r>
      <t>忌𨙬惎䋟鱀鵋𧳙誋諅</t>
    </r>
    <r>
      <rPr>
        <sz val="14"/>
        <rFont val="宋体"/>
        <charset val="134"/>
      </rPr>
      <t>梞畁帺</t>
    </r>
    <r>
      <rPr>
        <sz val="14"/>
        <rFont val="MingLiU"/>
        <family val="3"/>
      </rPr>
      <t>𥭜</t>
    </r>
  </si>
  <si>
    <r>
      <t>熾饎𩜮</t>
    </r>
    <r>
      <rPr>
        <sz val="14"/>
        <rFont val="宋体"/>
        <charset val="134"/>
      </rPr>
      <t>糦</t>
    </r>
    <r>
      <rPr>
        <sz val="14"/>
        <rFont val="MingLiU"/>
        <family val="3"/>
      </rPr>
      <t>幟𢨒哆埴</t>
    </r>
  </si>
  <si>
    <r>
      <t>憙</t>
    </r>
    <r>
      <rPr>
        <sz val="14"/>
        <rFont val="MingLiU"/>
        <family val="3"/>
      </rPr>
      <t>嬉</t>
    </r>
  </si>
  <si>
    <r>
      <t>䰯㘈㽈儗</t>
    </r>
    <r>
      <rPr>
        <sz val="14"/>
        <rFont val="宋体"/>
        <charset val="134"/>
      </rPr>
      <t>豙</t>
    </r>
    <r>
      <rPr>
        <sz val="14"/>
        <rFont val="MingLiU"/>
        <family val="3"/>
      </rPr>
      <t>譺</t>
    </r>
  </si>
  <si>
    <r>
      <t>胃謂㥜媦𦩝緯</t>
    </r>
    <r>
      <rPr>
        <sz val="14"/>
        <rFont val="宋体"/>
        <charset val="134"/>
      </rPr>
      <t>彚</t>
    </r>
    <r>
      <rPr>
        <sz val="14"/>
        <rFont val="MingLiU"/>
        <family val="3"/>
      </rPr>
      <t>(彙)蝟渭煟𩹂𨾂</t>
    </r>
    <r>
      <rPr>
        <sz val="14"/>
        <rFont val="宋体"/>
        <charset val="134"/>
      </rPr>
      <t>緭</t>
    </r>
    <r>
      <rPr>
        <sz val="14"/>
        <rFont val="MingLiU"/>
        <family val="3"/>
      </rPr>
      <t>𢍚𦳢䬑圍</t>
    </r>
  </si>
  <si>
    <r>
      <t>費</t>
    </r>
    <r>
      <rPr>
        <sz val="14"/>
        <rFont val="宋体"/>
        <charset val="134"/>
      </rPr>
      <t>髴靅</t>
    </r>
    <r>
      <rPr>
        <sz val="14"/>
        <rFont val="MingLiU"/>
        <family val="3"/>
      </rPr>
      <t>𣙿昲䊧</t>
    </r>
  </si>
  <si>
    <r>
      <t>尉㷉熨慰畏罻犚蔚</t>
    </r>
    <r>
      <rPr>
        <sz val="14"/>
        <rFont val="宋体"/>
        <charset val="134"/>
      </rPr>
      <t>螱</t>
    </r>
    <r>
      <rPr>
        <sz val="14"/>
        <rFont val="MingLiU"/>
        <family val="3"/>
      </rPr>
      <t>𧕈褽䲁</t>
    </r>
  </si>
  <si>
    <r>
      <t>諱卉芔</t>
    </r>
    <r>
      <rPr>
        <sz val="14"/>
        <rFont val="宋体"/>
        <charset val="134"/>
      </rPr>
      <t>泋</t>
    </r>
  </si>
  <si>
    <r>
      <t>旣</t>
    </r>
    <r>
      <rPr>
        <sz val="14"/>
        <rFont val="MingLiU"/>
        <family val="3"/>
      </rPr>
      <t>(既)</t>
    </r>
    <r>
      <rPr>
        <sz val="14"/>
        <rFont val="宋体"/>
        <charset val="134"/>
      </rPr>
      <t>曁</t>
    </r>
    <r>
      <rPr>
        <sz val="14"/>
        <rFont val="MingLiU"/>
        <family val="3"/>
      </rPr>
      <t>(暨)禨</t>
    </r>
    <r>
      <rPr>
        <sz val="14"/>
        <rFont val="宋体"/>
        <charset val="134"/>
      </rPr>
      <t>漑</t>
    </r>
    <r>
      <rPr>
        <sz val="14"/>
        <rFont val="MingLiU"/>
        <family val="3"/>
      </rPr>
      <t>(溉)𣢆旡蔇</t>
    </r>
  </si>
  <si>
    <r>
      <t>毅𢖫</t>
    </r>
    <r>
      <rPr>
        <sz val="14"/>
        <rFont val="宋体"/>
        <charset val="134"/>
      </rPr>
      <t>豙</t>
    </r>
    <r>
      <rPr>
        <sz val="14"/>
        <rFont val="MingLiU"/>
        <family val="3"/>
      </rPr>
      <t>𧅙藙</t>
    </r>
    <r>
      <rPr>
        <sz val="14"/>
        <rFont val="宋体"/>
        <charset val="134"/>
      </rPr>
      <t>顡</t>
    </r>
    <r>
      <rPr>
        <sz val="14"/>
        <rFont val="MingLiU"/>
        <family val="3"/>
      </rPr>
      <t>藙</t>
    </r>
  </si>
  <si>
    <r>
      <t>氣</t>
    </r>
    <r>
      <rPr>
        <sz val="14"/>
        <rFont val="宋体"/>
        <charset val="134"/>
      </rPr>
      <t>炁</t>
    </r>
    <r>
      <rPr>
        <sz val="14"/>
        <rFont val="MingLiU"/>
        <family val="3"/>
      </rPr>
      <t>气[汽]盵䀈</t>
    </r>
  </si>
  <si>
    <r>
      <t>欷唏塈愾氣餼䊠鎎𢟪熂黖</t>
    </r>
    <r>
      <rPr>
        <sz val="14"/>
        <rFont val="宋体"/>
        <charset val="134"/>
      </rPr>
      <t>霼</t>
    </r>
    <r>
      <rPr>
        <sz val="14"/>
        <rFont val="MingLiU"/>
        <family val="3"/>
      </rPr>
      <t>摡䀈𧱲䮎</t>
    </r>
    <r>
      <rPr>
        <sz val="14"/>
        <rFont val="宋体"/>
        <charset val="134"/>
      </rPr>
      <t>犔</t>
    </r>
    <r>
      <rPr>
        <sz val="14"/>
        <rFont val="MingLiU"/>
        <family val="3"/>
      </rPr>
      <t>忥</t>
    </r>
  </si>
  <si>
    <r>
      <t>慮勴鑢</t>
    </r>
    <r>
      <rPr>
        <sz val="14"/>
        <rFont val="宋体"/>
        <charset val="134"/>
      </rPr>
      <t>櫖</t>
    </r>
    <r>
      <rPr>
        <sz val="14"/>
        <rFont val="MingLiU"/>
        <family val="3"/>
      </rPr>
      <t>𠣊𥶌𡾅𩥆𦊼</t>
    </r>
  </si>
  <si>
    <r>
      <t>覰</t>
    </r>
    <r>
      <rPr>
        <sz val="14"/>
        <rFont val="MingLiU"/>
        <family val="3"/>
      </rPr>
      <t>(覷)蜡䁦刞</t>
    </r>
    <r>
      <rPr>
        <sz val="14"/>
        <rFont val="宋体"/>
        <charset val="134"/>
      </rPr>
      <t>坥</t>
    </r>
    <r>
      <rPr>
        <sz val="14"/>
        <rFont val="MingLiU"/>
        <family val="3"/>
      </rPr>
      <t>䏣</t>
    </r>
  </si>
  <si>
    <r>
      <t>恕庶㵂</t>
    </r>
    <r>
      <rPr>
        <sz val="14"/>
        <rFont val="宋体"/>
        <charset val="134"/>
      </rPr>
      <t>樜</t>
    </r>
  </si>
  <si>
    <r>
      <t>䟽(疏</t>
    </r>
    <r>
      <rPr>
        <sz val="14"/>
        <rFont val="宋体"/>
        <charset val="134"/>
      </rPr>
      <t>踈疎</t>
    </r>
    <r>
      <rPr>
        <sz val="14"/>
        <rFont val="MingLiU"/>
        <family val="3"/>
      </rPr>
      <t>)</t>
    </r>
    <r>
      <rPr>
        <sz val="14"/>
        <rFont val="宋体"/>
        <charset val="134"/>
      </rPr>
      <t>捒</t>
    </r>
    <r>
      <rPr>
        <sz val="14"/>
        <rFont val="MingLiU"/>
        <family val="3"/>
      </rPr>
      <t>㫹</t>
    </r>
  </si>
  <si>
    <r>
      <t>箸</t>
    </r>
    <r>
      <rPr>
        <sz val="14"/>
        <rFont val="宋体"/>
        <charset val="134"/>
      </rPr>
      <t>筯</t>
    </r>
    <r>
      <rPr>
        <sz val="14"/>
        <rFont val="MingLiU"/>
        <family val="3"/>
      </rPr>
      <t>除㾻</t>
    </r>
  </si>
  <si>
    <r>
      <t>遽詎醵</t>
    </r>
    <r>
      <rPr>
        <sz val="14"/>
        <rFont val="宋体"/>
        <charset val="134"/>
      </rPr>
      <t>勮</t>
    </r>
    <r>
      <rPr>
        <sz val="14"/>
        <rFont val="MingLiU"/>
        <family val="3"/>
      </rPr>
      <t>澽</t>
    </r>
  </si>
  <si>
    <r>
      <t>預!豫 譽譽𩦡輿鸒悆𪋮𣝑藇蕷</t>
    </r>
    <r>
      <rPr>
        <sz val="14"/>
        <rFont val="宋体"/>
        <charset val="134"/>
      </rPr>
      <t>穥</t>
    </r>
    <r>
      <rPr>
        <sz val="14"/>
        <rFont val="MingLiU"/>
        <family val="3"/>
      </rPr>
      <t>𡱣</t>
    </r>
    <r>
      <rPr>
        <sz val="14"/>
        <rFont val="宋体"/>
        <charset val="134"/>
      </rPr>
      <t>忬</t>
    </r>
    <r>
      <rPr>
        <sz val="14"/>
        <rFont val="MingLiU"/>
        <family val="3"/>
      </rPr>
      <t>歟悇與澦𡒊</t>
    </r>
  </si>
  <si>
    <r>
      <t>遇寓</t>
    </r>
    <r>
      <rPr>
        <sz val="14"/>
        <rFont val="宋体"/>
        <charset val="134"/>
      </rPr>
      <t>媀</t>
    </r>
    <r>
      <rPr>
        <sz val="14"/>
        <rFont val="MingLiU"/>
        <family val="3"/>
      </rPr>
      <t>禺𤸒䴁</t>
    </r>
    <r>
      <rPr>
        <sz val="14"/>
        <rFont val="宋体"/>
        <charset val="134"/>
      </rPr>
      <t>庽</t>
    </r>
  </si>
  <si>
    <r>
      <t>附</t>
    </r>
    <r>
      <rPr>
        <sz val="14"/>
        <rFont val="宋体"/>
        <charset val="134"/>
      </rPr>
      <t>坿袝</t>
    </r>
    <r>
      <rPr>
        <sz val="14"/>
        <rFont val="MingLiU"/>
        <family val="3"/>
      </rPr>
      <t>賻駙鮒蚹跗𠪻胕鮒</t>
    </r>
  </si>
  <si>
    <r>
      <t>注疰罜㹥鑄馵註炷澍</t>
    </r>
    <r>
      <rPr>
        <sz val="14"/>
        <rFont val="宋体"/>
        <charset val="134"/>
      </rPr>
      <t>霔</t>
    </r>
    <r>
      <rPr>
        <sz val="14"/>
        <rFont val="MingLiU"/>
        <family val="3"/>
      </rPr>
      <t>㺛䎷祩𠴦䪒蛀</t>
    </r>
  </si>
  <si>
    <r>
      <t>屨句蒟瞿</t>
    </r>
    <r>
      <rPr>
        <sz val="14"/>
        <rFont val="宋体"/>
        <charset val="134"/>
      </rPr>
      <t>邭</t>
    </r>
    <r>
      <rPr>
        <sz val="14"/>
        <rFont val="MingLiU"/>
        <family val="3"/>
      </rPr>
      <t>䀠怐𥉁䈮絇</t>
    </r>
  </si>
  <si>
    <r>
      <t>赴𠓗䞯䎷</t>
    </r>
    <r>
      <rPr>
        <sz val="14"/>
        <rFont val="宋体"/>
        <charset val="134"/>
      </rPr>
      <t>豧</t>
    </r>
    <r>
      <rPr>
        <sz val="14"/>
        <rFont val="MingLiU"/>
        <family val="3"/>
      </rPr>
      <t>簠訃䞳仆䟔</t>
    </r>
    <r>
      <rPr>
        <sz val="14"/>
        <rFont val="宋体"/>
        <charset val="134"/>
      </rPr>
      <t>婏</t>
    </r>
  </si>
  <si>
    <r>
      <t>務婺霧</t>
    </r>
    <r>
      <rPr>
        <sz val="14"/>
        <rFont val="宋体"/>
        <charset val="134"/>
      </rPr>
      <t>霚</t>
    </r>
    <r>
      <rPr>
        <sz val="14"/>
        <rFont val="MingLiU"/>
        <family val="3"/>
      </rPr>
      <t>騖𦎦䨁蝥𨂣𦆞㡔</t>
    </r>
    <r>
      <rPr>
        <sz val="14"/>
        <rFont val="宋体"/>
        <charset val="134"/>
      </rPr>
      <t>嵍敄</t>
    </r>
    <r>
      <rPr>
        <sz val="14"/>
        <rFont val="MingLiU"/>
        <family val="3"/>
      </rPr>
      <t>鶩</t>
    </r>
  </si>
  <si>
    <r>
      <t>埾</t>
    </r>
    <r>
      <rPr>
        <sz val="14"/>
        <rFont val="MingLiU"/>
        <family val="3"/>
      </rPr>
      <t>聚</t>
    </r>
  </si>
  <si>
    <r>
      <t>捒</t>
    </r>
    <r>
      <rPr>
        <sz val="14"/>
        <rFont val="MingLiU"/>
        <family val="3"/>
      </rPr>
      <t>數㡏</t>
    </r>
  </si>
  <si>
    <r>
      <t>付賦傅</t>
    </r>
    <r>
      <rPr>
        <sz val="14"/>
        <rFont val="宋体"/>
        <charset val="134"/>
      </rPr>
      <t>陚</t>
    </r>
    <r>
      <rPr>
        <sz val="14"/>
        <rFont val="MingLiU"/>
        <family val="3"/>
      </rPr>
      <t>𩬙搏[咐]</t>
    </r>
  </si>
  <si>
    <r>
      <t>路露潞輅鷺璐賂簬</t>
    </r>
    <r>
      <rPr>
        <sz val="14"/>
        <rFont val="宋体"/>
        <charset val="134"/>
      </rPr>
      <t>虂簵</t>
    </r>
    <r>
      <rPr>
        <sz val="14"/>
        <rFont val="MingLiU"/>
        <family val="3"/>
      </rPr>
      <t>𤻱=㿖𦌕</t>
    </r>
  </si>
  <si>
    <r>
      <t>妬</t>
    </r>
    <r>
      <rPr>
        <sz val="14"/>
        <rFont val="MingLiU"/>
        <family val="3"/>
      </rPr>
      <t>!妒秅=秺奼𤴱𦘴㓃𤴱蠹=</t>
    </r>
    <r>
      <rPr>
        <sz val="14"/>
        <rFont val="宋体"/>
        <charset val="134"/>
      </rPr>
      <t>螙殬</t>
    </r>
    <r>
      <rPr>
        <sz val="14"/>
        <rFont val="MingLiU"/>
        <family val="3"/>
      </rPr>
      <t>斁</t>
    </r>
  </si>
  <si>
    <r>
      <t>顧</t>
    </r>
    <r>
      <rPr>
        <sz val="14"/>
        <rFont val="宋体"/>
        <charset val="134"/>
      </rPr>
      <t>頋</t>
    </r>
    <r>
      <rPr>
        <sz val="14"/>
        <rFont val="MingLiU"/>
        <family val="3"/>
      </rPr>
      <t>雇稒故酤沽痼固錮</t>
    </r>
    <r>
      <rPr>
        <sz val="14"/>
        <rFont val="宋体"/>
        <charset val="134"/>
      </rPr>
      <t>鯝</t>
    </r>
    <r>
      <rPr>
        <sz val="14"/>
        <rFont val="MingLiU"/>
        <family val="3"/>
      </rPr>
      <t>㽽䍛棝凅</t>
    </r>
  </si>
  <si>
    <r>
      <t>誤</t>
    </r>
    <r>
      <rPr>
        <sz val="14"/>
        <rFont val="宋体"/>
        <charset val="134"/>
      </rPr>
      <t>悮</t>
    </r>
    <r>
      <rPr>
        <sz val="14"/>
        <rFont val="MingLiU"/>
        <family val="3"/>
      </rPr>
      <t>寤忤啎迕晤悟逜</t>
    </r>
    <r>
      <rPr>
        <sz val="14"/>
        <rFont val="宋体"/>
        <charset val="134"/>
      </rPr>
      <t>窹</t>
    </r>
    <r>
      <rPr>
        <sz val="14"/>
        <rFont val="MingLiU"/>
        <family val="3"/>
      </rPr>
      <t>捂娛遻䎸[牾]</t>
    </r>
  </si>
  <si>
    <r>
      <t>護瓠互枑韄冱嫭頀濩䨼</t>
    </r>
    <r>
      <rPr>
        <sz val="14"/>
        <rFont val="宋体"/>
        <charset val="134"/>
      </rPr>
      <t>鱯</t>
    </r>
    <r>
      <rPr>
        <sz val="14"/>
        <rFont val="MingLiU"/>
        <family val="3"/>
      </rPr>
      <t>婟擭䇘𧥮𦊂𦬚</t>
    </r>
  </si>
  <si>
    <r>
      <t>訴愬𧪜泝(溯)</t>
    </r>
    <r>
      <rPr>
        <sz val="14"/>
        <rFont val="宋体"/>
        <charset val="134"/>
      </rPr>
      <t>遡</t>
    </r>
    <r>
      <rPr>
        <sz val="14"/>
        <rFont val="MingLiU"/>
        <family val="3"/>
      </rPr>
      <t>素傃嗉膆𤤐</t>
    </r>
    <r>
      <rPr>
        <sz val="14"/>
        <rFont val="宋体"/>
        <charset val="134"/>
      </rPr>
      <t>塐</t>
    </r>
    <r>
      <rPr>
        <sz val="14"/>
        <rFont val="MingLiU"/>
        <family val="3"/>
      </rPr>
      <t>塑䛾𤢘㨞|愫|</t>
    </r>
  </si>
  <si>
    <r>
      <t>祚胙阼</t>
    </r>
    <r>
      <rPr>
        <sz val="14"/>
        <rFont val="宋体"/>
        <charset val="134"/>
      </rPr>
      <t>飵</t>
    </r>
    <r>
      <rPr>
        <sz val="14"/>
        <rFont val="MingLiU"/>
        <family val="3"/>
      </rPr>
      <t>𧃘𧇣</t>
    </r>
    <r>
      <rPr>
        <sz val="14"/>
        <rFont val="宋体"/>
        <charset val="134"/>
      </rPr>
      <t>秨</t>
    </r>
  </si>
  <si>
    <r>
      <t>怖</t>
    </r>
    <r>
      <rPr>
        <sz val="14"/>
        <rFont val="宋体"/>
        <charset val="134"/>
      </rPr>
      <t>悑</t>
    </r>
    <r>
      <rPr>
        <sz val="14"/>
        <rFont val="MingLiU"/>
        <family val="3"/>
      </rPr>
      <t>鋪誧𤸵</t>
    </r>
  </si>
  <si>
    <r>
      <t>絝袴</t>
    </r>
    <r>
      <rPr>
        <sz val="14"/>
        <rFont val="MingLiU"/>
        <family val="3"/>
      </rPr>
      <t>(褲)庫胯苦跨䔯</t>
    </r>
  </si>
  <si>
    <r>
      <t>步[埠]!捕哺</t>
    </r>
    <r>
      <rPr>
        <sz val="14"/>
        <rFont val="宋体"/>
        <charset val="134"/>
      </rPr>
      <t>鞴</t>
    </r>
    <r>
      <rPr>
        <sz val="14"/>
        <rFont val="MingLiU"/>
        <family val="3"/>
      </rPr>
      <t>餔</t>
    </r>
    <r>
      <rPr>
        <sz val="14"/>
        <rFont val="宋体"/>
        <charset val="134"/>
      </rPr>
      <t>鮬</t>
    </r>
    <r>
      <rPr>
        <sz val="14"/>
        <rFont val="MingLiU"/>
        <family val="3"/>
      </rPr>
      <t>𩣝䒀𨛒鵏𤸵</t>
    </r>
    <r>
      <rPr>
        <sz val="14"/>
        <rFont val="宋体"/>
        <charset val="134"/>
      </rPr>
      <t>荹</t>
    </r>
    <r>
      <rPr>
        <sz val="14"/>
        <rFont val="MingLiU"/>
        <family val="3"/>
      </rPr>
      <t>𩢕</t>
    </r>
  </si>
  <si>
    <r>
      <t>帝諦嚏啑柢蔕(蒂)疐</t>
    </r>
    <r>
      <rPr>
        <sz val="14"/>
        <rFont val="宋体"/>
        <charset val="134"/>
      </rPr>
      <t>骶</t>
    </r>
    <r>
      <rPr>
        <sz val="14"/>
        <rFont val="MingLiU"/>
        <family val="3"/>
      </rPr>
      <t>螮蝃</t>
    </r>
    <r>
      <rPr>
        <sz val="14"/>
        <rFont val="宋体"/>
        <charset val="134"/>
      </rPr>
      <t>摕</t>
    </r>
    <r>
      <rPr>
        <sz val="14"/>
        <rFont val="MingLiU"/>
        <family val="3"/>
      </rPr>
      <t>𦨢䠠</t>
    </r>
    <r>
      <rPr>
        <sz val="14"/>
        <rFont val="宋体"/>
        <charset val="134"/>
      </rPr>
      <t>僀</t>
    </r>
    <r>
      <rPr>
        <sz val="14"/>
        <rFont val="MingLiU"/>
        <family val="3"/>
      </rPr>
      <t>𢰂䟡𤬵</t>
    </r>
    <r>
      <rPr>
        <sz val="14"/>
        <rFont val="宋体"/>
        <charset val="134"/>
      </rPr>
      <t>偙腣趆</t>
    </r>
    <r>
      <rPr>
        <sz val="14"/>
        <rFont val="MingLiU"/>
        <family val="3"/>
      </rPr>
      <t>蝭䩚渧</t>
    </r>
  </si>
  <si>
    <r>
      <t>替𤾕</t>
    </r>
    <r>
      <rPr>
        <sz val="14"/>
        <rFont val="宋体"/>
        <charset val="134"/>
      </rPr>
      <t>暜</t>
    </r>
    <r>
      <rPr>
        <sz val="14"/>
        <rFont val="MingLiU"/>
        <family val="3"/>
      </rPr>
      <t>㬱</t>
    </r>
    <r>
      <rPr>
        <sz val="14"/>
        <rFont val="宋体"/>
        <charset val="134"/>
      </rPr>
      <t>鬀</t>
    </r>
    <r>
      <rPr>
        <sz val="14"/>
        <rFont val="MingLiU"/>
        <family val="3"/>
      </rPr>
      <t>剃</t>
    </r>
    <r>
      <rPr>
        <sz val="14"/>
        <rFont val="宋体"/>
        <charset val="134"/>
      </rPr>
      <t>戻</t>
    </r>
    <r>
      <rPr>
        <sz val="14"/>
        <rFont val="MingLiU"/>
        <family val="3"/>
      </rPr>
      <t>𣧂楴涕洟䎮𡲕[屜]</t>
    </r>
    <r>
      <rPr>
        <sz val="14"/>
        <rFont val="宋体"/>
        <charset val="134"/>
      </rPr>
      <t>达</t>
    </r>
    <r>
      <rPr>
        <sz val="14"/>
        <rFont val="MingLiU"/>
        <family val="3"/>
      </rPr>
      <t>薙𢝹𧛒殢𣤖𥫵</t>
    </r>
  </si>
  <si>
    <r>
      <t>第弟遰</t>
    </r>
    <r>
      <rPr>
        <sz val="14"/>
        <rFont val="宋体"/>
        <charset val="134"/>
      </rPr>
      <t>髢鬀</t>
    </r>
    <r>
      <rPr>
        <sz val="14"/>
        <rFont val="MingLiU"/>
        <family val="3"/>
      </rPr>
      <t>締睇悌娣禘軑釱鷤棣杕_xD860_踶題遞𧡨㣇</t>
    </r>
    <r>
      <rPr>
        <sz val="14"/>
        <rFont val="宋体"/>
        <charset val="134"/>
      </rPr>
      <t>摕</t>
    </r>
    <r>
      <rPr>
        <sz val="14"/>
        <rFont val="MingLiU"/>
        <family val="3"/>
      </rPr>
      <t>𧫚</t>
    </r>
    <r>
      <rPr>
        <sz val="14"/>
        <rFont val="宋体"/>
        <charset val="134"/>
      </rPr>
      <t>慸</t>
    </r>
    <r>
      <rPr>
        <sz val="14"/>
        <rFont val="MingLiU"/>
        <family val="3"/>
      </rPr>
      <t>鯷𪂿墆𥶛逮𢰂</t>
    </r>
  </si>
  <si>
    <r>
      <t>砌切𥉻妻</t>
    </r>
    <r>
      <rPr>
        <sz val="14"/>
        <rFont val="宋体"/>
        <charset val="134"/>
      </rPr>
      <t>摖</t>
    </r>
    <r>
      <rPr>
        <sz val="14"/>
        <rFont val="MingLiU"/>
        <family val="3"/>
      </rPr>
      <t>䏅䀙𦕀</t>
    </r>
  </si>
  <si>
    <r>
      <t>細些栖</t>
    </r>
    <r>
      <rPr>
        <sz val="14"/>
        <rFont val="宋体"/>
        <charset val="134"/>
      </rPr>
      <t>壻</t>
    </r>
    <r>
      <rPr>
        <sz val="14"/>
        <rFont val="MingLiU"/>
        <family val="3"/>
      </rPr>
      <t>(婿)𥿳𣳦</t>
    </r>
  </si>
  <si>
    <r>
      <t>計係繼繫薊髻𨜒檕</t>
    </r>
    <r>
      <rPr>
        <sz val="14"/>
        <rFont val="宋体"/>
        <charset val="134"/>
      </rPr>
      <t>檵</t>
    </r>
    <r>
      <rPr>
        <sz val="14"/>
        <rFont val="MingLiU"/>
        <family val="3"/>
      </rPr>
      <t>蘻轚㲅</t>
    </r>
  </si>
  <si>
    <r>
      <t>蒵</t>
    </r>
    <r>
      <rPr>
        <sz val="14"/>
        <rFont val="MingLiU"/>
        <family val="3"/>
      </rPr>
      <t>䐼𦝜系𦃟妎禊繫瘛慀㨙盻䦏</t>
    </r>
    <r>
      <rPr>
        <sz val="14"/>
        <rFont val="宋体"/>
        <charset val="134"/>
      </rPr>
      <t>稧</t>
    </r>
  </si>
  <si>
    <r>
      <t>翳曀枍㥷㝣㙠殪</t>
    </r>
    <r>
      <rPr>
        <sz val="14"/>
        <rFont val="宋体"/>
        <charset val="134"/>
      </rPr>
      <t>瞖医</t>
    </r>
    <r>
      <rPr>
        <sz val="14"/>
        <rFont val="MingLiU"/>
        <family val="3"/>
      </rPr>
      <t>𢟇蘙縊豷繄㙪𧬇</t>
    </r>
    <r>
      <rPr>
        <sz val="14"/>
        <rFont val="宋体"/>
        <charset val="134"/>
      </rPr>
      <t>殹</t>
    </r>
  </si>
  <si>
    <r>
      <t>閉</t>
    </r>
    <r>
      <rPr>
        <sz val="14"/>
        <rFont val="宋体"/>
        <charset val="134"/>
      </rPr>
      <t>閇</t>
    </r>
    <r>
      <rPr>
        <sz val="14"/>
        <rFont val="MingLiU"/>
        <family val="3"/>
      </rPr>
      <t>㪏嬖箅</t>
    </r>
  </si>
  <si>
    <r>
      <t>慧憓潓惠蟪蕙橞繐㩨</t>
    </r>
    <r>
      <rPr>
        <sz val="14"/>
        <rFont val="宋体"/>
        <charset val="134"/>
      </rPr>
      <t>儶</t>
    </r>
    <r>
      <rPr>
        <sz val="14"/>
        <rFont val="MingLiU"/>
        <family val="3"/>
      </rPr>
      <t>譓鏸𦒎</t>
    </r>
  </si>
  <si>
    <r>
      <t>嘒</t>
    </r>
    <r>
      <rPr>
        <sz val="14"/>
        <rFont val="宋体"/>
        <charset val="134"/>
      </rPr>
      <t>嚖暳</t>
    </r>
  </si>
  <si>
    <r>
      <t>媲䠘睥</t>
    </r>
    <r>
      <rPr>
        <sz val="14"/>
        <rFont val="宋体"/>
        <charset val="134"/>
      </rPr>
      <t>渒</t>
    </r>
    <r>
      <rPr>
        <sz val="14"/>
        <rFont val="MingLiU"/>
        <family val="3"/>
      </rPr>
      <t>濞𣹮𠞇</t>
    </r>
  </si>
  <si>
    <r>
      <t>薜䥍𥴬𨢡𣘥|</t>
    </r>
    <r>
      <rPr>
        <sz val="14"/>
        <rFont val="宋体"/>
        <charset val="134"/>
      </rPr>
      <t>鐾</t>
    </r>
    <r>
      <rPr>
        <sz val="14"/>
        <rFont val="MingLiU"/>
        <family val="3"/>
      </rPr>
      <t>|</t>
    </r>
  </si>
  <si>
    <r>
      <t>麗戾㑦隸</t>
    </r>
    <r>
      <rPr>
        <sz val="14"/>
        <rFont val="宋体"/>
        <charset val="134"/>
      </rPr>
      <t>隷</t>
    </r>
    <r>
      <rPr>
        <sz val="14"/>
        <rFont val="MingLiU"/>
        <family val="3"/>
      </rPr>
      <t>儷𥃏綟劙𠠫唳蜧䓞沴荔捩欐𤃀𥶾</t>
    </r>
    <r>
      <rPr>
        <sz val="14"/>
        <rFont val="宋体"/>
        <charset val="134"/>
      </rPr>
      <t>涖</t>
    </r>
    <r>
      <rPr>
        <sz val="14"/>
        <rFont val="MingLiU"/>
        <family val="3"/>
      </rPr>
      <t>悷</t>
    </r>
    <r>
      <rPr>
        <sz val="14"/>
        <rFont val="宋体"/>
        <charset val="134"/>
      </rPr>
      <t>栛丽</t>
    </r>
    <r>
      <rPr>
        <sz val="14"/>
        <rFont val="MingLiU"/>
        <family val="3"/>
      </rPr>
      <t>蜦㸚</t>
    </r>
    <r>
      <rPr>
        <sz val="14"/>
        <rFont val="宋体"/>
        <charset val="134"/>
      </rPr>
      <t>珕</t>
    </r>
    <r>
      <rPr>
        <sz val="14"/>
        <rFont val="MingLiU"/>
        <family val="3"/>
      </rPr>
      <t>𣛒㿛𧢮䕻𩘡離𣟌</t>
    </r>
  </si>
  <si>
    <r>
      <t>泥</t>
    </r>
    <r>
      <rPr>
        <sz val="14"/>
        <rFont val="宋体"/>
        <charset val="134"/>
      </rPr>
      <t>埿</t>
    </r>
    <r>
      <rPr>
        <sz val="14"/>
        <rFont val="MingLiU"/>
        <family val="3"/>
      </rPr>
      <t>𢤇迡濘</t>
    </r>
  </si>
  <si>
    <r>
      <t>歲</t>
    </r>
    <r>
      <rPr>
        <sz val="14"/>
        <rFont val="宋体"/>
        <charset val="134"/>
      </rPr>
      <t>櫘</t>
    </r>
    <r>
      <rPr>
        <sz val="14"/>
        <rFont val="MingLiU"/>
        <family val="3"/>
      </rPr>
      <t>𦄑繐</t>
    </r>
  </si>
  <si>
    <r>
      <t>衞</t>
    </r>
    <r>
      <rPr>
        <sz val="14"/>
        <rFont val="MingLiU"/>
        <family val="3"/>
      </rPr>
      <t>(衛)</t>
    </r>
    <r>
      <rPr>
        <sz val="14"/>
        <rFont val="宋体"/>
        <charset val="134"/>
      </rPr>
      <t>軎轊璏</t>
    </r>
    <r>
      <rPr>
        <sz val="14"/>
        <rFont val="MingLiU"/>
        <family val="3"/>
      </rPr>
      <t>𥶽𧲝𧲔槥彗㦣</t>
    </r>
    <r>
      <rPr>
        <sz val="14"/>
        <rFont val="宋体"/>
        <charset val="134"/>
      </rPr>
      <t>讏</t>
    </r>
    <r>
      <rPr>
        <sz val="14"/>
        <rFont val="MingLiU"/>
        <family val="3"/>
      </rPr>
      <t>𤜂</t>
    </r>
    <r>
      <rPr>
        <sz val="14"/>
        <rFont val="宋体"/>
        <charset val="134"/>
      </rPr>
      <t>熭</t>
    </r>
  </si>
  <si>
    <r>
      <t>芮汭枘</t>
    </r>
    <r>
      <rPr>
        <sz val="14"/>
        <rFont val="宋体"/>
        <charset val="134"/>
      </rPr>
      <t>蜹笍</t>
    </r>
    <r>
      <rPr>
        <sz val="14"/>
        <rFont val="MingLiU"/>
        <family val="3"/>
      </rPr>
      <t>鈉</t>
    </r>
  </si>
  <si>
    <r>
      <t>脆!毳</t>
    </r>
    <r>
      <rPr>
        <sz val="14"/>
        <rFont val="宋体"/>
        <charset val="134"/>
      </rPr>
      <t>韢脃</t>
    </r>
    <r>
      <rPr>
        <sz val="14"/>
        <rFont val="MingLiU"/>
        <family val="3"/>
      </rPr>
      <t>膬帨竁𣃍𧑎㓹㯔𤂳</t>
    </r>
  </si>
  <si>
    <r>
      <t>銳銴叡睿䓲</t>
    </r>
    <r>
      <rPr>
        <sz val="14"/>
        <rFont val="宋体"/>
        <charset val="134"/>
      </rPr>
      <t>蜹</t>
    </r>
  </si>
  <si>
    <r>
      <t>綴醊畷</t>
    </r>
    <r>
      <rPr>
        <sz val="14"/>
        <rFont val="宋体"/>
        <charset val="134"/>
      </rPr>
      <t>笍</t>
    </r>
    <r>
      <rPr>
        <sz val="14"/>
        <rFont val="MingLiU"/>
        <family val="3"/>
      </rPr>
      <t>䄌啜餟腏錣</t>
    </r>
    <r>
      <rPr>
        <sz val="14"/>
        <rFont val="宋体"/>
        <charset val="134"/>
      </rPr>
      <t>卂</t>
    </r>
    <r>
      <rPr>
        <sz val="14"/>
        <rFont val="MingLiU"/>
        <family val="3"/>
      </rPr>
      <t>輟</t>
    </r>
  </si>
  <si>
    <r>
      <t>篲𥱵鏏彗𪔊槥</t>
    </r>
    <r>
      <rPr>
        <sz val="14"/>
        <rFont val="宋体"/>
        <charset val="134"/>
      </rPr>
      <t>軎轊</t>
    </r>
    <r>
      <rPr>
        <sz val="14"/>
        <rFont val="MingLiU"/>
        <family val="3"/>
      </rPr>
      <t>𢅫</t>
    </r>
  </si>
  <si>
    <r>
      <t>掣瘛懘痸𤸪𢜳</t>
    </r>
    <r>
      <rPr>
        <sz val="14"/>
        <rFont val="宋体"/>
        <charset val="134"/>
      </rPr>
      <t>銐</t>
    </r>
    <r>
      <rPr>
        <sz val="14"/>
        <rFont val="MingLiU"/>
        <family val="3"/>
      </rPr>
      <t>𤢻</t>
    </r>
  </si>
  <si>
    <r>
      <t>曵</t>
    </r>
    <r>
      <rPr>
        <sz val="14"/>
        <rFont val="MingLiU"/>
        <family val="3"/>
      </rPr>
      <t>(曳)裔𤤺勩泄洩𤵺䎈枻詍𢘽𦒎靾跇𠂆</t>
    </r>
    <r>
      <rPr>
        <sz val="14"/>
        <rFont val="宋体"/>
        <charset val="134"/>
      </rPr>
      <t>袣</t>
    </r>
    <r>
      <rPr>
        <sz val="14"/>
        <rFont val="MingLiU"/>
        <family val="3"/>
      </rPr>
      <t>䄿𪀕㵝㑜抴㛳䇩㹭</t>
    </r>
    <r>
      <rPr>
        <sz val="14"/>
        <rFont val="宋体"/>
        <charset val="134"/>
      </rPr>
      <t>丿</t>
    </r>
    <r>
      <rPr>
        <sz val="14"/>
        <rFont val="MingLiU"/>
        <family val="3"/>
      </rPr>
      <t>㵩𢂼</t>
    </r>
    <r>
      <rPr>
        <sz val="14"/>
        <rFont val="宋体"/>
        <charset val="134"/>
      </rPr>
      <t>呭</t>
    </r>
    <r>
      <rPr>
        <sz val="14"/>
        <rFont val="MingLiU"/>
        <family val="3"/>
      </rPr>
      <t>䕍</t>
    </r>
  </si>
  <si>
    <r>
      <t>藝埶蓺囈䆿㦣槸</t>
    </r>
    <r>
      <rPr>
        <sz val="14"/>
        <rFont val="宋体"/>
        <charset val="134"/>
      </rPr>
      <t>褹</t>
    </r>
  </si>
  <si>
    <r>
      <t>滯彘蹛</t>
    </r>
    <r>
      <rPr>
        <sz val="14"/>
        <rFont val="宋体"/>
        <charset val="134"/>
      </rPr>
      <t>銐璏</t>
    </r>
    <r>
      <rPr>
        <sz val="14"/>
        <rFont val="MingLiU"/>
        <family val="3"/>
      </rPr>
      <t>𩻼𦭮</t>
    </r>
  </si>
  <si>
    <r>
      <t>例厲礪勵禲癘㾐鮤濿砅蠣</t>
    </r>
    <r>
      <rPr>
        <sz val="14"/>
        <rFont val="宋体"/>
        <charset val="134"/>
      </rPr>
      <t>蠇櫔</t>
    </r>
    <r>
      <rPr>
        <sz val="14"/>
        <rFont val="MingLiU"/>
        <family val="3"/>
      </rPr>
      <t>𩧃䮋䅀𥣭𧸱糲</t>
    </r>
    <r>
      <rPr>
        <sz val="14"/>
        <rFont val="宋体"/>
        <charset val="134"/>
      </rPr>
      <t>巁</t>
    </r>
    <r>
      <rPr>
        <sz val="14"/>
        <rFont val="MingLiU"/>
        <family val="3"/>
      </rPr>
      <t>犡栵𢂥𢤆洌</t>
    </r>
  </si>
  <si>
    <r>
      <t>丗</t>
    </r>
    <r>
      <rPr>
        <sz val="14"/>
        <rFont val="MingLiU"/>
        <family val="3"/>
      </rPr>
      <t>(世)勢貰</t>
    </r>
  </si>
  <si>
    <r>
      <t>猘𦇧罽𣯅瀱訐</t>
    </r>
    <r>
      <rPr>
        <sz val="14"/>
        <rFont val="宋体"/>
        <charset val="134"/>
      </rPr>
      <t>彐</t>
    </r>
    <r>
      <rPr>
        <sz val="14"/>
        <rFont val="MingLiU"/>
        <family val="3"/>
      </rPr>
      <t>蘮</t>
    </r>
  </si>
  <si>
    <r>
      <t>跇𧼪傺𢘽</t>
    </r>
    <r>
      <rPr>
        <sz val="14"/>
        <rFont val="宋体"/>
        <charset val="134"/>
      </rPr>
      <t>慸</t>
    </r>
    <r>
      <rPr>
        <sz val="14"/>
        <rFont val="MingLiU"/>
        <family val="3"/>
      </rPr>
      <t>㑜䀸䚢揥䟷𨂰𥉻</t>
    </r>
  </si>
  <si>
    <r>
      <t>太!泰忕汰[</t>
    </r>
    <r>
      <rPr>
        <sz val="14"/>
        <rFont val="宋体"/>
        <charset val="134"/>
      </rPr>
      <t>酞</t>
    </r>
    <r>
      <rPr>
        <sz val="14"/>
        <rFont val="MingLiU"/>
        <family val="3"/>
      </rPr>
      <t>]</t>
    </r>
  </si>
  <si>
    <r>
      <t>蓋</t>
    </r>
    <r>
      <rPr>
        <sz val="14"/>
        <rFont val="宋体"/>
        <charset val="134"/>
      </rPr>
      <t>匃</t>
    </r>
    <r>
      <rPr>
        <sz val="14"/>
        <rFont val="MingLiU"/>
        <family val="3"/>
      </rPr>
      <t>丐[鈣]</t>
    </r>
  </si>
  <si>
    <r>
      <t>藹</t>
    </r>
    <r>
      <rPr>
        <sz val="14"/>
        <rFont val="宋体"/>
        <charset val="134"/>
      </rPr>
      <t>馤</t>
    </r>
    <r>
      <rPr>
        <sz val="14"/>
        <rFont val="MingLiU"/>
        <family val="3"/>
      </rPr>
      <t>靄曖壒𣋞𣩱𢣏䔽𪕭</t>
    </r>
  </si>
  <si>
    <r>
      <t>兌)!</t>
    </r>
    <r>
      <rPr>
        <sz val="14"/>
        <rFont val="宋体"/>
        <charset val="134"/>
      </rPr>
      <t>兊綐</t>
    </r>
    <r>
      <rPr>
        <sz val="14"/>
        <rFont val="MingLiU"/>
        <family val="3"/>
      </rPr>
      <t>銳𩊭㟋</t>
    </r>
  </si>
  <si>
    <r>
      <t>儈膾鱠襘禬檜旝</t>
    </r>
    <r>
      <rPr>
        <sz val="14"/>
        <rFont val="宋体"/>
        <charset val="134"/>
      </rPr>
      <t>巜</t>
    </r>
    <r>
      <rPr>
        <sz val="14"/>
        <rFont val="MingLiU"/>
        <family val="3"/>
      </rPr>
      <t>澮鄶廥䯤鬠劊會䐴𢶒獪</t>
    </r>
  </si>
  <si>
    <r>
      <t>酹</t>
    </r>
    <r>
      <rPr>
        <sz val="14"/>
        <rFont val="宋体"/>
        <charset val="134"/>
      </rPr>
      <t>頪</t>
    </r>
    <r>
      <rPr>
        <sz val="14"/>
        <rFont val="MingLiU"/>
        <family val="3"/>
      </rPr>
      <t>㲕䬽㱻</t>
    </r>
  </si>
  <si>
    <r>
      <t>懀</t>
    </r>
    <r>
      <rPr>
        <sz val="14"/>
        <rFont val="MingLiU"/>
        <family val="3"/>
      </rPr>
      <t>濊薈</t>
    </r>
    <r>
      <rPr>
        <sz val="14"/>
        <rFont val="宋体"/>
        <charset val="134"/>
      </rPr>
      <t>嬒</t>
    </r>
    <r>
      <rPr>
        <sz val="14"/>
        <rFont val="MingLiU"/>
        <family val="3"/>
      </rPr>
      <t>䶐瞺䵳</t>
    </r>
  </si>
  <si>
    <r>
      <t>襊</t>
    </r>
    <r>
      <rPr>
        <sz val="14"/>
        <rFont val="MingLiU"/>
        <family val="3"/>
      </rPr>
      <t>𨅎𥨒</t>
    </r>
  </si>
  <si>
    <r>
      <t>賴籟癩瀨糲䄤藾䓶犡䲚𨇆㸊</t>
    </r>
    <r>
      <rPr>
        <sz val="14"/>
        <rFont val="宋体"/>
        <charset val="134"/>
      </rPr>
      <t>鵣</t>
    </r>
    <r>
      <rPr>
        <sz val="14"/>
        <rFont val="MingLiU"/>
        <family val="3"/>
      </rPr>
      <t>𡂖</t>
    </r>
  </si>
  <si>
    <r>
      <t>蛻!</t>
    </r>
    <r>
      <rPr>
        <sz val="14"/>
        <rFont val="宋体"/>
        <charset val="134"/>
      </rPr>
      <t>娧</t>
    </r>
    <r>
      <rPr>
        <sz val="14"/>
        <rFont val="MingLiU"/>
        <family val="3"/>
      </rPr>
      <t>駾毻裞</t>
    </r>
  </si>
  <si>
    <r>
      <t>畫詿罣絓澅</t>
    </r>
    <r>
      <rPr>
        <sz val="14"/>
        <rFont val="宋体"/>
        <charset val="134"/>
      </rPr>
      <t>黊</t>
    </r>
    <r>
      <rPr>
        <sz val="14"/>
        <rFont val="MingLiU"/>
        <family val="3"/>
      </rPr>
      <t>繣纗孈</t>
    </r>
  </si>
  <si>
    <r>
      <t>差瘥衩杈</t>
    </r>
    <r>
      <rPr>
        <sz val="14"/>
        <rFont val="宋体"/>
        <charset val="134"/>
      </rPr>
      <t>訍</t>
    </r>
    <r>
      <rPr>
        <sz val="14"/>
        <rFont val="MingLiU"/>
        <family val="3"/>
      </rPr>
      <t>㳗𧪘</t>
    </r>
  </si>
  <si>
    <r>
      <t>㾹</t>
    </r>
    <r>
      <rPr>
        <sz val="14"/>
        <rFont val="宋体"/>
        <charset val="134"/>
      </rPr>
      <t>眦</t>
    </r>
  </si>
  <si>
    <r>
      <t>膪</t>
    </r>
    <r>
      <rPr>
        <sz val="14"/>
        <rFont val="MingLiU"/>
        <family val="3"/>
      </rPr>
      <t>𢕮</t>
    </r>
  </si>
  <si>
    <r>
      <t>怪壞</t>
    </r>
    <r>
      <rPr>
        <sz val="14"/>
        <rFont val="宋体"/>
        <charset val="134"/>
      </rPr>
      <t>恠</t>
    </r>
    <r>
      <rPr>
        <sz val="14"/>
        <rFont val="MingLiU"/>
        <family val="3"/>
      </rPr>
      <t>𥑋𦳋𣀤𡌪㧔</t>
    </r>
  </si>
  <si>
    <r>
      <t>誡戒界介</t>
    </r>
    <r>
      <rPr>
        <sz val="14"/>
        <rFont val="宋体"/>
        <charset val="134"/>
      </rPr>
      <t>届</t>
    </r>
    <r>
      <rPr>
        <sz val="14"/>
        <rFont val="MingLiU"/>
        <family val="3"/>
      </rPr>
      <t>(屆)疥玠㝏㠹砎</t>
    </r>
    <r>
      <rPr>
        <sz val="14"/>
        <rFont val="宋体"/>
        <charset val="134"/>
      </rPr>
      <t>魪</t>
    </r>
    <r>
      <rPr>
        <sz val="14"/>
        <rFont val="MingLiU"/>
        <family val="3"/>
      </rPr>
      <t>尬价䯰悈䲸艐䁓芥</t>
    </r>
    <r>
      <rPr>
        <sz val="14"/>
        <rFont val="宋体"/>
        <charset val="134"/>
      </rPr>
      <t>衸丯</t>
    </r>
    <r>
      <rPr>
        <sz val="14"/>
        <rFont val="MingLiU"/>
        <family val="3"/>
      </rPr>
      <t>𠨴𩡺|蚧</t>
    </r>
  </si>
  <si>
    <r>
      <t>譮</t>
    </r>
    <r>
      <rPr>
        <sz val="14"/>
        <rFont val="MingLiU"/>
        <family val="3"/>
      </rPr>
      <t>欸㖑齂</t>
    </r>
    <r>
      <rPr>
        <sz val="14"/>
        <rFont val="宋体"/>
        <charset val="134"/>
      </rPr>
      <t>噧</t>
    </r>
    <r>
      <rPr>
        <sz val="14"/>
        <rFont val="MingLiU"/>
        <family val="3"/>
      </rPr>
      <t>䜕㞒𢗊𡘌</t>
    </r>
  </si>
  <si>
    <r>
      <t>械䪥薤齘䦏瀣㒠韰𤡧</t>
    </r>
    <r>
      <rPr>
        <sz val="14"/>
        <rFont val="宋体"/>
        <charset val="134"/>
      </rPr>
      <t>衸</t>
    </r>
    <r>
      <rPr>
        <sz val="14"/>
        <rFont val="MingLiU"/>
        <family val="3"/>
      </rPr>
      <t>㳦</t>
    </r>
  </si>
  <si>
    <r>
      <t>蒯喟嬇㕟䈛簣嘳蕢</t>
    </r>
    <r>
      <rPr>
        <sz val="14"/>
        <rFont val="宋体"/>
        <charset val="134"/>
      </rPr>
      <t>墤</t>
    </r>
    <r>
      <rPr>
        <sz val="14"/>
        <rFont val="MingLiU"/>
        <family val="3"/>
      </rPr>
      <t>(塊)</t>
    </r>
  </si>
  <si>
    <r>
      <t>𧱳</t>
    </r>
    <r>
      <rPr>
        <sz val="14"/>
        <rFont val="宋体"/>
        <charset val="134"/>
      </rPr>
      <t>躛</t>
    </r>
    <r>
      <rPr>
        <sz val="14"/>
        <rFont val="MingLiU"/>
        <family val="3"/>
      </rPr>
      <t>𣟉𣸎咶</t>
    </r>
  </si>
  <si>
    <r>
      <t>邁勱䜕</t>
    </r>
    <r>
      <rPr>
        <sz val="14"/>
        <rFont val="宋体"/>
        <charset val="134"/>
      </rPr>
      <t>佅</t>
    </r>
  </si>
  <si>
    <r>
      <t>敗唄</t>
    </r>
    <r>
      <rPr>
        <sz val="14"/>
        <rFont val="宋体"/>
        <charset val="134"/>
      </rPr>
      <t>贁</t>
    </r>
    <r>
      <rPr>
        <sz val="14"/>
        <rFont val="MingLiU"/>
        <family val="3"/>
      </rPr>
      <t>䢙</t>
    </r>
  </si>
  <si>
    <r>
      <t>䵳䶐</t>
    </r>
    <r>
      <rPr>
        <sz val="14"/>
        <rFont val="宋体"/>
        <charset val="134"/>
      </rPr>
      <t>懀</t>
    </r>
  </si>
  <si>
    <r>
      <t>蠆</t>
    </r>
    <r>
      <rPr>
        <sz val="14"/>
        <rFont val="宋体"/>
        <charset val="134"/>
      </rPr>
      <t>慸</t>
    </r>
  </si>
  <si>
    <r>
      <t>隊䨴薱憝</t>
    </r>
    <r>
      <rPr>
        <sz val="14"/>
        <rFont val="宋体"/>
        <charset val="134"/>
      </rPr>
      <t>憞</t>
    </r>
    <r>
      <rPr>
        <sz val="14"/>
        <rFont val="MingLiU"/>
        <family val="3"/>
      </rPr>
      <t>譈鐓錞䃍䯟𩐌濧</t>
    </r>
  </si>
  <si>
    <r>
      <t>佩珮孛鄁邶偝誖悖背㻗𢂤</t>
    </r>
    <r>
      <rPr>
        <sz val="14"/>
        <rFont val="宋体"/>
        <charset val="134"/>
      </rPr>
      <t>苝</t>
    </r>
    <r>
      <rPr>
        <sz val="14"/>
        <rFont val="MingLiU"/>
        <family val="3"/>
      </rPr>
      <t>|焙|</t>
    </r>
  </si>
  <si>
    <r>
      <t>配妃胐</t>
    </r>
    <r>
      <rPr>
        <sz val="14"/>
        <rFont val="宋体"/>
        <charset val="134"/>
      </rPr>
      <t>嶏</t>
    </r>
  </si>
  <si>
    <r>
      <t>誨悔晦𠧩</t>
    </r>
    <r>
      <rPr>
        <sz val="14"/>
        <rFont val="宋体"/>
        <charset val="134"/>
      </rPr>
      <t>靧頮</t>
    </r>
    <r>
      <rPr>
        <sz val="14"/>
        <rFont val="MingLiU"/>
        <family val="3"/>
      </rPr>
      <t>秏痗𩔁</t>
    </r>
    <r>
      <rPr>
        <sz val="14"/>
        <rFont val="宋体"/>
        <charset val="134"/>
      </rPr>
      <t>詯</t>
    </r>
    <r>
      <rPr>
        <sz val="14"/>
        <rFont val="MingLiU"/>
        <family val="3"/>
      </rPr>
      <t>𣴵</t>
    </r>
  </si>
  <si>
    <r>
      <t>憒幗</t>
    </r>
    <r>
      <rPr>
        <sz val="14"/>
        <rFont val="宋体"/>
        <charset val="134"/>
      </rPr>
      <t>刏</t>
    </r>
    <r>
      <rPr>
        <sz val="14"/>
        <rFont val="MingLiU"/>
        <family val="3"/>
      </rPr>
      <t>慖䵋䐴簂䈐𪏤蔮</t>
    </r>
  </si>
  <si>
    <r>
      <t>潰迴繢嬇</t>
    </r>
    <r>
      <rPr>
        <sz val="14"/>
        <rFont val="宋体"/>
        <charset val="134"/>
      </rPr>
      <t>殨</t>
    </r>
    <r>
      <rPr>
        <sz val="14"/>
        <rFont val="MingLiU"/>
        <family val="3"/>
      </rPr>
      <t>闠䔇螝</t>
    </r>
    <r>
      <rPr>
        <sz val="14"/>
        <rFont val="宋体"/>
        <charset val="134"/>
      </rPr>
      <t>詯膭</t>
    </r>
    <r>
      <rPr>
        <sz val="14"/>
        <rFont val="MingLiU"/>
        <family val="3"/>
      </rPr>
      <t>僓䜋䛛</t>
    </r>
  </si>
  <si>
    <r>
      <t>塊</t>
    </r>
    <r>
      <rPr>
        <sz val="14"/>
        <rFont val="宋体"/>
        <charset val="134"/>
      </rPr>
      <t>凷</t>
    </r>
    <r>
      <rPr>
        <sz val="14"/>
        <rFont val="MingLiU"/>
        <family val="3"/>
      </rPr>
      <t>堁</t>
    </r>
  </si>
  <si>
    <r>
      <t>内</t>
    </r>
    <r>
      <rPr>
        <sz val="14"/>
        <rFont val="MingLiU"/>
        <family val="3"/>
      </rPr>
      <t>(內)</t>
    </r>
  </si>
  <si>
    <r>
      <t>纇耒儽(累)</t>
    </r>
    <r>
      <rPr>
        <sz val="14"/>
        <rFont val="宋体"/>
        <charset val="134"/>
      </rPr>
      <t>攂</t>
    </r>
    <r>
      <rPr>
        <sz val="14"/>
        <rFont val="MingLiU"/>
        <family val="3"/>
      </rPr>
      <t>酹蘱㔣䒹𥣬𡔇礧䣂銇</t>
    </r>
    <r>
      <rPr>
        <sz val="14"/>
        <rFont val="宋体"/>
        <charset val="134"/>
      </rPr>
      <t>錑</t>
    </r>
    <r>
      <rPr>
        <sz val="14"/>
        <rFont val="MingLiU"/>
        <family val="3"/>
      </rPr>
      <t>|檑</t>
    </r>
  </si>
  <si>
    <r>
      <t>代岱黛</t>
    </r>
    <r>
      <rPr>
        <sz val="14"/>
        <rFont val="宋体"/>
        <charset val="134"/>
      </rPr>
      <t>黱</t>
    </r>
    <r>
      <rPr>
        <sz val="14"/>
        <rFont val="MingLiU"/>
        <family val="3"/>
      </rPr>
      <t>逮</t>
    </r>
    <r>
      <rPr>
        <sz val="14"/>
        <rFont val="宋体"/>
        <charset val="134"/>
      </rPr>
      <t>帒</t>
    </r>
    <r>
      <rPr>
        <sz val="14"/>
        <rFont val="MingLiU"/>
        <family val="3"/>
      </rPr>
      <t>袋</t>
    </r>
    <r>
      <rPr>
        <sz val="14"/>
        <rFont val="宋体"/>
        <charset val="134"/>
      </rPr>
      <t>甙瑇</t>
    </r>
    <r>
      <rPr>
        <sz val="14"/>
        <rFont val="MingLiU"/>
        <family val="3"/>
      </rPr>
      <t>(玳)靆埭𨠾𡍖|</t>
    </r>
    <r>
      <rPr>
        <sz val="14"/>
        <rFont val="宋体"/>
        <charset val="134"/>
      </rPr>
      <t>隶</t>
    </r>
    <r>
      <rPr>
        <sz val="14"/>
        <rFont val="MingLiU"/>
        <family val="3"/>
      </rPr>
      <t>|</t>
    </r>
  </si>
  <si>
    <r>
      <t>賽塞</t>
    </r>
    <r>
      <rPr>
        <sz val="14"/>
        <rFont val="宋体"/>
        <charset val="134"/>
      </rPr>
      <t>簺</t>
    </r>
    <r>
      <rPr>
        <sz val="14"/>
        <rFont val="MingLiU"/>
        <family val="3"/>
      </rPr>
      <t>𢞝</t>
    </r>
  </si>
  <si>
    <r>
      <t>貸儓態</t>
    </r>
    <r>
      <rPr>
        <sz val="14"/>
        <rFont val="宋体"/>
        <charset val="134"/>
      </rPr>
      <t>曃</t>
    </r>
  </si>
  <si>
    <r>
      <t>漑</t>
    </r>
    <r>
      <rPr>
        <sz val="14"/>
        <rFont val="MingLiU"/>
        <family val="3"/>
      </rPr>
      <t>(溉)</t>
    </r>
    <r>
      <rPr>
        <sz val="14"/>
        <rFont val="宋体"/>
        <charset val="134"/>
      </rPr>
      <t>槩</t>
    </r>
    <r>
      <rPr>
        <sz val="14"/>
        <rFont val="MingLiU"/>
        <family val="3"/>
      </rPr>
      <t>(</t>
    </r>
    <r>
      <rPr>
        <sz val="14"/>
        <rFont val="宋体"/>
        <charset val="134"/>
      </rPr>
      <t>槪</t>
    </r>
    <r>
      <rPr>
        <sz val="14"/>
        <rFont val="MingLiU"/>
        <family val="3"/>
      </rPr>
      <t>概)摡𠌰㧉㕢</t>
    </r>
  </si>
  <si>
    <r>
      <t>慨愾欬鎧闓</t>
    </r>
    <r>
      <rPr>
        <sz val="14"/>
        <rFont val="宋体"/>
        <charset val="134"/>
      </rPr>
      <t>嘅</t>
    </r>
  </si>
  <si>
    <r>
      <t>礙</t>
    </r>
    <r>
      <rPr>
        <sz val="14"/>
        <rFont val="宋体"/>
        <charset val="134"/>
      </rPr>
      <t>硋</t>
    </r>
    <r>
      <rPr>
        <sz val="14"/>
        <rFont val="MingLiU"/>
        <family val="3"/>
      </rPr>
      <t>䙷閡儗</t>
    </r>
    <r>
      <rPr>
        <sz val="14"/>
        <rFont val="宋体"/>
        <charset val="134"/>
      </rPr>
      <t>懝</t>
    </r>
    <r>
      <rPr>
        <sz val="14"/>
        <rFont val="MingLiU"/>
        <family val="3"/>
      </rPr>
      <t>𥝌</t>
    </r>
  </si>
  <si>
    <r>
      <t>賚萊睞徠</t>
    </r>
    <r>
      <rPr>
        <sz val="14"/>
        <rFont val="宋体"/>
        <charset val="134"/>
      </rPr>
      <t>逨勑</t>
    </r>
    <r>
      <rPr>
        <sz val="14"/>
        <rFont val="MingLiU"/>
        <family val="3"/>
      </rPr>
      <t>㾢䚅誺</t>
    </r>
  </si>
  <si>
    <r>
      <t>廢疿</t>
    </r>
    <r>
      <rPr>
        <sz val="14"/>
        <rFont val="宋体"/>
        <charset val="134"/>
      </rPr>
      <t>橃</t>
    </r>
    <r>
      <rPr>
        <sz val="14"/>
        <rFont val="MingLiU"/>
        <family val="3"/>
      </rPr>
      <t>𤼺袚𥳊䉬䚨砩</t>
    </r>
  </si>
  <si>
    <r>
      <t>肺</t>
    </r>
    <r>
      <rPr>
        <sz val="14"/>
        <rFont val="宋体"/>
        <charset val="134"/>
      </rPr>
      <t>杮</t>
    </r>
    <r>
      <rPr>
        <sz val="14"/>
        <rFont val="MingLiU"/>
        <family val="3"/>
      </rPr>
      <t>㤄䑔</t>
    </r>
  </si>
  <si>
    <r>
      <t>信訊</t>
    </r>
    <r>
      <rPr>
        <sz val="14"/>
        <rFont val="宋体"/>
        <charset val="134"/>
      </rPr>
      <t>訙</t>
    </r>
    <r>
      <rPr>
        <sz val="14"/>
        <rFont val="MingLiU"/>
        <family val="3"/>
      </rPr>
      <t>迅囟</t>
    </r>
    <r>
      <rPr>
        <sz val="14"/>
        <rFont val="宋体"/>
        <charset val="134"/>
      </rPr>
      <t>顖卂</t>
    </r>
    <r>
      <rPr>
        <sz val="14"/>
        <rFont val="MingLiU"/>
        <family val="3"/>
      </rPr>
      <t>汛𤜢</t>
    </r>
    <r>
      <rPr>
        <sz val="14"/>
        <rFont val="宋体"/>
        <charset val="134"/>
      </rPr>
      <t>奞</t>
    </r>
    <r>
      <rPr>
        <sz val="14"/>
        <rFont val="MingLiU"/>
        <family val="3"/>
      </rPr>
      <t>阠</t>
    </r>
  </si>
  <si>
    <r>
      <t>刃認肕韌仞軔牣</t>
    </r>
    <r>
      <rPr>
        <sz val="14"/>
        <rFont val="宋体"/>
        <charset val="134"/>
      </rPr>
      <t>杒</t>
    </r>
    <r>
      <rPr>
        <sz val="14"/>
        <rFont val="MingLiU"/>
        <family val="3"/>
      </rPr>
      <t>訒𢂻䀼</t>
    </r>
  </si>
  <si>
    <r>
      <t>胤酳靷引𣌾</t>
    </r>
    <r>
      <rPr>
        <sz val="14"/>
        <rFont val="宋体"/>
        <charset val="134"/>
      </rPr>
      <t>濥</t>
    </r>
    <r>
      <rPr>
        <sz val="14"/>
        <rFont val="MingLiU"/>
        <family val="3"/>
      </rPr>
      <t>䏖𢯼</t>
    </r>
    <r>
      <rPr>
        <sz val="14"/>
        <rFont val="宋体"/>
        <charset val="134"/>
      </rPr>
      <t>洕</t>
    </r>
    <r>
      <rPr>
        <sz val="14"/>
        <rFont val="MingLiU"/>
        <family val="3"/>
      </rPr>
      <t>鈏𨋙</t>
    </r>
  </si>
  <si>
    <r>
      <t>遴吝</t>
    </r>
    <r>
      <rPr>
        <sz val="14"/>
        <rFont val="宋体"/>
        <charset val="134"/>
      </rPr>
      <t>悋</t>
    </r>
    <r>
      <rPr>
        <sz val="14"/>
        <rFont val="MingLiU"/>
        <family val="3"/>
      </rPr>
      <t>磷閵𥳞</t>
    </r>
    <r>
      <rPr>
        <sz val="14"/>
        <rFont val="宋体"/>
        <charset val="134"/>
      </rPr>
      <t>粦</t>
    </r>
    <r>
      <rPr>
        <sz val="14"/>
        <rFont val="MingLiU"/>
        <family val="3"/>
      </rPr>
      <t>燐藺</t>
    </r>
    <r>
      <rPr>
        <sz val="14"/>
        <rFont val="宋体"/>
        <charset val="134"/>
      </rPr>
      <t>轥</t>
    </r>
    <r>
      <rPr>
        <sz val="14"/>
        <rFont val="MingLiU"/>
        <family val="3"/>
      </rPr>
      <t>轔䗲𩕔𠄈</t>
    </r>
    <r>
      <rPr>
        <sz val="14"/>
        <rFont val="宋体"/>
        <charset val="134"/>
      </rPr>
      <t>麐</t>
    </r>
    <r>
      <rPr>
        <sz val="14"/>
        <rFont val="MingLiU"/>
        <family val="3"/>
      </rPr>
      <t>䉮𦺸瞵橉鏻甐𧶆𧖔𤌎疄</t>
    </r>
    <r>
      <rPr>
        <sz val="14"/>
        <rFont val="宋体"/>
        <charset val="134"/>
      </rPr>
      <t>撛</t>
    </r>
    <r>
      <rPr>
        <sz val="14"/>
        <rFont val="MingLiU"/>
        <family val="3"/>
      </rPr>
      <t>㔂</t>
    </r>
    <r>
      <rPr>
        <sz val="14"/>
        <rFont val="宋体"/>
        <charset val="134"/>
      </rPr>
      <t>躙</t>
    </r>
    <r>
      <rPr>
        <sz val="14"/>
        <rFont val="MingLiU"/>
        <family val="3"/>
      </rPr>
      <t>(躪)</t>
    </r>
  </si>
  <si>
    <r>
      <t>愼</t>
    </r>
    <r>
      <rPr>
        <sz val="14"/>
        <rFont val="MingLiU"/>
        <family val="3"/>
      </rPr>
      <t>(慎)</t>
    </r>
    <r>
      <rPr>
        <sz val="14"/>
        <rFont val="宋体"/>
        <charset val="134"/>
      </rPr>
      <t>昚</t>
    </r>
    <r>
      <rPr>
        <sz val="14"/>
        <rFont val="MingLiU"/>
        <family val="3"/>
      </rPr>
      <t>蜃</t>
    </r>
  </si>
  <si>
    <r>
      <t>菣𧼒</t>
    </r>
    <r>
      <rPr>
        <sz val="14"/>
        <rFont val="宋体"/>
        <charset val="134"/>
      </rPr>
      <t>臤</t>
    </r>
  </si>
  <si>
    <r>
      <t>憗</t>
    </r>
    <r>
      <rPr>
        <sz val="14"/>
        <rFont val="MingLiU"/>
        <family val="3"/>
      </rPr>
      <t>猌垽</t>
    </r>
  </si>
  <si>
    <r>
      <t>晉㬜搢縉䗯進枃</t>
    </r>
    <r>
      <rPr>
        <sz val="14"/>
        <rFont val="宋体"/>
        <charset val="134"/>
      </rPr>
      <t>瑨</t>
    </r>
    <r>
      <rPr>
        <sz val="14"/>
        <rFont val="MingLiU"/>
        <family val="3"/>
      </rPr>
      <t>璡𦎷</t>
    </r>
  </si>
  <si>
    <r>
      <t>釁!</t>
    </r>
    <r>
      <rPr>
        <sz val="14"/>
        <rFont val="宋体"/>
        <charset val="134"/>
      </rPr>
      <t>衅</t>
    </r>
    <r>
      <rPr>
        <sz val="14"/>
        <rFont val="MingLiU"/>
        <family val="3"/>
      </rPr>
      <t>舋</t>
    </r>
  </si>
  <si>
    <r>
      <t>鎭</t>
    </r>
    <r>
      <rPr>
        <sz val="14"/>
        <rFont val="MingLiU"/>
        <family val="3"/>
      </rPr>
      <t>(鎮)瑱</t>
    </r>
    <r>
      <rPr>
        <sz val="14"/>
        <rFont val="宋体"/>
        <charset val="134"/>
      </rPr>
      <t>塡</t>
    </r>
    <r>
      <rPr>
        <sz val="14"/>
        <rFont val="MingLiU"/>
        <family val="3"/>
      </rPr>
      <t>(填)</t>
    </r>
  </si>
  <si>
    <r>
      <t>僅覲殣瑾饉㝻廑瘽墐𠞱</t>
    </r>
    <r>
      <rPr>
        <sz val="14"/>
        <rFont val="宋体"/>
        <charset val="134"/>
      </rPr>
      <t>歏</t>
    </r>
  </si>
  <si>
    <r>
      <t>印</t>
    </r>
    <r>
      <rPr>
        <sz val="14"/>
        <rFont val="宋体"/>
        <charset val="134"/>
      </rPr>
      <t>鮣</t>
    </r>
    <r>
      <rPr>
        <sz val="14"/>
        <rFont val="MingLiU"/>
        <family val="3"/>
      </rPr>
      <t>𣱐𩂥</t>
    </r>
  </si>
  <si>
    <r>
      <t>親</t>
    </r>
    <r>
      <rPr>
        <sz val="14"/>
        <rFont val="宋体"/>
        <charset val="134"/>
      </rPr>
      <t>寴</t>
    </r>
    <r>
      <rPr>
        <sz val="14"/>
        <rFont val="MingLiU"/>
        <family val="3"/>
      </rPr>
      <t>儭瀙</t>
    </r>
  </si>
  <si>
    <r>
      <t>𡺲峻濬浚</t>
    </r>
    <r>
      <rPr>
        <sz val="14"/>
        <rFont val="宋体"/>
        <charset val="134"/>
      </rPr>
      <t>陖埈</t>
    </r>
    <r>
      <rPr>
        <sz val="14"/>
        <rFont val="MingLiU"/>
        <family val="3"/>
      </rPr>
      <t>迅</t>
    </r>
    <r>
      <rPr>
        <sz val="14"/>
        <rFont val="宋体"/>
        <charset val="134"/>
      </rPr>
      <t>鵕</t>
    </r>
    <r>
      <rPr>
        <sz val="14"/>
        <rFont val="MingLiU"/>
        <family val="3"/>
      </rPr>
      <t>𢏤</t>
    </r>
    <r>
      <rPr>
        <sz val="14"/>
        <rFont val="宋体"/>
        <charset val="134"/>
      </rPr>
      <t>奞</t>
    </r>
    <r>
      <rPr>
        <sz val="14"/>
        <rFont val="MingLiU"/>
        <family val="3"/>
      </rPr>
      <t>晙𧸩迿</t>
    </r>
  </si>
  <si>
    <r>
      <t>儁</t>
    </r>
    <r>
      <rPr>
        <sz val="14"/>
        <rFont val="MingLiU"/>
        <family val="3"/>
      </rPr>
      <t>俊晙餕畯駿㕙𪕞寯焌㼱𤮪</t>
    </r>
  </si>
  <si>
    <r>
      <t>閏)!</t>
    </r>
    <r>
      <rPr>
        <sz val="14"/>
        <rFont val="宋体"/>
        <charset val="134"/>
      </rPr>
      <t>閠</t>
    </r>
    <r>
      <rPr>
        <sz val="14"/>
        <rFont val="MingLiU"/>
        <family val="3"/>
      </rPr>
      <t>潤䏰</t>
    </r>
  </si>
  <si>
    <r>
      <t>問璺絻汶紊聞</t>
    </r>
    <r>
      <rPr>
        <sz val="14"/>
        <rFont val="宋体"/>
        <charset val="134"/>
      </rPr>
      <t>莬</t>
    </r>
    <r>
      <rPr>
        <sz val="14"/>
        <rFont val="MingLiU"/>
        <family val="3"/>
      </rPr>
      <t>脕抆鼤娩</t>
    </r>
  </si>
  <si>
    <r>
      <t>運暈餫䩵韗鄆</t>
    </r>
    <r>
      <rPr>
        <sz val="14"/>
        <rFont val="宋体"/>
        <charset val="134"/>
      </rPr>
      <t>貟</t>
    </r>
    <r>
      <rPr>
        <sz val="14"/>
        <rFont val="MingLiU"/>
        <family val="3"/>
      </rPr>
      <t>(員)䲰</t>
    </r>
    <r>
      <rPr>
        <sz val="14"/>
        <rFont val="宋体"/>
        <charset val="134"/>
      </rPr>
      <t>忶</t>
    </r>
    <r>
      <rPr>
        <sz val="14"/>
        <rFont val="MingLiU"/>
        <family val="3"/>
      </rPr>
      <t>鶤𧶊韻(</t>
    </r>
    <r>
      <rPr>
        <sz val="14"/>
        <rFont val="宋体"/>
        <charset val="134"/>
      </rPr>
      <t>韵</t>
    </r>
    <r>
      <rPr>
        <sz val="14"/>
        <rFont val="MingLiU"/>
        <family val="3"/>
      </rPr>
      <t>)䚋𧡡𤸫緷</t>
    </r>
  </si>
  <si>
    <r>
      <t>訓</t>
    </r>
    <r>
      <rPr>
        <sz val="14"/>
        <rFont val="宋体"/>
        <charset val="134"/>
      </rPr>
      <t>爋</t>
    </r>
    <r>
      <rPr>
        <sz val="14"/>
        <rFont val="MingLiU"/>
        <family val="3"/>
      </rPr>
      <t>臐薰鐼</t>
    </r>
  </si>
  <si>
    <r>
      <t>醖</t>
    </r>
    <r>
      <rPr>
        <sz val="14"/>
        <rFont val="MingLiU"/>
        <family val="3"/>
      </rPr>
      <t>(醞)</t>
    </r>
    <r>
      <rPr>
        <sz val="14"/>
        <rFont val="宋体"/>
        <charset val="134"/>
      </rPr>
      <t>愠</t>
    </r>
    <r>
      <rPr>
        <sz val="14"/>
        <rFont val="MingLiU"/>
        <family val="3"/>
      </rPr>
      <t>(慍)</t>
    </r>
    <r>
      <rPr>
        <sz val="14"/>
        <rFont val="宋体"/>
        <charset val="134"/>
      </rPr>
      <t>緼</t>
    </r>
    <r>
      <rPr>
        <sz val="14"/>
        <rFont val="MingLiU"/>
        <family val="3"/>
      </rPr>
      <t>(縕)</t>
    </r>
    <r>
      <rPr>
        <sz val="14"/>
        <rFont val="宋体"/>
        <charset val="134"/>
      </rPr>
      <t>蕰</t>
    </r>
    <r>
      <rPr>
        <sz val="14"/>
        <rFont val="MingLiU"/>
        <family val="3"/>
      </rPr>
      <t>(</t>
    </r>
    <r>
      <rPr>
        <sz val="14"/>
        <rFont val="宋体"/>
        <charset val="134"/>
      </rPr>
      <t>藴</t>
    </r>
    <r>
      <rPr>
        <sz val="14"/>
        <rFont val="MingLiU"/>
        <family val="3"/>
      </rPr>
      <t>)</t>
    </r>
  </si>
  <si>
    <r>
      <t>攈</t>
    </r>
    <r>
      <rPr>
        <sz val="14"/>
        <rFont val="MingLiU"/>
        <family val="3"/>
      </rPr>
      <t>捃皸𧱝䝍</t>
    </r>
  </si>
  <si>
    <r>
      <t>焮炘㾙庍𦜓</t>
    </r>
    <r>
      <rPr>
        <sz val="14"/>
        <rFont val="宋体"/>
        <charset val="134"/>
      </rPr>
      <t>脪</t>
    </r>
  </si>
  <si>
    <r>
      <t>靳斤㧆㨷</t>
    </r>
    <r>
      <rPr>
        <sz val="14"/>
        <rFont val="宋体"/>
        <charset val="134"/>
      </rPr>
      <t>劤</t>
    </r>
    <r>
      <rPr>
        <sz val="14"/>
        <rFont val="MingLiU"/>
        <family val="3"/>
      </rPr>
      <t>(勁)</t>
    </r>
  </si>
  <si>
    <r>
      <t>㒚</t>
    </r>
    <r>
      <rPr>
        <sz val="14"/>
        <rFont val="宋体"/>
        <charset val="134"/>
      </rPr>
      <t>懚</t>
    </r>
    <r>
      <rPr>
        <sz val="14"/>
        <rFont val="MingLiU"/>
        <family val="3"/>
      </rPr>
      <t>隱</t>
    </r>
    <r>
      <rPr>
        <sz val="14"/>
        <rFont val="宋体"/>
        <charset val="134"/>
      </rPr>
      <t>檼</t>
    </r>
    <r>
      <rPr>
        <sz val="14"/>
        <rFont val="MingLiU"/>
        <family val="3"/>
      </rPr>
      <t>𤔌㥯㶏㡥</t>
    </r>
  </si>
  <si>
    <r>
      <t>願𩕾</t>
    </r>
    <r>
      <rPr>
        <sz val="14"/>
        <rFont val="宋体"/>
        <charset val="134"/>
      </rPr>
      <t>傆</t>
    </r>
    <r>
      <rPr>
        <sz val="14"/>
        <rFont val="MingLiU"/>
        <family val="3"/>
      </rPr>
      <t>愿</t>
    </r>
  </si>
  <si>
    <r>
      <t>勸!</t>
    </r>
    <r>
      <rPr>
        <sz val="14"/>
        <rFont val="宋体"/>
        <charset val="134"/>
      </rPr>
      <t>劵</t>
    </r>
    <r>
      <rPr>
        <sz val="14"/>
        <rFont val="MingLiU"/>
        <family val="3"/>
      </rPr>
      <t>(券)絭 虇綣韏</t>
    </r>
  </si>
  <si>
    <r>
      <t>萬!万輓蔓曼蟃鰻𨞼娩獌䝡䨲𦂔</t>
    </r>
    <r>
      <rPr>
        <sz val="14"/>
        <rFont val="宋体"/>
        <charset val="134"/>
      </rPr>
      <t>贎</t>
    </r>
    <r>
      <rPr>
        <sz val="14"/>
        <rFont val="MingLiU"/>
        <family val="3"/>
      </rPr>
      <t>䡬㿸脕鬗</t>
    </r>
  </si>
  <si>
    <r>
      <t>飯𩚳</t>
    </r>
    <r>
      <rPr>
        <sz val="14"/>
        <rFont val="宋体"/>
        <charset val="134"/>
      </rPr>
      <t>飰</t>
    </r>
    <r>
      <rPr>
        <sz val="14"/>
        <rFont val="MingLiU"/>
        <family val="3"/>
      </rPr>
      <t>閞𥹇㶗𧉤</t>
    </r>
  </si>
  <si>
    <r>
      <t>建</t>
    </r>
    <r>
      <rPr>
        <sz val="14"/>
        <rFont val="宋体"/>
        <charset val="134"/>
      </rPr>
      <t>旔</t>
    </r>
  </si>
  <si>
    <r>
      <t>健腱|</t>
    </r>
    <r>
      <rPr>
        <sz val="14"/>
        <rFont val="宋体"/>
        <charset val="134"/>
      </rPr>
      <t>踺</t>
    </r>
  </si>
  <si>
    <r>
      <t>卛</t>
    </r>
    <r>
      <rPr>
        <sz val="14"/>
        <rFont val="MingLiU"/>
        <family val="3"/>
      </rPr>
      <t>絭</t>
    </r>
  </si>
  <si>
    <r>
      <t>慁溷</t>
    </r>
    <r>
      <rPr>
        <sz val="14"/>
        <rFont val="宋体"/>
        <charset val="134"/>
      </rPr>
      <t>俒</t>
    </r>
    <r>
      <rPr>
        <sz val="14"/>
        <rFont val="MingLiU"/>
        <family val="3"/>
      </rPr>
      <t>圂</t>
    </r>
  </si>
  <si>
    <r>
      <t>嫩</t>
    </r>
    <r>
      <rPr>
        <sz val="14"/>
        <rFont val="宋体"/>
        <charset val="134"/>
      </rPr>
      <t>媆腝抐</t>
    </r>
  </si>
  <si>
    <r>
      <t>揾</t>
    </r>
    <r>
      <rPr>
        <sz val="14"/>
        <rFont val="MingLiU"/>
        <family val="3"/>
      </rPr>
      <t>(搵）䭡</t>
    </r>
  </si>
  <si>
    <r>
      <t>鐏</t>
    </r>
    <r>
      <rPr>
        <sz val="14"/>
        <rFont val="宋体"/>
        <charset val="134"/>
      </rPr>
      <t>臶</t>
    </r>
    <r>
      <rPr>
        <sz val="14"/>
        <rFont val="MingLiU"/>
        <family val="3"/>
      </rPr>
      <t>栫鱒𦪚</t>
    </r>
  </si>
  <si>
    <r>
      <t>睔</t>
    </r>
    <r>
      <rPr>
        <sz val="14"/>
        <rFont val="宋体"/>
        <charset val="134"/>
      </rPr>
      <t>睴</t>
    </r>
    <r>
      <rPr>
        <sz val="14"/>
        <rFont val="MingLiU"/>
        <family val="3"/>
      </rPr>
      <t>琯璭㴫𧬪</t>
    </r>
    <r>
      <rPr>
        <sz val="14"/>
        <rFont val="宋体"/>
        <charset val="134"/>
      </rPr>
      <t>謴</t>
    </r>
  </si>
  <si>
    <r>
      <t>艮茛</t>
    </r>
    <r>
      <rPr>
        <sz val="14"/>
        <rFont val="宋体"/>
        <charset val="134"/>
      </rPr>
      <t>珢詪</t>
    </r>
  </si>
  <si>
    <r>
      <t>汗!翰捍扞鼾螒</t>
    </r>
    <r>
      <rPr>
        <sz val="14"/>
        <rFont val="宋体"/>
        <charset val="134"/>
      </rPr>
      <t>垾</t>
    </r>
    <r>
      <rPr>
        <sz val="14"/>
        <rFont val="MingLiU"/>
        <family val="3"/>
      </rPr>
      <t>豻釬悍瀚閈𤿧駻雗䮧馯𧃙䏷</t>
    </r>
    <r>
      <rPr>
        <sz val="14"/>
        <rFont val="宋体"/>
        <charset val="134"/>
      </rPr>
      <t>忓</t>
    </r>
    <r>
      <rPr>
        <sz val="14"/>
        <rFont val="MingLiU"/>
        <family val="3"/>
      </rPr>
      <t>㢨矸㲦㪋𩹼</t>
    </r>
  </si>
  <si>
    <r>
      <t>幹旰榦</t>
    </r>
    <r>
      <rPr>
        <sz val="14"/>
        <rFont val="宋体"/>
        <charset val="134"/>
      </rPr>
      <t>倝</t>
    </r>
    <r>
      <rPr>
        <sz val="14"/>
        <rFont val="MingLiU"/>
        <family val="3"/>
      </rPr>
      <t>杆𧹳盰骭𣵼𢁗矸</t>
    </r>
  </si>
  <si>
    <r>
      <t>看!侃</t>
    </r>
    <r>
      <rPr>
        <sz val="14"/>
        <rFont val="宋体"/>
        <charset val="134"/>
      </rPr>
      <t>偘</t>
    </r>
    <r>
      <rPr>
        <sz val="14"/>
        <rFont val="MingLiU"/>
        <family val="3"/>
      </rPr>
      <t>靬衎䳚</t>
    </r>
  </si>
  <si>
    <r>
      <t>爛</t>
    </r>
    <r>
      <rPr>
        <sz val="14"/>
        <rFont val="宋体"/>
        <charset val="134"/>
      </rPr>
      <t>爤</t>
    </r>
    <r>
      <rPr>
        <sz val="14"/>
        <rFont val="MingLiU"/>
        <family val="3"/>
      </rPr>
      <t>瀾𢒞糷鑭讕</t>
    </r>
  </si>
  <si>
    <r>
      <t>粲燦璨㛑</t>
    </r>
    <r>
      <rPr>
        <sz val="14"/>
        <rFont val="宋体"/>
        <charset val="134"/>
      </rPr>
      <t>薒</t>
    </r>
    <r>
      <rPr>
        <sz val="14"/>
        <rFont val="MingLiU"/>
        <family val="3"/>
      </rPr>
      <t>𪆶</t>
    </r>
  </si>
  <si>
    <r>
      <t>賛</t>
    </r>
    <r>
      <rPr>
        <sz val="14"/>
        <rFont val="MingLiU"/>
        <family val="3"/>
      </rPr>
      <t>(贊)</t>
    </r>
    <r>
      <rPr>
        <sz val="14"/>
        <rFont val="宋体"/>
        <charset val="134"/>
      </rPr>
      <t>讃</t>
    </r>
    <r>
      <rPr>
        <sz val="14"/>
        <rFont val="MingLiU"/>
        <family val="3"/>
      </rPr>
      <t>(讚)</t>
    </r>
    <r>
      <rPr>
        <sz val="14"/>
        <rFont val="宋体"/>
        <charset val="134"/>
      </rPr>
      <t>鄼</t>
    </r>
    <r>
      <rPr>
        <sz val="14"/>
        <rFont val="MingLiU"/>
        <family val="3"/>
      </rPr>
      <t>饡趲灒𡳋㜺䰖</t>
    </r>
    <r>
      <rPr>
        <sz val="14"/>
        <rFont val="宋体"/>
        <charset val="134"/>
      </rPr>
      <t>襸攅</t>
    </r>
  </si>
  <si>
    <r>
      <t>㜺瓚𣧻(䏼)</t>
    </r>
    <r>
      <rPr>
        <sz val="14"/>
        <rFont val="宋体"/>
        <charset val="134"/>
      </rPr>
      <t>穳</t>
    </r>
    <r>
      <rPr>
        <sz val="14"/>
        <rFont val="MingLiU"/>
        <family val="3"/>
      </rPr>
      <t>囋</t>
    </r>
  </si>
  <si>
    <r>
      <t>䂎</t>
    </r>
    <r>
      <rPr>
        <sz val="14"/>
        <rFont val="宋体"/>
        <charset val="134"/>
      </rPr>
      <t>鑚</t>
    </r>
    <r>
      <rPr>
        <sz val="14"/>
        <rFont val="MingLiU"/>
        <family val="3"/>
      </rPr>
      <t>(鑽)</t>
    </r>
  </si>
  <si>
    <r>
      <t>貫矔祼館(</t>
    </r>
    <r>
      <rPr>
        <sz val="14"/>
        <rFont val="宋体"/>
        <charset val="134"/>
      </rPr>
      <t>舘</t>
    </r>
    <r>
      <rPr>
        <sz val="14"/>
        <rFont val="MingLiU"/>
        <family val="3"/>
      </rPr>
      <t>)瓘鑵𤼐痯灌雚鸛</t>
    </r>
    <r>
      <rPr>
        <sz val="14"/>
        <rFont val="宋体"/>
        <charset val="134"/>
      </rPr>
      <t>樌鏆</t>
    </r>
    <r>
      <rPr>
        <sz val="14"/>
        <rFont val="MingLiU"/>
        <family val="3"/>
      </rPr>
      <t>㷄懽錧爟</t>
    </r>
    <r>
      <rPr>
        <sz val="14"/>
        <rFont val="宋体"/>
        <charset val="134"/>
      </rPr>
      <t>遦</t>
    </r>
    <r>
      <rPr>
        <sz val="14"/>
        <rFont val="MingLiU"/>
        <family val="3"/>
      </rPr>
      <t>冠觀涫悹悺盥棺毌婠䘾|鱹綰䗰罐莞巏𨝑𥆗雚|</t>
    </r>
  </si>
  <si>
    <r>
      <t>竄(躥)爨</t>
    </r>
    <r>
      <rPr>
        <sz val="14"/>
        <rFont val="宋体"/>
        <charset val="134"/>
      </rPr>
      <t>鑹殩</t>
    </r>
    <r>
      <rPr>
        <sz val="14"/>
        <rFont val="MingLiU"/>
        <family val="3"/>
      </rPr>
      <t>䂎</t>
    </r>
  </si>
  <si>
    <r>
      <t>玩</t>
    </r>
    <r>
      <rPr>
        <sz val="14"/>
        <rFont val="宋体"/>
        <charset val="134"/>
      </rPr>
      <t>貦</t>
    </r>
    <r>
      <rPr>
        <sz val="14"/>
        <rFont val="MingLiU"/>
        <family val="3"/>
      </rPr>
      <t>翫妧忨</t>
    </r>
  </si>
  <si>
    <r>
      <t>亂</t>
    </r>
    <r>
      <rPr>
        <sz val="14"/>
        <rFont val="宋体"/>
        <charset val="134"/>
      </rPr>
      <t>灓</t>
    </r>
    <r>
      <rPr>
        <sz val="14"/>
        <rFont val="MingLiU"/>
        <family val="3"/>
      </rPr>
      <t>𢿢𤔔</t>
    </r>
  </si>
  <si>
    <r>
      <t>斷!鍛腶碫(</t>
    </r>
    <r>
      <rPr>
        <sz val="14"/>
        <rFont val="宋体"/>
        <charset val="134"/>
      </rPr>
      <t>断</t>
    </r>
    <r>
      <rPr>
        <sz val="14"/>
        <rFont val="MingLiU"/>
        <family val="3"/>
      </rPr>
      <t>)</t>
    </r>
    <r>
      <rPr>
        <sz val="14"/>
        <rFont val="宋体"/>
        <charset val="134"/>
      </rPr>
      <t>瑖</t>
    </r>
    <r>
      <rPr>
        <sz val="14"/>
        <rFont val="MingLiU"/>
        <family val="3"/>
      </rPr>
      <t>踹</t>
    </r>
  </si>
  <si>
    <r>
      <t>彖褖貒</t>
    </r>
    <r>
      <rPr>
        <sz val="14"/>
        <rFont val="宋体"/>
        <charset val="134"/>
      </rPr>
      <t>湪</t>
    </r>
  </si>
  <si>
    <r>
      <t>喚嚾𡅻煥奐渙𥈉</t>
    </r>
    <r>
      <rPr>
        <sz val="14"/>
        <rFont val="宋体"/>
        <charset val="134"/>
      </rPr>
      <t>喛</t>
    </r>
  </si>
  <si>
    <r>
      <t>筭(算)蒜</t>
    </r>
    <r>
      <rPr>
        <sz val="14"/>
        <rFont val="宋体"/>
        <charset val="134"/>
      </rPr>
      <t>笇祘</t>
    </r>
  </si>
  <si>
    <r>
      <t>判泮頖沜</t>
    </r>
    <r>
      <rPr>
        <sz val="14"/>
        <rFont val="宋体"/>
        <charset val="134"/>
      </rPr>
      <t>眫</t>
    </r>
    <r>
      <rPr>
        <sz val="14"/>
        <rFont val="MingLiU"/>
        <family val="3"/>
      </rPr>
      <t>姅</t>
    </r>
    <r>
      <rPr>
        <sz val="14"/>
        <rFont val="宋体"/>
        <charset val="134"/>
      </rPr>
      <t>冸</t>
    </r>
    <r>
      <rPr>
        <sz val="14"/>
        <rFont val="MingLiU"/>
        <family val="3"/>
      </rPr>
      <t>牉</t>
    </r>
  </si>
  <si>
    <r>
      <t>偄愞稬</t>
    </r>
    <r>
      <rPr>
        <sz val="14"/>
        <rFont val="MingLiU"/>
        <family val="3"/>
      </rPr>
      <t>渜𪋐</t>
    </r>
  </si>
  <si>
    <r>
      <t>諫澗</t>
    </r>
    <r>
      <rPr>
        <sz val="14"/>
        <rFont val="宋体"/>
        <charset val="134"/>
      </rPr>
      <t>鐧</t>
    </r>
  </si>
  <si>
    <r>
      <t>雁!鴈</t>
    </r>
    <r>
      <rPr>
        <sz val="14"/>
        <rFont val="宋体"/>
        <charset val="134"/>
      </rPr>
      <t>鳫贋</t>
    </r>
    <r>
      <rPr>
        <sz val="14"/>
        <rFont val="MingLiU"/>
        <family val="3"/>
      </rPr>
      <t>(贗)</t>
    </r>
    <r>
      <rPr>
        <sz val="14"/>
        <rFont val="宋体"/>
        <charset val="134"/>
      </rPr>
      <t>偐</t>
    </r>
    <r>
      <rPr>
        <sz val="14"/>
        <rFont val="MingLiU"/>
        <family val="3"/>
      </rPr>
      <t>𤜵</t>
    </r>
  </si>
  <si>
    <r>
      <t>骭</t>
    </r>
    <r>
      <rPr>
        <sz val="14"/>
        <rFont val="宋体"/>
        <charset val="134"/>
      </rPr>
      <t>娨</t>
    </r>
  </si>
  <si>
    <r>
      <t>綰</t>
    </r>
    <r>
      <rPr>
        <sz val="14"/>
        <rFont val="宋体"/>
        <charset val="134"/>
      </rPr>
      <t>贃</t>
    </r>
    <r>
      <rPr>
        <sz val="14"/>
        <rFont val="MingLiU"/>
        <family val="3"/>
      </rPr>
      <t>𩈬</t>
    </r>
  </si>
  <si>
    <r>
      <t>患𢠶擐宦轘豢䍺</t>
    </r>
    <r>
      <rPr>
        <sz val="14"/>
        <rFont val="宋体"/>
        <charset val="134"/>
      </rPr>
      <t>槵</t>
    </r>
    <r>
      <rPr>
        <sz val="14"/>
        <rFont val="MingLiU"/>
        <family val="3"/>
      </rPr>
      <t>繯</t>
    </r>
  </si>
  <si>
    <r>
      <t>襇</t>
    </r>
    <r>
      <rPr>
        <sz val="14"/>
        <rFont val="MingLiU"/>
        <family val="3"/>
      </rPr>
      <t>𤜵間</t>
    </r>
    <r>
      <rPr>
        <sz val="14"/>
        <rFont val="宋体"/>
        <charset val="134"/>
      </rPr>
      <t>覸</t>
    </r>
    <r>
      <rPr>
        <sz val="14"/>
        <rFont val="MingLiU"/>
        <family val="3"/>
      </rPr>
      <t>𨣇𧙧</t>
    </r>
  </si>
  <si>
    <r>
      <t>莧粯</t>
    </r>
    <r>
      <rPr>
        <sz val="14"/>
        <rFont val="宋体"/>
        <charset val="134"/>
      </rPr>
      <t>藖</t>
    </r>
  </si>
  <si>
    <r>
      <t>霰䨘𩆵㪇𢊰先汛</t>
    </r>
    <r>
      <rPr>
        <sz val="14"/>
        <rFont val="宋体"/>
        <charset val="134"/>
      </rPr>
      <t>軐</t>
    </r>
    <r>
      <rPr>
        <sz val="14"/>
        <rFont val="MingLiU"/>
        <family val="3"/>
      </rPr>
      <t>𥰳</t>
    </r>
  </si>
  <si>
    <r>
      <t>絢絃</t>
    </r>
    <r>
      <rPr>
        <sz val="14"/>
        <rFont val="宋体"/>
        <charset val="134"/>
      </rPr>
      <t>夐</t>
    </r>
    <r>
      <rPr>
        <sz val="14"/>
        <rFont val="MingLiU"/>
        <family val="3"/>
      </rPr>
      <t>眴駽𧾣㧦讂</t>
    </r>
  </si>
  <si>
    <r>
      <t>縣寰袨眩炫衒𧗳䝮贙𩑹迿</t>
    </r>
    <r>
      <rPr>
        <sz val="14"/>
        <rFont val="宋体"/>
        <charset val="134"/>
      </rPr>
      <t>姰</t>
    </r>
    <r>
      <rPr>
        <sz val="14"/>
        <rFont val="MingLiU"/>
        <family val="3"/>
      </rPr>
      <t>玹䀏眴</t>
    </r>
  </si>
  <si>
    <r>
      <t>睊讂</t>
    </r>
    <r>
      <rPr>
        <sz val="14"/>
        <rFont val="宋体"/>
        <charset val="134"/>
      </rPr>
      <t>瓹</t>
    </r>
    <r>
      <rPr>
        <sz val="14"/>
        <rFont val="MingLiU"/>
        <family val="3"/>
      </rPr>
      <t>䣺𦌾罥懁䡓獧狷㢾</t>
    </r>
  </si>
  <si>
    <r>
      <t>電殿奠畋澱淀甸佃鈿闐</t>
    </r>
    <r>
      <rPr>
        <sz val="14"/>
        <rFont val="宋体"/>
        <charset val="134"/>
      </rPr>
      <t>涏</t>
    </r>
    <r>
      <rPr>
        <sz val="14"/>
        <rFont val="MingLiU"/>
        <family val="3"/>
      </rPr>
      <t>𪑩(靛)</t>
    </r>
    <r>
      <rPr>
        <sz val="14"/>
        <rFont val="宋体"/>
        <charset val="134"/>
      </rPr>
      <t>塡</t>
    </r>
    <r>
      <rPr>
        <sz val="14"/>
        <rFont val="MingLiU"/>
        <family val="3"/>
      </rPr>
      <t>(填)窴壂㞟𡱂𧽍</t>
    </r>
  </si>
  <si>
    <r>
      <t>瑱</t>
    </r>
    <r>
      <rPr>
        <sz val="14"/>
        <rFont val="宋体"/>
        <charset val="134"/>
      </rPr>
      <t>顚</t>
    </r>
    <r>
      <rPr>
        <sz val="14"/>
        <rFont val="MingLiU"/>
        <family val="3"/>
      </rPr>
      <t>(顛)滇睼</t>
    </r>
  </si>
  <si>
    <r>
      <t>練浰鍊揀楝㼑</t>
    </r>
    <r>
      <rPr>
        <sz val="14"/>
        <rFont val="宋体"/>
        <charset val="134"/>
      </rPr>
      <t>鰊</t>
    </r>
    <r>
      <rPr>
        <sz val="14"/>
        <rFont val="MingLiU"/>
        <family val="3"/>
      </rPr>
      <t>僆萰堜湅𣿊㪝𣞰𤗛</t>
    </r>
  </si>
  <si>
    <r>
      <t>見鋻[毽]|</t>
    </r>
    <r>
      <rPr>
        <sz val="14"/>
        <rFont val="宋体"/>
        <charset val="134"/>
      </rPr>
      <t>梘</t>
    </r>
    <r>
      <rPr>
        <sz val="14"/>
        <rFont val="MingLiU"/>
        <family val="3"/>
      </rPr>
      <t>|</t>
    </r>
  </si>
  <si>
    <r>
      <t>麫</t>
    </r>
    <r>
      <rPr>
        <sz val="14"/>
        <rFont val="MingLiU"/>
        <family val="3"/>
      </rPr>
      <t>(</t>
    </r>
    <r>
      <rPr>
        <sz val="14"/>
        <rFont val="宋体"/>
        <charset val="134"/>
      </rPr>
      <t>麪</t>
    </r>
    <r>
      <rPr>
        <sz val="14"/>
        <rFont val="MingLiU"/>
        <family val="3"/>
      </rPr>
      <t>)麵瞑眄㴐𡧍𩈹𥻩</t>
    </r>
  </si>
  <si>
    <r>
      <t>荐洊</t>
    </r>
    <r>
      <rPr>
        <sz val="14"/>
        <rFont val="宋体"/>
        <charset val="134"/>
      </rPr>
      <t>臶</t>
    </r>
    <r>
      <rPr>
        <sz val="14"/>
        <rFont val="MingLiU"/>
        <family val="3"/>
      </rPr>
      <t>栫瀳袸𨷓</t>
    </r>
  </si>
  <si>
    <r>
      <t>線</t>
    </r>
    <r>
      <rPr>
        <sz val="14"/>
        <rFont val="宋体"/>
        <charset val="134"/>
      </rPr>
      <t>綫惗</t>
    </r>
    <r>
      <rPr>
        <sz val="14"/>
        <rFont val="MingLiU"/>
        <family val="3"/>
      </rPr>
      <t>鮮[腺]</t>
    </r>
  </si>
  <si>
    <r>
      <t>繕鄯擅膳</t>
    </r>
    <r>
      <rPr>
        <sz val="14"/>
        <rFont val="宋体"/>
        <charset val="134"/>
      </rPr>
      <t>饍僐</t>
    </r>
    <r>
      <rPr>
        <sz val="14"/>
        <rFont val="MingLiU"/>
        <family val="3"/>
      </rPr>
      <t>禪䄠單𤮜𦉕嬗</t>
    </r>
  </si>
  <si>
    <r>
      <t>彥(</t>
    </r>
    <r>
      <rPr>
        <sz val="14"/>
        <rFont val="宋体"/>
        <charset val="134"/>
      </rPr>
      <t>彦</t>
    </r>
    <r>
      <rPr>
        <sz val="14"/>
        <rFont val="MingLiU"/>
        <family val="3"/>
      </rPr>
      <t>)唁喭諺甗這</t>
    </r>
  </si>
  <si>
    <r>
      <t>譴遣䪈</t>
    </r>
    <r>
      <rPr>
        <sz val="14"/>
        <rFont val="宋体"/>
        <charset val="134"/>
      </rPr>
      <t>晵</t>
    </r>
    <r>
      <rPr>
        <sz val="14"/>
        <rFont val="MingLiU"/>
        <family val="3"/>
      </rPr>
      <t>繾</t>
    </r>
  </si>
  <si>
    <r>
      <t>掾</t>
    </r>
    <r>
      <rPr>
        <sz val="14"/>
        <rFont val="宋体"/>
        <charset val="134"/>
      </rPr>
      <t>縁</t>
    </r>
    <r>
      <rPr>
        <sz val="14"/>
        <rFont val="MingLiU"/>
        <family val="3"/>
      </rPr>
      <t>(緣)𢐄䬇</t>
    </r>
  </si>
  <si>
    <r>
      <t>眷睠捲弮卷</t>
    </r>
    <r>
      <rPr>
        <sz val="14"/>
        <rFont val="宋体"/>
        <charset val="134"/>
      </rPr>
      <t>桊</t>
    </r>
    <r>
      <rPr>
        <sz val="14"/>
        <rFont val="MingLiU"/>
        <family val="3"/>
      </rPr>
      <t>帣絭犈觠𧯦</t>
    </r>
    <r>
      <rPr>
        <sz val="14"/>
        <rFont val="宋体"/>
        <charset val="134"/>
      </rPr>
      <t>飬</t>
    </r>
    <r>
      <rPr>
        <sz val="14"/>
        <rFont val="MingLiU"/>
        <family val="3"/>
      </rPr>
      <t>䖭𥸭</t>
    </r>
    <r>
      <rPr>
        <sz val="14"/>
        <rFont val="宋体"/>
        <charset val="134"/>
      </rPr>
      <t>勬</t>
    </r>
  </si>
  <si>
    <r>
      <t>倦𣜨韏</t>
    </r>
    <r>
      <rPr>
        <sz val="14"/>
        <rFont val="宋体"/>
        <charset val="134"/>
      </rPr>
      <t>襈淃</t>
    </r>
  </si>
  <si>
    <r>
      <t>戀</t>
    </r>
    <r>
      <rPr>
        <sz val="14"/>
        <rFont val="宋体"/>
        <charset val="134"/>
      </rPr>
      <t>灓</t>
    </r>
    <r>
      <rPr>
        <sz val="14"/>
        <rFont val="MingLiU"/>
        <family val="3"/>
      </rPr>
      <t>孌</t>
    </r>
  </si>
  <si>
    <r>
      <t>卞拚抃弁𡭪汴㺕閞</t>
    </r>
    <r>
      <rPr>
        <sz val="14"/>
        <rFont val="宋体"/>
        <charset val="134"/>
      </rPr>
      <t>昪匥</t>
    </r>
    <r>
      <rPr>
        <sz val="14"/>
        <rFont val="MingLiU"/>
        <family val="3"/>
      </rPr>
      <t>䒪笲㺹忭䪻</t>
    </r>
  </si>
  <si>
    <r>
      <t>選𤂳𤂿䍻𦌔䠣</t>
    </r>
    <r>
      <rPr>
        <sz val="14"/>
        <rFont val="宋体"/>
        <charset val="134"/>
      </rPr>
      <t>繏</t>
    </r>
    <r>
      <rPr>
        <sz val="14"/>
        <rFont val="MingLiU"/>
        <family val="3"/>
      </rPr>
      <t>渲</t>
    </r>
  </si>
  <si>
    <r>
      <t>籑</t>
    </r>
    <r>
      <rPr>
        <sz val="14"/>
        <rFont val="MingLiU"/>
        <family val="3"/>
      </rPr>
      <t>饌𦠆</t>
    </r>
    <r>
      <rPr>
        <sz val="14"/>
        <rFont val="宋体"/>
        <charset val="134"/>
      </rPr>
      <t>襈</t>
    </r>
    <r>
      <rPr>
        <sz val="14"/>
        <rFont val="MingLiU"/>
        <family val="3"/>
      </rPr>
      <t>僎譔𤩄僝𠨎</t>
    </r>
  </si>
  <si>
    <r>
      <t>騗</t>
    </r>
    <r>
      <rPr>
        <sz val="14"/>
        <rFont val="MingLiU"/>
        <family val="3"/>
      </rPr>
      <t>(騙)偏</t>
    </r>
  </si>
  <si>
    <r>
      <t>𢮛</t>
    </r>
    <r>
      <rPr>
        <sz val="14"/>
        <rFont val="宋体"/>
        <charset val="134"/>
      </rPr>
      <t>叀</t>
    </r>
  </si>
  <si>
    <r>
      <t>𥛁</t>
    </r>
    <r>
      <rPr>
        <sz val="14"/>
        <rFont val="宋体"/>
        <charset val="134"/>
      </rPr>
      <t>飬</t>
    </r>
    <r>
      <rPr>
        <sz val="14"/>
        <rFont val="MingLiU"/>
        <family val="3"/>
      </rPr>
      <t>䠣</t>
    </r>
  </si>
  <si>
    <r>
      <t>徧</t>
    </r>
    <r>
      <rPr>
        <sz val="14"/>
        <rFont val="MingLiU"/>
        <family val="3"/>
      </rPr>
      <t>遍</t>
    </r>
  </si>
  <si>
    <r>
      <t>嘯</t>
    </r>
    <r>
      <rPr>
        <sz val="14"/>
        <rFont val="宋体"/>
        <charset val="134"/>
      </rPr>
      <t>歗</t>
    </r>
    <r>
      <rPr>
        <sz val="14"/>
        <rFont val="MingLiU"/>
        <family val="3"/>
      </rPr>
      <t>㩋䐹熽</t>
    </r>
  </si>
  <si>
    <r>
      <t>糶</t>
    </r>
    <r>
      <rPr>
        <sz val="14"/>
        <rFont val="宋体"/>
        <charset val="134"/>
      </rPr>
      <t>粜</t>
    </r>
    <r>
      <rPr>
        <sz val="14"/>
        <rFont val="MingLiU"/>
        <family val="3"/>
      </rPr>
      <t>眺覜趒咷頫窱</t>
    </r>
    <r>
      <rPr>
        <sz val="14"/>
        <rFont val="宋体"/>
        <charset val="134"/>
      </rPr>
      <t>鋽</t>
    </r>
    <r>
      <rPr>
        <sz val="14"/>
        <rFont val="MingLiU"/>
        <family val="3"/>
      </rPr>
      <t>絩</t>
    </r>
  </si>
  <si>
    <r>
      <t>弔伄</t>
    </r>
    <r>
      <rPr>
        <sz val="14"/>
        <rFont val="宋体"/>
        <charset val="134"/>
      </rPr>
      <t>瘹</t>
    </r>
    <r>
      <rPr>
        <sz val="14"/>
        <rFont val="MingLiU"/>
        <family val="3"/>
      </rPr>
      <t>釣窵蔦𨑩[吊]</t>
    </r>
  </si>
  <si>
    <r>
      <t>叫</t>
    </r>
    <r>
      <rPr>
        <sz val="14"/>
        <rFont val="宋体"/>
        <charset val="134"/>
      </rPr>
      <t>訆</t>
    </r>
    <r>
      <rPr>
        <sz val="14"/>
        <rFont val="MingLiU"/>
        <family val="3"/>
      </rPr>
      <t>徼𢅎譥激噭嘂獥</t>
    </r>
    <r>
      <rPr>
        <sz val="14"/>
        <rFont val="宋体"/>
        <charset val="134"/>
      </rPr>
      <t>敫</t>
    </r>
    <r>
      <rPr>
        <sz val="14"/>
        <rFont val="MingLiU"/>
        <family val="3"/>
      </rPr>
      <t>鸄𨎬</t>
    </r>
  </si>
  <si>
    <r>
      <t>藋銚掉調</t>
    </r>
    <r>
      <rPr>
        <sz val="14"/>
        <rFont val="宋体"/>
        <charset val="134"/>
      </rPr>
      <t>莜</t>
    </r>
    <r>
      <rPr>
        <sz val="14"/>
        <rFont val="MingLiU"/>
        <family val="3"/>
      </rPr>
      <t>𥁮嬥</t>
    </r>
  </si>
  <si>
    <r>
      <t>𩕐尥嫽料嘹鐐</t>
    </r>
    <r>
      <rPr>
        <sz val="14"/>
        <rFont val="宋体"/>
        <charset val="134"/>
      </rPr>
      <t>璙</t>
    </r>
    <r>
      <rPr>
        <sz val="14"/>
        <rFont val="MingLiU"/>
        <family val="3"/>
      </rPr>
      <t>𦌒炓</t>
    </r>
  </si>
  <si>
    <r>
      <t>𢿿嬈</t>
    </r>
    <r>
      <rPr>
        <sz val="14"/>
        <rFont val="宋体"/>
        <charset val="134"/>
      </rPr>
      <t>娎</t>
    </r>
  </si>
  <si>
    <r>
      <t>笑)!𥬇=㗛肖</t>
    </r>
    <r>
      <rPr>
        <sz val="14"/>
        <rFont val="宋体"/>
        <charset val="134"/>
      </rPr>
      <t>韒</t>
    </r>
    <r>
      <rPr>
        <sz val="14"/>
        <rFont val="MingLiU"/>
        <family val="3"/>
      </rPr>
      <t>鞘</t>
    </r>
  </si>
  <si>
    <r>
      <t>曜)!燿鷂</t>
    </r>
    <r>
      <rPr>
        <sz val="14"/>
        <rFont val="宋体"/>
        <charset val="134"/>
      </rPr>
      <t>摇</t>
    </r>
    <r>
      <rPr>
        <sz val="14"/>
        <rFont val="MingLiU"/>
        <family val="3"/>
      </rPr>
      <t>覞𧡷耀𧢢</t>
    </r>
    <r>
      <rPr>
        <sz val="14"/>
        <rFont val="宋体"/>
        <charset val="134"/>
      </rPr>
      <t>矅</t>
    </r>
    <r>
      <rPr>
        <sz val="14"/>
        <rFont val="MingLiU"/>
        <family val="3"/>
      </rPr>
      <t>㞁𣤦筄趭鷣䔄艞</t>
    </r>
    <r>
      <rPr>
        <sz val="14"/>
        <rFont val="宋体"/>
        <charset val="134"/>
      </rPr>
      <t>讑</t>
    </r>
  </si>
  <si>
    <r>
      <t>剽彯㬓漂僄翲䏇</t>
    </r>
    <r>
      <rPr>
        <sz val="14"/>
        <rFont val="宋体"/>
        <charset val="134"/>
      </rPr>
      <t>勡</t>
    </r>
    <r>
      <rPr>
        <sz val="14"/>
        <rFont val="MingLiU"/>
        <family val="3"/>
      </rPr>
      <t>摽嫖慓[票]</t>
    </r>
  </si>
  <si>
    <r>
      <t>噍</t>
    </r>
    <r>
      <rPr>
        <sz val="14"/>
        <rFont val="MingLiU"/>
        <family val="3"/>
      </rPr>
      <t>誚趡劁</t>
    </r>
  </si>
  <si>
    <r>
      <t>陗</t>
    </r>
    <r>
      <rPr>
        <sz val="14"/>
        <rFont val="MingLiU"/>
        <family val="3"/>
      </rPr>
      <t>(峭)</t>
    </r>
    <r>
      <rPr>
        <sz val="14"/>
        <rFont val="宋体"/>
        <charset val="134"/>
      </rPr>
      <t>篍</t>
    </r>
    <r>
      <rPr>
        <sz val="14"/>
        <rFont val="MingLiU"/>
        <family val="3"/>
      </rPr>
      <t>㴥哨俏帩𪑊</t>
    </r>
  </si>
  <si>
    <r>
      <t>𤊽(</t>
    </r>
    <r>
      <rPr>
        <sz val="14"/>
        <rFont val="宋体"/>
        <charset val="134"/>
      </rPr>
      <t>尞</t>
    </r>
    <r>
      <rPr>
        <sz val="14"/>
        <rFont val="MingLiU"/>
        <family val="3"/>
      </rPr>
      <t>)燎㙩𤻲療</t>
    </r>
    <r>
      <rPr>
        <sz val="14"/>
        <rFont val="宋体"/>
        <charset val="134"/>
      </rPr>
      <t>熮</t>
    </r>
    <r>
      <rPr>
        <sz val="14"/>
        <rFont val="MingLiU"/>
        <family val="3"/>
      </rPr>
      <t>膫鷯</t>
    </r>
  </si>
  <si>
    <r>
      <t>醮𥛲釂皭潐爝䩌僬趡(</t>
    </r>
    <r>
      <rPr>
        <sz val="14"/>
        <rFont val="宋体"/>
        <charset val="134"/>
      </rPr>
      <t>癄</t>
    </r>
    <r>
      <rPr>
        <sz val="14"/>
        <rFont val="MingLiU"/>
        <family val="3"/>
      </rPr>
      <t>)䂃</t>
    </r>
  </si>
  <si>
    <r>
      <t>廟</t>
    </r>
    <r>
      <rPr>
        <sz val="14"/>
        <rFont val="宋体"/>
        <charset val="134"/>
      </rPr>
      <t>庿</t>
    </r>
  </si>
  <si>
    <r>
      <t>效</t>
    </r>
    <r>
      <rPr>
        <sz val="14"/>
        <rFont val="宋体"/>
        <charset val="134"/>
      </rPr>
      <t>効</t>
    </r>
    <r>
      <rPr>
        <sz val="14"/>
        <rFont val="MingLiU"/>
        <family val="3"/>
      </rPr>
      <t>校</t>
    </r>
    <r>
      <rPr>
        <sz val="14"/>
        <rFont val="宋体"/>
        <charset val="134"/>
      </rPr>
      <t>斅</t>
    </r>
    <r>
      <rPr>
        <sz val="14"/>
        <rFont val="MingLiU"/>
        <family val="3"/>
      </rPr>
      <t>㤊</t>
    </r>
    <r>
      <rPr>
        <sz val="14"/>
        <rFont val="宋体"/>
        <charset val="134"/>
      </rPr>
      <t>俲</t>
    </r>
    <r>
      <rPr>
        <sz val="14"/>
        <rFont val="MingLiU"/>
        <family val="3"/>
      </rPr>
      <t>𣱓詨</t>
    </r>
  </si>
  <si>
    <r>
      <t>敎</t>
    </r>
    <r>
      <rPr>
        <sz val="14"/>
        <rFont val="MingLiU"/>
        <family val="3"/>
      </rPr>
      <t>(教)𢼂窖校鉸酵覺膠較珓𡥈</t>
    </r>
  </si>
  <si>
    <r>
      <t>貌!</t>
    </r>
    <r>
      <rPr>
        <sz val="14"/>
        <rFont val="宋体"/>
        <charset val="134"/>
      </rPr>
      <t>皃</t>
    </r>
    <r>
      <rPr>
        <sz val="14"/>
        <rFont val="MingLiU"/>
        <family val="3"/>
      </rPr>
      <t>䫉䡚𢂹</t>
    </r>
    <r>
      <rPr>
        <sz val="14"/>
        <rFont val="宋体"/>
        <charset val="134"/>
      </rPr>
      <t>緢</t>
    </r>
    <r>
      <rPr>
        <sz val="14"/>
        <rFont val="MingLiU"/>
        <family val="3"/>
      </rPr>
      <t>𢅉</t>
    </r>
  </si>
  <si>
    <r>
      <t>奅窌炮</t>
    </r>
    <r>
      <rPr>
        <sz val="14"/>
        <rFont val="宋体"/>
        <charset val="134"/>
      </rPr>
      <t>抛</t>
    </r>
    <r>
      <rPr>
        <sz val="14"/>
        <rFont val="MingLiU"/>
        <family val="3"/>
      </rPr>
      <t>皰(</t>
    </r>
    <r>
      <rPr>
        <sz val="14"/>
        <rFont val="宋体"/>
        <charset val="134"/>
      </rPr>
      <t>疱</t>
    </r>
    <r>
      <rPr>
        <sz val="14"/>
        <rFont val="MingLiU"/>
        <family val="3"/>
      </rPr>
      <t>)</t>
    </r>
    <r>
      <rPr>
        <sz val="14"/>
        <rFont val="宋体"/>
        <charset val="134"/>
      </rPr>
      <t>礮</t>
    </r>
  </si>
  <si>
    <r>
      <t>稍潲揱𣕇</t>
    </r>
    <r>
      <rPr>
        <sz val="14"/>
        <rFont val="宋体"/>
        <charset val="134"/>
      </rPr>
      <t>娋</t>
    </r>
    <r>
      <rPr>
        <sz val="14"/>
        <rFont val="MingLiU"/>
        <family val="3"/>
      </rPr>
      <t>𨛍𦓴</t>
    </r>
  </si>
  <si>
    <r>
      <t>鬧)!橈淖(𠇰)</t>
    </r>
    <r>
      <rPr>
        <sz val="14"/>
        <rFont val="宋体"/>
        <charset val="134"/>
      </rPr>
      <t>閙</t>
    </r>
  </si>
  <si>
    <r>
      <t>抓</t>
    </r>
    <r>
      <rPr>
        <sz val="14"/>
        <rFont val="宋体"/>
        <charset val="134"/>
      </rPr>
      <t>癄</t>
    </r>
    <r>
      <rPr>
        <sz val="14"/>
        <rFont val="MingLiU"/>
        <family val="3"/>
      </rPr>
      <t>=(㾭)笊</t>
    </r>
  </si>
  <si>
    <r>
      <t>靤</t>
    </r>
    <r>
      <rPr>
        <sz val="14"/>
        <rFont val="MingLiU"/>
        <family val="3"/>
      </rPr>
      <t>皰(</t>
    </r>
    <r>
      <rPr>
        <sz val="14"/>
        <rFont val="宋体"/>
        <charset val="134"/>
      </rPr>
      <t>疱</t>
    </r>
    <r>
      <rPr>
        <sz val="14"/>
        <rFont val="MingLiU"/>
        <family val="3"/>
      </rPr>
      <t>)鞄</t>
    </r>
    <r>
      <rPr>
        <sz val="14"/>
        <rFont val="宋体"/>
        <charset val="134"/>
      </rPr>
      <t>骲</t>
    </r>
    <r>
      <rPr>
        <sz val="14"/>
        <rFont val="MingLiU"/>
        <family val="3"/>
      </rPr>
      <t>鉋</t>
    </r>
  </si>
  <si>
    <r>
      <t>抄鈔縐耖</t>
    </r>
    <r>
      <rPr>
        <sz val="14"/>
        <rFont val="宋体"/>
        <charset val="134"/>
      </rPr>
      <t>仯觘</t>
    </r>
    <r>
      <rPr>
        <sz val="14"/>
        <rFont val="MingLiU"/>
        <family val="3"/>
      </rPr>
      <t>𦨖罺</t>
    </r>
  </si>
  <si>
    <r>
      <t>靿袎㑃箹</t>
    </r>
    <r>
      <rPr>
        <sz val="14"/>
        <rFont val="宋体"/>
        <charset val="134"/>
      </rPr>
      <t>軪</t>
    </r>
  </si>
  <si>
    <r>
      <t>号</t>
    </r>
    <r>
      <rPr>
        <sz val="14"/>
        <rFont val="MingLiU"/>
        <family val="3"/>
      </rPr>
      <t>號𤩭㙱𧬁𡠖</t>
    </r>
  </si>
  <si>
    <r>
      <t>誥郜告縞膏𣝏</t>
    </r>
    <r>
      <rPr>
        <sz val="14"/>
        <rFont val="宋体"/>
        <charset val="134"/>
      </rPr>
      <t>烄</t>
    </r>
  </si>
  <si>
    <r>
      <t>傲</t>
    </r>
    <r>
      <rPr>
        <sz val="14"/>
        <rFont val="宋体"/>
        <charset val="134"/>
      </rPr>
      <t>嫯</t>
    </r>
    <r>
      <rPr>
        <sz val="14"/>
        <rFont val="MingLiU"/>
        <family val="3"/>
      </rPr>
      <t>䫨鏊驁奡謷</t>
    </r>
    <r>
      <rPr>
        <sz val="14"/>
        <rFont val="宋体"/>
        <charset val="134"/>
      </rPr>
      <t>鷔</t>
    </r>
  </si>
  <si>
    <r>
      <t>冒)!</t>
    </r>
    <r>
      <rPr>
        <sz val="14"/>
        <rFont val="宋体"/>
        <charset val="134"/>
      </rPr>
      <t>冃</t>
    </r>
    <r>
      <rPr>
        <sz val="14"/>
        <rFont val="MingLiU"/>
        <family val="3"/>
      </rPr>
      <t>帽耄𦹾芼眊瑁𤣽𥈆旄毛媢𩿂𢯾</t>
    </r>
    <r>
      <rPr>
        <sz val="14"/>
        <rFont val="宋体"/>
        <charset val="134"/>
      </rPr>
      <t>覒</t>
    </r>
    <r>
      <rPr>
        <sz val="14"/>
        <rFont val="MingLiU"/>
        <family val="3"/>
      </rPr>
      <t>㲝䋃𣔺</t>
    </r>
  </si>
  <si>
    <r>
      <t>嫪澇潦勞僗</t>
    </r>
    <r>
      <rPr>
        <sz val="14"/>
        <rFont val="宋体"/>
        <charset val="134"/>
      </rPr>
      <t>髝</t>
    </r>
    <r>
      <rPr>
        <sz val="14"/>
        <rFont val="MingLiU"/>
        <family val="3"/>
      </rPr>
      <t>癆𣟽|橯(</t>
    </r>
    <r>
      <rPr>
        <sz val="14"/>
        <rFont val="宋体"/>
        <charset val="134"/>
      </rPr>
      <t>耮</t>
    </r>
    <r>
      <rPr>
        <sz val="14"/>
        <rFont val="MingLiU"/>
        <family val="3"/>
      </rPr>
      <t>)</t>
    </r>
  </si>
  <si>
    <r>
      <t>操造</t>
    </r>
    <r>
      <rPr>
        <sz val="14"/>
        <rFont val="宋体"/>
        <charset val="134"/>
      </rPr>
      <t>艁</t>
    </r>
    <r>
      <rPr>
        <sz val="14"/>
        <rFont val="MingLiU"/>
        <family val="3"/>
      </rPr>
      <t>慥㿷糙鄵|懆鼜鑿慅[肏]</t>
    </r>
  </si>
  <si>
    <r>
      <t>暴虣曝瀑</t>
    </r>
    <r>
      <rPr>
        <sz val="14"/>
        <rFont val="宋体"/>
        <charset val="134"/>
      </rPr>
      <t>勽</t>
    </r>
    <r>
      <rPr>
        <sz val="14"/>
        <rFont val="MingLiU"/>
        <family val="3"/>
      </rPr>
      <t>菢袌𤔣𪇰</t>
    </r>
  </si>
  <si>
    <r>
      <t>奥</t>
    </r>
    <r>
      <rPr>
        <sz val="14"/>
        <rFont val="MingLiU"/>
        <family val="3"/>
      </rPr>
      <t>(奧)懊䐿𩟇隩燠䜒镺墺𩼈澳</t>
    </r>
  </si>
  <si>
    <r>
      <t>喿譟噪瘙㿋</t>
    </r>
    <r>
      <rPr>
        <sz val="14"/>
        <rFont val="宋体"/>
        <charset val="134"/>
      </rPr>
      <t>髞</t>
    </r>
    <r>
      <rPr>
        <sz val="14"/>
        <rFont val="MingLiU"/>
        <family val="3"/>
      </rPr>
      <t>埽掃𢤁</t>
    </r>
  </si>
  <si>
    <r>
      <t>𩝝犒</t>
    </r>
    <r>
      <rPr>
        <sz val="14"/>
        <rFont val="宋体"/>
        <charset val="134"/>
      </rPr>
      <t>稾</t>
    </r>
    <r>
      <rPr>
        <sz val="14"/>
        <rFont val="MingLiU"/>
        <family val="3"/>
      </rPr>
      <t>靠䯪|熇薧𧋓槁𨃤[銬]</t>
    </r>
  </si>
  <si>
    <r>
      <t>竈</t>
    </r>
    <r>
      <rPr>
        <sz val="14"/>
        <rFont val="MingLiU"/>
        <family val="3"/>
      </rPr>
      <t>(灶)躁趮</t>
    </r>
  </si>
  <si>
    <r>
      <t>腝</t>
    </r>
    <r>
      <rPr>
        <sz val="14"/>
        <rFont val="MingLiU"/>
        <family val="3"/>
      </rPr>
      <t>腦𨱵</t>
    </r>
  </si>
  <si>
    <r>
      <t>箇</t>
    </r>
    <r>
      <rPr>
        <sz val="14"/>
        <rFont val="宋体"/>
        <charset val="134"/>
      </rPr>
      <t>个</t>
    </r>
    <r>
      <rPr>
        <sz val="14"/>
        <rFont val="MingLiU"/>
        <family val="3"/>
      </rPr>
      <t>個</t>
    </r>
  </si>
  <si>
    <r>
      <t>賀</t>
    </r>
    <r>
      <rPr>
        <sz val="14"/>
        <rFont val="宋体"/>
        <charset val="134"/>
      </rPr>
      <t>袔</t>
    </r>
    <r>
      <rPr>
        <sz val="14"/>
        <rFont val="MingLiU"/>
        <family val="3"/>
      </rPr>
      <t>𧝂㵑</t>
    </r>
  </si>
  <si>
    <r>
      <t>佐左作[做]𠡃㝾</t>
    </r>
    <r>
      <rPr>
        <sz val="14"/>
        <rFont val="宋体"/>
        <charset val="134"/>
      </rPr>
      <t>袏</t>
    </r>
  </si>
  <si>
    <r>
      <t>䭾(馱</t>
    </r>
    <r>
      <rPr>
        <sz val="14"/>
        <rFont val="宋体"/>
        <charset val="134"/>
      </rPr>
      <t>駄</t>
    </r>
    <r>
      <rPr>
        <sz val="14"/>
        <rFont val="MingLiU"/>
        <family val="3"/>
      </rPr>
      <t>)大</t>
    </r>
  </si>
  <si>
    <r>
      <t>和盉</t>
    </r>
    <r>
      <rPr>
        <sz val="14"/>
        <rFont val="宋体"/>
        <charset val="134"/>
      </rPr>
      <t>俰</t>
    </r>
  </si>
  <si>
    <r>
      <t>唾</t>
    </r>
    <r>
      <rPr>
        <sz val="14"/>
        <rFont val="宋体"/>
        <charset val="134"/>
      </rPr>
      <t>涶</t>
    </r>
    <r>
      <rPr>
        <sz val="14"/>
        <rFont val="MingLiU"/>
        <family val="3"/>
      </rPr>
      <t>毻蛻𣮆(毤)嫷𧝍</t>
    </r>
  </si>
  <si>
    <r>
      <t>愞</t>
    </r>
    <r>
      <rPr>
        <sz val="14"/>
        <rFont val="MingLiU"/>
        <family val="3"/>
      </rPr>
      <t>(懦)堧</t>
    </r>
    <r>
      <rPr>
        <sz val="14"/>
        <rFont val="宋体"/>
        <charset val="134"/>
      </rPr>
      <t>稬</t>
    </r>
    <r>
      <rPr>
        <sz val="14"/>
        <rFont val="MingLiU"/>
        <family val="3"/>
      </rPr>
      <t>(</t>
    </r>
    <r>
      <rPr>
        <sz val="14"/>
        <rFont val="宋体"/>
        <charset val="134"/>
      </rPr>
      <t>穤</t>
    </r>
    <r>
      <rPr>
        <sz val="14"/>
        <rFont val="MingLiU"/>
        <family val="3"/>
      </rPr>
      <t>糯)𤲬</t>
    </r>
  </si>
  <si>
    <r>
      <t>諎</t>
    </r>
    <r>
      <rPr>
        <sz val="14"/>
        <rFont val="MingLiU"/>
        <family val="3"/>
      </rPr>
      <t>𢯽</t>
    </r>
  </si>
  <si>
    <r>
      <t>惰</t>
    </r>
    <r>
      <rPr>
        <sz val="14"/>
        <rFont val="宋体"/>
        <charset val="134"/>
      </rPr>
      <t>媠</t>
    </r>
    <r>
      <rPr>
        <sz val="14"/>
        <rFont val="MingLiU"/>
        <family val="3"/>
      </rPr>
      <t>䙃𧱫</t>
    </r>
  </si>
  <si>
    <r>
      <t>桗刴</t>
    </r>
    <r>
      <rPr>
        <sz val="14"/>
        <rFont val="MingLiU"/>
        <family val="3"/>
      </rPr>
      <t>[跺](剁)</t>
    </r>
    <r>
      <rPr>
        <sz val="14"/>
        <rFont val="宋体"/>
        <charset val="134"/>
      </rPr>
      <t>挅</t>
    </r>
    <r>
      <rPr>
        <sz val="14"/>
        <rFont val="MingLiU"/>
        <family val="3"/>
      </rPr>
      <t>㛆</t>
    </r>
  </si>
  <si>
    <r>
      <t>罵!禡榪鬕(</t>
    </r>
    <r>
      <rPr>
        <sz val="14"/>
        <rFont val="宋体"/>
        <charset val="134"/>
      </rPr>
      <t>駡</t>
    </r>
    <r>
      <rPr>
        <sz val="14"/>
        <rFont val="MingLiU"/>
        <family val="3"/>
      </rPr>
      <t>)䧞䣕𧪨㾺傌</t>
    </r>
  </si>
  <si>
    <r>
      <t>亞</t>
    </r>
    <r>
      <rPr>
        <sz val="14"/>
        <rFont val="宋体"/>
        <charset val="134"/>
      </rPr>
      <t>俹</t>
    </r>
    <r>
      <rPr>
        <sz val="14"/>
        <rFont val="MingLiU"/>
        <family val="3"/>
      </rPr>
      <t>啞婭</t>
    </r>
    <r>
      <rPr>
        <sz val="14"/>
        <rFont val="宋体"/>
        <charset val="134"/>
      </rPr>
      <t>覀</t>
    </r>
    <r>
      <rPr>
        <sz val="14"/>
        <rFont val="MingLiU"/>
        <family val="3"/>
      </rPr>
      <t>(襾)𣇩㰳</t>
    </r>
    <r>
      <rPr>
        <sz val="14"/>
        <rFont val="宋体"/>
        <charset val="134"/>
      </rPr>
      <t>稏</t>
    </r>
    <r>
      <rPr>
        <sz val="14"/>
        <rFont val="MingLiU"/>
        <family val="3"/>
      </rPr>
      <t>𦜖䢝</t>
    </r>
  </si>
  <si>
    <r>
      <t>吒</t>
    </r>
    <r>
      <rPr>
        <sz val="14"/>
        <rFont val="宋体"/>
        <charset val="134"/>
      </rPr>
      <t>咤</t>
    </r>
    <r>
      <rPr>
        <sz val="14"/>
        <rFont val="MingLiU"/>
        <family val="3"/>
      </rPr>
      <t>奼</t>
    </r>
    <r>
      <rPr>
        <sz val="14"/>
        <rFont val="宋体"/>
        <charset val="134"/>
      </rPr>
      <t>灹</t>
    </r>
    <r>
      <rPr>
        <sz val="14"/>
        <rFont val="MingLiU"/>
        <family val="3"/>
      </rPr>
      <t>哆奓䐒𢕮</t>
    </r>
    <r>
      <rPr>
        <sz val="14"/>
        <rFont val="宋体"/>
        <charset val="134"/>
      </rPr>
      <t>膪</t>
    </r>
    <r>
      <rPr>
        <sz val="14"/>
        <rFont val="MingLiU"/>
        <family val="3"/>
      </rPr>
      <t>䒲㓃𨶃</t>
    </r>
  </si>
  <si>
    <r>
      <t>髂𩩱</t>
    </r>
    <r>
      <rPr>
        <sz val="14"/>
        <rFont val="宋体"/>
        <charset val="134"/>
      </rPr>
      <t>疴</t>
    </r>
    <r>
      <rPr>
        <sz val="14"/>
        <rFont val="MingLiU"/>
        <family val="3"/>
      </rPr>
      <t>𧩶㰤𠳌</t>
    </r>
  </si>
  <si>
    <r>
      <t>夜射</t>
    </r>
    <r>
      <rPr>
        <sz val="14"/>
        <rFont val="宋体"/>
        <charset val="134"/>
      </rPr>
      <t>鵺</t>
    </r>
  </si>
  <si>
    <r>
      <t>柘</t>
    </r>
    <r>
      <rPr>
        <sz val="14"/>
        <rFont val="宋体"/>
        <charset val="134"/>
      </rPr>
      <t>樜</t>
    </r>
    <r>
      <rPr>
        <sz val="14"/>
        <rFont val="MingLiU"/>
        <family val="3"/>
      </rPr>
      <t>鷓䗪(蟅)</t>
    </r>
    <r>
      <rPr>
        <sz val="14"/>
        <rFont val="宋体"/>
        <charset val="134"/>
      </rPr>
      <t>嗻</t>
    </r>
    <r>
      <rPr>
        <sz val="14"/>
        <rFont val="MingLiU"/>
        <family val="3"/>
      </rPr>
      <t>炙蔗</t>
    </r>
  </si>
  <si>
    <r>
      <t>舍)!</t>
    </r>
    <r>
      <rPr>
        <sz val="14"/>
        <rFont val="宋体"/>
        <charset val="134"/>
      </rPr>
      <t>舎</t>
    </r>
    <r>
      <rPr>
        <sz val="14"/>
        <rFont val="MingLiU"/>
        <family val="3"/>
      </rPr>
      <t>赦騇涻厙</t>
    </r>
  </si>
  <si>
    <r>
      <t>霸(</t>
    </r>
    <r>
      <rPr>
        <sz val="14"/>
        <rFont val="宋体"/>
        <charset val="134"/>
      </rPr>
      <t>覇</t>
    </r>
    <r>
      <rPr>
        <sz val="14"/>
        <rFont val="MingLiU"/>
        <family val="3"/>
      </rPr>
      <t>)弝</t>
    </r>
    <r>
      <rPr>
        <sz val="14"/>
        <rFont val="宋体"/>
        <charset val="134"/>
      </rPr>
      <t>欛</t>
    </r>
    <r>
      <rPr>
        <sz val="14"/>
        <rFont val="MingLiU"/>
        <family val="3"/>
      </rPr>
      <t>靶灞</t>
    </r>
    <r>
      <rPr>
        <sz val="14"/>
        <rFont val="宋体"/>
        <charset val="134"/>
      </rPr>
      <t>垻</t>
    </r>
    <r>
      <rPr>
        <sz val="14"/>
        <rFont val="MingLiU"/>
        <family val="3"/>
      </rPr>
      <t>|壩爸</t>
    </r>
  </si>
  <si>
    <r>
      <t>摦㕦崋華樺</t>
    </r>
    <r>
      <rPr>
        <sz val="14"/>
        <rFont val="宋体"/>
        <charset val="134"/>
      </rPr>
      <t>鳠</t>
    </r>
    <r>
      <rPr>
        <sz val="14"/>
        <rFont val="MingLiU"/>
        <family val="3"/>
      </rPr>
      <t>檴</t>
    </r>
  </si>
  <si>
    <r>
      <t>化匕</t>
    </r>
    <r>
      <rPr>
        <sz val="14"/>
        <rFont val="宋体"/>
        <charset val="134"/>
      </rPr>
      <t>諣</t>
    </r>
    <r>
      <rPr>
        <sz val="14"/>
        <rFont val="MingLiU"/>
        <family val="3"/>
      </rPr>
      <t>杹𩲏𩵏</t>
    </r>
  </si>
  <si>
    <r>
      <t>誜</t>
    </r>
    <r>
      <rPr>
        <sz val="14"/>
        <rFont val="MingLiU"/>
        <family val="3"/>
      </rPr>
      <t>傻</t>
    </r>
  </si>
  <si>
    <r>
      <t>坬</t>
    </r>
    <r>
      <rPr>
        <sz val="14"/>
        <rFont val="MingLiU"/>
        <family val="3"/>
      </rPr>
      <t>𧬮</t>
    </r>
  </si>
  <si>
    <r>
      <t>攨</t>
    </r>
    <r>
      <rPr>
        <sz val="14"/>
        <rFont val="MingLiU"/>
        <family val="3"/>
      </rPr>
      <t>窊䠚</t>
    </r>
  </si>
  <si>
    <r>
      <t>樣!漾恙羕颺煬㨾養眻</t>
    </r>
    <r>
      <rPr>
        <sz val="14"/>
        <rFont val="宋体"/>
        <charset val="134"/>
      </rPr>
      <t>諹</t>
    </r>
    <r>
      <rPr>
        <sz val="14"/>
        <rFont val="MingLiU"/>
        <family val="3"/>
      </rPr>
      <t>䭐㺊瀁| 䵮㑰痒𡡂𧫛𠍵</t>
    </r>
  </si>
  <si>
    <r>
      <t>亮諒掠悢緉㹁兩(輛)踉量𣄵𩗬䁁䀶</t>
    </r>
    <r>
      <rPr>
        <sz val="14"/>
        <rFont val="宋体"/>
        <charset val="134"/>
      </rPr>
      <t>哴</t>
    </r>
    <r>
      <rPr>
        <sz val="14"/>
        <rFont val="MingLiU"/>
        <family val="3"/>
      </rPr>
      <t>涼</t>
    </r>
  </si>
  <si>
    <r>
      <t>餉傷向蟓曏</t>
    </r>
    <r>
      <rPr>
        <sz val="14"/>
        <rFont val="宋体"/>
        <charset val="134"/>
      </rPr>
      <t>慯</t>
    </r>
    <r>
      <rPr>
        <sz val="14"/>
        <rFont val="MingLiU"/>
        <family val="3"/>
      </rPr>
      <t>𤵼饟蠰</t>
    </r>
    <r>
      <rPr>
        <sz val="14"/>
        <rFont val="宋体"/>
        <charset val="134"/>
      </rPr>
      <t>珦</t>
    </r>
  </si>
  <si>
    <r>
      <t>帳脹=</t>
    </r>
    <r>
      <rPr>
        <sz val="14"/>
        <rFont val="宋体"/>
        <charset val="134"/>
      </rPr>
      <t>痮</t>
    </r>
    <r>
      <rPr>
        <sz val="14"/>
        <rFont val="MingLiU"/>
        <family val="3"/>
      </rPr>
      <t>漲張[賬]</t>
    </r>
  </si>
  <si>
    <r>
      <t>悵暢鬯韔=䩨𧀄昶</t>
    </r>
    <r>
      <rPr>
        <sz val="14"/>
        <rFont val="宋体"/>
        <charset val="134"/>
      </rPr>
      <t>畼</t>
    </r>
    <r>
      <rPr>
        <sz val="14"/>
        <rFont val="MingLiU"/>
        <family val="3"/>
      </rPr>
      <t>𥠴𥇔</t>
    </r>
  </si>
  <si>
    <r>
      <t>向</t>
    </r>
    <r>
      <rPr>
        <sz val="14"/>
        <rFont val="宋体"/>
        <charset val="134"/>
      </rPr>
      <t>珦</t>
    </r>
    <r>
      <rPr>
        <sz val="14"/>
        <rFont val="MingLiU"/>
        <family val="3"/>
      </rPr>
      <t>曏䦳蠁萫𧬰嚮</t>
    </r>
  </si>
  <si>
    <r>
      <t>仗長</t>
    </r>
    <r>
      <rPr>
        <sz val="14"/>
        <rFont val="宋体"/>
        <charset val="134"/>
      </rPr>
      <t>瓺</t>
    </r>
  </si>
  <si>
    <r>
      <t>尚上</t>
    </r>
    <r>
      <rPr>
        <sz val="14"/>
        <rFont val="宋体"/>
        <charset val="134"/>
      </rPr>
      <t>丄</t>
    </r>
    <r>
      <rPr>
        <sz val="14"/>
        <rFont val="MingLiU"/>
        <family val="3"/>
      </rPr>
      <t>償</t>
    </r>
  </si>
  <si>
    <r>
      <t>怏䬬</t>
    </r>
    <r>
      <rPr>
        <sz val="14"/>
        <rFont val="宋体"/>
        <charset val="134"/>
      </rPr>
      <t>詇</t>
    </r>
    <r>
      <rPr>
        <sz val="14"/>
        <rFont val="MingLiU"/>
        <family val="3"/>
      </rPr>
      <t>㿮</t>
    </r>
  </si>
  <si>
    <r>
      <t>創!</t>
    </r>
    <r>
      <rPr>
        <sz val="14"/>
        <rFont val="宋体"/>
        <charset val="134"/>
      </rPr>
      <t>剏</t>
    </r>
    <r>
      <rPr>
        <sz val="14"/>
        <rFont val="MingLiU"/>
        <family val="3"/>
      </rPr>
      <t>愴滄</t>
    </r>
  </si>
  <si>
    <r>
      <t>況</t>
    </r>
    <r>
      <rPr>
        <sz val="14"/>
        <rFont val="宋体"/>
        <charset val="134"/>
      </rPr>
      <t>况</t>
    </r>
    <r>
      <rPr>
        <sz val="14"/>
        <rFont val="MingLiU"/>
        <family val="3"/>
      </rPr>
      <t>𣍦貺</t>
    </r>
  </si>
  <si>
    <r>
      <t>放舫</t>
    </r>
    <r>
      <rPr>
        <sz val="14"/>
        <rFont val="宋体"/>
        <charset val="134"/>
      </rPr>
      <t>趽</t>
    </r>
    <r>
      <rPr>
        <sz val="14"/>
        <rFont val="MingLiU"/>
        <family val="3"/>
      </rPr>
      <t>𨾔</t>
    </r>
  </si>
  <si>
    <r>
      <t>枊</t>
    </r>
    <r>
      <rPr>
        <sz val="14"/>
        <rFont val="MingLiU"/>
        <family val="3"/>
      </rPr>
      <t>䭹𡵙</t>
    </r>
  </si>
  <si>
    <r>
      <t>譡</t>
    </r>
    <r>
      <rPr>
        <sz val="14"/>
        <rFont val="MingLiU"/>
        <family val="3"/>
      </rPr>
      <t>儅當擋瓽闣</t>
    </r>
  </si>
  <si>
    <r>
      <t>抗閌炕犺伉亢蚢</t>
    </r>
    <r>
      <rPr>
        <sz val="14"/>
        <rFont val="宋体"/>
        <charset val="134"/>
      </rPr>
      <t>砊</t>
    </r>
    <r>
      <rPr>
        <sz val="14"/>
        <rFont val="MingLiU"/>
        <family val="3"/>
      </rPr>
      <t>邟阬𪎵頏</t>
    </r>
  </si>
  <si>
    <r>
      <t>儾</t>
    </r>
    <r>
      <rPr>
        <sz val="14"/>
        <rFont val="MingLiU"/>
        <family val="3"/>
      </rPr>
      <t>灢㚂</t>
    </r>
  </si>
  <si>
    <r>
      <t>鋼</t>
    </r>
    <r>
      <rPr>
        <sz val="14"/>
        <rFont val="宋体"/>
        <charset val="134"/>
      </rPr>
      <t>掆</t>
    </r>
  </si>
  <si>
    <r>
      <t>漭</t>
    </r>
    <r>
      <rPr>
        <sz val="14"/>
        <rFont val="宋体"/>
        <charset val="134"/>
      </rPr>
      <t>吂</t>
    </r>
    <r>
      <rPr>
        <sz val="14"/>
        <rFont val="MingLiU"/>
        <family val="3"/>
      </rPr>
      <t>㟐</t>
    </r>
  </si>
  <si>
    <r>
      <t>映</t>
    </r>
    <r>
      <rPr>
        <sz val="14"/>
        <rFont val="宋体"/>
        <charset val="134"/>
      </rPr>
      <t>暎</t>
    </r>
    <r>
      <rPr>
        <sz val="14"/>
        <rFont val="MingLiU"/>
        <family val="3"/>
      </rPr>
      <t>賏</t>
    </r>
    <r>
      <rPr>
        <sz val="14"/>
        <rFont val="宋体"/>
        <charset val="134"/>
      </rPr>
      <t>詇</t>
    </r>
  </si>
  <si>
    <r>
      <t>競𥪰</t>
    </r>
    <r>
      <rPr>
        <sz val="14"/>
        <rFont val="宋体"/>
        <charset val="134"/>
      </rPr>
      <t>誩</t>
    </r>
    <r>
      <rPr>
        <sz val="14"/>
        <rFont val="MingLiU"/>
        <family val="3"/>
      </rPr>
      <t>倞檠儆</t>
    </r>
    <r>
      <rPr>
        <sz val="14"/>
        <rFont val="宋体"/>
        <charset val="134"/>
      </rPr>
      <t>曔</t>
    </r>
  </si>
  <si>
    <r>
      <t>孟䁅</t>
    </r>
    <r>
      <rPr>
        <sz val="14"/>
        <rFont val="宋体"/>
        <charset val="134"/>
      </rPr>
      <t>朚</t>
    </r>
    <r>
      <rPr>
        <sz val="14"/>
        <rFont val="MingLiU"/>
        <family val="3"/>
      </rPr>
      <t>盟</t>
    </r>
  </si>
  <si>
    <r>
      <t>柄</t>
    </r>
    <r>
      <rPr>
        <sz val="14"/>
        <rFont val="宋体"/>
        <charset val="134"/>
      </rPr>
      <t>棅</t>
    </r>
    <r>
      <rPr>
        <sz val="14"/>
        <rFont val="MingLiU"/>
        <family val="3"/>
      </rPr>
      <t>怲邴</t>
    </r>
    <r>
      <rPr>
        <sz val="14"/>
        <rFont val="宋体"/>
        <charset val="134"/>
      </rPr>
      <t>鈵</t>
    </r>
    <r>
      <rPr>
        <sz val="14"/>
        <rFont val="MingLiU"/>
        <family val="3"/>
      </rPr>
      <t>寎</t>
    </r>
  </si>
  <si>
    <r>
      <t>詠</t>
    </r>
    <r>
      <rPr>
        <sz val="14"/>
        <rFont val="宋体"/>
        <charset val="134"/>
      </rPr>
      <t>咏</t>
    </r>
    <r>
      <rPr>
        <sz val="14"/>
        <rFont val="MingLiU"/>
        <family val="3"/>
      </rPr>
      <t>泳禜醟</t>
    </r>
  </si>
  <si>
    <r>
      <t>鋥</t>
    </r>
    <r>
      <rPr>
        <sz val="14"/>
        <rFont val="MingLiU"/>
        <family val="3"/>
      </rPr>
      <t>𥊼䂻</t>
    </r>
  </si>
  <si>
    <r>
      <t>鞕</t>
    </r>
    <r>
      <rPr>
        <sz val="14"/>
        <rFont val="MingLiU"/>
        <family val="3"/>
      </rPr>
      <t>硬</t>
    </r>
  </si>
  <si>
    <r>
      <t>政正証</t>
    </r>
    <r>
      <rPr>
        <sz val="14"/>
        <rFont val="宋体"/>
        <charset val="134"/>
      </rPr>
      <t>鴊</t>
    </r>
  </si>
  <si>
    <r>
      <t>遉偵</t>
    </r>
    <r>
      <rPr>
        <sz val="14"/>
        <rFont val="宋体"/>
        <charset val="134"/>
      </rPr>
      <t>靗</t>
    </r>
  </si>
  <si>
    <r>
      <t>淨㵾</t>
    </r>
    <r>
      <rPr>
        <sz val="14"/>
        <rFont val="宋体"/>
        <charset val="134"/>
      </rPr>
      <t>穽</t>
    </r>
    <r>
      <rPr>
        <sz val="14"/>
        <rFont val="MingLiU"/>
        <family val="3"/>
      </rPr>
      <t>靚請婧</t>
    </r>
    <r>
      <rPr>
        <sz val="14"/>
        <rFont val="宋体"/>
        <charset val="134"/>
      </rPr>
      <t>䝼</t>
    </r>
    <r>
      <rPr>
        <sz val="14"/>
        <rFont val="MingLiU"/>
        <family val="3"/>
      </rPr>
      <t>𩓞</t>
    </r>
  </si>
  <si>
    <r>
      <t>盛晟</t>
    </r>
    <r>
      <rPr>
        <sz val="14"/>
        <rFont val="宋体"/>
        <charset val="134"/>
      </rPr>
      <t>墭</t>
    </r>
  </si>
  <si>
    <r>
      <t>寗</t>
    </r>
    <r>
      <rPr>
        <sz val="14"/>
        <rFont val="MingLiU"/>
        <family val="3"/>
      </rPr>
      <t>(甯)佞濘鸋</t>
    </r>
  </si>
  <si>
    <r>
      <t>腥醒</t>
    </r>
    <r>
      <rPr>
        <sz val="14"/>
        <rFont val="宋体"/>
        <charset val="134"/>
      </rPr>
      <t>睲</t>
    </r>
  </si>
  <si>
    <r>
      <t>脛</t>
    </r>
    <r>
      <rPr>
        <sz val="14"/>
        <rFont val="宋体"/>
        <charset val="134"/>
      </rPr>
      <t>踁</t>
    </r>
  </si>
  <si>
    <r>
      <t>矴</t>
    </r>
    <r>
      <rPr>
        <sz val="14"/>
        <rFont val="MingLiU"/>
        <family val="3"/>
      </rPr>
      <t>釘訂定飣奠𦘭顁錠</t>
    </r>
  </si>
  <si>
    <r>
      <t>罄𥥻磬</t>
    </r>
    <r>
      <rPr>
        <sz val="14"/>
        <rFont val="宋体"/>
        <charset val="134"/>
      </rPr>
      <t>殸</t>
    </r>
    <r>
      <rPr>
        <sz val="14"/>
        <rFont val="MingLiU"/>
        <family val="3"/>
      </rPr>
      <t>𪊑𨆪鑋</t>
    </r>
  </si>
  <si>
    <r>
      <t>孕䵴賸媵㑞鱦</t>
    </r>
    <r>
      <rPr>
        <sz val="14"/>
        <rFont val="宋体"/>
        <charset val="134"/>
      </rPr>
      <t>膡</t>
    </r>
  </si>
  <si>
    <r>
      <t>乗</t>
    </r>
    <r>
      <rPr>
        <sz val="14"/>
        <rFont val="MingLiU"/>
        <family val="3"/>
      </rPr>
      <t>(乘)鱦媵𣎜嵊賸</t>
    </r>
    <r>
      <rPr>
        <sz val="14"/>
        <rFont val="宋体"/>
        <charset val="134"/>
      </rPr>
      <t>剰</t>
    </r>
    <r>
      <rPr>
        <sz val="14"/>
        <rFont val="MingLiU"/>
        <family val="3"/>
      </rPr>
      <t>(剩)</t>
    </r>
  </si>
  <si>
    <r>
      <t>認扔</t>
    </r>
    <r>
      <rPr>
        <sz val="14"/>
        <rFont val="宋体"/>
        <charset val="134"/>
      </rPr>
      <t>芿</t>
    </r>
    <r>
      <rPr>
        <sz val="14"/>
        <rFont val="MingLiU"/>
        <family val="3"/>
      </rPr>
      <t>㭁</t>
    </r>
  </si>
  <si>
    <r>
      <t>應</t>
    </r>
    <r>
      <rPr>
        <sz val="14"/>
        <rFont val="宋体"/>
        <charset val="134"/>
      </rPr>
      <t>譍噟</t>
    </r>
  </si>
  <si>
    <r>
      <t>興</t>
    </r>
    <r>
      <rPr>
        <sz val="14"/>
        <rFont val="宋体"/>
        <charset val="134"/>
      </rPr>
      <t>臖嬹</t>
    </r>
  </si>
  <si>
    <r>
      <t>勝</t>
    </r>
    <r>
      <rPr>
        <sz val="14"/>
        <rFont val="宋体"/>
        <charset val="134"/>
      </rPr>
      <t>膡榺蕂</t>
    </r>
  </si>
  <si>
    <r>
      <t>嶝鐙</t>
    </r>
    <r>
      <rPr>
        <sz val="14"/>
        <rFont val="宋体"/>
        <charset val="134"/>
      </rPr>
      <t>隥</t>
    </r>
    <r>
      <rPr>
        <sz val="14"/>
        <rFont val="MingLiU"/>
        <family val="3"/>
      </rPr>
      <t>橙凳𧀆𩞬磴</t>
    </r>
  </si>
  <si>
    <r>
      <t>亘</t>
    </r>
    <r>
      <rPr>
        <sz val="14"/>
        <rFont val="MingLiU"/>
        <family val="3"/>
      </rPr>
      <t>(亙)堩揯</t>
    </r>
    <r>
      <rPr>
        <sz val="14"/>
        <rFont val="宋体"/>
        <charset val="134"/>
      </rPr>
      <t>縆</t>
    </r>
    <r>
      <rPr>
        <sz val="14"/>
        <rFont val="MingLiU"/>
        <family val="3"/>
      </rPr>
      <t>䱎𥔂</t>
    </r>
  </si>
  <si>
    <r>
      <t>鄧蹬</t>
    </r>
    <r>
      <rPr>
        <sz val="14"/>
        <rFont val="宋体"/>
        <charset val="134"/>
      </rPr>
      <t>僜</t>
    </r>
    <r>
      <rPr>
        <sz val="14"/>
        <rFont val="MingLiU"/>
        <family val="3"/>
      </rPr>
      <t>𣩟䮴</t>
    </r>
    <r>
      <rPr>
        <sz val="14"/>
        <rFont val="宋体"/>
        <charset val="134"/>
      </rPr>
      <t>幐</t>
    </r>
  </si>
  <si>
    <r>
      <t>𢅴䲛</t>
    </r>
    <r>
      <rPr>
        <sz val="14"/>
        <rFont val="宋体"/>
        <charset val="134"/>
      </rPr>
      <t>懜</t>
    </r>
    <r>
      <rPr>
        <sz val="14"/>
        <rFont val="MingLiU"/>
        <family val="3"/>
      </rPr>
      <t>𨮒𧀧</t>
    </r>
  </si>
  <si>
    <r>
      <t>又!宥佑右祐䀁𥁓</t>
    </r>
    <r>
      <rPr>
        <sz val="14"/>
        <rFont val="宋体"/>
        <charset val="134"/>
      </rPr>
      <t>酭</t>
    </r>
    <r>
      <rPr>
        <sz val="14"/>
        <rFont val="MingLiU"/>
        <family val="3"/>
      </rPr>
      <t>𩑣𤴨囿姷</t>
    </r>
    <r>
      <rPr>
        <sz val="14"/>
        <rFont val="宋体"/>
        <charset val="134"/>
      </rPr>
      <t>忧</t>
    </r>
    <r>
      <rPr>
        <sz val="14"/>
        <rFont val="MingLiU"/>
        <family val="3"/>
      </rPr>
      <t>䞥侑𦳩</t>
    </r>
  </si>
  <si>
    <r>
      <t>救灸</t>
    </r>
    <r>
      <rPr>
        <sz val="14"/>
        <rFont val="宋体"/>
        <charset val="134"/>
      </rPr>
      <t>廐</t>
    </r>
    <r>
      <rPr>
        <sz val="14"/>
        <rFont val="MingLiU"/>
        <family val="3"/>
      </rPr>
      <t>(廄)究㝌疚㲃𠣿𧧷猶𨖏_xD861_</t>
    </r>
  </si>
  <si>
    <r>
      <t>胄冑𩊄酎宙繇籀</t>
    </r>
    <r>
      <rPr>
        <sz val="14"/>
        <rFont val="宋体"/>
        <charset val="134"/>
      </rPr>
      <t>伷</t>
    </r>
    <r>
      <rPr>
        <sz val="14"/>
        <rFont val="MingLiU"/>
        <family val="3"/>
      </rPr>
      <t>䛆</t>
    </r>
    <r>
      <rPr>
        <sz val="14"/>
        <rFont val="宋体"/>
        <charset val="134"/>
      </rPr>
      <t>疛</t>
    </r>
    <r>
      <rPr>
        <sz val="14"/>
        <rFont val="MingLiU"/>
        <family val="3"/>
      </rPr>
      <t>㿒駎懤</t>
    </r>
  </si>
  <si>
    <r>
      <t>齅</t>
    </r>
    <r>
      <rPr>
        <sz val="14"/>
        <rFont val="MingLiU"/>
        <family val="3"/>
      </rPr>
      <t>(嗅)</t>
    </r>
    <r>
      <rPr>
        <sz val="14"/>
        <rFont val="宋体"/>
        <charset val="134"/>
      </rPr>
      <t>嘼</t>
    </r>
    <r>
      <rPr>
        <sz val="14"/>
        <rFont val="MingLiU"/>
        <family val="3"/>
      </rPr>
      <t>珛|臭|</t>
    </r>
  </si>
  <si>
    <r>
      <t>咒)!</t>
    </r>
    <r>
      <rPr>
        <sz val="14"/>
        <rFont val="宋体"/>
        <charset val="134"/>
      </rPr>
      <t>呪</t>
    </r>
    <r>
      <rPr>
        <sz val="14"/>
        <rFont val="MingLiU"/>
        <family val="3"/>
      </rPr>
      <t>祝䯾椆</t>
    </r>
  </si>
  <si>
    <r>
      <t>舊柩</t>
    </r>
    <r>
      <rPr>
        <sz val="14"/>
        <rFont val="宋体"/>
        <charset val="134"/>
      </rPr>
      <t>匶</t>
    </r>
  </si>
  <si>
    <r>
      <t>𤸃瘦漱</t>
    </r>
    <r>
      <rPr>
        <sz val="14"/>
        <rFont val="宋体"/>
        <charset val="134"/>
      </rPr>
      <t>鏉</t>
    </r>
    <r>
      <rPr>
        <sz val="14"/>
        <rFont val="MingLiU"/>
        <family val="3"/>
      </rPr>
      <t>|嗖</t>
    </r>
  </si>
  <si>
    <r>
      <t>簉䔏</t>
    </r>
    <r>
      <rPr>
        <sz val="14"/>
        <rFont val="宋体"/>
        <charset val="134"/>
      </rPr>
      <t>遚</t>
    </r>
  </si>
  <si>
    <r>
      <t>溜廖霤嬼鷚餾瘤窌留㙀僇廇</t>
    </r>
    <r>
      <rPr>
        <sz val="14"/>
        <rFont val="宋体"/>
        <charset val="134"/>
      </rPr>
      <t>畂</t>
    </r>
    <r>
      <rPr>
        <sz val="14"/>
        <rFont val="MingLiU"/>
        <family val="3"/>
      </rPr>
      <t>𥛅飂</t>
    </r>
    <r>
      <rPr>
        <sz val="14"/>
        <rFont val="宋体"/>
        <charset val="134"/>
      </rPr>
      <t>勠</t>
    </r>
    <r>
      <rPr>
        <sz val="14"/>
        <rFont val="MingLiU"/>
        <family val="3"/>
      </rPr>
      <t>翏塯㽌</t>
    </r>
  </si>
  <si>
    <r>
      <t>秀繡</t>
    </r>
    <r>
      <rPr>
        <sz val="14"/>
        <rFont val="宋体"/>
        <charset val="134"/>
      </rPr>
      <t>蜏</t>
    </r>
    <r>
      <rPr>
        <sz val="14"/>
        <rFont val="MingLiU"/>
        <family val="3"/>
      </rPr>
      <t>琇宿|銹鏽|</t>
    </r>
  </si>
  <si>
    <r>
      <t>僦䅢</t>
    </r>
    <r>
      <rPr>
        <sz val="14"/>
        <rFont val="宋体"/>
        <charset val="134"/>
      </rPr>
      <t>媨</t>
    </r>
  </si>
  <si>
    <r>
      <t>驟</t>
    </r>
    <r>
      <rPr>
        <sz val="14"/>
        <rFont val="宋体"/>
        <charset val="134"/>
      </rPr>
      <t>㑳</t>
    </r>
    <r>
      <rPr>
        <sz val="14"/>
        <rFont val="MingLiU"/>
        <family val="3"/>
      </rPr>
      <t>僽</t>
    </r>
  </si>
  <si>
    <r>
      <t>糅𩚖</t>
    </r>
    <r>
      <rPr>
        <sz val="14"/>
        <rFont val="宋体"/>
        <charset val="134"/>
      </rPr>
      <t>腬</t>
    </r>
    <r>
      <rPr>
        <sz val="14"/>
        <rFont val="MingLiU"/>
        <family val="3"/>
      </rPr>
      <t>猱狃</t>
    </r>
  </si>
  <si>
    <r>
      <t>復𢕒𤸑伏</t>
    </r>
    <r>
      <rPr>
        <sz val="14"/>
        <rFont val="宋体"/>
        <charset val="134"/>
      </rPr>
      <t>椱</t>
    </r>
    <r>
      <rPr>
        <sz val="14"/>
        <rFont val="MingLiU"/>
        <family val="3"/>
      </rPr>
      <t>𨺅覆複</t>
    </r>
  </si>
  <si>
    <r>
      <t>狖貁鼬𤍕柚蜼褎油猶𪕏</t>
    </r>
    <r>
      <rPr>
        <sz val="14"/>
        <rFont val="宋体"/>
        <charset val="134"/>
      </rPr>
      <t>櫾</t>
    </r>
    <r>
      <rPr>
        <sz val="14"/>
        <rFont val="MingLiU"/>
        <family val="3"/>
      </rPr>
      <t>輶牰</t>
    </r>
    <r>
      <rPr>
        <sz val="14"/>
        <rFont val="宋体"/>
        <charset val="134"/>
      </rPr>
      <t>蜏</t>
    </r>
    <r>
      <rPr>
        <sz val="14"/>
        <rFont val="MingLiU"/>
        <family val="3"/>
      </rPr>
      <t>|釉|</t>
    </r>
  </si>
  <si>
    <r>
      <t>候</t>
    </r>
    <r>
      <rPr>
        <sz val="14"/>
        <rFont val="宋体"/>
        <charset val="134"/>
      </rPr>
      <t>鮜</t>
    </r>
    <r>
      <rPr>
        <sz val="14"/>
        <rFont val="MingLiU"/>
        <family val="3"/>
      </rPr>
      <t>鄇逅</t>
    </r>
    <r>
      <rPr>
        <sz val="14"/>
        <rFont val="宋体"/>
        <charset val="134"/>
      </rPr>
      <t>訽睺</t>
    </r>
    <r>
      <rPr>
        <sz val="14"/>
        <rFont val="MingLiU"/>
        <family val="3"/>
      </rPr>
      <t>后後堠鱟鍭厚䞧䞀𣣠</t>
    </r>
  </si>
  <si>
    <r>
      <t>茂懋貿鄮戊</t>
    </r>
    <r>
      <rPr>
        <sz val="14"/>
        <rFont val="宋体"/>
        <charset val="134"/>
      </rPr>
      <t>愗</t>
    </r>
    <r>
      <rPr>
        <sz val="14"/>
        <rFont val="MingLiU"/>
        <family val="3"/>
      </rPr>
      <t>袤楙瞀䓮姆苺𦼪𠔼雺</t>
    </r>
  </si>
  <si>
    <r>
      <t>仆踣䞳㰴</t>
    </r>
    <r>
      <rPr>
        <sz val="14"/>
        <rFont val="宋体"/>
        <charset val="134"/>
      </rPr>
      <t>豧</t>
    </r>
  </si>
  <si>
    <r>
      <t>豆竇窬逗酘荳脰郖梪餖浢䄈</t>
    </r>
    <r>
      <rPr>
        <sz val="14"/>
        <rFont val="宋体"/>
        <charset val="134"/>
      </rPr>
      <t>毭</t>
    </r>
    <r>
      <rPr>
        <sz val="14"/>
        <rFont val="MingLiU"/>
        <family val="3"/>
      </rPr>
      <t>𩊪𤀨㛒[痘]|讀</t>
    </r>
  </si>
  <si>
    <r>
      <t>鬥</t>
    </r>
    <r>
      <rPr>
        <sz val="14"/>
        <rFont val="宋体"/>
        <charset val="134"/>
      </rPr>
      <t>鬭闘</t>
    </r>
    <r>
      <rPr>
        <sz val="14"/>
        <rFont val="MingLiU"/>
        <family val="3"/>
      </rPr>
      <t>噣䛠𧱦</t>
    </r>
    <r>
      <rPr>
        <sz val="14"/>
        <rFont val="宋体"/>
        <charset val="134"/>
      </rPr>
      <t>斣</t>
    </r>
    <r>
      <rPr>
        <sz val="14"/>
        <rFont val="MingLiU"/>
        <family val="3"/>
      </rPr>
      <t>襡䬦</t>
    </r>
  </si>
  <si>
    <r>
      <t>搙</t>
    </r>
    <r>
      <rPr>
        <sz val="14"/>
        <rFont val="MingLiU"/>
        <family val="3"/>
      </rPr>
      <t>鎒耨𣫌擩</t>
    </r>
    <r>
      <rPr>
        <sz val="14"/>
        <rFont val="宋体"/>
        <charset val="134"/>
      </rPr>
      <t>譳</t>
    </r>
  </si>
  <si>
    <r>
      <t>瘶</t>
    </r>
    <r>
      <rPr>
        <sz val="14"/>
        <rFont val="MingLiU"/>
        <family val="3"/>
      </rPr>
      <t>嗽欶漱</t>
    </r>
    <r>
      <rPr>
        <sz val="14"/>
        <rFont val="宋体"/>
        <charset val="134"/>
      </rPr>
      <t>鏉</t>
    </r>
    <r>
      <rPr>
        <sz val="14"/>
        <rFont val="MingLiU"/>
        <family val="3"/>
      </rPr>
      <t>謏嗾</t>
    </r>
  </si>
  <si>
    <r>
      <t>透</t>
    </r>
    <r>
      <rPr>
        <sz val="14"/>
        <rFont val="宋体"/>
        <charset val="134"/>
      </rPr>
      <t>咅</t>
    </r>
    <r>
      <rPr>
        <sz val="14"/>
        <rFont val="MingLiU"/>
        <family val="3"/>
      </rPr>
      <t>㰯䟝𧺢</t>
    </r>
  </si>
  <si>
    <r>
      <t>購!遘構媾覯姤䝭雊𢐙𤚼句軥㝤搆怐</t>
    </r>
    <r>
      <rPr>
        <sz val="14"/>
        <rFont val="宋体"/>
        <charset val="134"/>
      </rPr>
      <t>煹</t>
    </r>
    <r>
      <rPr>
        <sz val="14"/>
        <rFont val="MingLiU"/>
        <family val="3"/>
      </rPr>
      <t>䃓冓㝅𢄇</t>
    </r>
  </si>
  <si>
    <r>
      <t>陋漏鏤</t>
    </r>
    <r>
      <rPr>
        <sz val="14"/>
        <rFont val="宋体"/>
        <charset val="134"/>
      </rPr>
      <t>屚瘻</t>
    </r>
    <r>
      <rPr>
        <sz val="14"/>
        <rFont val="MingLiU"/>
        <family val="3"/>
      </rPr>
      <t>𦸢𧷡𨫒</t>
    </r>
    <r>
      <rPr>
        <sz val="14"/>
        <rFont val="宋体"/>
        <charset val="134"/>
      </rPr>
      <t>蔄</t>
    </r>
    <r>
      <rPr>
        <sz val="14"/>
        <rFont val="MingLiU"/>
        <family val="3"/>
      </rPr>
      <t>𣤋𧫞𠞭僂</t>
    </r>
  </si>
  <si>
    <r>
      <t>蔻</t>
    </r>
    <r>
      <rPr>
        <sz val="14"/>
        <rFont val="宋体"/>
        <charset val="134"/>
      </rPr>
      <t>豞</t>
    </r>
    <r>
      <rPr>
        <sz val="14"/>
        <rFont val="MingLiU"/>
        <family val="3"/>
      </rPr>
      <t>䪷詬</t>
    </r>
    <r>
      <rPr>
        <sz val="14"/>
        <rFont val="宋体"/>
        <charset val="134"/>
      </rPr>
      <t>訽</t>
    </r>
    <r>
      <rPr>
        <sz val="14"/>
        <rFont val="MingLiU"/>
        <family val="3"/>
      </rPr>
      <t>吼㰯㖃佝怐</t>
    </r>
  </si>
  <si>
    <r>
      <t>沁𠖶</t>
    </r>
    <r>
      <rPr>
        <sz val="14"/>
        <rFont val="宋体"/>
        <charset val="134"/>
      </rPr>
      <t>吣</t>
    </r>
    <r>
      <rPr>
        <sz val="14"/>
        <rFont val="MingLiU"/>
        <family val="3"/>
      </rPr>
      <t>(唚,</t>
    </r>
    <r>
      <rPr>
        <sz val="14"/>
        <rFont val="宋体"/>
        <charset val="134"/>
      </rPr>
      <t>吢</t>
    </r>
    <r>
      <rPr>
        <sz val="14"/>
        <rFont val="MingLiU"/>
        <family val="3"/>
      </rPr>
      <t>)䈜</t>
    </r>
  </si>
  <si>
    <r>
      <t>妊</t>
    </r>
    <r>
      <rPr>
        <sz val="14"/>
        <rFont val="宋体"/>
        <charset val="134"/>
      </rPr>
      <t>絍</t>
    </r>
    <r>
      <rPr>
        <sz val="14"/>
        <rFont val="MingLiU"/>
        <family val="3"/>
      </rPr>
      <t>任衽鵀</t>
    </r>
  </si>
  <si>
    <r>
      <t>𦧈䶖𤘡噤𦨽紟鈙</t>
    </r>
    <r>
      <rPr>
        <sz val="14"/>
        <rFont val="宋体"/>
        <charset val="134"/>
      </rPr>
      <t>凚</t>
    </r>
    <r>
      <rPr>
        <sz val="14"/>
        <rFont val="MingLiU"/>
        <family val="3"/>
      </rPr>
      <t>笒</t>
    </r>
    <r>
      <rPr>
        <sz val="14"/>
        <rFont val="宋体"/>
        <charset val="134"/>
      </rPr>
      <t>齽</t>
    </r>
    <r>
      <rPr>
        <sz val="14"/>
        <rFont val="MingLiU"/>
        <family val="3"/>
      </rPr>
      <t>|妗|</t>
    </r>
  </si>
  <si>
    <r>
      <t>蔭䅧窨喑𤸌</t>
    </r>
    <r>
      <rPr>
        <sz val="14"/>
        <rFont val="宋体"/>
        <charset val="134"/>
      </rPr>
      <t>癊</t>
    </r>
    <r>
      <rPr>
        <sz val="14"/>
        <rFont val="MingLiU"/>
        <family val="3"/>
      </rPr>
      <t>飲</t>
    </r>
  </si>
  <si>
    <r>
      <t>憾琀</t>
    </r>
    <r>
      <rPr>
        <sz val="14"/>
        <rFont val="宋体"/>
        <charset val="134"/>
      </rPr>
      <t>浛</t>
    </r>
    <r>
      <rPr>
        <sz val="14"/>
        <rFont val="MingLiU"/>
        <family val="3"/>
      </rPr>
      <t>唅蜭</t>
    </r>
    <r>
      <rPr>
        <sz val="14"/>
        <rFont val="宋体"/>
        <charset val="134"/>
      </rPr>
      <t>莟</t>
    </r>
    <r>
      <rPr>
        <sz val="14"/>
        <rFont val="MingLiU"/>
        <family val="3"/>
      </rPr>
      <t>䐄</t>
    </r>
  </si>
  <si>
    <r>
      <t>僋㶒撢(探)㐁傝䐺憛</t>
    </r>
    <r>
      <rPr>
        <sz val="14"/>
        <rFont val="宋体"/>
        <charset val="134"/>
      </rPr>
      <t>誩</t>
    </r>
  </si>
  <si>
    <r>
      <t>俕</t>
    </r>
    <r>
      <rPr>
        <sz val="14"/>
        <rFont val="MingLiU"/>
        <family val="3"/>
      </rPr>
      <t>閐㤾䫅</t>
    </r>
  </si>
  <si>
    <r>
      <t>謲</t>
    </r>
    <r>
      <rPr>
        <sz val="14"/>
        <rFont val="MingLiU"/>
        <family val="3"/>
      </rPr>
      <t>參㽩</t>
    </r>
  </si>
  <si>
    <r>
      <t>馾</t>
    </r>
    <r>
      <rPr>
        <sz val="14"/>
        <rFont val="MingLiU"/>
        <family val="3"/>
      </rPr>
      <t>𩈉𩾺</t>
    </r>
  </si>
  <si>
    <r>
      <t>篸</t>
    </r>
    <r>
      <rPr>
        <sz val="14"/>
        <rFont val="宋体"/>
        <charset val="134"/>
      </rPr>
      <t>撍</t>
    </r>
  </si>
  <si>
    <r>
      <t>濫㔋𨣨纜爁㜮</t>
    </r>
    <r>
      <rPr>
        <sz val="14"/>
        <rFont val="宋体"/>
        <charset val="134"/>
      </rPr>
      <t>懢</t>
    </r>
    <r>
      <rPr>
        <sz val="14"/>
        <rFont val="MingLiU"/>
        <family val="3"/>
      </rPr>
      <t>䆾嚂</t>
    </r>
  </si>
  <si>
    <r>
      <t>𧵊</t>
    </r>
    <r>
      <rPr>
        <sz val="14"/>
        <rFont val="宋体"/>
        <charset val="134"/>
      </rPr>
      <t>蘫</t>
    </r>
    <r>
      <rPr>
        <sz val="14"/>
        <rFont val="MingLiU"/>
        <family val="3"/>
      </rPr>
      <t>䖔</t>
    </r>
  </si>
  <si>
    <r>
      <t>憺惔澹</t>
    </r>
    <r>
      <rPr>
        <sz val="14"/>
        <rFont val="宋体"/>
        <charset val="134"/>
      </rPr>
      <t>腅</t>
    </r>
    <r>
      <rPr>
        <sz val="14"/>
        <rFont val="MingLiU"/>
        <family val="3"/>
      </rPr>
      <t>淡啗啖倓</t>
    </r>
  </si>
  <si>
    <r>
      <t>豔</t>
    </r>
    <r>
      <rPr>
        <sz val="14"/>
        <rFont val="宋体"/>
        <charset val="134"/>
      </rPr>
      <t>艶</t>
    </r>
    <r>
      <rPr>
        <sz val="14"/>
        <rFont val="MingLiU"/>
        <family val="3"/>
      </rPr>
      <t>爓焰焱𢴵鹽𤅸</t>
    </r>
    <r>
      <rPr>
        <sz val="14"/>
        <rFont val="宋体"/>
        <charset val="134"/>
      </rPr>
      <t>灧</t>
    </r>
    <r>
      <rPr>
        <sz val="14"/>
        <rFont val="MingLiU"/>
        <family val="3"/>
      </rPr>
      <t>灩</t>
    </r>
  </si>
  <si>
    <r>
      <t>壍</t>
    </r>
    <r>
      <rPr>
        <sz val="14"/>
        <rFont val="MingLiU"/>
        <family val="3"/>
      </rPr>
      <t>塹槧</t>
    </r>
    <r>
      <rPr>
        <sz val="14"/>
        <rFont val="宋体"/>
        <charset val="134"/>
      </rPr>
      <t>嬱</t>
    </r>
  </si>
  <si>
    <r>
      <t>䠨幨</t>
    </r>
    <r>
      <rPr>
        <sz val="14"/>
        <rFont val="宋体"/>
        <charset val="134"/>
      </rPr>
      <t>韂</t>
    </r>
    <r>
      <rPr>
        <sz val="14"/>
        <rFont val="MingLiU"/>
        <family val="3"/>
      </rPr>
      <t>襜裧䪜㙴䦲</t>
    </r>
  </si>
  <si>
    <r>
      <t>㮇</t>
    </r>
    <r>
      <rPr>
        <sz val="14"/>
        <rFont val="宋体"/>
        <charset val="134"/>
      </rPr>
      <t>舚</t>
    </r>
    <r>
      <rPr>
        <sz val="14"/>
        <rFont val="MingLiU"/>
        <family val="3"/>
      </rPr>
      <t>忝煔𨸱㐁</t>
    </r>
  </si>
  <si>
    <r>
      <t>店坫沾墊唸(惦)痁𩅀㝪</t>
    </r>
    <r>
      <rPr>
        <sz val="14"/>
        <rFont val="宋体"/>
        <charset val="134"/>
      </rPr>
      <t>埝</t>
    </r>
    <r>
      <rPr>
        <sz val="14"/>
        <rFont val="MingLiU"/>
        <family val="3"/>
      </rPr>
      <t>𦒻䀡</t>
    </r>
  </si>
  <si>
    <r>
      <t>陷</t>
    </r>
    <r>
      <rPr>
        <sz val="14"/>
        <rFont val="宋体"/>
        <charset val="134"/>
      </rPr>
      <t>臽</t>
    </r>
    <r>
      <rPr>
        <sz val="14"/>
        <rFont val="MingLiU"/>
        <family val="3"/>
      </rPr>
      <t>錎䱤䐄</t>
    </r>
  </si>
  <si>
    <r>
      <t>韽淊𤟟</t>
    </r>
    <r>
      <rPr>
        <sz val="14"/>
        <rFont val="宋体"/>
        <charset val="134"/>
      </rPr>
      <t>揞</t>
    </r>
  </si>
  <si>
    <r>
      <t>覱</t>
    </r>
    <r>
      <rPr>
        <sz val="14"/>
        <rFont val="MingLiU"/>
        <family val="3"/>
      </rPr>
      <t>𩈻𩅼</t>
    </r>
  </si>
  <si>
    <r>
      <t>埿</t>
    </r>
    <r>
      <rPr>
        <sz val="14"/>
        <rFont val="MingLiU"/>
        <family val="3"/>
      </rPr>
      <t>=湴</t>
    </r>
  </si>
  <si>
    <r>
      <t>泛!汎𠆩䀀𥁔氾䒦</t>
    </r>
    <r>
      <rPr>
        <sz val="14"/>
        <rFont val="宋体"/>
        <charset val="134"/>
      </rPr>
      <t>姂</t>
    </r>
  </si>
  <si>
    <r>
      <t>劔</t>
    </r>
    <r>
      <rPr>
        <sz val="14"/>
        <rFont val="MingLiU"/>
        <family val="3"/>
      </rPr>
      <t>(劍)</t>
    </r>
  </si>
  <si>
    <r>
      <t>俺㤿淹𦑎㛪裺䛳</t>
    </r>
    <r>
      <rPr>
        <sz val="14"/>
        <rFont val="宋体"/>
        <charset val="134"/>
      </rPr>
      <t>覎</t>
    </r>
  </si>
  <si>
    <r>
      <t>獨黷讟髑䫳殰讀櫝牘儥㾄贕碡䢱䮷皾𤟩襡韣</t>
    </r>
    <r>
      <rPr>
        <sz val="14"/>
        <rFont val="宋体"/>
        <charset val="134"/>
      </rPr>
      <t>瓄</t>
    </r>
    <r>
      <rPr>
        <sz val="14"/>
        <rFont val="MingLiU"/>
        <family val="3"/>
      </rPr>
      <t>瀆𨽍</t>
    </r>
    <r>
      <rPr>
        <sz val="14"/>
        <rFont val="宋体"/>
        <charset val="134"/>
      </rPr>
      <t>豄</t>
    </r>
    <r>
      <rPr>
        <sz val="14"/>
        <rFont val="MingLiU"/>
        <family val="3"/>
      </rPr>
      <t>韇</t>
    </r>
    <r>
      <rPr>
        <sz val="14"/>
        <rFont val="宋体"/>
        <charset val="134"/>
      </rPr>
      <t>嬻</t>
    </r>
    <r>
      <rPr>
        <sz val="14"/>
        <rFont val="MingLiU"/>
        <family val="3"/>
      </rPr>
      <t>犢𪇆罜㒔</t>
    </r>
    <r>
      <rPr>
        <sz val="14"/>
        <rFont val="宋体"/>
        <charset val="134"/>
      </rPr>
      <t>匵</t>
    </r>
  </si>
  <si>
    <r>
      <t>穀</t>
    </r>
    <r>
      <rPr>
        <sz val="14"/>
        <rFont val="宋体"/>
        <charset val="134"/>
      </rPr>
      <t>糓</t>
    </r>
    <r>
      <rPr>
        <sz val="14"/>
        <rFont val="MingLiU"/>
        <family val="3"/>
      </rPr>
      <t>轂榖濲谷</t>
    </r>
    <r>
      <rPr>
        <sz val="14"/>
        <rFont val="宋体"/>
        <charset val="134"/>
      </rPr>
      <t>瑴</t>
    </r>
    <r>
      <rPr>
        <sz val="14"/>
        <rFont val="MingLiU"/>
        <family val="3"/>
      </rPr>
      <t>𪇗𣨍𪕸䜼𧣡䐨𤞞𥆌䀰</t>
    </r>
    <r>
      <rPr>
        <sz val="14"/>
        <rFont val="宋体"/>
        <charset val="134"/>
      </rPr>
      <t>唂</t>
    </r>
  </si>
  <si>
    <r>
      <t>縠槲斛螜𧂔礐觳</t>
    </r>
    <r>
      <rPr>
        <sz val="14"/>
        <rFont val="宋体"/>
        <charset val="134"/>
      </rPr>
      <t>蔛</t>
    </r>
    <r>
      <rPr>
        <sz val="14"/>
        <rFont val="MingLiU"/>
        <family val="3"/>
      </rPr>
      <t>𣫈𣹬䶜㽇䈸焀</t>
    </r>
  </si>
  <si>
    <r>
      <t>秃</t>
    </r>
    <r>
      <rPr>
        <sz val="14"/>
        <rFont val="MingLiU"/>
        <family val="3"/>
      </rPr>
      <t>(禿)𣬜䛢𢬳鵚</t>
    </r>
  </si>
  <si>
    <r>
      <t>速</t>
    </r>
    <r>
      <rPr>
        <sz val="14"/>
        <rFont val="宋体"/>
        <charset val="134"/>
      </rPr>
      <t>遬</t>
    </r>
    <r>
      <rPr>
        <sz val="14"/>
        <rFont val="MingLiU"/>
        <family val="3"/>
      </rPr>
      <t>𧫣蔌餗𩱖𨄞樕𣫎㑛梀𪋝藗</t>
    </r>
    <r>
      <rPr>
        <sz val="14"/>
        <rFont val="宋体"/>
        <charset val="134"/>
      </rPr>
      <t>殐</t>
    </r>
    <r>
      <rPr>
        <sz val="14"/>
        <rFont val="MingLiU"/>
        <family val="3"/>
      </rPr>
      <t>嗽𡖯棴涑|觫簌</t>
    </r>
  </si>
  <si>
    <r>
      <t>禄</t>
    </r>
    <r>
      <rPr>
        <sz val="14"/>
        <rFont val="MingLiU"/>
        <family val="3"/>
      </rPr>
      <t>(祿)鹿漉</t>
    </r>
    <r>
      <rPr>
        <sz val="14"/>
        <rFont val="宋体"/>
        <charset val="134"/>
      </rPr>
      <t>渌</t>
    </r>
    <r>
      <rPr>
        <sz val="14"/>
        <rFont val="MingLiU"/>
        <family val="3"/>
      </rPr>
      <t>(淥)觻睩䚄</t>
    </r>
    <r>
      <rPr>
        <sz val="14"/>
        <rFont val="宋体"/>
        <charset val="134"/>
      </rPr>
      <t>龣</t>
    </r>
    <r>
      <rPr>
        <sz val="14"/>
        <rFont val="MingLiU"/>
        <family val="3"/>
      </rPr>
      <t>𨏔轆㼾𦪇琭簏</t>
    </r>
    <r>
      <rPr>
        <sz val="14"/>
        <rFont val="宋体"/>
        <charset val="134"/>
      </rPr>
      <t>箓</t>
    </r>
    <r>
      <rPr>
        <sz val="14"/>
        <rFont val="MingLiU"/>
        <family val="3"/>
      </rPr>
      <t>螰䍡麓㯟碌盝𥂖䮽磟</t>
    </r>
    <r>
      <rPr>
        <sz val="14"/>
        <rFont val="宋体"/>
        <charset val="134"/>
      </rPr>
      <t>簶</t>
    </r>
    <r>
      <rPr>
        <sz val="14"/>
        <rFont val="MingLiU"/>
        <family val="3"/>
      </rPr>
      <t>𧌍谷</t>
    </r>
    <r>
      <rPr>
        <sz val="14"/>
        <rFont val="宋体"/>
        <charset val="134"/>
      </rPr>
      <t>娽</t>
    </r>
    <r>
      <rPr>
        <sz val="14"/>
        <rFont val="MingLiU"/>
        <family val="3"/>
      </rPr>
      <t>𥉶摝𥛞𦌟𥂇𤽺廘角(甪)𥪋彔濼鏕</t>
    </r>
    <r>
      <rPr>
        <sz val="14"/>
        <rFont val="宋体"/>
        <charset val="134"/>
      </rPr>
      <t>趢</t>
    </r>
    <r>
      <rPr>
        <sz val="14"/>
        <rFont val="MingLiU"/>
        <family val="3"/>
      </rPr>
      <t>䎑𨌠㪖𩅄蔍鄜簏</t>
    </r>
  </si>
  <si>
    <r>
      <t>嗀豰熇𦞦𧹲㷤</t>
    </r>
    <r>
      <rPr>
        <sz val="14"/>
        <rFont val="宋体"/>
        <charset val="134"/>
      </rPr>
      <t>嚛</t>
    </r>
  </si>
  <si>
    <r>
      <t>簇!瘯䃚蔟</t>
    </r>
    <r>
      <rPr>
        <sz val="14"/>
        <rFont val="宋体"/>
        <charset val="134"/>
      </rPr>
      <t>趗</t>
    </r>
    <r>
      <rPr>
        <sz val="14"/>
        <rFont val="MingLiU"/>
        <family val="3"/>
      </rPr>
      <t>梀</t>
    </r>
  </si>
  <si>
    <r>
      <t>鏃</t>
    </r>
    <r>
      <rPr>
        <sz val="14"/>
        <rFont val="宋体"/>
        <charset val="134"/>
      </rPr>
      <t>鎐</t>
    </r>
  </si>
  <si>
    <r>
      <t>暴曝瀑䗱㲫樸僕䑑𥐁</t>
    </r>
    <r>
      <rPr>
        <sz val="14"/>
        <rFont val="宋体"/>
        <charset val="134"/>
      </rPr>
      <t>菐</t>
    </r>
    <r>
      <rPr>
        <sz val="14"/>
        <rFont val="MingLiU"/>
        <family val="3"/>
      </rPr>
      <t>𡕡</t>
    </r>
    <r>
      <rPr>
        <sz val="14"/>
        <rFont val="宋体"/>
        <charset val="134"/>
      </rPr>
      <t>穙</t>
    </r>
  </si>
  <si>
    <r>
      <t>扑(撲)醭濼墣𥣜𪔿</t>
    </r>
    <r>
      <rPr>
        <sz val="14"/>
        <rFont val="宋体"/>
        <charset val="134"/>
      </rPr>
      <t>攴骲</t>
    </r>
    <r>
      <rPr>
        <sz val="14"/>
        <rFont val="MingLiU"/>
        <family val="3"/>
      </rPr>
      <t>𪐙䴆</t>
    </r>
  </si>
  <si>
    <r>
      <t>木沐</t>
    </r>
    <r>
      <rPr>
        <sz val="14"/>
        <rFont val="宋体"/>
        <charset val="134"/>
      </rPr>
      <t>朷</t>
    </r>
    <r>
      <rPr>
        <sz val="14"/>
        <rFont val="MingLiU"/>
        <family val="3"/>
      </rPr>
      <t>毣鶩霂𨍎㡔蓩艒鞪楘蚞</t>
    </r>
  </si>
  <si>
    <r>
      <t>福腹複幅輻葍蝠𥳇鍑鶝踾輹</t>
    </r>
    <r>
      <rPr>
        <sz val="14"/>
        <rFont val="宋体"/>
        <charset val="134"/>
      </rPr>
      <t>菐</t>
    </r>
    <r>
      <rPr>
        <sz val="14"/>
        <rFont val="MingLiU"/>
        <family val="3"/>
      </rPr>
      <t>偪楅𦿁+𠋩</t>
    </r>
  </si>
  <si>
    <r>
      <t>伏復虙服𦨈茯馥鵩</t>
    </r>
    <r>
      <rPr>
        <sz val="14"/>
        <rFont val="宋体"/>
        <charset val="134"/>
      </rPr>
      <t>鞴</t>
    </r>
    <r>
      <rPr>
        <sz val="14"/>
        <rFont val="MingLiU"/>
        <family val="3"/>
      </rPr>
      <t>蕧輹𨋩澓</t>
    </r>
    <r>
      <rPr>
        <sz val="14"/>
        <rFont val="宋体"/>
        <charset val="134"/>
      </rPr>
      <t>椱</t>
    </r>
    <r>
      <rPr>
        <sz val="14"/>
        <rFont val="MingLiU"/>
        <family val="3"/>
      </rPr>
      <t>洑箙𩋟𨌥𤸑𪃃𩢰𥨍棴复</t>
    </r>
    <r>
      <rPr>
        <sz val="14"/>
        <rFont val="宋体"/>
        <charset val="134"/>
      </rPr>
      <t>畐絥</t>
    </r>
    <r>
      <rPr>
        <sz val="14"/>
        <rFont val="MingLiU"/>
        <family val="3"/>
      </rPr>
      <t>𩊙𩎧菔匐鰒𥪋</t>
    </r>
    <r>
      <rPr>
        <sz val="14"/>
        <rFont val="宋体"/>
        <charset val="134"/>
      </rPr>
      <t>栿</t>
    </r>
    <r>
      <rPr>
        <sz val="14"/>
        <rFont val="MingLiU"/>
        <family val="3"/>
      </rPr>
      <t>[袱]</t>
    </r>
  </si>
  <si>
    <r>
      <t>縮莤𩘹𧽏</t>
    </r>
    <r>
      <rPr>
        <sz val="14"/>
        <rFont val="宋体"/>
        <charset val="134"/>
      </rPr>
      <t>樎</t>
    </r>
    <r>
      <rPr>
        <sz val="14"/>
        <rFont val="MingLiU"/>
        <family val="3"/>
      </rPr>
      <t>蹜謖䎘㩋摍𧐴摵謏</t>
    </r>
  </si>
  <si>
    <r>
      <t>六陸戮</t>
    </r>
    <r>
      <rPr>
        <sz val="14"/>
        <rFont val="宋体"/>
        <charset val="134"/>
      </rPr>
      <t>剹勠</t>
    </r>
    <r>
      <rPr>
        <sz val="14"/>
        <rFont val="MingLiU"/>
        <family val="3"/>
      </rPr>
      <t>稑穋鵱蓼𦾷𩣱鯥𦸐磟𧌉淕䡜坴𡴆踛僇𥚊</t>
    </r>
  </si>
  <si>
    <r>
      <t>菊鞠蘜𧃓㥌𡙳掬匊𥷤𦶗鞫𡫬𥩁㹼𪈓鵴𨸰㘲㽤䱡椈</t>
    </r>
    <r>
      <rPr>
        <sz val="14"/>
        <rFont val="宋体"/>
        <charset val="134"/>
      </rPr>
      <t>巈</t>
    </r>
    <r>
      <rPr>
        <sz val="14"/>
        <rFont val="MingLiU"/>
        <family val="3"/>
      </rPr>
      <t>臼䳔𩛺</t>
    </r>
    <r>
      <rPr>
        <sz val="14"/>
        <rFont val="宋体"/>
        <charset val="134"/>
      </rPr>
      <t>諊</t>
    </r>
    <r>
      <rPr>
        <sz val="14"/>
        <rFont val="MingLiU"/>
        <family val="3"/>
      </rPr>
      <t>𩬜踘閰𣐊𧿻</t>
    </r>
    <r>
      <rPr>
        <sz val="14"/>
        <rFont val="宋体"/>
        <charset val="134"/>
      </rPr>
      <t>泦</t>
    </r>
    <r>
      <rPr>
        <sz val="14"/>
        <rFont val="MingLiU"/>
        <family val="3"/>
      </rPr>
      <t>趜</t>
    </r>
  </si>
  <si>
    <r>
      <t>麴𥶶𩍔(</t>
    </r>
    <r>
      <rPr>
        <sz val="14"/>
        <rFont val="宋体"/>
        <charset val="134"/>
      </rPr>
      <t>麯</t>
    </r>
    <r>
      <rPr>
        <sz val="14"/>
        <rFont val="MingLiU"/>
        <family val="3"/>
      </rPr>
      <t>)鞠𠤄</t>
    </r>
  </si>
  <si>
    <r>
      <t>熟孰淑塾𨷙</t>
    </r>
    <r>
      <rPr>
        <sz val="14"/>
        <rFont val="宋体"/>
        <charset val="134"/>
      </rPr>
      <t>璹</t>
    </r>
    <r>
      <rPr>
        <sz val="14"/>
        <rFont val="MingLiU"/>
        <family val="3"/>
      </rPr>
      <t>婌䃞</t>
    </r>
  </si>
  <si>
    <r>
      <t>育毓鬻粥𩱱䋭𧷗儥</t>
    </r>
    <r>
      <rPr>
        <sz val="14"/>
        <rFont val="宋体"/>
        <charset val="134"/>
      </rPr>
      <t>棛</t>
    </r>
    <r>
      <rPr>
        <sz val="14"/>
        <rFont val="MingLiU"/>
        <family val="3"/>
      </rPr>
      <t>錥煜</t>
    </r>
    <r>
      <rPr>
        <sz val="14"/>
        <rFont val="宋体"/>
        <charset val="134"/>
      </rPr>
      <t>焴</t>
    </r>
    <r>
      <rPr>
        <sz val="14"/>
        <rFont val="MingLiU"/>
        <family val="3"/>
      </rPr>
      <t>昱蒮淯</t>
    </r>
    <r>
      <rPr>
        <sz val="14"/>
        <rFont val="宋体"/>
        <charset val="134"/>
      </rPr>
      <t>蜟</t>
    </r>
    <r>
      <rPr>
        <sz val="14"/>
        <rFont val="MingLiU"/>
        <family val="3"/>
      </rPr>
      <t>𢌻堉</t>
    </r>
    <r>
      <rPr>
        <sz val="14"/>
        <rFont val="宋体"/>
        <charset val="134"/>
      </rPr>
      <t>喅</t>
    </r>
    <r>
      <rPr>
        <sz val="14"/>
        <rFont val="MingLiU"/>
        <family val="3"/>
      </rPr>
      <t>𤳕𥉑</t>
    </r>
    <r>
      <rPr>
        <sz val="14"/>
        <rFont val="宋体"/>
        <charset val="134"/>
      </rPr>
      <t>逳</t>
    </r>
    <r>
      <rPr>
        <sz val="14"/>
        <rFont val="MingLiU"/>
        <family val="3"/>
      </rPr>
      <t>𦱀蘛</t>
    </r>
  </si>
  <si>
    <r>
      <t>驧𩣽趜䱡鵴𪁁鞠</t>
    </r>
    <r>
      <rPr>
        <sz val="14"/>
        <rFont val="宋体"/>
        <charset val="134"/>
      </rPr>
      <t>毱</t>
    </r>
    <r>
      <rPr>
        <sz val="14"/>
        <rFont val="MingLiU"/>
        <family val="3"/>
      </rPr>
      <t>䗇踘䜯𠤄</t>
    </r>
  </si>
  <si>
    <r>
      <t>肉衄</t>
    </r>
    <r>
      <rPr>
        <sz val="14"/>
        <rFont val="宋体"/>
        <charset val="134"/>
      </rPr>
      <t>鱬</t>
    </r>
    <r>
      <rPr>
        <sz val="14"/>
        <rFont val="MingLiU"/>
        <family val="3"/>
      </rPr>
      <t>|朒</t>
    </r>
  </si>
  <si>
    <r>
      <t>叔儵</t>
    </r>
    <r>
      <rPr>
        <sz val="14"/>
        <rFont val="宋体"/>
        <charset val="134"/>
      </rPr>
      <t>倐</t>
    </r>
    <r>
      <rPr>
        <sz val="14"/>
        <rFont val="MingLiU"/>
        <family val="3"/>
      </rPr>
      <t>(倏)透虪𨁀鮛</t>
    </r>
    <r>
      <rPr>
        <sz val="14"/>
        <rFont val="宋体"/>
        <charset val="134"/>
      </rPr>
      <t>掓</t>
    </r>
    <r>
      <rPr>
        <sz val="14"/>
        <rFont val="MingLiU"/>
        <family val="3"/>
      </rPr>
      <t>𢞣翛</t>
    </r>
    <r>
      <rPr>
        <sz val="14"/>
        <rFont val="宋体"/>
        <charset val="134"/>
      </rPr>
      <t>尗</t>
    </r>
    <r>
      <rPr>
        <sz val="14"/>
        <rFont val="MingLiU"/>
        <family val="3"/>
      </rPr>
      <t>菽㶖</t>
    </r>
  </si>
  <si>
    <r>
      <t>蓄</t>
    </r>
    <r>
      <rPr>
        <sz val="14"/>
        <rFont val="宋体"/>
        <charset val="134"/>
      </rPr>
      <t>稸</t>
    </r>
    <r>
      <rPr>
        <sz val="14"/>
        <rFont val="MingLiU"/>
        <family val="3"/>
      </rPr>
      <t>畜㜅鄐</t>
    </r>
    <r>
      <rPr>
        <sz val="14"/>
        <rFont val="宋体"/>
        <charset val="134"/>
      </rPr>
      <t>荲</t>
    </r>
    <r>
      <rPr>
        <sz val="14"/>
        <rFont val="MingLiU"/>
        <family val="3"/>
      </rPr>
      <t>蓫慉𥈆+𤲸</t>
    </r>
  </si>
  <si>
    <r>
      <t>蹙踧𧑙𠴫㗤噈摵槭殧𣤶𥷛</t>
    </r>
    <r>
      <rPr>
        <sz val="14"/>
        <rFont val="宋体"/>
        <charset val="134"/>
      </rPr>
      <t>縬</t>
    </r>
    <r>
      <rPr>
        <sz val="14"/>
        <rFont val="MingLiU"/>
        <family val="3"/>
      </rPr>
      <t>𣢰𦟠顣䙘蹴</t>
    </r>
  </si>
  <si>
    <r>
      <t>肭恧𦗂忸衄䖡䂇</t>
    </r>
    <r>
      <rPr>
        <sz val="14"/>
        <rFont val="宋体"/>
        <charset val="134"/>
      </rPr>
      <t>沑</t>
    </r>
  </si>
  <si>
    <r>
      <t>縬</t>
    </r>
    <r>
      <rPr>
        <sz val="14"/>
        <rFont val="MingLiU"/>
        <family val="3"/>
      </rPr>
      <t>𡎺</t>
    </r>
  </si>
  <si>
    <r>
      <t>郁戫彧燠栯噢墺䐿薁澳隩䉛𣢜𨞓𪑝</t>
    </r>
    <r>
      <rPr>
        <sz val="14"/>
        <rFont val="宋体"/>
        <charset val="134"/>
      </rPr>
      <t>稶</t>
    </r>
    <r>
      <rPr>
        <sz val="14"/>
        <rFont val="MingLiU"/>
        <family val="3"/>
      </rPr>
      <t>懊㰲𠸹𨪎</t>
    </r>
  </si>
  <si>
    <r>
      <t>肅宿蓿夙𠈇𠉦玊鷫𪄑</t>
    </r>
    <r>
      <rPr>
        <sz val="14"/>
        <rFont val="宋体"/>
        <charset val="134"/>
      </rPr>
      <t>蟰</t>
    </r>
    <r>
      <rPr>
        <sz val="14"/>
        <rFont val="MingLiU"/>
        <family val="3"/>
      </rPr>
      <t>驌䎘𩘹鱐䃤𤥔潚橚㩋䑿㑉</t>
    </r>
    <r>
      <rPr>
        <sz val="14"/>
        <rFont val="宋体"/>
        <charset val="134"/>
      </rPr>
      <t>璛</t>
    </r>
    <r>
      <rPr>
        <sz val="14"/>
        <rFont val="MingLiU"/>
        <family val="3"/>
      </rPr>
      <t>㪩</t>
    </r>
  </si>
  <si>
    <r>
      <t>囿</t>
    </r>
    <r>
      <rPr>
        <sz val="14"/>
        <rFont val="宋体"/>
        <charset val="134"/>
      </rPr>
      <t>哊</t>
    </r>
  </si>
  <si>
    <r>
      <t>蓄</t>
    </r>
    <r>
      <rPr>
        <sz val="14"/>
        <rFont val="宋体"/>
        <charset val="134"/>
      </rPr>
      <t>稸</t>
    </r>
    <r>
      <rPr>
        <sz val="14"/>
        <rFont val="MingLiU"/>
        <family val="3"/>
      </rPr>
      <t>苖</t>
    </r>
    <r>
      <rPr>
        <sz val="14"/>
        <rFont val="宋体"/>
        <charset val="134"/>
      </rPr>
      <t>荲</t>
    </r>
    <r>
      <rPr>
        <sz val="14"/>
        <rFont val="MingLiU"/>
        <family val="3"/>
      </rPr>
      <t>矗滀蓫敊</t>
    </r>
    <r>
      <rPr>
        <sz val="14"/>
        <rFont val="宋体"/>
        <charset val="134"/>
      </rPr>
      <t>傗</t>
    </r>
    <r>
      <rPr>
        <sz val="14"/>
        <rFont val="MingLiU"/>
        <family val="3"/>
      </rPr>
      <t>[搐]鄐|畜|</t>
    </r>
  </si>
  <si>
    <r>
      <t>毒𡴛(𡹆)𦺇蝳</t>
    </r>
    <r>
      <rPr>
        <sz val="14"/>
        <rFont val="宋体"/>
        <charset val="134"/>
      </rPr>
      <t>瑇</t>
    </r>
    <r>
      <rPr>
        <sz val="14"/>
        <rFont val="MingLiU"/>
        <family val="3"/>
      </rPr>
      <t>纛𢃶碡</t>
    </r>
  </si>
  <si>
    <r>
      <t>酷</t>
    </r>
    <r>
      <rPr>
        <sz val="14"/>
        <rFont val="宋体"/>
        <charset val="134"/>
      </rPr>
      <t>焅</t>
    </r>
    <r>
      <rPr>
        <sz val="14"/>
        <rFont val="MingLiU"/>
        <family val="3"/>
      </rPr>
      <t>𥞴嚳硞𡷥</t>
    </r>
  </si>
  <si>
    <r>
      <t>鵠㿥翯</t>
    </r>
    <r>
      <rPr>
        <sz val="14"/>
        <rFont val="宋体"/>
        <charset val="134"/>
      </rPr>
      <t>隺</t>
    </r>
    <r>
      <rPr>
        <sz val="14"/>
        <rFont val="MingLiU"/>
        <family val="3"/>
      </rPr>
      <t>𤌍</t>
    </r>
    <r>
      <rPr>
        <sz val="14"/>
        <rFont val="宋体"/>
        <charset val="134"/>
      </rPr>
      <t>頶</t>
    </r>
    <r>
      <rPr>
        <sz val="14"/>
        <rFont val="MingLiU"/>
        <family val="3"/>
      </rPr>
      <t>𨴬礐</t>
    </r>
  </si>
  <si>
    <r>
      <t>熇臛</t>
    </r>
    <r>
      <rPr>
        <sz val="14"/>
        <rFont val="宋体"/>
        <charset val="134"/>
      </rPr>
      <t>嚛</t>
    </r>
    <r>
      <rPr>
        <sz val="14"/>
        <rFont val="MingLiU"/>
        <family val="3"/>
      </rPr>
      <t>歊</t>
    </r>
  </si>
  <si>
    <r>
      <t>褥耨耨</t>
    </r>
    <r>
      <rPr>
        <sz val="14"/>
        <rFont val="宋体"/>
        <charset val="134"/>
      </rPr>
      <t>搙</t>
    </r>
  </si>
  <si>
    <r>
      <t>傶𣪻</t>
    </r>
    <r>
      <rPr>
        <sz val="14"/>
        <rFont val="宋体"/>
        <charset val="134"/>
      </rPr>
      <t>錊</t>
    </r>
  </si>
  <si>
    <r>
      <t>燭屬</t>
    </r>
    <r>
      <rPr>
        <sz val="14"/>
        <rFont val="宋体"/>
        <charset val="134"/>
      </rPr>
      <t>属</t>
    </r>
    <r>
      <rPr>
        <sz val="14"/>
        <rFont val="MingLiU"/>
        <family val="3"/>
      </rPr>
      <t>矚䌵囑鸀䟉㰲噣蠾韣蠋</t>
    </r>
  </si>
  <si>
    <r>
      <t>蜀韣蠾欘屬</t>
    </r>
    <r>
      <rPr>
        <sz val="14"/>
        <rFont val="宋体"/>
        <charset val="134"/>
      </rPr>
      <t>属</t>
    </r>
    <r>
      <rPr>
        <sz val="14"/>
        <rFont val="MingLiU"/>
        <family val="3"/>
      </rPr>
      <t>㻿襡䙱襩㒔鐲</t>
    </r>
  </si>
  <si>
    <r>
      <t>綠!(</t>
    </r>
    <r>
      <rPr>
        <sz val="14"/>
        <rFont val="宋体"/>
        <charset val="134"/>
      </rPr>
      <t>緑</t>
    </r>
    <r>
      <rPr>
        <sz val="14"/>
        <rFont val="MingLiU"/>
        <family val="3"/>
      </rPr>
      <t>)</t>
    </r>
    <r>
      <rPr>
        <sz val="14"/>
        <rFont val="宋体"/>
        <charset val="134"/>
      </rPr>
      <t>録</t>
    </r>
    <r>
      <rPr>
        <sz val="14"/>
        <rFont val="MingLiU"/>
        <family val="3"/>
      </rPr>
      <t>(錄)</t>
    </r>
    <r>
      <rPr>
        <sz val="14"/>
        <rFont val="宋体"/>
        <charset val="134"/>
      </rPr>
      <t>渌</t>
    </r>
    <r>
      <rPr>
        <sz val="14"/>
        <rFont val="MingLiU"/>
        <family val="3"/>
      </rPr>
      <t>(淥)醁碌䚄騄菉逯㫽䱚籙䟿𧨹</t>
    </r>
    <r>
      <rPr>
        <sz val="14"/>
        <rFont val="宋体"/>
        <charset val="134"/>
      </rPr>
      <t>趢</t>
    </r>
    <r>
      <rPr>
        <sz val="14"/>
        <rFont val="MingLiU"/>
        <family val="3"/>
      </rPr>
      <t>㪖+</t>
    </r>
    <r>
      <rPr>
        <sz val="14"/>
        <rFont val="宋体"/>
        <charset val="134"/>
      </rPr>
      <t>娽</t>
    </r>
  </si>
  <si>
    <r>
      <t>曲䱡䒼</t>
    </r>
    <r>
      <rPr>
        <sz val="14"/>
        <rFont val="宋体"/>
        <charset val="134"/>
      </rPr>
      <t>匤</t>
    </r>
    <r>
      <rPr>
        <sz val="14"/>
        <rFont val="MingLiU"/>
        <family val="3"/>
      </rPr>
      <t>|蛐髷|</t>
    </r>
  </si>
  <si>
    <r>
      <t>幞</t>
    </r>
    <r>
      <rPr>
        <sz val="14"/>
        <rFont val="MingLiU"/>
        <family val="3"/>
      </rPr>
      <t>襆</t>
    </r>
  </si>
  <si>
    <r>
      <t>促</t>
    </r>
    <r>
      <rPr>
        <sz val="14"/>
        <rFont val="宋体"/>
        <charset val="134"/>
      </rPr>
      <t>誎</t>
    </r>
    <r>
      <rPr>
        <sz val="14"/>
        <rFont val="MingLiU"/>
        <family val="3"/>
      </rPr>
      <t>𥻆憟𣯼㔄</t>
    </r>
  </si>
  <si>
    <r>
      <t>覺斠角桷較䡈</t>
    </r>
    <r>
      <rPr>
        <sz val="14"/>
        <rFont val="宋体"/>
        <charset val="134"/>
      </rPr>
      <t>珏</t>
    </r>
    <r>
      <rPr>
        <sz val="14"/>
        <rFont val="MingLiU"/>
        <family val="3"/>
      </rPr>
      <t>(玨)</t>
    </r>
    <r>
      <rPr>
        <sz val="14"/>
        <rFont val="宋体"/>
        <charset val="134"/>
      </rPr>
      <t>瑴</t>
    </r>
    <r>
      <rPr>
        <sz val="14"/>
        <rFont val="MingLiU"/>
        <family val="3"/>
      </rPr>
      <t>䮸䚫榷捔搉䁷梏傕䮤</t>
    </r>
    <r>
      <rPr>
        <sz val="14"/>
        <rFont val="宋体"/>
        <charset val="134"/>
      </rPr>
      <t>龣</t>
    </r>
  </si>
  <si>
    <r>
      <t>嶽岳樂鸑𩓥觷</t>
    </r>
    <r>
      <rPr>
        <sz val="14"/>
        <rFont val="宋体"/>
        <charset val="134"/>
      </rPr>
      <t>捳</t>
    </r>
    <r>
      <rPr>
        <sz val="14"/>
        <rFont val="MingLiU"/>
        <family val="3"/>
      </rPr>
      <t>㹊</t>
    </r>
  </si>
  <si>
    <r>
      <t>浞</t>
    </r>
    <r>
      <rPr>
        <sz val="14"/>
        <rFont val="宋体"/>
        <charset val="134"/>
      </rPr>
      <t>丵鋜</t>
    </r>
    <r>
      <rPr>
        <sz val="14"/>
        <rFont val="MingLiU"/>
        <family val="3"/>
      </rPr>
      <t>(鐲)灂鷟捔澩篧汋齺𢋱(𨖮)簎</t>
    </r>
  </si>
  <si>
    <r>
      <t>朔欶嗽</t>
    </r>
    <r>
      <rPr>
        <sz val="14"/>
        <rFont val="宋体"/>
        <charset val="134"/>
      </rPr>
      <t>矟</t>
    </r>
    <r>
      <rPr>
        <sz val="14"/>
        <rFont val="MingLiU"/>
        <family val="3"/>
      </rPr>
      <t>槊蒴數箾𦂗㮶揱𦋞|搠嗍</t>
    </r>
  </si>
  <si>
    <r>
      <t>卓!斲涿諑㧻琢孎桌𥢔啄斀啅噣𢁁䐁倬</t>
    </r>
    <r>
      <rPr>
        <sz val="14"/>
        <rFont val="宋体"/>
        <charset val="134"/>
      </rPr>
      <t>晫</t>
    </r>
    <r>
      <rPr>
        <sz val="14"/>
        <rFont val="MingLiU"/>
        <family val="3"/>
      </rPr>
      <t>𢽚菿</t>
    </r>
  </si>
  <si>
    <r>
      <t>剝)!</t>
    </r>
    <r>
      <rPr>
        <sz val="14"/>
        <rFont val="宋体"/>
        <charset val="134"/>
      </rPr>
      <t>剥</t>
    </r>
    <r>
      <rPr>
        <sz val="14"/>
        <rFont val="MingLiU"/>
        <family val="3"/>
      </rPr>
      <t>駮駁𩐟𦢊嚗𥭖</t>
    </r>
    <r>
      <rPr>
        <sz val="14"/>
        <rFont val="宋体"/>
        <charset val="134"/>
      </rPr>
      <t>肑</t>
    </r>
    <r>
      <rPr>
        <sz val="14"/>
        <rFont val="MingLiU"/>
        <family val="3"/>
      </rPr>
      <t>爆𪇰</t>
    </r>
    <r>
      <rPr>
        <sz val="14"/>
        <rFont val="宋体"/>
        <charset val="134"/>
      </rPr>
      <t>髉</t>
    </r>
    <r>
      <rPr>
        <sz val="14"/>
        <rFont val="MingLiU"/>
        <family val="3"/>
      </rPr>
      <t>㿺䑈趵</t>
    </r>
  </si>
  <si>
    <r>
      <t>邈藐㦝眊</t>
    </r>
    <r>
      <rPr>
        <sz val="14"/>
        <rFont val="宋体"/>
        <charset val="134"/>
      </rPr>
      <t>皃</t>
    </r>
    <r>
      <rPr>
        <sz val="14"/>
        <rFont val="MingLiU"/>
        <family val="3"/>
      </rPr>
      <t>毣瞀𢷕</t>
    </r>
    <r>
      <rPr>
        <sz val="14"/>
        <rFont val="宋体"/>
        <charset val="134"/>
      </rPr>
      <t>瞐</t>
    </r>
  </si>
  <si>
    <r>
      <t>跑!雹𩅟𢷏𩣡䮀</t>
    </r>
    <r>
      <rPr>
        <sz val="14"/>
        <rFont val="宋体"/>
        <charset val="134"/>
      </rPr>
      <t>骲</t>
    </r>
    <r>
      <rPr>
        <sz val="14"/>
        <rFont val="MingLiU"/>
        <family val="3"/>
      </rPr>
      <t>𩺽䈏瓝瓟㼎謈犦豰窇𥭓𦢊懪㩧</t>
    </r>
  </si>
  <si>
    <r>
      <t>璞㩧樸朴㹒</t>
    </r>
    <r>
      <rPr>
        <sz val="14"/>
        <rFont val="宋体"/>
        <charset val="134"/>
      </rPr>
      <t>攴</t>
    </r>
    <r>
      <rPr>
        <sz val="14"/>
        <rFont val="MingLiU"/>
        <family val="3"/>
      </rPr>
      <t>墣</t>
    </r>
    <r>
      <rPr>
        <sz val="14"/>
        <rFont val="宋体"/>
        <charset val="134"/>
      </rPr>
      <t>圤</t>
    </r>
    <r>
      <rPr>
        <sz val="14"/>
        <rFont val="MingLiU"/>
        <family val="3"/>
      </rPr>
      <t>颮鞄謈𤆝𥛟㺪𧴤</t>
    </r>
  </si>
  <si>
    <r>
      <t>殼！𣪊(</t>
    </r>
    <r>
      <rPr>
        <sz val="14"/>
        <rFont val="宋体"/>
        <charset val="134"/>
      </rPr>
      <t>殻</t>
    </r>
    <r>
      <rPr>
        <sz val="14"/>
        <rFont val="MingLiU"/>
        <family val="3"/>
      </rPr>
      <t>)毃愨搉確碻𤿩㲉觳</t>
    </r>
    <r>
      <rPr>
        <sz val="14"/>
        <rFont val="宋体"/>
        <charset val="134"/>
      </rPr>
      <t>燩</t>
    </r>
    <r>
      <rPr>
        <sz val="14"/>
        <rFont val="MingLiU"/>
        <family val="3"/>
      </rPr>
      <t>嶨礐塙𣤇硞𡴊埆𡇱</t>
    </r>
  </si>
  <si>
    <r>
      <t>握!渥偓箹幄</t>
    </r>
    <r>
      <rPr>
        <sz val="14"/>
        <rFont val="宋体"/>
        <charset val="134"/>
      </rPr>
      <t>楃</t>
    </r>
    <r>
      <rPr>
        <sz val="14"/>
        <rFont val="MingLiU"/>
        <family val="3"/>
      </rPr>
      <t>喔鷽葯腛𪑱齷</t>
    </r>
    <r>
      <rPr>
        <sz val="14"/>
        <rFont val="宋体"/>
        <charset val="134"/>
      </rPr>
      <t>媉</t>
    </r>
    <r>
      <rPr>
        <sz val="14"/>
        <rFont val="MingLiU"/>
        <family val="3"/>
      </rPr>
      <t>𦯏</t>
    </r>
    <r>
      <rPr>
        <sz val="14"/>
        <rFont val="宋体"/>
        <charset val="134"/>
      </rPr>
      <t>龏</t>
    </r>
    <r>
      <rPr>
        <sz val="14"/>
        <rFont val="MingLiU"/>
        <family val="3"/>
      </rPr>
      <t>𠿟䮸</t>
    </r>
  </si>
  <si>
    <r>
      <t>搦掉䚥𧢺</t>
    </r>
    <r>
      <rPr>
        <sz val="14"/>
        <rFont val="宋体"/>
        <charset val="134"/>
      </rPr>
      <t>搙</t>
    </r>
    <r>
      <rPr>
        <sz val="14"/>
        <rFont val="MingLiU"/>
        <family val="3"/>
      </rPr>
      <t>𧣺</t>
    </r>
  </si>
  <si>
    <r>
      <t>逴趠</t>
    </r>
    <r>
      <rPr>
        <sz val="14"/>
        <rFont val="宋体"/>
        <charset val="134"/>
      </rPr>
      <t>晫</t>
    </r>
    <r>
      <rPr>
        <sz val="14"/>
        <rFont val="MingLiU"/>
        <family val="3"/>
      </rPr>
      <t>踔㪬(戳)</t>
    </r>
  </si>
  <si>
    <r>
      <t>㕰</t>
    </r>
    <r>
      <rPr>
        <sz val="14"/>
        <rFont val="宋体"/>
        <charset val="134"/>
      </rPr>
      <t>豿</t>
    </r>
    <r>
      <rPr>
        <sz val="14"/>
        <rFont val="MingLiU"/>
        <family val="3"/>
      </rPr>
      <t>𩌥翯嗀𦰾謞</t>
    </r>
    <r>
      <rPr>
        <sz val="14"/>
        <rFont val="宋体"/>
        <charset val="134"/>
      </rPr>
      <t>瀥</t>
    </r>
    <r>
      <rPr>
        <sz val="14"/>
        <rFont val="MingLiU"/>
        <family val="3"/>
      </rPr>
      <t>䤕滈</t>
    </r>
  </si>
  <si>
    <r>
      <t>質晊郅桎櫍蛭騭</t>
    </r>
    <r>
      <rPr>
        <sz val="14"/>
        <rFont val="宋体"/>
        <charset val="134"/>
      </rPr>
      <t>劕</t>
    </r>
    <r>
      <rPr>
        <sz val="14"/>
        <rFont val="MingLiU"/>
        <family val="3"/>
      </rPr>
      <t>銍䑇鑕𡂒懫礩侄</t>
    </r>
  </si>
  <si>
    <r>
      <t>秩紩帙</t>
    </r>
    <r>
      <rPr>
        <sz val="14"/>
        <rFont val="宋体"/>
        <charset val="134"/>
      </rPr>
      <t>袠</t>
    </r>
    <r>
      <rPr>
        <sz val="14"/>
        <rFont val="MingLiU"/>
        <family val="3"/>
      </rPr>
      <t>柣翐姪</t>
    </r>
    <r>
      <rPr>
        <sz val="14"/>
        <rFont val="宋体"/>
        <charset val="134"/>
      </rPr>
      <t>妷豑</t>
    </r>
    <r>
      <rPr>
        <sz val="14"/>
        <rFont val="MingLiU"/>
        <family val="3"/>
      </rPr>
      <t>𣗻𧽮𡙮</t>
    </r>
  </si>
  <si>
    <r>
      <t>悉</t>
    </r>
    <r>
      <rPr>
        <sz val="14"/>
        <rFont val="宋体"/>
        <charset val="134"/>
      </rPr>
      <t>厀</t>
    </r>
    <r>
      <rPr>
        <sz val="14"/>
        <rFont val="MingLiU"/>
        <family val="3"/>
      </rPr>
      <t>膝蟋𧀬䊝僁窸</t>
    </r>
  </si>
  <si>
    <r>
      <t>一</t>
    </r>
    <r>
      <rPr>
        <sz val="14"/>
        <rFont val="宋体"/>
        <charset val="134"/>
      </rPr>
      <t>弌</t>
    </r>
    <r>
      <rPr>
        <sz val="14"/>
        <rFont val="MingLiU"/>
        <family val="3"/>
      </rPr>
      <t>壹</t>
    </r>
  </si>
  <si>
    <r>
      <t>吉拮趌狤𧾢</t>
    </r>
    <r>
      <rPr>
        <sz val="14"/>
        <rFont val="宋体"/>
        <charset val="134"/>
      </rPr>
      <t>郆</t>
    </r>
    <r>
      <rPr>
        <sz val="14"/>
        <rFont val="MingLiU"/>
        <family val="3"/>
      </rPr>
      <t>洁𤿠</t>
    </r>
  </si>
  <si>
    <r>
      <t>欯</t>
    </r>
    <r>
      <rPr>
        <sz val="14"/>
        <rFont val="宋体"/>
        <charset val="134"/>
      </rPr>
      <t>欪</t>
    </r>
    <r>
      <rPr>
        <sz val="14"/>
        <rFont val="MingLiU"/>
        <family val="3"/>
      </rPr>
      <t>咭恄㣟</t>
    </r>
  </si>
  <si>
    <r>
      <t>栗㮚𣡷慄溧䬆𠞉鷅</t>
    </r>
    <r>
      <rPr>
        <sz val="14"/>
        <rFont val="宋体"/>
        <charset val="134"/>
      </rPr>
      <t>凓</t>
    </r>
    <r>
      <rPr>
        <sz val="14"/>
        <rFont val="MingLiU"/>
        <family val="3"/>
      </rPr>
      <t>篥麜𨍫瑮𦃊塛搮䔁㗚㟳</t>
    </r>
  </si>
  <si>
    <r>
      <t>疾𤕺嫉蒺㑵𧎿揤</t>
    </r>
    <r>
      <rPr>
        <sz val="14"/>
        <rFont val="宋体"/>
        <charset val="134"/>
      </rPr>
      <t>愱</t>
    </r>
    <r>
      <rPr>
        <sz val="14"/>
        <rFont val="MingLiU"/>
        <family val="3"/>
      </rPr>
      <t>槉𠹋𧪠</t>
    </r>
  </si>
  <si>
    <r>
      <t>蜜𧖅謐䤉榓𥁑宓</t>
    </r>
    <r>
      <rPr>
        <sz val="14"/>
        <rFont val="宋体"/>
        <charset val="134"/>
      </rPr>
      <t>淧</t>
    </r>
    <r>
      <rPr>
        <sz val="14"/>
        <rFont val="MingLiU"/>
        <family val="3"/>
      </rPr>
      <t>𥋱</t>
    </r>
  </si>
  <si>
    <r>
      <t>必畢篳蓽</t>
    </r>
    <r>
      <rPr>
        <sz val="14"/>
        <rFont val="宋体"/>
        <charset val="134"/>
      </rPr>
      <t>韠</t>
    </r>
    <r>
      <rPr>
        <sz val="14"/>
        <rFont val="MingLiU"/>
        <family val="3"/>
      </rPr>
      <t>㻫䟆蹕滭㪤鷝觱珌㓖熚𡠚彃㮿縪鮅</t>
    </r>
    <r>
      <rPr>
        <sz val="14"/>
        <rFont val="宋体"/>
        <charset val="134"/>
      </rPr>
      <t>饆</t>
    </r>
    <r>
      <rPr>
        <sz val="14"/>
        <rFont val="MingLiU"/>
        <family val="3"/>
      </rPr>
      <t>鏎𠦒𡻞𥀕𥛘罼</t>
    </r>
  </si>
  <si>
    <r>
      <t>邲比柲馝苾䩛佖</t>
    </r>
    <r>
      <rPr>
        <sz val="14"/>
        <rFont val="宋体"/>
        <charset val="134"/>
      </rPr>
      <t>鮩</t>
    </r>
    <r>
      <rPr>
        <sz val="14"/>
        <rFont val="MingLiU"/>
        <family val="3"/>
      </rPr>
      <t>駜坒飶綼鮅怭泌𨠔䖩</t>
    </r>
    <r>
      <rPr>
        <sz val="14"/>
        <rFont val="宋体"/>
        <charset val="134"/>
      </rPr>
      <t>吡</t>
    </r>
    <r>
      <rPr>
        <sz val="14"/>
        <rFont val="MingLiU"/>
        <family val="3"/>
      </rPr>
      <t>𣢠咇妼</t>
    </r>
  </si>
  <si>
    <r>
      <t>密𡶇宓蔤滵沕</t>
    </r>
    <r>
      <rPr>
        <sz val="14"/>
        <rFont val="宋体"/>
        <charset val="134"/>
      </rPr>
      <t>樒</t>
    </r>
    <r>
      <rPr>
        <sz val="14"/>
        <rFont val="MingLiU"/>
        <family val="3"/>
      </rPr>
      <t>𥄃𪅮𥉴</t>
    </r>
  </si>
  <si>
    <r>
      <t>耴</t>
    </r>
    <r>
      <rPr>
        <sz val="14"/>
        <rFont val="宋体"/>
        <charset val="134"/>
      </rPr>
      <t>聉</t>
    </r>
    <r>
      <rPr>
        <sz val="14"/>
        <rFont val="MingLiU"/>
        <family val="3"/>
      </rPr>
      <t>㔎𡿪圪𦨇𠡝</t>
    </r>
  </si>
  <si>
    <r>
      <t>術述秫</t>
    </r>
    <r>
      <rPr>
        <sz val="14"/>
        <rFont val="宋体"/>
        <charset val="134"/>
      </rPr>
      <t>术</t>
    </r>
    <r>
      <rPr>
        <sz val="14"/>
        <rFont val="MingLiU"/>
        <family val="3"/>
      </rPr>
      <t>沭噊袕潏鱊驈𧑐</t>
    </r>
  </si>
  <si>
    <r>
      <t>聿窵(</t>
    </r>
    <r>
      <rPr>
        <sz val="14"/>
        <rFont val="宋体"/>
        <charset val="134"/>
      </rPr>
      <t>鴪</t>
    </r>
    <r>
      <rPr>
        <sz val="14"/>
        <rFont val="MingLiU"/>
        <family val="3"/>
      </rPr>
      <t>)燏遹鷸驈繘𩙅潏矞</t>
    </r>
    <r>
      <rPr>
        <sz val="14"/>
        <rFont val="宋体"/>
        <charset val="134"/>
      </rPr>
      <t>霱</t>
    </r>
    <r>
      <rPr>
        <sz val="14"/>
        <rFont val="MingLiU"/>
        <family val="3"/>
      </rPr>
      <t>𧑐䢖芛欥鱊噊䋖</t>
    </r>
    <r>
      <rPr>
        <sz val="14"/>
        <rFont val="宋体"/>
        <charset val="134"/>
      </rPr>
      <t>銉</t>
    </r>
    <r>
      <rPr>
        <sz val="14"/>
        <rFont val="MingLiU"/>
        <family val="3"/>
      </rPr>
      <t>𦒔𥎐</t>
    </r>
  </si>
  <si>
    <r>
      <t>卹恤戌訹</t>
    </r>
    <r>
      <rPr>
        <sz val="14"/>
        <rFont val="宋体"/>
        <charset val="134"/>
      </rPr>
      <t>珬</t>
    </r>
    <r>
      <rPr>
        <sz val="14"/>
        <rFont val="MingLiU"/>
        <family val="3"/>
      </rPr>
      <t>𧪞䳳</t>
    </r>
    <r>
      <rPr>
        <sz val="14"/>
        <rFont val="宋体"/>
        <charset val="134"/>
      </rPr>
      <t>賉</t>
    </r>
    <r>
      <rPr>
        <sz val="14"/>
        <rFont val="MingLiU"/>
        <family val="3"/>
      </rPr>
      <t>𣸃㖅𧊥銊</t>
    </r>
    <r>
      <rPr>
        <sz val="14"/>
        <rFont val="宋体"/>
        <charset val="134"/>
      </rPr>
      <t>欰</t>
    </r>
    <r>
      <rPr>
        <sz val="14"/>
        <rFont val="MingLiU"/>
        <family val="3"/>
      </rPr>
      <t>𥚋𨜿</t>
    </r>
  </si>
  <si>
    <r>
      <t>律</t>
    </r>
    <r>
      <rPr>
        <sz val="14"/>
        <rFont val="宋体"/>
        <charset val="134"/>
      </rPr>
      <t>寽</t>
    </r>
    <r>
      <rPr>
        <sz val="14"/>
        <rFont val="MingLiU"/>
        <family val="3"/>
      </rPr>
      <t>繂膟䔞葎𥭐𠷈</t>
    </r>
  </si>
  <si>
    <r>
      <t>黜怵𧺶</t>
    </r>
    <r>
      <rPr>
        <sz val="14"/>
        <rFont val="宋体"/>
        <charset val="134"/>
      </rPr>
      <t>炪</t>
    </r>
    <r>
      <rPr>
        <sz val="14"/>
        <rFont val="MingLiU"/>
        <family val="3"/>
      </rPr>
      <t>䟣㤕𤝞</t>
    </r>
    <r>
      <rPr>
        <sz val="14"/>
        <rFont val="宋体"/>
        <charset val="134"/>
      </rPr>
      <t>欪</t>
    </r>
  </si>
  <si>
    <r>
      <t>㤕窋絀䂐㑁</t>
    </r>
    <r>
      <rPr>
        <sz val="14"/>
        <rFont val="宋体"/>
        <charset val="134"/>
      </rPr>
      <t>逫</t>
    </r>
    <r>
      <rPr>
        <sz val="14"/>
        <rFont val="MingLiU"/>
        <family val="3"/>
      </rPr>
      <t>𡢑泏</t>
    </r>
  </si>
  <si>
    <r>
      <t>术</t>
    </r>
    <r>
      <rPr>
        <sz val="14"/>
        <rFont val="MingLiU"/>
        <family val="3"/>
      </rPr>
      <t>𦬸</t>
    </r>
    <r>
      <rPr>
        <sz val="14"/>
        <rFont val="宋体"/>
        <charset val="134"/>
      </rPr>
      <t>炢</t>
    </r>
  </si>
  <si>
    <r>
      <t>焌|</t>
    </r>
    <r>
      <rPr>
        <sz val="14"/>
        <rFont val="宋体"/>
        <charset val="134"/>
      </rPr>
      <t>黢</t>
    </r>
  </si>
  <si>
    <r>
      <t>物勿芴</t>
    </r>
    <r>
      <rPr>
        <sz val="14"/>
        <rFont val="宋体"/>
        <charset val="134"/>
      </rPr>
      <t>伆</t>
    </r>
    <r>
      <rPr>
        <sz val="14"/>
        <rFont val="MingLiU"/>
        <family val="3"/>
      </rPr>
      <t>𣃦岉𨑥昒沕</t>
    </r>
  </si>
  <si>
    <r>
      <t>弗紱黻綍(紼)芾巿韍不𨚓翇柫𡗻冹帗𩖼笰𤊸</t>
    </r>
    <r>
      <rPr>
        <sz val="14"/>
        <rFont val="宋体"/>
        <charset val="134"/>
      </rPr>
      <t>髴甶</t>
    </r>
  </si>
  <si>
    <r>
      <t>鬱</t>
    </r>
    <r>
      <rPr>
        <sz val="14"/>
        <rFont val="宋体"/>
        <charset val="134"/>
      </rPr>
      <t>欝</t>
    </r>
    <r>
      <rPr>
        <sz val="14"/>
        <rFont val="MingLiU"/>
        <family val="3"/>
      </rPr>
      <t>灪爩𩚴黦𥘄菀尉熨蔚𩰪</t>
    </r>
  </si>
  <si>
    <r>
      <t>𠀔</t>
    </r>
    <r>
      <rPr>
        <sz val="14"/>
        <rFont val="宋体"/>
        <charset val="134"/>
      </rPr>
      <t>孒</t>
    </r>
    <r>
      <rPr>
        <sz val="14"/>
        <rFont val="MingLiU"/>
        <family val="3"/>
      </rPr>
      <t>𦁐厥屈鶌趉𧱝𠜾䠇</t>
    </r>
  </si>
  <si>
    <r>
      <t>佛怫坲𡶒咈䞞刜</t>
    </r>
    <r>
      <rPr>
        <sz val="14"/>
        <rFont val="宋体"/>
        <charset val="134"/>
      </rPr>
      <t>炥</t>
    </r>
    <r>
      <rPr>
        <sz val="14"/>
        <rFont val="MingLiU"/>
        <family val="3"/>
      </rPr>
      <t>𣀣</t>
    </r>
  </si>
  <si>
    <r>
      <t>拂𢂀</t>
    </r>
    <r>
      <rPr>
        <sz val="14"/>
        <rFont val="宋体"/>
        <charset val="134"/>
      </rPr>
      <t>嶏</t>
    </r>
    <r>
      <rPr>
        <sz val="14"/>
        <rFont val="MingLiU"/>
        <family val="3"/>
      </rPr>
      <t>茀祓艴刜</t>
    </r>
    <r>
      <rPr>
        <sz val="14"/>
        <rFont val="宋体"/>
        <charset val="134"/>
      </rPr>
      <t>乀</t>
    </r>
    <r>
      <rPr>
        <sz val="14"/>
        <rFont val="MingLiU"/>
        <family val="3"/>
      </rPr>
      <t>䭮𧿳</t>
    </r>
    <r>
      <rPr>
        <sz val="14"/>
        <rFont val="宋体"/>
        <charset val="134"/>
      </rPr>
      <t>髴</t>
    </r>
    <r>
      <rPr>
        <sz val="14"/>
        <rFont val="MingLiU"/>
        <family val="3"/>
      </rPr>
      <t>彿</t>
    </r>
  </si>
  <si>
    <r>
      <t>訖吃扢</t>
    </r>
    <r>
      <rPr>
        <sz val="14"/>
        <rFont val="宋体"/>
        <charset val="134"/>
      </rPr>
      <t>曁</t>
    </r>
    <r>
      <rPr>
        <sz val="14"/>
        <rFont val="MingLiU"/>
        <family val="3"/>
      </rPr>
      <t>䰴</t>
    </r>
  </si>
  <si>
    <r>
      <t>月刖</t>
    </r>
    <r>
      <rPr>
        <sz val="14"/>
        <rFont val="宋体"/>
        <charset val="134"/>
      </rPr>
      <t>跀</t>
    </r>
    <r>
      <rPr>
        <sz val="14"/>
        <rFont val="MingLiU"/>
        <family val="3"/>
      </rPr>
      <t>𧿁軏抈扤</t>
    </r>
    <r>
      <rPr>
        <sz val="14"/>
        <rFont val="宋体"/>
        <charset val="134"/>
      </rPr>
      <t>枂</t>
    </r>
    <r>
      <rPr>
        <sz val="14"/>
        <rFont val="MingLiU"/>
        <family val="3"/>
      </rPr>
      <t>鈅玥𦘹</t>
    </r>
  </si>
  <si>
    <r>
      <t>伐筏</t>
    </r>
    <r>
      <rPr>
        <sz val="14"/>
        <rFont val="宋体"/>
        <charset val="134"/>
      </rPr>
      <t>栰</t>
    </r>
    <r>
      <rPr>
        <sz val="14"/>
        <rFont val="MingLiU"/>
        <family val="3"/>
      </rPr>
      <t>罰閥</t>
    </r>
    <r>
      <rPr>
        <sz val="14"/>
        <rFont val="宋体"/>
        <charset val="134"/>
      </rPr>
      <t>垡橃</t>
    </r>
    <r>
      <rPr>
        <sz val="14"/>
        <rFont val="MingLiU"/>
        <family val="3"/>
      </rPr>
      <t>䑔瞂拔茷藅</t>
    </r>
    <r>
      <rPr>
        <sz val="14"/>
        <rFont val="宋体"/>
        <charset val="134"/>
      </rPr>
      <t>坺</t>
    </r>
    <r>
      <rPr>
        <sz val="14"/>
        <rFont val="MingLiU"/>
        <family val="3"/>
      </rPr>
      <t>䣹</t>
    </r>
  </si>
  <si>
    <r>
      <t>越𨒋</t>
    </r>
    <r>
      <rPr>
        <sz val="14"/>
        <rFont val="宋体"/>
        <charset val="134"/>
      </rPr>
      <t>粤</t>
    </r>
    <r>
      <rPr>
        <sz val="14"/>
        <rFont val="MingLiU"/>
        <family val="3"/>
      </rPr>
      <t>(粵)戉鉞䋐樾</t>
    </r>
    <r>
      <rPr>
        <sz val="14"/>
        <rFont val="宋体"/>
        <charset val="134"/>
      </rPr>
      <t>蚏</t>
    </r>
    <r>
      <rPr>
        <sz val="14"/>
        <rFont val="MingLiU"/>
        <family val="3"/>
      </rPr>
      <t>曰𥩡𡛟</t>
    </r>
    <r>
      <rPr>
        <sz val="14"/>
        <rFont val="宋体"/>
        <charset val="134"/>
      </rPr>
      <t>璏熭</t>
    </r>
    <r>
      <rPr>
        <sz val="14"/>
        <rFont val="MingLiU"/>
        <family val="3"/>
      </rPr>
      <t>𣐋𧊎泧</t>
    </r>
  </si>
  <si>
    <r>
      <t>厥</t>
    </r>
    <r>
      <rPr>
        <sz val="14"/>
        <rFont val="宋体"/>
        <charset val="134"/>
      </rPr>
      <t>氒</t>
    </r>
    <r>
      <rPr>
        <sz val="14"/>
        <rFont val="MingLiU"/>
        <family val="3"/>
      </rPr>
      <t>蹶𨇮𧽸𧼞瘚劂蕨蟨</t>
    </r>
    <r>
      <rPr>
        <sz val="14"/>
        <rFont val="宋体"/>
        <charset val="134"/>
      </rPr>
      <t>蟩橜</t>
    </r>
    <r>
      <rPr>
        <sz val="14"/>
        <rFont val="MingLiU"/>
        <family val="3"/>
      </rPr>
      <t>(橛)𥕲𠢤</t>
    </r>
    <r>
      <rPr>
        <sz val="14"/>
        <rFont val="宋体"/>
        <charset val="134"/>
      </rPr>
      <t>欮</t>
    </r>
    <r>
      <rPr>
        <sz val="14"/>
        <rFont val="MingLiU"/>
        <family val="3"/>
      </rPr>
      <t>撅鱖</t>
    </r>
    <r>
      <rPr>
        <sz val="14"/>
        <rFont val="宋体"/>
        <charset val="134"/>
      </rPr>
      <t>孒</t>
    </r>
    <r>
      <rPr>
        <sz val="14"/>
        <rFont val="MingLiU"/>
        <family val="3"/>
      </rPr>
      <t>(孓)𠄌|獗</t>
    </r>
  </si>
  <si>
    <r>
      <t>掘𧤼鷢</t>
    </r>
    <r>
      <rPr>
        <sz val="14"/>
        <rFont val="宋体"/>
        <charset val="134"/>
      </rPr>
      <t>橜</t>
    </r>
    <r>
      <rPr>
        <sz val="14"/>
        <rFont val="MingLiU"/>
        <family val="3"/>
      </rPr>
      <t>(橛)撅</t>
    </r>
    <r>
      <rPr>
        <sz val="14"/>
        <rFont val="宋体"/>
        <charset val="134"/>
      </rPr>
      <t>蹷</t>
    </r>
    <r>
      <rPr>
        <sz val="14"/>
        <rFont val="MingLiU"/>
        <family val="3"/>
      </rPr>
      <t>掘赶</t>
    </r>
    <r>
      <rPr>
        <sz val="14"/>
        <rFont val="宋体"/>
        <charset val="134"/>
      </rPr>
      <t>憠</t>
    </r>
    <r>
      <rPr>
        <sz val="14"/>
        <rFont val="MingLiU"/>
        <family val="3"/>
      </rPr>
      <t>𨬐䞷𣖬𩪜𠄌</t>
    </r>
  </si>
  <si>
    <r>
      <t xml:space="preserve">發!髮𩠖𩑛 </t>
    </r>
    <r>
      <rPr>
        <sz val="14"/>
        <rFont val="宋体"/>
        <charset val="134"/>
      </rPr>
      <t>颰</t>
    </r>
    <r>
      <rPr>
        <sz val="14"/>
        <rFont val="MingLiU"/>
        <family val="3"/>
      </rPr>
      <t>冹</t>
    </r>
  </si>
  <si>
    <r>
      <t>韤韈</t>
    </r>
    <r>
      <rPr>
        <sz val="14"/>
        <rFont val="MingLiU"/>
        <family val="3"/>
      </rPr>
      <t>襪𥄎㒝</t>
    </r>
  </si>
  <si>
    <r>
      <t>沒)!</t>
    </r>
    <r>
      <rPr>
        <sz val="14"/>
        <rFont val="宋体"/>
        <charset val="134"/>
      </rPr>
      <t>没殁</t>
    </r>
    <r>
      <rPr>
        <sz val="14"/>
        <rFont val="MingLiU"/>
        <family val="3"/>
      </rPr>
      <t>(歿)𤣻𩑦𠬛莈</t>
    </r>
  </si>
  <si>
    <r>
      <t>宊棁</t>
    </r>
    <r>
      <rPr>
        <sz val="14"/>
        <rFont val="MingLiU"/>
        <family val="3"/>
      </rPr>
      <t>𠫓𡿮㥆䠈</t>
    </r>
  </si>
  <si>
    <r>
      <t>突</t>
    </r>
    <r>
      <rPr>
        <sz val="14"/>
        <rFont val="宋体"/>
        <charset val="134"/>
      </rPr>
      <t>揬</t>
    </r>
    <r>
      <rPr>
        <sz val="14"/>
        <rFont val="MingLiU"/>
        <family val="3"/>
      </rPr>
      <t>腯鼵葖鶟</t>
    </r>
    <r>
      <rPr>
        <sz val="14"/>
        <rFont val="宋体"/>
        <charset val="134"/>
      </rPr>
      <t>堗</t>
    </r>
    <r>
      <rPr>
        <sz val="14"/>
        <rFont val="MingLiU"/>
        <family val="3"/>
      </rPr>
      <t>𦩤</t>
    </r>
    <r>
      <rPr>
        <sz val="14"/>
        <rFont val="宋体"/>
        <charset val="134"/>
      </rPr>
      <t>鈯</t>
    </r>
    <r>
      <rPr>
        <sz val="14"/>
        <rFont val="MingLiU"/>
        <family val="3"/>
      </rPr>
      <t>𦔅𣔻凸𡿮鍎</t>
    </r>
  </si>
  <si>
    <r>
      <t>𩑦</t>
    </r>
    <r>
      <rPr>
        <sz val="14"/>
        <rFont val="宋体"/>
        <charset val="134"/>
      </rPr>
      <t>腽</t>
    </r>
    <r>
      <rPr>
        <sz val="14"/>
        <rFont val="MingLiU"/>
        <family val="3"/>
      </rPr>
      <t>(膃)殟嗢䯉</t>
    </r>
    <r>
      <rPr>
        <sz val="14"/>
        <rFont val="宋体"/>
        <charset val="134"/>
      </rPr>
      <t>榅揾</t>
    </r>
    <r>
      <rPr>
        <sz val="14"/>
        <rFont val="MingLiU"/>
        <family val="3"/>
      </rPr>
      <t>淴馧</t>
    </r>
  </si>
  <si>
    <r>
      <t>忽昒㾁</t>
    </r>
    <r>
      <rPr>
        <sz val="14"/>
        <rFont val="宋体"/>
        <charset val="134"/>
      </rPr>
      <t>匫</t>
    </r>
    <r>
      <rPr>
        <sz val="14"/>
        <rFont val="MingLiU"/>
        <family val="3"/>
      </rPr>
      <t>寣笏䩐曶𨑥啒𣓗㦌𦁕䝆惚</t>
    </r>
  </si>
  <si>
    <r>
      <t>兀扤杌屼矹䦍</t>
    </r>
    <r>
      <rPr>
        <sz val="14"/>
        <rFont val="宋体"/>
        <charset val="134"/>
      </rPr>
      <t>鼿</t>
    </r>
    <r>
      <rPr>
        <sz val="14"/>
        <rFont val="MingLiU"/>
        <family val="3"/>
      </rPr>
      <t>𦨉䑢𠨜㽾𤴰軏𧈭刖𦬂</t>
    </r>
  </si>
  <si>
    <r>
      <t>訥㕯肭</t>
    </r>
    <r>
      <rPr>
        <sz val="14"/>
        <rFont val="宋体"/>
        <charset val="134"/>
      </rPr>
      <t>抐</t>
    </r>
    <r>
      <rPr>
        <sz val="14"/>
        <rFont val="MingLiU"/>
        <family val="3"/>
      </rPr>
      <t>𣧍</t>
    </r>
  </si>
  <si>
    <r>
      <t>捽椊𪘧䚝</t>
    </r>
    <r>
      <rPr>
        <sz val="14"/>
        <rFont val="宋体"/>
        <charset val="134"/>
      </rPr>
      <t>崪</t>
    </r>
    <r>
      <rPr>
        <sz val="14"/>
        <rFont val="MingLiU"/>
        <family val="3"/>
      </rPr>
      <t>𩩠</t>
    </r>
  </si>
  <si>
    <r>
      <t>卒倅</t>
    </r>
    <r>
      <rPr>
        <sz val="14"/>
        <rFont val="宋体"/>
        <charset val="134"/>
      </rPr>
      <t>稡</t>
    </r>
  </si>
  <si>
    <r>
      <t>闥㒓撻躂</t>
    </r>
    <r>
      <rPr>
        <sz val="14"/>
        <rFont val="宋体"/>
        <charset val="134"/>
      </rPr>
      <t>澾</t>
    </r>
    <r>
      <rPr>
        <sz val="14"/>
        <rFont val="MingLiU"/>
        <family val="3"/>
      </rPr>
      <t>獺䲚𣥂羍𦍒達汏</t>
    </r>
    <r>
      <rPr>
        <sz val="14"/>
        <rFont val="宋体"/>
        <charset val="134"/>
      </rPr>
      <t>噧</t>
    </r>
    <r>
      <rPr>
        <sz val="14"/>
        <rFont val="MingLiU"/>
        <family val="3"/>
      </rPr>
      <t>[韃]</t>
    </r>
  </si>
  <si>
    <r>
      <t>遏齃頞堨閼胺餲靄</t>
    </r>
    <r>
      <rPr>
        <sz val="14"/>
        <rFont val="宋体"/>
        <charset val="134"/>
      </rPr>
      <t>咹</t>
    </r>
    <r>
      <rPr>
        <sz val="14"/>
        <rFont val="MingLiU"/>
        <family val="3"/>
      </rPr>
      <t>𠥜𢉥</t>
    </r>
  </si>
  <si>
    <r>
      <t>剌揧</t>
    </r>
    <r>
      <rPr>
        <sz val="14"/>
        <rFont val="宋体"/>
        <charset val="134"/>
      </rPr>
      <t>辢</t>
    </r>
    <r>
      <rPr>
        <sz val="14"/>
        <rFont val="MingLiU"/>
        <family val="3"/>
      </rPr>
      <t>䓶(辣)瘌</t>
    </r>
    <r>
      <rPr>
        <sz val="14"/>
        <rFont val="宋体"/>
        <charset val="134"/>
      </rPr>
      <t>攋</t>
    </r>
    <r>
      <rPr>
        <sz val="14"/>
        <rFont val="MingLiU"/>
        <family val="3"/>
      </rPr>
      <t>糲癩𢈠轢𢃴䶛㻝𥈙楋喇|</t>
    </r>
    <r>
      <rPr>
        <sz val="14"/>
        <rFont val="宋体"/>
        <charset val="134"/>
      </rPr>
      <t>蝲</t>
    </r>
  </si>
  <si>
    <r>
      <t>巀囋</t>
    </r>
    <r>
      <rPr>
        <sz val="14"/>
        <rFont val="宋体"/>
        <charset val="134"/>
      </rPr>
      <t>囐</t>
    </r>
    <r>
      <rPr>
        <sz val="14"/>
        <rFont val="MingLiU"/>
        <family val="3"/>
      </rPr>
      <t>㩵(砸)</t>
    </r>
  </si>
  <si>
    <r>
      <t>嶭䡾</t>
    </r>
    <r>
      <rPr>
        <sz val="14"/>
        <rFont val="宋体"/>
        <charset val="134"/>
      </rPr>
      <t>屵枿</t>
    </r>
    <r>
      <rPr>
        <sz val="14"/>
        <rFont val="MingLiU"/>
        <family val="3"/>
      </rPr>
      <t>𣡌櫱𣎴(</t>
    </r>
    <r>
      <rPr>
        <sz val="14"/>
        <rFont val="宋体"/>
        <charset val="134"/>
      </rPr>
      <t>蘖</t>
    </r>
    <r>
      <rPr>
        <sz val="14"/>
        <rFont val="MingLiU"/>
        <family val="3"/>
      </rPr>
      <t>)𠱥㩵𠲗</t>
    </r>
    <r>
      <rPr>
        <sz val="14"/>
        <rFont val="宋体"/>
        <charset val="134"/>
      </rPr>
      <t>歺</t>
    </r>
    <r>
      <rPr>
        <sz val="14"/>
        <rFont val="MingLiU"/>
        <family val="3"/>
      </rPr>
      <t>頇齾</t>
    </r>
  </si>
  <si>
    <r>
      <t>葛䈓獦割𩢛</t>
    </r>
    <r>
      <rPr>
        <sz val="14"/>
        <rFont val="宋体"/>
        <charset val="134"/>
      </rPr>
      <t>匃</t>
    </r>
    <r>
      <rPr>
        <sz val="14"/>
        <rFont val="MingLiU"/>
        <family val="3"/>
      </rPr>
      <t>(丐)輵𨞛𥢸㵧</t>
    </r>
  </si>
  <si>
    <r>
      <t>末</t>
    </r>
    <r>
      <rPr>
        <sz val="14"/>
        <rFont val="宋体"/>
        <charset val="134"/>
      </rPr>
      <t>昩</t>
    </r>
    <r>
      <rPr>
        <sz val="14"/>
        <rFont val="MingLiU"/>
        <family val="3"/>
      </rPr>
      <t>𩑷䀛䴲𨣱䬴秣𥬎靺韎苜粖𩱷𥽘䱅</t>
    </r>
    <r>
      <rPr>
        <sz val="14"/>
        <rFont val="宋体"/>
        <charset val="134"/>
      </rPr>
      <t>眜</t>
    </r>
    <r>
      <rPr>
        <sz val="14"/>
        <rFont val="MingLiU"/>
        <family val="3"/>
      </rPr>
      <t>抹妺𠇱𢗿𡊉瀎𩿣沫𦫕</t>
    </r>
    <r>
      <rPr>
        <sz val="14"/>
        <rFont val="宋体"/>
        <charset val="134"/>
      </rPr>
      <t>袜</t>
    </r>
    <r>
      <rPr>
        <sz val="14"/>
        <rFont val="MingLiU"/>
        <family val="3"/>
      </rPr>
      <t>[茉]</t>
    </r>
  </si>
  <si>
    <r>
      <t>撥</t>
    </r>
    <r>
      <rPr>
        <sz val="14"/>
        <rFont val="宋体"/>
        <charset val="134"/>
      </rPr>
      <t>癶</t>
    </r>
    <r>
      <rPr>
        <sz val="14"/>
        <rFont val="MingLiU"/>
        <family val="3"/>
      </rPr>
      <t>袚茇</t>
    </r>
    <r>
      <rPr>
        <sz val="14"/>
        <rFont val="宋体"/>
        <charset val="134"/>
      </rPr>
      <t>鉢</t>
    </r>
    <r>
      <rPr>
        <sz val="14"/>
        <rFont val="MingLiU"/>
        <family val="3"/>
      </rPr>
      <t>[缽]</t>
    </r>
    <r>
      <rPr>
        <sz val="14"/>
        <rFont val="宋体"/>
        <charset val="134"/>
      </rPr>
      <t>盋</t>
    </r>
    <r>
      <rPr>
        <sz val="14"/>
        <rFont val="MingLiU"/>
        <family val="3"/>
      </rPr>
      <t>䳊鱍䢌𩯌襏帗㤄𦪑</t>
    </r>
    <r>
      <rPr>
        <sz val="14"/>
        <rFont val="宋体"/>
        <charset val="134"/>
      </rPr>
      <t>驋</t>
    </r>
    <r>
      <rPr>
        <sz val="14"/>
        <rFont val="MingLiU"/>
        <family val="3"/>
      </rPr>
      <t>筏|</t>
    </r>
    <r>
      <rPr>
        <sz val="14"/>
        <rFont val="宋体"/>
        <charset val="134"/>
      </rPr>
      <t>鮁</t>
    </r>
    <r>
      <rPr>
        <sz val="14"/>
        <rFont val="MingLiU"/>
        <family val="3"/>
      </rPr>
      <t>|</t>
    </r>
  </si>
  <si>
    <r>
      <t>括活𣽅髺檜栝聒䒷𦸈鴰萿适銛佸</t>
    </r>
    <r>
      <rPr>
        <sz val="14"/>
        <rFont val="宋体"/>
        <charset val="134"/>
      </rPr>
      <t>頢</t>
    </r>
    <r>
      <rPr>
        <sz val="14"/>
        <rFont val="MingLiU"/>
        <family val="3"/>
      </rPr>
      <t>劊葀䯏懖𦗾筈</t>
    </r>
  </si>
  <si>
    <r>
      <t>同仝童僮銅桐峒硐𦨴𧱁筒瞳</t>
    </r>
    <r>
      <rPr>
        <sz val="14"/>
        <rFont val="宋体"/>
        <family val="3"/>
        <charset val="134"/>
      </rPr>
      <t>㼧</t>
    </r>
    <r>
      <rPr>
        <sz val="14"/>
        <rFont val="MingLiU"/>
        <family val="3"/>
      </rPr>
      <t>𤭁罿犝筩潼曈洞侗橦烔</t>
    </r>
    <r>
      <rPr>
        <sz val="14"/>
        <rFont val="宋体"/>
        <family val="3"/>
        <charset val="134"/>
      </rPr>
      <t>䴀</t>
    </r>
    <r>
      <rPr>
        <sz val="14"/>
        <rFont val="MingLiU"/>
        <family val="3"/>
      </rPr>
      <t>挏酮鮦</t>
    </r>
    <r>
      <rPr>
        <sz val="14"/>
        <rFont val="宋体"/>
        <family val="3"/>
        <charset val="134"/>
      </rPr>
      <t>㼿</t>
    </r>
    <r>
      <rPr>
        <sz val="14"/>
        <rFont val="MingLiU"/>
        <family val="3"/>
      </rPr>
      <t>𦏆𦍻</t>
    </r>
    <r>
      <rPr>
        <sz val="14"/>
        <rFont val="宋体"/>
        <charset val="134"/>
      </rPr>
      <t>眮</t>
    </r>
    <r>
      <rPr>
        <sz val="14"/>
        <rFont val="MingLiU"/>
        <family val="3"/>
      </rPr>
      <t>蕫穜衕𩍅𢈉</t>
    </r>
    <r>
      <rPr>
        <sz val="14"/>
        <rFont val="宋体"/>
        <family val="3"/>
        <charset val="134"/>
      </rPr>
      <t>䆚</t>
    </r>
    <r>
      <rPr>
        <sz val="14"/>
        <rFont val="MingLiU"/>
        <family val="3"/>
      </rPr>
      <t>哃𢏕絧𨝯𨚯𪔝𩦶𪒿</t>
    </r>
    <phoneticPr fontId="2" type="noConversion"/>
  </si>
  <si>
    <t>推導拼音</t>
    <phoneticPr fontId="8" type="noConversion"/>
  </si>
  <si>
    <t>上字</t>
    <phoneticPr fontId="2" type="noConversion"/>
  </si>
  <si>
    <t>下字</t>
    <phoneticPr fontId="2" type="noConversion"/>
  </si>
  <si>
    <t>换首字</t>
    <phoneticPr fontId="2" type="noConversion"/>
  </si>
  <si>
    <t>韵目</t>
    <phoneticPr fontId="2" type="noConversion"/>
  </si>
  <si>
    <t>入11沒*</t>
    <phoneticPr fontId="2" type="noConversion"/>
  </si>
  <si>
    <t>脂</t>
  </si>
  <si>
    <t>仙</t>
  </si>
  <si>
    <t>宵</t>
  </si>
  <si>
    <t>懂</t>
  </si>
  <si>
    <t>旨</t>
  </si>
  <si>
    <t>姥</t>
  </si>
  <si>
    <t>駭</t>
  </si>
  <si>
    <t>海</t>
  </si>
  <si>
    <t>準</t>
  </si>
  <si>
    <t>隱</t>
  </si>
  <si>
    <t>混</t>
  </si>
  <si>
    <t>很</t>
  </si>
  <si>
    <t>緩</t>
  </si>
  <si>
    <t>產</t>
  </si>
  <si>
    <t>獮</t>
  </si>
  <si>
    <t>小</t>
  </si>
  <si>
    <t>蕩</t>
  </si>
  <si>
    <t>耿</t>
  </si>
  <si>
    <t>靜</t>
  </si>
  <si>
    <t>拯</t>
  </si>
  <si>
    <t>等</t>
  </si>
  <si>
    <t>厚</t>
  </si>
  <si>
    <t>黝</t>
  </si>
  <si>
    <t>敢</t>
  </si>
  <si>
    <t>忝</t>
  </si>
  <si>
    <t>儼</t>
  </si>
  <si>
    <t>檻</t>
  </si>
  <si>
    <t>范</t>
  </si>
  <si>
    <t>至</t>
  </si>
  <si>
    <t>志</t>
  </si>
  <si>
    <t>暮</t>
  </si>
  <si>
    <t>祭</t>
  </si>
  <si>
    <t>怪</t>
  </si>
  <si>
    <t>代</t>
  </si>
  <si>
    <t>稕</t>
  </si>
  <si>
    <t>焮</t>
  </si>
  <si>
    <t>慁</t>
  </si>
  <si>
    <t>換</t>
  </si>
  <si>
    <t>襇</t>
  </si>
  <si>
    <t>線</t>
  </si>
  <si>
    <t>笑</t>
  </si>
  <si>
    <t>過</t>
  </si>
  <si>
    <t>映</t>
  </si>
  <si>
    <t>證</t>
  </si>
  <si>
    <t>嶝</t>
  </si>
  <si>
    <t>候</t>
  </si>
  <si>
    <t>闞</t>
  </si>
  <si>
    <t>𣕊</t>
  </si>
  <si>
    <t>釅</t>
  </si>
  <si>
    <t>梵</t>
  </si>
  <si>
    <t>鑑</t>
  </si>
  <si>
    <t>燭</t>
  </si>
  <si>
    <t>櫛</t>
  </si>
  <si>
    <t>術</t>
  </si>
  <si>
    <t>迄</t>
  </si>
  <si>
    <t>沒</t>
  </si>
  <si>
    <t>末</t>
  </si>
  <si>
    <t>鎋</t>
  </si>
  <si>
    <t>薛</t>
  </si>
  <si>
    <t>鐸</t>
  </si>
  <si>
    <t>麥</t>
  </si>
  <si>
    <t>昔</t>
  </si>
  <si>
    <t>德</t>
  </si>
  <si>
    <t>盍</t>
  </si>
  <si>
    <t>怗</t>
  </si>
  <si>
    <t>狎</t>
  </si>
  <si>
    <t>業</t>
  </si>
  <si>
    <t>乏</t>
  </si>
  <si>
    <t>韵序</t>
    <phoneticPr fontId="2" type="noConversion"/>
  </si>
  <si>
    <t>目次</t>
  </si>
  <si>
    <t>上平17眞</t>
  </si>
  <si>
    <t>上32晧</t>
  </si>
  <si>
    <t>去31襇</t>
  </si>
  <si>
    <t>去37号</t>
  </si>
  <si>
    <t>入15鎋</t>
  </si>
  <si>
    <r>
      <rPr>
        <sz val="10"/>
        <rFont val="宋体"/>
        <charset val="134"/>
      </rPr>
      <t>去</t>
    </r>
    <r>
      <rPr>
        <sz val="10"/>
        <rFont val="宋体"/>
        <family val="3"/>
        <charset val="134"/>
      </rPr>
      <t>58</t>
    </r>
    <r>
      <rPr>
        <sz val="10"/>
        <rFont val="宋体"/>
        <charset val="134"/>
      </rPr>
      <t>陷</t>
    </r>
    <phoneticPr fontId="8" type="noConversion"/>
  </si>
  <si>
    <t>紅</t>
  </si>
  <si>
    <t>徒</t>
  </si>
  <si>
    <t>陟</t>
  </si>
  <si>
    <t>弓</t>
  </si>
  <si>
    <t>直</t>
  </si>
  <si>
    <t>戎</t>
  </si>
  <si>
    <t>敕</t>
  </si>
  <si>
    <t>中</t>
  </si>
  <si>
    <t>鋤</t>
  </si>
  <si>
    <t>息</t>
  </si>
  <si>
    <t>如</t>
  </si>
  <si>
    <t>融</t>
  </si>
  <si>
    <t>居</t>
  </si>
  <si>
    <t>羽</t>
  </si>
  <si>
    <t>莫</t>
  </si>
  <si>
    <t>宮</t>
  </si>
  <si>
    <t>渠</t>
  </si>
  <si>
    <t>房</t>
  </si>
  <si>
    <t>方</t>
  </si>
  <si>
    <t>敷</t>
  </si>
  <si>
    <t>空</t>
  </si>
  <si>
    <t>終</t>
  </si>
  <si>
    <t>力</t>
  </si>
  <si>
    <t>苦</t>
  </si>
  <si>
    <t>古</t>
  </si>
  <si>
    <t>盧</t>
  </si>
  <si>
    <t>戸</t>
  </si>
  <si>
    <t>公</t>
  </si>
  <si>
    <t>徂</t>
  </si>
  <si>
    <t>烏</t>
  </si>
  <si>
    <t>倉</t>
  </si>
  <si>
    <t>他</t>
  </si>
  <si>
    <t>子</t>
  </si>
  <si>
    <t>薄</t>
  </si>
  <si>
    <t>呼</t>
  </si>
  <si>
    <t>五</t>
  </si>
  <si>
    <t>蘇</t>
  </si>
  <si>
    <t>都</t>
  </si>
  <si>
    <t>宗</t>
  </si>
  <si>
    <t>奴</t>
  </si>
  <si>
    <t>作</t>
  </si>
  <si>
    <t>私</t>
  </si>
  <si>
    <t>容</t>
  </si>
  <si>
    <t>祥</t>
  </si>
  <si>
    <t>尺</t>
  </si>
  <si>
    <t>餘</t>
  </si>
  <si>
    <t>封</t>
  </si>
  <si>
    <t>府</t>
  </si>
  <si>
    <t>許</t>
  </si>
  <si>
    <t>於</t>
  </si>
  <si>
    <t>女</t>
  </si>
  <si>
    <t>疾</t>
  </si>
  <si>
    <t>丑</t>
  </si>
  <si>
    <t>凶</t>
  </si>
  <si>
    <t>符</t>
  </si>
  <si>
    <t>即</t>
  </si>
  <si>
    <t>而</t>
  </si>
  <si>
    <t>蜀</t>
  </si>
  <si>
    <t>庸</t>
  </si>
  <si>
    <t>九</t>
  </si>
  <si>
    <t>恭</t>
  </si>
  <si>
    <t>七</t>
  </si>
  <si>
    <t>曲</t>
  </si>
  <si>
    <t>雙</t>
  </si>
  <si>
    <t>楚</t>
  </si>
  <si>
    <t>博</t>
  </si>
  <si>
    <t>下</t>
  </si>
  <si>
    <t>匹</t>
  </si>
  <si>
    <t>呂</t>
  </si>
  <si>
    <t>所</t>
  </si>
  <si>
    <t>握</t>
  </si>
  <si>
    <t>宅</t>
  </si>
  <si>
    <t>士</t>
  </si>
  <si>
    <t>移</t>
  </si>
  <si>
    <t>弋</t>
  </si>
  <si>
    <t>薳</t>
  </si>
  <si>
    <t>靡</t>
  </si>
  <si>
    <t>規</t>
  </si>
  <si>
    <t>垂</t>
  </si>
  <si>
    <t>是</t>
  </si>
  <si>
    <t>羈</t>
  </si>
  <si>
    <t>彼</t>
  </si>
  <si>
    <t>旬</t>
  </si>
  <si>
    <t>隨</t>
  </si>
  <si>
    <t>巨</t>
  </si>
  <si>
    <t>奇</t>
  </si>
  <si>
    <t>汝</t>
  </si>
  <si>
    <t>宜</t>
  </si>
  <si>
    <t>式</t>
  </si>
  <si>
    <t>武</t>
  </si>
  <si>
    <t>此</t>
  </si>
  <si>
    <t>離</t>
  </si>
  <si>
    <t>香</t>
  </si>
  <si>
    <t>人</t>
  </si>
  <si>
    <t>姊</t>
  </si>
  <si>
    <t>隋</t>
  </si>
  <si>
    <t>遵</t>
  </si>
  <si>
    <t>危</t>
  </si>
  <si>
    <t>竹</t>
  </si>
  <si>
    <t>側</t>
  </si>
  <si>
    <t>悅</t>
  </si>
  <si>
    <t>吹</t>
  </si>
  <si>
    <t>夷</t>
  </si>
  <si>
    <t>疏</t>
  </si>
  <si>
    <t>處</t>
  </si>
  <si>
    <t>飢</t>
  </si>
  <si>
    <t>資</t>
  </si>
  <si>
    <t>尼</t>
  </si>
  <si>
    <t>隹</t>
  </si>
  <si>
    <t>追</t>
  </si>
  <si>
    <t>儒</t>
  </si>
  <si>
    <t>遺</t>
  </si>
  <si>
    <t>眉</t>
  </si>
  <si>
    <t>視</t>
  </si>
  <si>
    <t>洧</t>
  </si>
  <si>
    <t>維</t>
  </si>
  <si>
    <t>叉</t>
  </si>
  <si>
    <t>丁</t>
  </si>
  <si>
    <t>醉</t>
  </si>
  <si>
    <t>綏</t>
  </si>
  <si>
    <t>丘</t>
  </si>
  <si>
    <t>肌</t>
  </si>
  <si>
    <t>喜</t>
  </si>
  <si>
    <t>與</t>
  </si>
  <si>
    <t>市</t>
  </si>
  <si>
    <t>其</t>
  </si>
  <si>
    <t>兹</t>
  </si>
  <si>
    <t>持</t>
  </si>
  <si>
    <t>似</t>
  </si>
  <si>
    <t>里</t>
  </si>
  <si>
    <t>赤</t>
  </si>
  <si>
    <t>甾</t>
  </si>
  <si>
    <t>無</t>
  </si>
  <si>
    <t>非</t>
  </si>
  <si>
    <t>歸</t>
  </si>
  <si>
    <t>雨</t>
  </si>
  <si>
    <t>芳</t>
  </si>
  <si>
    <t>甫</t>
  </si>
  <si>
    <t>希</t>
  </si>
  <si>
    <t>依</t>
  </si>
  <si>
    <t>韋</t>
  </si>
  <si>
    <t>舉</t>
  </si>
  <si>
    <t>傷</t>
  </si>
  <si>
    <t>強</t>
  </si>
  <si>
    <t>諸</t>
  </si>
  <si>
    <t>余</t>
  </si>
  <si>
    <t>朽</t>
  </si>
  <si>
    <t>央</t>
  </si>
  <si>
    <t>署</t>
  </si>
  <si>
    <t>俱</t>
  </si>
  <si>
    <t>測</t>
  </si>
  <si>
    <t>隅</t>
  </si>
  <si>
    <t>夫</t>
  </si>
  <si>
    <t>況</t>
  </si>
  <si>
    <t>于</t>
  </si>
  <si>
    <t>朱</t>
  </si>
  <si>
    <t>俞</t>
  </si>
  <si>
    <t>輸</t>
  </si>
  <si>
    <t>羊</t>
  </si>
  <si>
    <t>豈</t>
  </si>
  <si>
    <t>逾</t>
  </si>
  <si>
    <t>仕</t>
  </si>
  <si>
    <t>憶</t>
  </si>
  <si>
    <t>誅</t>
  </si>
  <si>
    <t>芻</t>
  </si>
  <si>
    <t>胡</t>
  </si>
  <si>
    <t>吳</t>
  </si>
  <si>
    <t>同</t>
  </si>
  <si>
    <t>乃</t>
  </si>
  <si>
    <t>乎</t>
  </si>
  <si>
    <t>則</t>
  </si>
  <si>
    <t>吾</t>
  </si>
  <si>
    <t>落</t>
  </si>
  <si>
    <t>素</t>
  </si>
  <si>
    <t>姑</t>
  </si>
  <si>
    <t>昨</t>
  </si>
  <si>
    <t>哀</t>
  </si>
  <si>
    <t>孤</t>
  </si>
  <si>
    <t>當</t>
  </si>
  <si>
    <t>普</t>
  </si>
  <si>
    <t>奚</t>
  </si>
  <si>
    <t>郎</t>
  </si>
  <si>
    <t>稽</t>
  </si>
  <si>
    <t>杜</t>
  </si>
  <si>
    <t>邊</t>
  </si>
  <si>
    <t>兮</t>
  </si>
  <si>
    <t>雞</t>
  </si>
  <si>
    <t>土</t>
  </si>
  <si>
    <t>部</t>
  </si>
  <si>
    <t>迷</t>
  </si>
  <si>
    <t>祖</t>
  </si>
  <si>
    <t>低</t>
  </si>
  <si>
    <t>攜</t>
  </si>
  <si>
    <t>圭</t>
  </si>
  <si>
    <t>成</t>
  </si>
  <si>
    <t>膎</t>
  </si>
  <si>
    <t>娃</t>
  </si>
  <si>
    <t>媧</t>
  </si>
  <si>
    <t>緺</t>
  </si>
  <si>
    <t>火</t>
  </si>
  <si>
    <t>妳</t>
  </si>
  <si>
    <t>諧</t>
  </si>
  <si>
    <t>乙</t>
  </si>
  <si>
    <t>步</t>
  </si>
  <si>
    <t>懷</t>
  </si>
  <si>
    <t>乖</t>
  </si>
  <si>
    <t>淮</t>
  </si>
  <si>
    <t>柱</t>
  </si>
  <si>
    <t>卓</t>
  </si>
  <si>
    <t>賴</t>
  </si>
  <si>
    <t>口</t>
  </si>
  <si>
    <t>擬</t>
  </si>
  <si>
    <t>恢</t>
  </si>
  <si>
    <t>回</t>
  </si>
  <si>
    <t>杯</t>
  </si>
  <si>
    <t>魯</t>
  </si>
  <si>
    <t>布</t>
  </si>
  <si>
    <t>臧</t>
  </si>
  <si>
    <t>哉</t>
  </si>
  <si>
    <t>洛</t>
  </si>
  <si>
    <t>才</t>
  </si>
  <si>
    <t>扶</t>
  </si>
  <si>
    <t>鄰</t>
  </si>
  <si>
    <t>植</t>
  </si>
  <si>
    <t>食</t>
  </si>
  <si>
    <t>珍</t>
  </si>
  <si>
    <t>失</t>
  </si>
  <si>
    <t>必</t>
  </si>
  <si>
    <t>將</t>
  </si>
  <si>
    <t>匠</t>
  </si>
  <si>
    <t>翼</t>
  </si>
  <si>
    <t>賓</t>
  </si>
  <si>
    <t>銀</t>
  </si>
  <si>
    <t>筠</t>
  </si>
  <si>
    <t>贇</t>
  </si>
  <si>
    <t>倫</t>
  </si>
  <si>
    <t>彌</t>
  </si>
  <si>
    <t>勻</t>
  </si>
  <si>
    <t>迍</t>
  </si>
  <si>
    <t>綸</t>
  </si>
  <si>
    <t>脣</t>
  </si>
  <si>
    <t>詳</t>
  </si>
  <si>
    <t>詵</t>
  </si>
  <si>
    <t>分</t>
  </si>
  <si>
    <t>王</t>
  </si>
  <si>
    <t>撫</t>
  </si>
  <si>
    <t>斤</t>
  </si>
  <si>
    <t>愚</t>
  </si>
  <si>
    <t>袁</t>
  </si>
  <si>
    <t>附</t>
  </si>
  <si>
    <t>孚</t>
  </si>
  <si>
    <t>軒</t>
  </si>
  <si>
    <t>言</t>
  </si>
  <si>
    <t>虚</t>
  </si>
  <si>
    <t>謁</t>
  </si>
  <si>
    <t>煩</t>
  </si>
  <si>
    <t>昆</t>
  </si>
  <si>
    <t>渾</t>
  </si>
  <si>
    <t>思</t>
  </si>
  <si>
    <t>尊</t>
  </si>
  <si>
    <t>蒲</t>
  </si>
  <si>
    <t>恩</t>
  </si>
  <si>
    <t>吐</t>
  </si>
  <si>
    <t>根</t>
  </si>
  <si>
    <t>安</t>
  </si>
  <si>
    <t>俄</t>
  </si>
  <si>
    <t>那</t>
  </si>
  <si>
    <t>干</t>
  </si>
  <si>
    <t>官</t>
  </si>
  <si>
    <t>丸</t>
  </si>
  <si>
    <t>多</t>
  </si>
  <si>
    <t>度</t>
  </si>
  <si>
    <t>借</t>
  </si>
  <si>
    <t>母</t>
  </si>
  <si>
    <t>北</t>
  </si>
  <si>
    <t>潘</t>
  </si>
  <si>
    <t>姦</t>
  </si>
  <si>
    <t>還</t>
  </si>
  <si>
    <t>關</t>
  </si>
  <si>
    <t>數</t>
  </si>
  <si>
    <t>顔</t>
  </si>
  <si>
    <t>班</t>
  </si>
  <si>
    <t>可</t>
  </si>
  <si>
    <t>阻</t>
  </si>
  <si>
    <t>頑</t>
  </si>
  <si>
    <t>閒</t>
  </si>
  <si>
    <t>閑</t>
  </si>
  <si>
    <t>充</t>
  </si>
  <si>
    <t>委</t>
  </si>
  <si>
    <t>墜</t>
  </si>
  <si>
    <t>獲</t>
  </si>
  <si>
    <t>前</t>
  </si>
  <si>
    <t>賢</t>
  </si>
  <si>
    <t>田</t>
  </si>
  <si>
    <t>年</t>
  </si>
  <si>
    <t>顚</t>
  </si>
  <si>
    <t>堅</t>
  </si>
  <si>
    <t>玄</t>
  </si>
  <si>
    <t>涓</t>
  </si>
  <si>
    <t>煙</t>
  </si>
  <si>
    <t>然</t>
  </si>
  <si>
    <t>延</t>
  </si>
  <si>
    <t>張</t>
  </si>
  <si>
    <t>連</t>
  </si>
  <si>
    <t>緣</t>
  </si>
  <si>
    <t>須</t>
  </si>
  <si>
    <t>泉</t>
  </si>
  <si>
    <t>專</t>
  </si>
  <si>
    <t>宣</t>
  </si>
  <si>
    <t>川</t>
  </si>
  <si>
    <t>卑</t>
  </si>
  <si>
    <t>夕</t>
  </si>
  <si>
    <t>權</t>
  </si>
  <si>
    <t>員</t>
  </si>
  <si>
    <t>焉</t>
  </si>
  <si>
    <t>乾</t>
  </si>
  <si>
    <t>攣</t>
  </si>
  <si>
    <t>圓</t>
  </si>
  <si>
    <t>全</t>
  </si>
  <si>
    <t>彫</t>
  </si>
  <si>
    <t>聊</t>
  </si>
  <si>
    <t>堯</t>
  </si>
  <si>
    <t>幺</t>
  </si>
  <si>
    <t>邀</t>
  </si>
  <si>
    <t>遙</t>
  </si>
  <si>
    <t>嬌</t>
  </si>
  <si>
    <t>焦</t>
  </si>
  <si>
    <t>喬</t>
  </si>
  <si>
    <t>消</t>
  </si>
  <si>
    <t>招</t>
  </si>
  <si>
    <t>昭</t>
  </si>
  <si>
    <t>霄</t>
  </si>
  <si>
    <t>瀌</t>
  </si>
  <si>
    <t>起</t>
  </si>
  <si>
    <t>嚻</t>
  </si>
  <si>
    <t>茅</t>
  </si>
  <si>
    <t>鉏</t>
  </si>
  <si>
    <t>交</t>
  </si>
  <si>
    <t>嘲</t>
  </si>
  <si>
    <t>刀</t>
  </si>
  <si>
    <t>勞</t>
  </si>
  <si>
    <t>毛</t>
  </si>
  <si>
    <t>袍</t>
  </si>
  <si>
    <t>遭</t>
  </si>
  <si>
    <t>襃</t>
  </si>
  <si>
    <t>曹</t>
  </si>
  <si>
    <t>何</t>
  </si>
  <si>
    <t>得</t>
  </si>
  <si>
    <t>河</t>
  </si>
  <si>
    <t>託</t>
  </si>
  <si>
    <t>虎</t>
  </si>
  <si>
    <t>禾</t>
  </si>
  <si>
    <t>波</t>
  </si>
  <si>
    <t>和</t>
  </si>
  <si>
    <t>婆</t>
  </si>
  <si>
    <t>𦚢</t>
  </si>
  <si>
    <t>靴</t>
  </si>
  <si>
    <t>求</t>
  </si>
  <si>
    <t>伽</t>
  </si>
  <si>
    <t>醋</t>
  </si>
  <si>
    <t>𩩆</t>
  </si>
  <si>
    <t>縷</t>
  </si>
  <si>
    <t>𩨭</t>
  </si>
  <si>
    <t>霞</t>
  </si>
  <si>
    <t>遮</t>
  </si>
  <si>
    <t>車</t>
  </si>
  <si>
    <t>正</t>
  </si>
  <si>
    <t>奢</t>
  </si>
  <si>
    <t>花</t>
  </si>
  <si>
    <t>華</t>
  </si>
  <si>
    <t>瓜</t>
  </si>
  <si>
    <t>加</t>
  </si>
  <si>
    <t>牙</t>
  </si>
  <si>
    <t>巴</t>
  </si>
  <si>
    <t>伯</t>
  </si>
  <si>
    <t>嗟</t>
  </si>
  <si>
    <t>賒</t>
  </si>
  <si>
    <t>寫</t>
  </si>
  <si>
    <t>乞</t>
  </si>
  <si>
    <t>良</t>
  </si>
  <si>
    <t>色</t>
  </si>
  <si>
    <t>禇</t>
  </si>
  <si>
    <t>岡</t>
  </si>
  <si>
    <t>光</t>
  </si>
  <si>
    <t>黃</t>
  </si>
  <si>
    <t>旁</t>
  </si>
  <si>
    <t>行</t>
  </si>
  <si>
    <t>客</t>
  </si>
  <si>
    <t>盲</t>
  </si>
  <si>
    <t>橫</t>
  </si>
  <si>
    <t>助</t>
  </si>
  <si>
    <t>驚</t>
  </si>
  <si>
    <t>永</t>
  </si>
  <si>
    <t>榮</t>
  </si>
  <si>
    <t>京</t>
  </si>
  <si>
    <t>莖</t>
  </si>
  <si>
    <t>萌</t>
  </si>
  <si>
    <t>宏</t>
  </si>
  <si>
    <t>情</t>
  </si>
  <si>
    <t>盈</t>
  </si>
  <si>
    <t>傾</t>
  </si>
  <si>
    <t>貞</t>
  </si>
  <si>
    <t>征</t>
  </si>
  <si>
    <t>并</t>
  </si>
  <si>
    <t>營</t>
  </si>
  <si>
    <t>徐</t>
  </si>
  <si>
    <t>經</t>
  </si>
  <si>
    <t>靈</t>
  </si>
  <si>
    <t>特</t>
  </si>
  <si>
    <t>刑</t>
  </si>
  <si>
    <t>桑</t>
  </si>
  <si>
    <t>扃</t>
  </si>
  <si>
    <t>螢</t>
  </si>
  <si>
    <t>煑</t>
  </si>
  <si>
    <t>仍</t>
  </si>
  <si>
    <t>陵</t>
  </si>
  <si>
    <t>膺</t>
  </si>
  <si>
    <t>冰</t>
  </si>
  <si>
    <t>筆</t>
  </si>
  <si>
    <t>識</t>
  </si>
  <si>
    <t>乗</t>
  </si>
  <si>
    <t>矜</t>
  </si>
  <si>
    <t>綺</t>
  </si>
  <si>
    <t>兢</t>
  </si>
  <si>
    <t>升</t>
  </si>
  <si>
    <t>披</t>
  </si>
  <si>
    <t>滕</t>
  </si>
  <si>
    <t>楞</t>
  </si>
  <si>
    <t>肱</t>
  </si>
  <si>
    <t>弘</t>
  </si>
  <si>
    <t>恒</t>
  </si>
  <si>
    <t>朋</t>
  </si>
  <si>
    <t>由</t>
  </si>
  <si>
    <t>周</t>
  </si>
  <si>
    <t>自</t>
  </si>
  <si>
    <t>秋</t>
  </si>
  <si>
    <t>鳩</t>
  </si>
  <si>
    <t>耳</t>
  </si>
  <si>
    <t>州</t>
  </si>
  <si>
    <t>謀</t>
  </si>
  <si>
    <t>浮</t>
  </si>
  <si>
    <t>鉤</t>
  </si>
  <si>
    <t>速</t>
  </si>
  <si>
    <t>恪</t>
  </si>
  <si>
    <t>婁</t>
  </si>
  <si>
    <t>千</t>
  </si>
  <si>
    <t>亡</t>
  </si>
  <si>
    <t>虯</t>
  </si>
  <si>
    <t>烋</t>
  </si>
  <si>
    <t>皮</t>
  </si>
  <si>
    <t>彪</t>
  </si>
  <si>
    <t>林</t>
  </si>
  <si>
    <t>尋</t>
  </si>
  <si>
    <t>氏</t>
  </si>
  <si>
    <t>任</t>
  </si>
  <si>
    <t>針</t>
  </si>
  <si>
    <t>挹</t>
  </si>
  <si>
    <t>淫</t>
  </si>
  <si>
    <t>金</t>
  </si>
  <si>
    <t>今</t>
  </si>
  <si>
    <t>簪</t>
  </si>
  <si>
    <t>含</t>
  </si>
  <si>
    <t>男</t>
  </si>
  <si>
    <t>南</t>
  </si>
  <si>
    <t>甘</t>
  </si>
  <si>
    <t>酣</t>
  </si>
  <si>
    <t>廉</t>
  </si>
  <si>
    <t>淹</t>
  </si>
  <si>
    <t>史</t>
  </si>
  <si>
    <t>兼</t>
  </si>
  <si>
    <t>勒</t>
  </si>
  <si>
    <t>甜</t>
  </si>
  <si>
    <t>讒</t>
  </si>
  <si>
    <t>監</t>
  </si>
  <si>
    <t>谷</t>
  </si>
  <si>
    <t>白</t>
  </si>
  <si>
    <t>𩏩</t>
  </si>
  <si>
    <t>動</t>
  </si>
  <si>
    <t>孔</t>
  </si>
  <si>
    <t>康</t>
  </si>
  <si>
    <t>揔</t>
  </si>
  <si>
    <t>蠓</t>
  </si>
  <si>
    <t>隴</t>
  </si>
  <si>
    <t>踵</t>
  </si>
  <si>
    <t>奉</t>
  </si>
  <si>
    <t>時</t>
  </si>
  <si>
    <t>宂</t>
  </si>
  <si>
    <t>悚</t>
  </si>
  <si>
    <t>拱</t>
  </si>
  <si>
    <t>勇</t>
  </si>
  <si>
    <t>𪁪</t>
  </si>
  <si>
    <t>冢</t>
  </si>
  <si>
    <t>項</t>
  </si>
  <si>
    <t>承</t>
  </si>
  <si>
    <t>詭</t>
  </si>
  <si>
    <t>墟</t>
  </si>
  <si>
    <t>倚</t>
  </si>
  <si>
    <t>雌</t>
  </si>
  <si>
    <t>池</t>
  </si>
  <si>
    <t>爾</t>
  </si>
  <si>
    <t>斯</t>
  </si>
  <si>
    <t>弭</t>
  </si>
  <si>
    <t>兒</t>
  </si>
  <si>
    <t>綿</t>
  </si>
  <si>
    <t>婢</t>
  </si>
  <si>
    <t>施</t>
  </si>
  <si>
    <t>神</t>
  </si>
  <si>
    <t>帋</t>
  </si>
  <si>
    <t>捶</t>
  </si>
  <si>
    <t>豸</t>
  </si>
  <si>
    <t>侈</t>
  </si>
  <si>
    <t>興</t>
  </si>
  <si>
    <t>髓</t>
  </si>
  <si>
    <t>雉</t>
  </si>
  <si>
    <t>矢</t>
  </si>
  <si>
    <t>鄙</t>
  </si>
  <si>
    <t>美</t>
  </si>
  <si>
    <t>几</t>
  </si>
  <si>
    <t>軌</t>
  </si>
  <si>
    <t>癸</t>
  </si>
  <si>
    <t>誄</t>
  </si>
  <si>
    <t>壘</t>
  </si>
  <si>
    <t>豬</t>
  </si>
  <si>
    <t>楮</t>
  </si>
  <si>
    <t>己</t>
  </si>
  <si>
    <t>踈</t>
  </si>
  <si>
    <t>胥</t>
  </si>
  <si>
    <t>詩</t>
  </si>
  <si>
    <t>牀</t>
  </si>
  <si>
    <t>紀</t>
  </si>
  <si>
    <t>匪</t>
  </si>
  <si>
    <t>袪</t>
  </si>
  <si>
    <t>狶</t>
  </si>
  <si>
    <t>偉</t>
  </si>
  <si>
    <t>吕</t>
  </si>
  <si>
    <t>与</t>
  </si>
  <si>
    <t>渚</t>
  </si>
  <si>
    <t>舒</t>
  </si>
  <si>
    <t>創</t>
  </si>
  <si>
    <t>慈</t>
  </si>
  <si>
    <t>羌</t>
  </si>
  <si>
    <t>矩</t>
  </si>
  <si>
    <t>庾</t>
  </si>
  <si>
    <t>主</t>
  </si>
  <si>
    <t>臣</t>
  </si>
  <si>
    <t>驅</t>
  </si>
  <si>
    <t>鶵</t>
  </si>
  <si>
    <t>禹</t>
  </si>
  <si>
    <t>補</t>
  </si>
  <si>
    <t>采</t>
  </si>
  <si>
    <t>裴</t>
  </si>
  <si>
    <t>禮</t>
  </si>
  <si>
    <t>啓</t>
  </si>
  <si>
    <t>米</t>
  </si>
  <si>
    <t>傍</t>
  </si>
  <si>
    <t>弟</t>
  </si>
  <si>
    <t>研</t>
  </si>
  <si>
    <t>買</t>
  </si>
  <si>
    <t>丈</t>
  </si>
  <si>
    <t>𠁥</t>
  </si>
  <si>
    <t>楷</t>
  </si>
  <si>
    <t>罪</t>
  </si>
  <si>
    <t>猥</t>
  </si>
  <si>
    <t>改</t>
  </si>
  <si>
    <t>亥</t>
  </si>
  <si>
    <t>愷</t>
  </si>
  <si>
    <t>宰</t>
  </si>
  <si>
    <t>紿</t>
  </si>
  <si>
    <t>忍</t>
  </si>
  <si>
    <t>引</t>
  </si>
  <si>
    <t>毗</t>
  </si>
  <si>
    <t>殞</t>
  </si>
  <si>
    <t>盡</t>
  </si>
  <si>
    <t>敏</t>
  </si>
  <si>
    <t>尹</t>
  </si>
  <si>
    <t>允</t>
  </si>
  <si>
    <t>癡</t>
  </si>
  <si>
    <t>弃</t>
  </si>
  <si>
    <t>腎</t>
  </si>
  <si>
    <t>紖</t>
  </si>
  <si>
    <t>粉</t>
  </si>
  <si>
    <t>謹</t>
  </si>
  <si>
    <t>仄</t>
  </si>
  <si>
    <t>休</t>
  </si>
  <si>
    <t>雲</t>
  </si>
  <si>
    <t>幰</t>
  </si>
  <si>
    <t>偃</t>
  </si>
  <si>
    <t>晚</t>
  </si>
  <si>
    <t>况</t>
  </si>
  <si>
    <t>本</t>
  </si>
  <si>
    <t>忖</t>
  </si>
  <si>
    <t>損</t>
  </si>
  <si>
    <t>衮</t>
  </si>
  <si>
    <t>墾</t>
  </si>
  <si>
    <t>笴</t>
  </si>
  <si>
    <t>旦</t>
  </si>
  <si>
    <t>管</t>
  </si>
  <si>
    <t>滿</t>
  </si>
  <si>
    <t>辝</t>
  </si>
  <si>
    <t>纂</t>
  </si>
  <si>
    <t>但</t>
  </si>
  <si>
    <t>伴</t>
  </si>
  <si>
    <t>板</t>
  </si>
  <si>
    <t>赧</t>
  </si>
  <si>
    <t>雛</t>
  </si>
  <si>
    <t>鯇</t>
  </si>
  <si>
    <t>簡</t>
  </si>
  <si>
    <t>限</t>
  </si>
  <si>
    <t>典</t>
  </si>
  <si>
    <t>殄</t>
  </si>
  <si>
    <t>畎</t>
  </si>
  <si>
    <t>泫</t>
  </si>
  <si>
    <t>牽</t>
  </si>
  <si>
    <t>繭</t>
  </si>
  <si>
    <t>峴</t>
  </si>
  <si>
    <t>演</t>
  </si>
  <si>
    <t>善</t>
  </si>
  <si>
    <t>展</t>
  </si>
  <si>
    <t>輦</t>
  </si>
  <si>
    <t>翦</t>
  </si>
  <si>
    <t>蹇</t>
  </si>
  <si>
    <t>兖</t>
  </si>
  <si>
    <t>緬</t>
  </si>
  <si>
    <t>免</t>
  </si>
  <si>
    <t>轉</t>
  </si>
  <si>
    <t>篆</t>
  </si>
  <si>
    <t>狂</t>
  </si>
  <si>
    <t>辨</t>
  </si>
  <si>
    <t>除</t>
  </si>
  <si>
    <t>鳥</t>
  </si>
  <si>
    <t>了</t>
  </si>
  <si>
    <t>馨</t>
  </si>
  <si>
    <t>皛</t>
  </si>
  <si>
    <t>皎</t>
  </si>
  <si>
    <t>兆</t>
  </si>
  <si>
    <t>治</t>
  </si>
  <si>
    <t>少</t>
  </si>
  <si>
    <t>沼</t>
  </si>
  <si>
    <t>夭</t>
  </si>
  <si>
    <t>陂</t>
  </si>
  <si>
    <t>矯</t>
  </si>
  <si>
    <t>表</t>
  </si>
  <si>
    <t>親</t>
  </si>
  <si>
    <t>絞</t>
  </si>
  <si>
    <t>飽</t>
  </si>
  <si>
    <t>爪</t>
  </si>
  <si>
    <t>老</t>
  </si>
  <si>
    <t>浩</t>
  </si>
  <si>
    <t>早</t>
  </si>
  <si>
    <t>道</t>
  </si>
  <si>
    <t>我</t>
  </si>
  <si>
    <t>枯</t>
  </si>
  <si>
    <t>捕</t>
  </si>
  <si>
    <t>也</t>
  </si>
  <si>
    <t>者</t>
  </si>
  <si>
    <t>疋</t>
  </si>
  <si>
    <t>砂</t>
  </si>
  <si>
    <t>野</t>
  </si>
  <si>
    <t>雅</t>
  </si>
  <si>
    <t>悉</t>
  </si>
  <si>
    <t>姐</t>
  </si>
  <si>
    <t>𩛠</t>
  </si>
  <si>
    <t>冶</t>
  </si>
  <si>
    <t>愽</t>
  </si>
  <si>
    <t>寡</t>
  </si>
  <si>
    <t>賈</t>
  </si>
  <si>
    <t>沙</t>
  </si>
  <si>
    <t>兩</t>
  </si>
  <si>
    <t>㢡</t>
  </si>
  <si>
    <t>往</t>
  </si>
  <si>
    <t>妃</t>
  </si>
  <si>
    <t>网</t>
  </si>
  <si>
    <t>紆</t>
  </si>
  <si>
    <t>昉</t>
  </si>
  <si>
    <t>掌</t>
  </si>
  <si>
    <t>朗</t>
  </si>
  <si>
    <t>晃</t>
  </si>
  <si>
    <t>黨</t>
  </si>
  <si>
    <t>廣</t>
  </si>
  <si>
    <t>各</t>
  </si>
  <si>
    <t>麁</t>
  </si>
  <si>
    <t>杏</t>
  </si>
  <si>
    <t>丙</t>
  </si>
  <si>
    <t>景</t>
  </si>
  <si>
    <t>憬</t>
  </si>
  <si>
    <t>幸</t>
  </si>
  <si>
    <t>猛</t>
  </si>
  <si>
    <t>䁝</t>
  </si>
  <si>
    <t>礦</t>
  </si>
  <si>
    <t>拏</t>
  </si>
  <si>
    <t>郢</t>
  </si>
  <si>
    <t>整</t>
  </si>
  <si>
    <t>頃</t>
  </si>
  <si>
    <t>潁</t>
  </si>
  <si>
    <t>井</t>
  </si>
  <si>
    <t>頂</t>
  </si>
  <si>
    <t>挺</t>
  </si>
  <si>
    <t>鼎</t>
  </si>
  <si>
    <t>醒</t>
  </si>
  <si>
    <t>烟</t>
  </si>
  <si>
    <t>涬</t>
  </si>
  <si>
    <t>剄</t>
  </si>
  <si>
    <t>肯</t>
  </si>
  <si>
    <t>久</t>
  </si>
  <si>
    <t>柳</t>
  </si>
  <si>
    <t>殖</t>
  </si>
  <si>
    <t>酉</t>
  </si>
  <si>
    <t>否</t>
  </si>
  <si>
    <t>婦</t>
  </si>
  <si>
    <t>天</t>
  </si>
  <si>
    <t>垢</t>
  </si>
  <si>
    <t>后</t>
  </si>
  <si>
    <t>斗</t>
  </si>
  <si>
    <t>苟</t>
  </si>
  <si>
    <t>糾</t>
  </si>
  <si>
    <t>稔</t>
  </si>
  <si>
    <t>甚</t>
  </si>
  <si>
    <t>朕</t>
  </si>
  <si>
    <t>荏</t>
  </si>
  <si>
    <t>枕</t>
  </si>
  <si>
    <t>凜</t>
  </si>
  <si>
    <t>飲</t>
  </si>
  <si>
    <t>丕</t>
  </si>
  <si>
    <t>欽</t>
  </si>
  <si>
    <t>㾕</t>
  </si>
  <si>
    <t>禫</t>
  </si>
  <si>
    <t>唵</t>
  </si>
  <si>
    <t>覽</t>
  </si>
  <si>
    <t>賞</t>
  </si>
  <si>
    <t>謨</t>
  </si>
  <si>
    <t>冉</t>
  </si>
  <si>
    <t>檢</t>
  </si>
  <si>
    <t>斂</t>
  </si>
  <si>
    <t>險</t>
  </si>
  <si>
    <t>奄</t>
  </si>
  <si>
    <t>儉</t>
  </si>
  <si>
    <t>染</t>
  </si>
  <si>
    <t>漸</t>
  </si>
  <si>
    <t>謙</t>
  </si>
  <si>
    <t>玷</t>
  </si>
  <si>
    <t>簟</t>
  </si>
  <si>
    <t>掩</t>
  </si>
  <si>
    <t>广</t>
  </si>
  <si>
    <t>減</t>
  </si>
  <si>
    <t>黤</t>
  </si>
  <si>
    <t>錽</t>
  </si>
  <si>
    <t>犯</t>
  </si>
  <si>
    <t>峯</t>
  </si>
  <si>
    <t>弄</t>
  </si>
  <si>
    <t>馮</t>
  </si>
  <si>
    <t>貢</t>
  </si>
  <si>
    <t>仲</t>
  </si>
  <si>
    <t>凍</t>
  </si>
  <si>
    <t>統</t>
  </si>
  <si>
    <t>綜</t>
  </si>
  <si>
    <t>頌</t>
  </si>
  <si>
    <t>區</t>
  </si>
  <si>
    <t>穠</t>
  </si>
  <si>
    <t>巷</t>
  </si>
  <si>
    <t>降</t>
  </si>
  <si>
    <t>義</t>
  </si>
  <si>
    <t>睡</t>
  </si>
  <si>
    <t>智</t>
  </si>
  <si>
    <t>僞</t>
  </si>
  <si>
    <t>寄</t>
  </si>
  <si>
    <t>賜</t>
  </si>
  <si>
    <t>豉</t>
  </si>
  <si>
    <t>馳</t>
  </si>
  <si>
    <t>窺</t>
  </si>
  <si>
    <t>瑞</t>
  </si>
  <si>
    <t>企</t>
  </si>
  <si>
    <t>恚</t>
  </si>
  <si>
    <t>爭</t>
  </si>
  <si>
    <t>利</t>
  </si>
  <si>
    <t>愧</t>
  </si>
  <si>
    <t>祕</t>
  </si>
  <si>
    <t>遂</t>
  </si>
  <si>
    <t>雖</t>
  </si>
  <si>
    <t>媚</t>
  </si>
  <si>
    <t>備</t>
  </si>
  <si>
    <t>類</t>
  </si>
  <si>
    <t>寐</t>
  </si>
  <si>
    <t>詰</t>
  </si>
  <si>
    <t>冀</t>
  </si>
  <si>
    <t>季</t>
  </si>
  <si>
    <t>兾</t>
  </si>
  <si>
    <t>悸</t>
  </si>
  <si>
    <t>秦</t>
  </si>
  <si>
    <t>萃</t>
  </si>
  <si>
    <t>釋</t>
  </si>
  <si>
    <t>吏</t>
  </si>
  <si>
    <t>置</t>
  </si>
  <si>
    <t>沸</t>
  </si>
  <si>
    <t>胃</t>
  </si>
  <si>
    <t>貴</t>
  </si>
  <si>
    <t>味</t>
  </si>
  <si>
    <t>畏</t>
  </si>
  <si>
    <t>豙</t>
  </si>
  <si>
    <t>旣</t>
  </si>
  <si>
    <t>倨</t>
  </si>
  <si>
    <t>慮</t>
  </si>
  <si>
    <t>恕</t>
  </si>
  <si>
    <t>商</t>
  </si>
  <si>
    <t>遟</t>
  </si>
  <si>
    <t>據</t>
  </si>
  <si>
    <t>預</t>
  </si>
  <si>
    <t>洳</t>
  </si>
  <si>
    <t>瘡</t>
  </si>
  <si>
    <t>抽</t>
  </si>
  <si>
    <t>具</t>
  </si>
  <si>
    <t>句</t>
  </si>
  <si>
    <t>戍</t>
  </si>
  <si>
    <t>注</t>
  </si>
  <si>
    <t>故</t>
  </si>
  <si>
    <t>湯</t>
  </si>
  <si>
    <t>誤</t>
  </si>
  <si>
    <t>路</t>
  </si>
  <si>
    <t>祚</t>
  </si>
  <si>
    <t>計</t>
  </si>
  <si>
    <t>詣</t>
  </si>
  <si>
    <t>桂</t>
  </si>
  <si>
    <t>惠</t>
  </si>
  <si>
    <t>例</t>
  </si>
  <si>
    <t>銳</t>
  </si>
  <si>
    <t>歲</t>
  </si>
  <si>
    <t>芮</t>
  </si>
  <si>
    <t>衛</t>
  </si>
  <si>
    <t>稅</t>
  </si>
  <si>
    <t>獘</t>
  </si>
  <si>
    <t>制</t>
  </si>
  <si>
    <t>罽</t>
  </si>
  <si>
    <t>憩</t>
  </si>
  <si>
    <t>甞</t>
  </si>
  <si>
    <t>蔽</t>
  </si>
  <si>
    <t>吠</t>
  </si>
  <si>
    <t>蓋</t>
  </si>
  <si>
    <t>太</t>
  </si>
  <si>
    <t>帶</t>
  </si>
  <si>
    <t>會</t>
  </si>
  <si>
    <t>麤</t>
  </si>
  <si>
    <t>最</t>
  </si>
  <si>
    <t>大</t>
  </si>
  <si>
    <t>艾</t>
  </si>
  <si>
    <t>貝</t>
  </si>
  <si>
    <t>隘</t>
  </si>
  <si>
    <t>懈</t>
  </si>
  <si>
    <t>壞</t>
  </si>
  <si>
    <t>界</t>
  </si>
  <si>
    <t>拜</t>
  </si>
  <si>
    <t>介</t>
  </si>
  <si>
    <t>戒</t>
  </si>
  <si>
    <t>辿</t>
  </si>
  <si>
    <t>快</t>
  </si>
  <si>
    <t>邁</t>
  </si>
  <si>
    <t>喝</t>
  </si>
  <si>
    <t>犗</t>
  </si>
  <si>
    <t>犲</t>
  </si>
  <si>
    <t>對</t>
  </si>
  <si>
    <t>昧</t>
  </si>
  <si>
    <t>佩</t>
  </si>
  <si>
    <t>内</t>
  </si>
  <si>
    <t>繢</t>
  </si>
  <si>
    <t>妹</t>
  </si>
  <si>
    <t>輩</t>
  </si>
  <si>
    <t>耐</t>
  </si>
  <si>
    <t>漑</t>
  </si>
  <si>
    <t>槩</t>
  </si>
  <si>
    <t>愛</t>
  </si>
  <si>
    <t>肺</t>
  </si>
  <si>
    <t>廢?</t>
  </si>
  <si>
    <t>穢</t>
  </si>
  <si>
    <t>刃</t>
  </si>
  <si>
    <t>晉</t>
  </si>
  <si>
    <t>振</t>
  </si>
  <si>
    <t>試</t>
  </si>
  <si>
    <t>覲</t>
  </si>
  <si>
    <t>遴</t>
  </si>
  <si>
    <t>印</t>
  </si>
  <si>
    <t>峻</t>
  </si>
  <si>
    <t>閏</t>
  </si>
  <si>
    <t>辭</t>
  </si>
  <si>
    <t>順</t>
  </si>
  <si>
    <t>運</t>
  </si>
  <si>
    <t>靳</t>
  </si>
  <si>
    <t>怨</t>
  </si>
  <si>
    <t>販</t>
  </si>
  <si>
    <t>万</t>
  </si>
  <si>
    <t>建</t>
  </si>
  <si>
    <t>臼</t>
  </si>
  <si>
    <t>困</t>
  </si>
  <si>
    <t>悶</t>
  </si>
  <si>
    <t>寸</t>
  </si>
  <si>
    <t>艮</t>
  </si>
  <si>
    <t>旰</t>
  </si>
  <si>
    <t>按</t>
  </si>
  <si>
    <t>案</t>
  </si>
  <si>
    <t>賛</t>
  </si>
  <si>
    <t>玩</t>
  </si>
  <si>
    <t>筭</t>
  </si>
  <si>
    <t>貫</t>
  </si>
  <si>
    <t>亂</t>
  </si>
  <si>
    <t>段</t>
  </si>
  <si>
    <t>半</t>
  </si>
  <si>
    <t>喚</t>
  </si>
  <si>
    <t>晏</t>
  </si>
  <si>
    <t>澗</t>
  </si>
  <si>
    <t>患</t>
  </si>
  <si>
    <t>慣</t>
  </si>
  <si>
    <t>鴈</t>
  </si>
  <si>
    <t>莧</t>
  </si>
  <si>
    <t>脯</t>
  </si>
  <si>
    <t>佃</t>
  </si>
  <si>
    <t>甸</t>
  </si>
  <si>
    <t>縣</t>
  </si>
  <si>
    <t>練</t>
  </si>
  <si>
    <t>堂</t>
  </si>
  <si>
    <t>電</t>
  </si>
  <si>
    <t>麵</t>
  </si>
  <si>
    <t>箭</t>
  </si>
  <si>
    <t>膳</t>
  </si>
  <si>
    <t>戰</t>
  </si>
  <si>
    <t>吉</t>
  </si>
  <si>
    <t>掾</t>
  </si>
  <si>
    <t>眷</t>
  </si>
  <si>
    <t>絹</t>
  </si>
  <si>
    <t>扇</t>
  </si>
  <si>
    <t>賤</t>
  </si>
  <si>
    <t>倦</t>
  </si>
  <si>
    <t>卷</t>
  </si>
  <si>
    <t>戀</t>
  </si>
  <si>
    <t>面</t>
  </si>
  <si>
    <t>釧</t>
  </si>
  <si>
    <t>碾</t>
  </si>
  <si>
    <t>彦</t>
  </si>
  <si>
    <t>囀</t>
  </si>
  <si>
    <t>弔</t>
  </si>
  <si>
    <t>叫</t>
  </si>
  <si>
    <t>妙</t>
  </si>
  <si>
    <t>照</t>
  </si>
  <si>
    <t>寔</t>
  </si>
  <si>
    <t>廟</t>
  </si>
  <si>
    <t>肖</t>
  </si>
  <si>
    <t>要</t>
  </si>
  <si>
    <t>敎</t>
  </si>
  <si>
    <t>孝</t>
  </si>
  <si>
    <t>皃</t>
  </si>
  <si>
    <t>稍</t>
  </si>
  <si>
    <t>倒</t>
  </si>
  <si>
    <t>到</t>
  </si>
  <si>
    <t>導</t>
  </si>
  <si>
    <t>耗</t>
  </si>
  <si>
    <t>賀</t>
  </si>
  <si>
    <t>佐</t>
  </si>
  <si>
    <t>个</t>
  </si>
  <si>
    <t>邏</t>
  </si>
  <si>
    <t>卧</t>
  </si>
  <si>
    <t>摸</t>
  </si>
  <si>
    <t>唾</t>
  </si>
  <si>
    <t>駕</t>
  </si>
  <si>
    <t>訝</t>
  </si>
  <si>
    <t>嫁</t>
  </si>
  <si>
    <t>亞</t>
  </si>
  <si>
    <t>夜</t>
  </si>
  <si>
    <t>謝</t>
  </si>
  <si>
    <t>司</t>
  </si>
  <si>
    <t>化</t>
  </si>
  <si>
    <t>霸</t>
  </si>
  <si>
    <t>遷</t>
  </si>
  <si>
    <t>罵</t>
  </si>
  <si>
    <t>㕦</t>
  </si>
  <si>
    <t>亮</t>
  </si>
  <si>
    <t>讓</t>
  </si>
  <si>
    <t>樣</t>
  </si>
  <si>
    <t>向</t>
  </si>
  <si>
    <t>巫</t>
  </si>
  <si>
    <t>放</t>
  </si>
  <si>
    <t>訪</t>
  </si>
  <si>
    <t>妄</t>
  </si>
  <si>
    <t>浪</t>
  </si>
  <si>
    <t>曠</t>
  </si>
  <si>
    <t>謗</t>
  </si>
  <si>
    <t>孟</t>
  </si>
  <si>
    <t>病</t>
  </si>
  <si>
    <t>猪</t>
  </si>
  <si>
    <t>鷖</t>
  </si>
  <si>
    <t>政</t>
  </si>
  <si>
    <t>盛</t>
  </si>
  <si>
    <t>鄭</t>
  </si>
  <si>
    <t>畀</t>
  </si>
  <si>
    <t>令</t>
  </si>
  <si>
    <t>姓</t>
  </si>
  <si>
    <t>佞</t>
  </si>
  <si>
    <t>應</t>
  </si>
  <si>
    <t>孕</t>
  </si>
  <si>
    <t>黑</t>
  </si>
  <si>
    <t>甑</t>
  </si>
  <si>
    <t>鄧</t>
  </si>
  <si>
    <t>亘</t>
  </si>
  <si>
    <t>隥</t>
  </si>
  <si>
    <t>父</t>
  </si>
  <si>
    <t>贈</t>
  </si>
  <si>
    <t>台</t>
  </si>
  <si>
    <t>救</t>
  </si>
  <si>
    <t>祐</t>
  </si>
  <si>
    <t>佑</t>
  </si>
  <si>
    <t>副</t>
  </si>
  <si>
    <t>僦</t>
  </si>
  <si>
    <t>富</t>
  </si>
  <si>
    <t>呪</t>
  </si>
  <si>
    <t>又</t>
  </si>
  <si>
    <t>溜</t>
  </si>
  <si>
    <t>遘</t>
  </si>
  <si>
    <t>豆</t>
  </si>
  <si>
    <t>奏</t>
  </si>
  <si>
    <t>漏</t>
  </si>
  <si>
    <t>伊</t>
  </si>
  <si>
    <t>謬</t>
  </si>
  <si>
    <t>鴆</t>
  </si>
  <si>
    <t>禁</t>
  </si>
  <si>
    <t>蔭</t>
  </si>
  <si>
    <t>紺</t>
  </si>
  <si>
    <t>暗</t>
  </si>
  <si>
    <t>濫</t>
  </si>
  <si>
    <t>𣊟</t>
  </si>
  <si>
    <t>蹔</t>
  </si>
  <si>
    <t>瞰</t>
  </si>
  <si>
    <t>暫</t>
  </si>
  <si>
    <t>驗</t>
  </si>
  <si>
    <t>窆</t>
  </si>
  <si>
    <t>念</t>
  </si>
  <si>
    <t>店</t>
  </si>
  <si>
    <t>欠</t>
  </si>
  <si>
    <t>劔</t>
  </si>
  <si>
    <t>韽</t>
  </si>
  <si>
    <t>佇</t>
  </si>
  <si>
    <t>賺</t>
  </si>
  <si>
    <t>玉</t>
  </si>
  <si>
    <t>格</t>
  </si>
  <si>
    <t>懺</t>
  </si>
  <si>
    <t>泛</t>
  </si>
  <si>
    <t>禄</t>
  </si>
  <si>
    <t>木</t>
  </si>
  <si>
    <t>卜</t>
  </si>
  <si>
    <t>六</t>
  </si>
  <si>
    <t>匊</t>
  </si>
  <si>
    <t>殊</t>
  </si>
  <si>
    <t>宿</t>
  </si>
  <si>
    <t>福</t>
  </si>
  <si>
    <t>逐</t>
  </si>
  <si>
    <t>菊</t>
  </si>
  <si>
    <t>酷</t>
  </si>
  <si>
    <t>毒</t>
  </si>
  <si>
    <t>篤</t>
  </si>
  <si>
    <t>欲</t>
  </si>
  <si>
    <t>録</t>
  </si>
  <si>
    <t>足</t>
  </si>
  <si>
    <t>岳</t>
  </si>
  <si>
    <t>角</t>
  </si>
  <si>
    <t>譬</t>
  </si>
  <si>
    <t>栗</t>
  </si>
  <si>
    <t>畢</t>
  </si>
  <si>
    <t>律</t>
  </si>
  <si>
    <t>密</t>
  </si>
  <si>
    <t>徵</t>
  </si>
  <si>
    <t>羲</t>
  </si>
  <si>
    <t>聿</t>
  </si>
  <si>
    <t>卹</t>
  </si>
  <si>
    <t>辛</t>
  </si>
  <si>
    <t>瑟</t>
  </si>
  <si>
    <t>崱</t>
  </si>
  <si>
    <t>弗</t>
  </si>
  <si>
    <t>勿</t>
  </si>
  <si>
    <t>衢</t>
  </si>
  <si>
    <t>厥</t>
  </si>
  <si>
    <t>越</t>
  </si>
  <si>
    <t>伐</t>
  </si>
  <si>
    <t>望</t>
  </si>
  <si>
    <t>發</t>
  </si>
  <si>
    <t>歇</t>
  </si>
  <si>
    <t>拂</t>
  </si>
  <si>
    <t>訐</t>
  </si>
  <si>
    <t>勃</t>
  </si>
  <si>
    <t>骨</t>
  </si>
  <si>
    <t>忽</t>
  </si>
  <si>
    <t>没</t>
  </si>
  <si>
    <t>陀</t>
  </si>
  <si>
    <t>葛</t>
  </si>
  <si>
    <t>割</t>
  </si>
  <si>
    <t>達</t>
  </si>
  <si>
    <t>矛</t>
  </si>
  <si>
    <t>撥</t>
  </si>
  <si>
    <t>活</t>
  </si>
  <si>
    <t>栝</t>
  </si>
  <si>
    <t>括</t>
  </si>
  <si>
    <t>八</t>
  </si>
  <si>
    <t>拔</t>
  </si>
  <si>
    <t>滑</t>
  </si>
  <si>
    <t>鄒</t>
  </si>
  <si>
    <t>瞎</t>
  </si>
  <si>
    <t>䫄</t>
  </si>
  <si>
    <t>刮</t>
  </si>
  <si>
    <t>百</t>
  </si>
  <si>
    <t>査</t>
  </si>
  <si>
    <t>轄</t>
  </si>
  <si>
    <t>結</t>
  </si>
  <si>
    <t>決</t>
  </si>
  <si>
    <t>穴</t>
  </si>
  <si>
    <t>蔑</t>
  </si>
  <si>
    <t>列</t>
  </si>
  <si>
    <t>辥</t>
  </si>
  <si>
    <t>熱</t>
  </si>
  <si>
    <t>竭</t>
  </si>
  <si>
    <t>雪</t>
  </si>
  <si>
    <t>劣</t>
  </si>
  <si>
    <t>爇</t>
  </si>
  <si>
    <t>輟</t>
  </si>
  <si>
    <t>滅</t>
  </si>
  <si>
    <t>别</t>
  </si>
  <si>
    <t>姝</t>
  </si>
  <si>
    <t>厠</t>
  </si>
  <si>
    <t>寺</t>
  </si>
  <si>
    <t>灼</t>
  </si>
  <si>
    <t>勺</t>
  </si>
  <si>
    <t>若</t>
  </si>
  <si>
    <t>約</t>
  </si>
  <si>
    <t>略</t>
  </si>
  <si>
    <t>爵</t>
  </si>
  <si>
    <t>雀</t>
  </si>
  <si>
    <t>虐</t>
  </si>
  <si>
    <t>憂</t>
  </si>
  <si>
    <t>钁</t>
  </si>
  <si>
    <t>籰</t>
  </si>
  <si>
    <t>慕</t>
  </si>
  <si>
    <t>呵</t>
  </si>
  <si>
    <t>郭</t>
  </si>
  <si>
    <t>穫</t>
  </si>
  <si>
    <t>逆</t>
  </si>
  <si>
    <t>劇</t>
  </si>
  <si>
    <t>戟</t>
  </si>
  <si>
    <t>郤</t>
  </si>
  <si>
    <t>虢</t>
  </si>
  <si>
    <t>擭</t>
  </si>
  <si>
    <t>弼</t>
  </si>
  <si>
    <t>厄</t>
  </si>
  <si>
    <t>革</t>
  </si>
  <si>
    <t>核</t>
  </si>
  <si>
    <t>責</t>
  </si>
  <si>
    <t>摘</t>
  </si>
  <si>
    <t>摑</t>
  </si>
  <si>
    <t>戹</t>
  </si>
  <si>
    <t>積</t>
  </si>
  <si>
    <t>益</t>
  </si>
  <si>
    <t>隻</t>
  </si>
  <si>
    <t>石</t>
  </si>
  <si>
    <t>炙</t>
  </si>
  <si>
    <t>迹</t>
  </si>
  <si>
    <t>易</t>
  </si>
  <si>
    <t>役</t>
  </si>
  <si>
    <t>辟</t>
  </si>
  <si>
    <t>亦</t>
  </si>
  <si>
    <t>擊</t>
  </si>
  <si>
    <t>歷</t>
  </si>
  <si>
    <t>狄</t>
  </si>
  <si>
    <t>激</t>
  </si>
  <si>
    <t>鶪</t>
  </si>
  <si>
    <t>闃</t>
  </si>
  <si>
    <t>狊</t>
  </si>
  <si>
    <t>恥</t>
  </si>
  <si>
    <t>逼</t>
  </si>
  <si>
    <t>墨</t>
  </si>
  <si>
    <t>國</t>
  </si>
  <si>
    <t>或</t>
  </si>
  <si>
    <t>執</t>
  </si>
  <si>
    <t>立</t>
  </si>
  <si>
    <t>及</t>
  </si>
  <si>
    <t>急</t>
  </si>
  <si>
    <t>汲</t>
  </si>
  <si>
    <t>戢</t>
  </si>
  <si>
    <t>汁</t>
  </si>
  <si>
    <t>閤</t>
  </si>
  <si>
    <t>沓</t>
  </si>
  <si>
    <t>荅</t>
  </si>
  <si>
    <t>十</t>
  </si>
  <si>
    <t>臘</t>
  </si>
  <si>
    <t>榼</t>
  </si>
  <si>
    <t>雜</t>
  </si>
  <si>
    <t>涉</t>
  </si>
  <si>
    <t>攝</t>
  </si>
  <si>
    <t>輒</t>
  </si>
  <si>
    <t>接</t>
  </si>
  <si>
    <t>協</t>
  </si>
  <si>
    <t>頰</t>
  </si>
  <si>
    <t>愜</t>
  </si>
  <si>
    <t>牒</t>
  </si>
  <si>
    <t>夾</t>
  </si>
  <si>
    <t>㘝</t>
  </si>
  <si>
    <t>甲</t>
  </si>
  <si>
    <t>怯</t>
  </si>
  <si>
    <t>劫</t>
  </si>
  <si>
    <t>法</t>
  </si>
  <si>
    <t>匿</t>
  </si>
  <si>
    <t>叨</t>
  </si>
  <si>
    <t>首字</t>
    <phoneticPr fontId="2" type="noConversion"/>
  </si>
  <si>
    <t>蟲</t>
  </si>
  <si>
    <t>忡</t>
  </si>
  <si>
    <t>嵩</t>
  </si>
  <si>
    <t>雄</t>
  </si>
  <si>
    <t>瞢</t>
  </si>
  <si>
    <t>穹</t>
  </si>
  <si>
    <t>窮</t>
  </si>
  <si>
    <t>風</t>
  </si>
  <si>
    <t>豐</t>
  </si>
  <si>
    <t>隆</t>
  </si>
  <si>
    <t>蒙</t>
  </si>
  <si>
    <t>籠</t>
  </si>
  <si>
    <t>叢</t>
  </si>
  <si>
    <t>翁</t>
  </si>
  <si>
    <t>怱</t>
  </si>
  <si>
    <t>葼</t>
  </si>
  <si>
    <t>蓬</t>
  </si>
  <si>
    <t>烘</t>
  </si>
  <si>
    <t>檧</t>
  </si>
  <si>
    <t>彤</t>
  </si>
  <si>
    <t>賨</t>
  </si>
  <si>
    <t>農</t>
  </si>
  <si>
    <t>攻</t>
  </si>
  <si>
    <t>䃔</t>
  </si>
  <si>
    <t>䃧</t>
  </si>
  <si>
    <t>鬆</t>
  </si>
  <si>
    <t>龍</t>
  </si>
  <si>
    <t>舂</t>
  </si>
  <si>
    <t>松</t>
  </si>
  <si>
    <t>衝</t>
  </si>
  <si>
    <t>胸</t>
  </si>
  <si>
    <t>顒</t>
  </si>
  <si>
    <t>邕</t>
  </si>
  <si>
    <t>濃</t>
  </si>
  <si>
    <t>重</t>
  </si>
  <si>
    <t>蹱</t>
  </si>
  <si>
    <t>逢</t>
  </si>
  <si>
    <t>縱</t>
  </si>
  <si>
    <t>茸</t>
  </si>
  <si>
    <t>蛩</t>
  </si>
  <si>
    <t>鱅</t>
  </si>
  <si>
    <t>蜙</t>
  </si>
  <si>
    <t>樅</t>
  </si>
  <si>
    <t>銎</t>
  </si>
  <si>
    <t>厖</t>
  </si>
  <si>
    <t>𦗳</t>
  </si>
  <si>
    <t>窗</t>
  </si>
  <si>
    <t>邦</t>
  </si>
  <si>
    <t>栙</t>
  </si>
  <si>
    <t>胮</t>
  </si>
  <si>
    <t>瀧</t>
  </si>
  <si>
    <t>龐</t>
  </si>
  <si>
    <t>肛</t>
  </si>
  <si>
    <t>腔</t>
  </si>
  <si>
    <t>幢</t>
  </si>
  <si>
    <t>憃</t>
  </si>
  <si>
    <t>樁</t>
  </si>
  <si>
    <t>淙</t>
  </si>
  <si>
    <t>嬀</t>
  </si>
  <si>
    <t>𪎮</t>
  </si>
  <si>
    <t>逶</t>
  </si>
  <si>
    <t>糜</t>
  </si>
  <si>
    <t>隳</t>
  </si>
  <si>
    <t>鬌</t>
  </si>
  <si>
    <t>羸</t>
  </si>
  <si>
    <t>鈹</t>
  </si>
  <si>
    <t>祇</t>
  </si>
  <si>
    <t>犧</t>
  </si>
  <si>
    <t>㩻</t>
  </si>
  <si>
    <t>匙</t>
  </si>
  <si>
    <t>疵</t>
  </si>
  <si>
    <t>貲</t>
  </si>
  <si>
    <t>陴</t>
  </si>
  <si>
    <t>𦇲</t>
  </si>
  <si>
    <t>差</t>
  </si>
  <si>
    <t>摛</t>
  </si>
  <si>
    <t>漪</t>
  </si>
  <si>
    <t>詑</t>
  </si>
  <si>
    <t>釃</t>
  </si>
  <si>
    <t>䪎</t>
  </si>
  <si>
    <t>痿</t>
  </si>
  <si>
    <t>厜</t>
  </si>
  <si>
    <t>劑</t>
  </si>
  <si>
    <t>衰</t>
  </si>
  <si>
    <t>腄</t>
  </si>
  <si>
    <t>眵</t>
  </si>
  <si>
    <t>䔺</t>
  </si>
  <si>
    <t>姨</t>
  </si>
  <si>
    <t>師</t>
  </si>
  <si>
    <t>𣬈</t>
  </si>
  <si>
    <t>鴟</t>
  </si>
  <si>
    <t>絺</t>
  </si>
  <si>
    <t>郪</t>
  </si>
  <si>
    <t>茨</t>
  </si>
  <si>
    <t>遲</t>
  </si>
  <si>
    <t>尸</t>
  </si>
  <si>
    <t>鬐</t>
  </si>
  <si>
    <t>棃</t>
  </si>
  <si>
    <t>葵</t>
  </si>
  <si>
    <t>龜</t>
  </si>
  <si>
    <t>蕤</t>
  </si>
  <si>
    <t>惟</t>
  </si>
  <si>
    <t>㶟</t>
  </si>
  <si>
    <t>逵</t>
  </si>
  <si>
    <t>錐</t>
  </si>
  <si>
    <t>誰</t>
  </si>
  <si>
    <t>邳</t>
  </si>
  <si>
    <t>倠</t>
  </si>
  <si>
    <t>鎚</t>
  </si>
  <si>
    <t>推</t>
  </si>
  <si>
    <t>胝</t>
  </si>
  <si>
    <t>紕</t>
  </si>
  <si>
    <t>嶉</t>
  </si>
  <si>
    <t>巋</t>
  </si>
  <si>
    <t>咦</t>
  </si>
  <si>
    <t>飴</t>
  </si>
  <si>
    <t>輜</t>
  </si>
  <si>
    <t>欺</t>
  </si>
  <si>
    <t>姬</t>
  </si>
  <si>
    <t>詞</t>
  </si>
  <si>
    <t>釐</t>
  </si>
  <si>
    <t>葘</t>
  </si>
  <si>
    <t>僖</t>
  </si>
  <si>
    <t>醫</t>
  </si>
  <si>
    <t>蚩</t>
  </si>
  <si>
    <t>茬</t>
  </si>
  <si>
    <t>揮</t>
  </si>
  <si>
    <t>圍</t>
  </si>
  <si>
    <t>霏</t>
  </si>
  <si>
    <t>肥</t>
  </si>
  <si>
    <t>威</t>
  </si>
  <si>
    <t>祈</t>
  </si>
  <si>
    <t>機</t>
  </si>
  <si>
    <t>沂</t>
  </si>
  <si>
    <t>巍</t>
  </si>
  <si>
    <t>蘬</t>
  </si>
  <si>
    <t>疽</t>
  </si>
  <si>
    <t>攄</t>
  </si>
  <si>
    <t>虛</t>
  </si>
  <si>
    <t>臚</t>
  </si>
  <si>
    <t>菹</t>
  </si>
  <si>
    <t>蜍</t>
  </si>
  <si>
    <t>袽</t>
  </si>
  <si>
    <t>訏</t>
  </si>
  <si>
    <t>株</t>
  </si>
  <si>
    <t>貙</t>
  </si>
  <si>
    <t>趨</t>
  </si>
  <si>
    <t>慺</t>
  </si>
  <si>
    <t>䅳</t>
  </si>
  <si>
    <t>㑳</t>
  </si>
  <si>
    <t>諏</t>
  </si>
  <si>
    <t>迂</t>
  </si>
  <si>
    <t>樞</t>
  </si>
  <si>
    <t>廚</t>
  </si>
  <si>
    <t>拘</t>
  </si>
  <si>
    <t>毹</t>
  </si>
  <si>
    <t>酺</t>
  </si>
  <si>
    <t>租</t>
  </si>
  <si>
    <t>逋</t>
  </si>
  <si>
    <t>㻌</t>
  </si>
  <si>
    <t>鋪</t>
  </si>
  <si>
    <t>犁</t>
  </si>
  <si>
    <t>妻</t>
  </si>
  <si>
    <t>提</t>
  </si>
  <si>
    <t>豍</t>
  </si>
  <si>
    <t>倪</t>
  </si>
  <si>
    <t>醯</t>
  </si>
  <si>
    <t>西</t>
  </si>
  <si>
    <t>梯</t>
  </si>
  <si>
    <t>鼙</t>
  </si>
  <si>
    <t>磇</t>
  </si>
  <si>
    <t>齎</t>
  </si>
  <si>
    <t>谿</t>
  </si>
  <si>
    <t>睽</t>
  </si>
  <si>
    <t>烓</t>
  </si>
  <si>
    <t>㥟</t>
  </si>
  <si>
    <t>牌</t>
  </si>
  <si>
    <t>蛙</t>
  </si>
  <si>
    <t>咼</t>
  </si>
  <si>
    <t>柴</t>
  </si>
  <si>
    <t>釵</t>
  </si>
  <si>
    <t>竵</t>
  </si>
  <si>
    <t>䍲</t>
  </si>
  <si>
    <t>崖</t>
  </si>
  <si>
    <t>崽</t>
  </si>
  <si>
    <t>㗨</t>
  </si>
  <si>
    <t>䁲</t>
  </si>
  <si>
    <t>排</t>
  </si>
  <si>
    <t>匯</t>
  </si>
  <si>
    <t>豺</t>
  </si>
  <si>
    <t>尵</t>
  </si>
  <si>
    <t>埋</t>
  </si>
  <si>
    <t>崴</t>
  </si>
  <si>
    <t>揩</t>
  </si>
  <si>
    <t>𩂢</t>
  </si>
  <si>
    <t>膗</t>
  </si>
  <si>
    <t>隈</t>
  </si>
  <si>
    <t>枚</t>
  </si>
  <si>
    <t>傀</t>
  </si>
  <si>
    <t>雷</t>
  </si>
  <si>
    <t>穨</t>
  </si>
  <si>
    <t>崔</t>
  </si>
  <si>
    <t>堆</t>
  </si>
  <si>
    <t>𤗯</t>
  </si>
  <si>
    <t>摧</t>
  </si>
  <si>
    <t>陪</t>
  </si>
  <si>
    <t>肧</t>
  </si>
  <si>
    <t>鮠</t>
  </si>
  <si>
    <t>𢅼</t>
  </si>
  <si>
    <t>嗺</t>
  </si>
  <si>
    <t>臺</t>
  </si>
  <si>
    <t>該</t>
  </si>
  <si>
    <t>裁</t>
  </si>
  <si>
    <t>猜</t>
  </si>
  <si>
    <t>𤗏</t>
  </si>
  <si>
    <t>胎</t>
  </si>
  <si>
    <t>孩</t>
  </si>
  <si>
    <t>鰓</t>
  </si>
  <si>
    <t>皚</t>
  </si>
  <si>
    <t>呆</t>
  </si>
  <si>
    <t>因</t>
  </si>
  <si>
    <t>新</t>
  </si>
  <si>
    <t>辰</t>
  </si>
  <si>
    <t>仁</t>
  </si>
  <si>
    <t>礥</t>
  </si>
  <si>
    <t>身</t>
  </si>
  <si>
    <t>㷠</t>
  </si>
  <si>
    <t>𥎊</t>
  </si>
  <si>
    <t>陳</t>
  </si>
  <si>
    <t>津</t>
  </si>
  <si>
    <t>瞋</t>
  </si>
  <si>
    <t>寅</t>
  </si>
  <si>
    <t>繽</t>
  </si>
  <si>
    <t>頻</t>
  </si>
  <si>
    <t>麏</t>
  </si>
  <si>
    <t>囷</t>
  </si>
  <si>
    <t>珉</t>
  </si>
  <si>
    <t>貧</t>
  </si>
  <si>
    <t>𪔗</t>
  </si>
  <si>
    <t>彬</t>
  </si>
  <si>
    <t>民</t>
  </si>
  <si>
    <t>椿</t>
  </si>
  <si>
    <t>䣩</t>
  </si>
  <si>
    <t>荀</t>
  </si>
  <si>
    <t>純</t>
  </si>
  <si>
    <t>犉</t>
  </si>
  <si>
    <t>淪</t>
  </si>
  <si>
    <t>屯</t>
  </si>
  <si>
    <t>逡</t>
  </si>
  <si>
    <t>均</t>
  </si>
  <si>
    <t>砏</t>
  </si>
  <si>
    <t>莘</t>
  </si>
  <si>
    <t>𦿒</t>
  </si>
  <si>
    <t>煴</t>
  </si>
  <si>
    <t>墳</t>
  </si>
  <si>
    <t>羣</t>
  </si>
  <si>
    <t>熏</t>
  </si>
  <si>
    <t>君</t>
  </si>
  <si>
    <t>芬</t>
  </si>
  <si>
    <t>殷</t>
  </si>
  <si>
    <t>勤</t>
  </si>
  <si>
    <t>䖐</t>
  </si>
  <si>
    <t>飜</t>
  </si>
  <si>
    <t>暄</t>
  </si>
  <si>
    <t>冤</t>
  </si>
  <si>
    <t>攑</t>
  </si>
  <si>
    <t>掀</t>
  </si>
  <si>
    <t>𢳚</t>
  </si>
  <si>
    <t>蔫</t>
  </si>
  <si>
    <t>蕃</t>
  </si>
  <si>
    <t>𥴤</t>
  </si>
  <si>
    <t>溫</t>
  </si>
  <si>
    <t>門</t>
  </si>
  <si>
    <t>孫</t>
  </si>
  <si>
    <t>存</t>
  </si>
  <si>
    <t>敦</t>
  </si>
  <si>
    <t>暾</t>
  </si>
  <si>
    <t>㑮</t>
  </si>
  <si>
    <t>盆</t>
  </si>
  <si>
    <t>論</t>
  </si>
  <si>
    <t>坤</t>
  </si>
  <si>
    <t>昏</t>
  </si>
  <si>
    <t>濆</t>
  </si>
  <si>
    <t>垠</t>
  </si>
  <si>
    <t>豻</t>
  </si>
  <si>
    <t>單</t>
  </si>
  <si>
    <t>難</t>
  </si>
  <si>
    <t>餐</t>
  </si>
  <si>
    <t>灘</t>
  </si>
  <si>
    <t>𦙽</t>
  </si>
  <si>
    <t>壇</t>
  </si>
  <si>
    <t>殘</t>
  </si>
  <si>
    <t>蘭</t>
  </si>
  <si>
    <t>刊</t>
  </si>
  <si>
    <t>頇</t>
  </si>
  <si>
    <t>完</t>
  </si>
  <si>
    <t>岏</t>
  </si>
  <si>
    <t>剜</t>
  </si>
  <si>
    <t>湍</t>
  </si>
  <si>
    <t>酸</t>
  </si>
  <si>
    <t>團</t>
  </si>
  <si>
    <t>櫕</t>
  </si>
  <si>
    <t>鑾</t>
  </si>
  <si>
    <t>歡</t>
  </si>
  <si>
    <t>寬</t>
  </si>
  <si>
    <t>鑚</t>
  </si>
  <si>
    <t>盤</t>
  </si>
  <si>
    <t>瞞</t>
  </si>
  <si>
    <t>𤳖</t>
  </si>
  <si>
    <t>彎</t>
  </si>
  <si>
    <t>𣠯</t>
  </si>
  <si>
    <t>蠻</t>
  </si>
  <si>
    <t>顏</t>
  </si>
  <si>
    <t>攀</t>
  </si>
  <si>
    <t>𤸷</t>
  </si>
  <si>
    <t>間</t>
  </si>
  <si>
    <t>慳</t>
  </si>
  <si>
    <t>虥</t>
  </si>
  <si>
    <t>詽</t>
  </si>
  <si>
    <t>黰</t>
  </si>
  <si>
    <t>斒</t>
  </si>
  <si>
    <t>斕</t>
  </si>
  <si>
    <t>嘫</t>
  </si>
  <si>
    <t>譠</t>
  </si>
  <si>
    <t>箋</t>
  </si>
  <si>
    <t>憐</t>
  </si>
  <si>
    <t>姸</t>
  </si>
  <si>
    <t>眠</t>
  </si>
  <si>
    <t>駢</t>
  </si>
  <si>
    <t>淵</t>
  </si>
  <si>
    <t>鋗</t>
  </si>
  <si>
    <t>祆</t>
  </si>
  <si>
    <t>錢</t>
  </si>
  <si>
    <t>煎</t>
  </si>
  <si>
    <t>𩜾</t>
  </si>
  <si>
    <t>甄</t>
  </si>
  <si>
    <t>潺</t>
  </si>
  <si>
    <t>羶</t>
  </si>
  <si>
    <t>脠</t>
  </si>
  <si>
    <t>鋋</t>
  </si>
  <si>
    <t>纏</t>
  </si>
  <si>
    <t>嘕</t>
  </si>
  <si>
    <t>篇</t>
  </si>
  <si>
    <t>緜</t>
  </si>
  <si>
    <t>鐫</t>
  </si>
  <si>
    <t>翾</t>
  </si>
  <si>
    <t>堧</t>
  </si>
  <si>
    <t>穿</t>
  </si>
  <si>
    <t>沿</t>
  </si>
  <si>
    <t>旋</t>
  </si>
  <si>
    <t>娟</t>
  </si>
  <si>
    <t>鞭</t>
  </si>
  <si>
    <t>涎</t>
  </si>
  <si>
    <t>詮</t>
  </si>
  <si>
    <t>遄</t>
  </si>
  <si>
    <t>恮</t>
  </si>
  <si>
    <t>栓</t>
  </si>
  <si>
    <t>猭</t>
  </si>
  <si>
    <t>愆</t>
  </si>
  <si>
    <t>椽</t>
  </si>
  <si>
    <t>弮</t>
  </si>
  <si>
    <t>漹</t>
  </si>
  <si>
    <t>祧</t>
  </si>
  <si>
    <t>刁</t>
  </si>
  <si>
    <t>條</t>
  </si>
  <si>
    <t>驍</t>
  </si>
  <si>
    <t>膮</t>
  </si>
  <si>
    <t>鄡</t>
  </si>
  <si>
    <t>超</t>
  </si>
  <si>
    <t>朝</t>
  </si>
  <si>
    <t>囂</t>
  </si>
  <si>
    <t>樵</t>
  </si>
  <si>
    <t>驕</t>
  </si>
  <si>
    <t>饒</t>
  </si>
  <si>
    <t>燒</t>
  </si>
  <si>
    <t>遥</t>
  </si>
  <si>
    <t>韶</t>
  </si>
  <si>
    <t>飊</t>
  </si>
  <si>
    <t>鑣</t>
  </si>
  <si>
    <t>瓢</t>
  </si>
  <si>
    <t>蜱</t>
  </si>
  <si>
    <t>苗</t>
  </si>
  <si>
    <t>鴞</t>
  </si>
  <si>
    <t>鍫</t>
  </si>
  <si>
    <t>妖</t>
  </si>
  <si>
    <t>蹻</t>
  </si>
  <si>
    <t>怊</t>
  </si>
  <si>
    <t>嫖</t>
  </si>
  <si>
    <t>燎</t>
  </si>
  <si>
    <t>趫</t>
  </si>
  <si>
    <t>鐃</t>
  </si>
  <si>
    <t>梢</t>
  </si>
  <si>
    <t>虓</t>
  </si>
  <si>
    <t>包</t>
  </si>
  <si>
    <t>胞</t>
  </si>
  <si>
    <t>敲</t>
  </si>
  <si>
    <t>𦗔</t>
  </si>
  <si>
    <t>抄</t>
  </si>
  <si>
    <t>庖</t>
  </si>
  <si>
    <t>䫜</t>
  </si>
  <si>
    <t>䫸</t>
  </si>
  <si>
    <t>顟</t>
  </si>
  <si>
    <t>高</t>
  </si>
  <si>
    <t>蒿</t>
  </si>
  <si>
    <t>饕</t>
  </si>
  <si>
    <t>騷</t>
  </si>
  <si>
    <t>陶</t>
  </si>
  <si>
    <t>糟</t>
  </si>
  <si>
    <t>敖</t>
  </si>
  <si>
    <t>𤏶</t>
  </si>
  <si>
    <t>猱</t>
  </si>
  <si>
    <t>尻</t>
  </si>
  <si>
    <t>操</t>
  </si>
  <si>
    <t>㯱</t>
  </si>
  <si>
    <t>蹉</t>
  </si>
  <si>
    <t>娑</t>
  </si>
  <si>
    <t>駝</t>
  </si>
  <si>
    <t>醝</t>
  </si>
  <si>
    <t>莪</t>
  </si>
  <si>
    <t>羅</t>
  </si>
  <si>
    <t>挪</t>
  </si>
  <si>
    <t>訶</t>
  </si>
  <si>
    <t>珂</t>
  </si>
  <si>
    <t>阿</t>
  </si>
  <si>
    <t>𨹃</t>
  </si>
  <si>
    <t>莎</t>
  </si>
  <si>
    <t>㸰</t>
  </si>
  <si>
    <t>摩</t>
  </si>
  <si>
    <t>矬</t>
  </si>
  <si>
    <t>訛</t>
  </si>
  <si>
    <t>𩼊</t>
  </si>
  <si>
    <t>捼</t>
  </si>
  <si>
    <t>頗</t>
  </si>
  <si>
    <t>科</t>
  </si>
  <si>
    <t>倭</t>
  </si>
  <si>
    <t>𩨷</t>
  </si>
  <si>
    <t>佉</t>
  </si>
  <si>
    <t>脞</t>
  </si>
  <si>
    <t>侳</t>
  </si>
  <si>
    <t>爺</t>
  </si>
  <si>
    <t>蛇</t>
  </si>
  <si>
    <t>誇</t>
  </si>
  <si>
    <t>家</t>
  </si>
  <si>
    <t>遐</t>
  </si>
  <si>
    <t>葩</t>
  </si>
  <si>
    <t>鴉</t>
  </si>
  <si>
    <t>鯊</t>
  </si>
  <si>
    <t>樝</t>
  </si>
  <si>
    <t>𡨀</t>
  </si>
  <si>
    <t>衺</t>
  </si>
  <si>
    <t>闍</t>
  </si>
  <si>
    <t>窊</t>
  </si>
  <si>
    <t>檛</t>
  </si>
  <si>
    <t>爬</t>
  </si>
  <si>
    <t>楂</t>
  </si>
  <si>
    <t>侘</t>
  </si>
  <si>
    <t>奓</t>
  </si>
  <si>
    <t>煆</t>
  </si>
  <si>
    <t>䶗</t>
  </si>
  <si>
    <t>𣢉</t>
  </si>
  <si>
    <t>薑</t>
  </si>
  <si>
    <t>瓤</t>
  </si>
  <si>
    <t>襄</t>
  </si>
  <si>
    <t>孃</t>
  </si>
  <si>
    <t>裝</t>
  </si>
  <si>
    <t>霜</t>
  </si>
  <si>
    <t>牆</t>
  </si>
  <si>
    <t>槍</t>
  </si>
  <si>
    <t>匡</t>
  </si>
  <si>
    <t>𦳝</t>
  </si>
  <si>
    <t>剛</t>
  </si>
  <si>
    <t>汪</t>
  </si>
  <si>
    <t>鴦</t>
  </si>
  <si>
    <t>炕</t>
  </si>
  <si>
    <t>航</t>
  </si>
  <si>
    <t>茫</t>
  </si>
  <si>
    <t>囊</t>
  </si>
  <si>
    <t>卬</t>
  </si>
  <si>
    <t>阬</t>
  </si>
  <si>
    <t>閍</t>
  </si>
  <si>
    <t>諻</t>
  </si>
  <si>
    <t>觵</t>
  </si>
  <si>
    <t>彭</t>
  </si>
  <si>
    <t>脝</t>
  </si>
  <si>
    <t>瞠</t>
  </si>
  <si>
    <t>鎗</t>
  </si>
  <si>
    <t>傖</t>
  </si>
  <si>
    <t>英</t>
  </si>
  <si>
    <t>磅</t>
  </si>
  <si>
    <t>棖</t>
  </si>
  <si>
    <t>趟</t>
  </si>
  <si>
    <t>擎</t>
  </si>
  <si>
    <t>鬤</t>
  </si>
  <si>
    <t>鏗</t>
  </si>
  <si>
    <t>甍</t>
  </si>
  <si>
    <t>浜</t>
  </si>
  <si>
    <t>朾</t>
  </si>
  <si>
    <t>甖</t>
  </si>
  <si>
    <t>崢</t>
  </si>
  <si>
    <t>琤</t>
  </si>
  <si>
    <t>儜</t>
  </si>
  <si>
    <t>怦</t>
  </si>
  <si>
    <t>轟</t>
  </si>
  <si>
    <t>繃</t>
  </si>
  <si>
    <t>橙</t>
  </si>
  <si>
    <t>泓</t>
  </si>
  <si>
    <t>輣</t>
  </si>
  <si>
    <t>娙</t>
  </si>
  <si>
    <t>嬰</t>
  </si>
  <si>
    <t>偵</t>
  </si>
  <si>
    <t>呈</t>
  </si>
  <si>
    <t>名</t>
  </si>
  <si>
    <t>跉</t>
  </si>
  <si>
    <t>𩛿</t>
  </si>
  <si>
    <t>縈</t>
  </si>
  <si>
    <t>瓊</t>
  </si>
  <si>
    <t>騂</t>
  </si>
  <si>
    <t>㓝</t>
  </si>
  <si>
    <t>停</t>
  </si>
  <si>
    <t>星</t>
  </si>
  <si>
    <t>竮</t>
  </si>
  <si>
    <t>寧</t>
  </si>
  <si>
    <t>汀</t>
  </si>
  <si>
    <t>冥</t>
  </si>
  <si>
    <t>瓶</t>
  </si>
  <si>
    <t>熒</t>
  </si>
  <si>
    <t>凭</t>
  </si>
  <si>
    <t>冫</t>
  </si>
  <si>
    <t>繩</t>
  </si>
  <si>
    <t>繒</t>
  </si>
  <si>
    <t>稱</t>
  </si>
  <si>
    <t>僜</t>
  </si>
  <si>
    <t>僧</t>
  </si>
  <si>
    <t>層</t>
  </si>
  <si>
    <t>薨</t>
  </si>
  <si>
    <t>騰</t>
  </si>
  <si>
    <t>搄</t>
  </si>
  <si>
    <t>鼟</t>
  </si>
  <si>
    <t>漰</t>
  </si>
  <si>
    <t>留</t>
  </si>
  <si>
    <t>遒</t>
  </si>
  <si>
    <t>酋</t>
  </si>
  <si>
    <t>脩</t>
  </si>
  <si>
    <t>恘</t>
  </si>
  <si>
    <t>犫</t>
  </si>
  <si>
    <t>讎</t>
  </si>
  <si>
    <t>柔</t>
  </si>
  <si>
    <t>䬌</t>
  </si>
  <si>
    <t>不</t>
  </si>
  <si>
    <t>搜</t>
  </si>
  <si>
    <t>搊</t>
  </si>
  <si>
    <t>愁</t>
  </si>
  <si>
    <t>囚</t>
  </si>
  <si>
    <t>儔</t>
  </si>
  <si>
    <t>輈</t>
  </si>
  <si>
    <t>謳</t>
  </si>
  <si>
    <t>羺</t>
  </si>
  <si>
    <t>樓</t>
  </si>
  <si>
    <t>涑</t>
  </si>
  <si>
    <t>彄</t>
  </si>
  <si>
    <t>齁</t>
  </si>
  <si>
    <t>𣠏</t>
  </si>
  <si>
    <t>偷</t>
  </si>
  <si>
    <t>頭</t>
  </si>
  <si>
    <t>兜</t>
  </si>
  <si>
    <t>㔌</t>
  </si>
  <si>
    <t>裒</t>
  </si>
  <si>
    <t>鏐</t>
  </si>
  <si>
    <t>樛</t>
  </si>
  <si>
    <t>淲</t>
  </si>
  <si>
    <t>飍</t>
  </si>
  <si>
    <t>繆</t>
  </si>
  <si>
    <t>琛</t>
  </si>
  <si>
    <t>沈</t>
  </si>
  <si>
    <t>碪</t>
  </si>
  <si>
    <t>諶</t>
  </si>
  <si>
    <t>愔</t>
  </si>
  <si>
    <t>祲</t>
  </si>
  <si>
    <t>𩷒</t>
  </si>
  <si>
    <t>䛘</t>
  </si>
  <si>
    <t>琴</t>
  </si>
  <si>
    <t>歆</t>
  </si>
  <si>
    <t>音</t>
  </si>
  <si>
    <t>森</t>
  </si>
  <si>
    <t>岑</t>
  </si>
  <si>
    <t>旡</t>
  </si>
  <si>
    <t>嵾</t>
  </si>
  <si>
    <t>參</t>
  </si>
  <si>
    <t>諳</t>
  </si>
  <si>
    <t>婪</t>
  </si>
  <si>
    <t>蠶</t>
  </si>
  <si>
    <t>探</t>
  </si>
  <si>
    <t>耽</t>
  </si>
  <si>
    <t>堪</t>
  </si>
  <si>
    <t>㟏</t>
  </si>
  <si>
    <t>毿</t>
  </si>
  <si>
    <t>弇</t>
  </si>
  <si>
    <t>䜙</t>
  </si>
  <si>
    <t>擔</t>
  </si>
  <si>
    <t>藍</t>
  </si>
  <si>
    <t>舑</t>
  </si>
  <si>
    <t>慙</t>
  </si>
  <si>
    <t>蚶</t>
  </si>
  <si>
    <t>砭</t>
  </si>
  <si>
    <t>銛</t>
  </si>
  <si>
    <t>籤</t>
  </si>
  <si>
    <t>詹</t>
  </si>
  <si>
    <t>棎</t>
  </si>
  <si>
    <t>苫</t>
  </si>
  <si>
    <t>䪜</t>
  </si>
  <si>
    <t>𩓾</t>
  </si>
  <si>
    <t>黏</t>
  </si>
  <si>
    <t>霑</t>
  </si>
  <si>
    <t>覘</t>
  </si>
  <si>
    <t>𢜩</t>
  </si>
  <si>
    <t>尖</t>
  </si>
  <si>
    <t>箝</t>
  </si>
  <si>
    <t>懕</t>
  </si>
  <si>
    <t>燅</t>
  </si>
  <si>
    <t>㶣</t>
  </si>
  <si>
    <t>𩬑</t>
  </si>
  <si>
    <t>鬑</t>
  </si>
  <si>
    <t>嫌</t>
  </si>
  <si>
    <t>鮎</t>
  </si>
  <si>
    <t>馦</t>
  </si>
  <si>
    <t>緘</t>
  </si>
  <si>
    <t>攕</t>
  </si>
  <si>
    <t>𤟟</t>
  </si>
  <si>
    <t>嵒</t>
  </si>
  <si>
    <t>㰹</t>
  </si>
  <si>
    <t>詀</t>
  </si>
  <si>
    <t>鵮</t>
  </si>
  <si>
    <t>巖</t>
  </si>
  <si>
    <t>衫</t>
  </si>
  <si>
    <t>醃</t>
  </si>
  <si>
    <t>㪁</t>
  </si>
  <si>
    <t>䒦</t>
  </si>
  <si>
    <t>㪌</t>
  </si>
  <si>
    <t>侗</t>
  </si>
  <si>
    <t>總</t>
  </si>
  <si>
    <t>澒</t>
  </si>
  <si>
    <t>蓊</t>
  </si>
  <si>
    <t>琫</t>
  </si>
  <si>
    <t>曨</t>
  </si>
  <si>
    <t>嗊</t>
  </si>
  <si>
    <t>菶</t>
  </si>
  <si>
    <t>寵</t>
  </si>
  <si>
    <t>擁</t>
  </si>
  <si>
    <t>恐</t>
  </si>
  <si>
    <t>尰</t>
  </si>
  <si>
    <t>洶</t>
  </si>
  <si>
    <t>覂</t>
  </si>
  <si>
    <t>𨿿</t>
  </si>
  <si>
    <t>𢃭</t>
  </si>
  <si>
    <t>㭋</t>
  </si>
  <si>
    <t>𦂌</t>
  </si>
  <si>
    <t>傋</t>
  </si>
  <si>
    <t>被</t>
  </si>
  <si>
    <t>技</t>
  </si>
  <si>
    <t>掎</t>
  </si>
  <si>
    <t>螘</t>
  </si>
  <si>
    <t>蔿</t>
  </si>
  <si>
    <t>嘴</t>
  </si>
  <si>
    <t>蘂</t>
  </si>
  <si>
    <t>徙</t>
  </si>
  <si>
    <t>酏</t>
  </si>
  <si>
    <t>邐</t>
  </si>
  <si>
    <t>躧</t>
  </si>
  <si>
    <t>𢔌</t>
  </si>
  <si>
    <t>渳</t>
  </si>
  <si>
    <t>弛</t>
  </si>
  <si>
    <t>紫</t>
  </si>
  <si>
    <t>揣</t>
  </si>
  <si>
    <t>舓</t>
  </si>
  <si>
    <t>㧗</t>
  </si>
  <si>
    <t>㱟</t>
  </si>
  <si>
    <t>諀</t>
  </si>
  <si>
    <t>䓈</t>
  </si>
  <si>
    <t>跬</t>
  </si>
  <si>
    <t>狔</t>
  </si>
  <si>
    <t>硊</t>
  </si>
  <si>
    <t>㨖</t>
  </si>
  <si>
    <t>菙</t>
  </si>
  <si>
    <t>兕</t>
  </si>
  <si>
    <t>比</t>
  </si>
  <si>
    <t>屎</t>
  </si>
  <si>
    <t>揆</t>
  </si>
  <si>
    <t>趡</t>
  </si>
  <si>
    <t>嚭</t>
  </si>
  <si>
    <t>蕊</t>
  </si>
  <si>
    <t>唯</t>
  </si>
  <si>
    <t>濢</t>
  </si>
  <si>
    <t>黹</t>
  </si>
  <si>
    <t>𧖛</t>
  </si>
  <si>
    <t>枲</t>
  </si>
  <si>
    <t>歭</t>
  </si>
  <si>
    <t>矣</t>
  </si>
  <si>
    <t>齒</t>
  </si>
  <si>
    <t>𠟴</t>
  </si>
  <si>
    <t>滓</t>
  </si>
  <si>
    <t>譩</t>
  </si>
  <si>
    <t>你</t>
  </si>
  <si>
    <t>扆</t>
  </si>
  <si>
    <t>蟣</t>
  </si>
  <si>
    <t>斐</t>
  </si>
  <si>
    <t>韙</t>
  </si>
  <si>
    <t>顗</t>
  </si>
  <si>
    <t>豨</t>
  </si>
  <si>
    <t>磈</t>
  </si>
  <si>
    <t>膹</t>
  </si>
  <si>
    <t>䰞</t>
  </si>
  <si>
    <t>暑</t>
  </si>
  <si>
    <t>杵</t>
  </si>
  <si>
    <t>貯</t>
  </si>
  <si>
    <t>諝</t>
  </si>
  <si>
    <t>齟</t>
  </si>
  <si>
    <t>沮</t>
  </si>
  <si>
    <t>𢮁</t>
  </si>
  <si>
    <t>敘</t>
  </si>
  <si>
    <t>紓</t>
  </si>
  <si>
    <t>墅</t>
  </si>
  <si>
    <t>苴</t>
  </si>
  <si>
    <t>聚</t>
  </si>
  <si>
    <t>詡</t>
  </si>
  <si>
    <t>豎</t>
  </si>
  <si>
    <t>傴</t>
  </si>
  <si>
    <t>齲</t>
  </si>
  <si>
    <t>拄</t>
  </si>
  <si>
    <t>乳</t>
  </si>
  <si>
    <t>窶</t>
  </si>
  <si>
    <t>𦄼</t>
  </si>
  <si>
    <t>䝒</t>
  </si>
  <si>
    <t>蔖</t>
  </si>
  <si>
    <t>覩</t>
  </si>
  <si>
    <t>簿</t>
  </si>
  <si>
    <t>粗</t>
  </si>
  <si>
    <t>隖</t>
  </si>
  <si>
    <t>弩</t>
  </si>
  <si>
    <t>戶</t>
  </si>
  <si>
    <t>體</t>
  </si>
  <si>
    <t>濟</t>
  </si>
  <si>
    <t>邸</t>
  </si>
  <si>
    <t>禰</t>
  </si>
  <si>
    <t>洗</t>
  </si>
  <si>
    <t>泚</t>
  </si>
  <si>
    <t>徯</t>
  </si>
  <si>
    <t>陛</t>
  </si>
  <si>
    <t>𠯋</t>
  </si>
  <si>
    <t>堄</t>
  </si>
  <si>
    <t>㪏</t>
  </si>
  <si>
    <t>䒓</t>
  </si>
  <si>
    <t>廌</t>
  </si>
  <si>
    <t>嬭</t>
  </si>
  <si>
    <t>罷</t>
  </si>
  <si>
    <t>矮</t>
  </si>
  <si>
    <t>擺</t>
  </si>
  <si>
    <t>解</t>
  </si>
  <si>
    <t>箉</t>
  </si>
  <si>
    <t>騃</t>
  </si>
  <si>
    <t>挨</t>
  </si>
  <si>
    <t>磥</t>
  </si>
  <si>
    <t>錞</t>
  </si>
  <si>
    <t>浼</t>
  </si>
  <si>
    <t>腿</t>
  </si>
  <si>
    <t>瘣</t>
  </si>
  <si>
    <t>䫥</t>
  </si>
  <si>
    <t>𦞙</t>
  </si>
  <si>
    <t>餧</t>
  </si>
  <si>
    <t>頠</t>
  </si>
  <si>
    <t>皠</t>
  </si>
  <si>
    <t>琲</t>
  </si>
  <si>
    <t>嶊</t>
  </si>
  <si>
    <t>待</t>
  </si>
  <si>
    <t>䆀</t>
  </si>
  <si>
    <t>俖</t>
  </si>
  <si>
    <t>欸</t>
  </si>
  <si>
    <t>𨦂</t>
  </si>
  <si>
    <t>䑂</t>
  </si>
  <si>
    <t>倍</t>
  </si>
  <si>
    <t>矤</t>
  </si>
  <si>
    <t>嶙</t>
  </si>
  <si>
    <t>緊</t>
  </si>
  <si>
    <t>㯸</t>
  </si>
  <si>
    <t>釿</t>
  </si>
  <si>
    <t>窘</t>
  </si>
  <si>
    <t>愍</t>
  </si>
  <si>
    <t>泯</t>
  </si>
  <si>
    <t>筍</t>
  </si>
  <si>
    <t>蠢</t>
  </si>
  <si>
    <t>盾</t>
  </si>
  <si>
    <t>耣</t>
  </si>
  <si>
    <t>脪</t>
  </si>
  <si>
    <t>憤</t>
  </si>
  <si>
    <t>忿</t>
  </si>
  <si>
    <t>惲</t>
  </si>
  <si>
    <t>齳</t>
  </si>
  <si>
    <t>抎</t>
  </si>
  <si>
    <t>𧤛</t>
  </si>
  <si>
    <t>齔</t>
  </si>
  <si>
    <t>湕</t>
  </si>
  <si>
    <t>寋</t>
  </si>
  <si>
    <t>𧥜</t>
  </si>
  <si>
    <t>反</t>
  </si>
  <si>
    <t>𧯦</t>
  </si>
  <si>
    <t>婉</t>
  </si>
  <si>
    <t>䅚</t>
  </si>
  <si>
    <t>暅</t>
  </si>
  <si>
    <t>飯</t>
  </si>
  <si>
    <t>撙</t>
  </si>
  <si>
    <t>穩</t>
  </si>
  <si>
    <t>囤</t>
  </si>
  <si>
    <t>𩩌</t>
  </si>
  <si>
    <t>畽</t>
  </si>
  <si>
    <t>閫</t>
  </si>
  <si>
    <t>㤻</t>
  </si>
  <si>
    <t>獖</t>
  </si>
  <si>
    <t>𦃕</t>
  </si>
  <si>
    <t>䫀</t>
  </si>
  <si>
    <t>亶</t>
  </si>
  <si>
    <t>坦</t>
  </si>
  <si>
    <t>散</t>
  </si>
  <si>
    <t>瓉</t>
  </si>
  <si>
    <t>趕</t>
  </si>
  <si>
    <t>懶</t>
  </si>
  <si>
    <t>侃</t>
  </si>
  <si>
    <t>罕</t>
  </si>
  <si>
    <t>䰖</t>
  </si>
  <si>
    <t>短</t>
  </si>
  <si>
    <t>碗</t>
  </si>
  <si>
    <t>疃</t>
  </si>
  <si>
    <t>算</t>
  </si>
  <si>
    <t>款</t>
  </si>
  <si>
    <t>煗</t>
  </si>
  <si>
    <t>粄</t>
  </si>
  <si>
    <t>斷</t>
  </si>
  <si>
    <t>坢</t>
  </si>
  <si>
    <t>䩆</t>
  </si>
  <si>
    <t>僩</t>
  </si>
  <si>
    <t>睆</t>
  </si>
  <si>
    <t>阪</t>
  </si>
  <si>
    <t>矕</t>
  </si>
  <si>
    <t>𪘪</t>
  </si>
  <si>
    <t>撰</t>
  </si>
  <si>
    <t>剗</t>
  </si>
  <si>
    <t>醆</t>
  </si>
  <si>
    <t>㦃</t>
  </si>
  <si>
    <t>腆</t>
  </si>
  <si>
    <t>蝘</t>
  </si>
  <si>
    <t>顯</t>
  </si>
  <si>
    <t>㨠</t>
  </si>
  <si>
    <t>撚</t>
  </si>
  <si>
    <t>扁</t>
  </si>
  <si>
    <t>𡿨</t>
  </si>
  <si>
    <t>辮</t>
  </si>
  <si>
    <t>𥧬</t>
  </si>
  <si>
    <t>踐</t>
  </si>
  <si>
    <t>𦗢</t>
  </si>
  <si>
    <t>趁</t>
  </si>
  <si>
    <t>闡</t>
  </si>
  <si>
    <t>遣</t>
  </si>
  <si>
    <t>剪</t>
  </si>
  <si>
    <t>蹨</t>
  </si>
  <si>
    <t>齴</t>
  </si>
  <si>
    <t>件</t>
  </si>
  <si>
    <t>辯</t>
  </si>
  <si>
    <t>褊</t>
  </si>
  <si>
    <t>臇</t>
  </si>
  <si>
    <t>雋</t>
  </si>
  <si>
    <t>辡</t>
  </si>
  <si>
    <t>臠</t>
  </si>
  <si>
    <t>軟</t>
  </si>
  <si>
    <t>舛</t>
  </si>
  <si>
    <t>膞</t>
  </si>
  <si>
    <t>選</t>
  </si>
  <si>
    <t>蠉</t>
  </si>
  <si>
    <t>楩</t>
  </si>
  <si>
    <t>搌</t>
  </si>
  <si>
    <t>㒄</t>
  </si>
  <si>
    <t>㫃</t>
  </si>
  <si>
    <t>杳</t>
  </si>
  <si>
    <t>嬲</t>
  </si>
  <si>
    <t>窕</t>
  </si>
  <si>
    <t>磽</t>
  </si>
  <si>
    <t>湫</t>
  </si>
  <si>
    <t>肇</t>
  </si>
  <si>
    <t>擾</t>
  </si>
  <si>
    <t>摽</t>
  </si>
  <si>
    <t>𪍑</t>
  </si>
  <si>
    <t>縹</t>
  </si>
  <si>
    <t>渺</t>
  </si>
  <si>
    <t>紹</t>
  </si>
  <si>
    <t>褾</t>
  </si>
  <si>
    <t>藨</t>
  </si>
  <si>
    <t>鷕</t>
  </si>
  <si>
    <t>悄</t>
  </si>
  <si>
    <t>剿</t>
  </si>
  <si>
    <t>繚</t>
  </si>
  <si>
    <t>澩</t>
  </si>
  <si>
    <t>㺒</t>
  </si>
  <si>
    <t>卯</t>
  </si>
  <si>
    <t>搞</t>
  </si>
  <si>
    <t>找</t>
  </si>
  <si>
    <t>拗</t>
  </si>
  <si>
    <t>鮑</t>
  </si>
  <si>
    <t>齩</t>
  </si>
  <si>
    <t>䰫</t>
  </si>
  <si>
    <t>吵</t>
  </si>
  <si>
    <t>䝤</t>
  </si>
  <si>
    <t>𢾐</t>
  </si>
  <si>
    <t>討</t>
  </si>
  <si>
    <t>腦</t>
  </si>
  <si>
    <t>嫂</t>
  </si>
  <si>
    <t>草</t>
  </si>
  <si>
    <t>皁</t>
  </si>
  <si>
    <t>暠</t>
  </si>
  <si>
    <t>好</t>
  </si>
  <si>
    <t>蓩</t>
  </si>
  <si>
    <t>寶</t>
  </si>
  <si>
    <t>襖</t>
  </si>
  <si>
    <t>考</t>
  </si>
  <si>
    <t>𦽀</t>
  </si>
  <si>
    <t>瑳</t>
  </si>
  <si>
    <t>嚲</t>
  </si>
  <si>
    <t>縒</t>
  </si>
  <si>
    <t>舵</t>
  </si>
  <si>
    <t>㰁</t>
  </si>
  <si>
    <t>哪</t>
  </si>
  <si>
    <t>荷</t>
  </si>
  <si>
    <t>㰤</t>
  </si>
  <si>
    <t>𨵌</t>
  </si>
  <si>
    <t>左</t>
  </si>
  <si>
    <t>埵</t>
  </si>
  <si>
    <t>鎖</t>
  </si>
  <si>
    <t>墮</t>
  </si>
  <si>
    <t>妥</t>
  </si>
  <si>
    <t>麼</t>
  </si>
  <si>
    <t>坐</t>
  </si>
  <si>
    <t>㛂</t>
  </si>
  <si>
    <t>裸</t>
  </si>
  <si>
    <t>婐</t>
  </si>
  <si>
    <t>跛</t>
  </si>
  <si>
    <t>叵</t>
  </si>
  <si>
    <t>禍</t>
  </si>
  <si>
    <t>顆</t>
  </si>
  <si>
    <t>啞</t>
  </si>
  <si>
    <t>灺</t>
  </si>
  <si>
    <t>㗿</t>
  </si>
  <si>
    <t>社</t>
  </si>
  <si>
    <t>跁</t>
  </si>
  <si>
    <t>捨</t>
  </si>
  <si>
    <t>踝</t>
  </si>
  <si>
    <t>鮓</t>
  </si>
  <si>
    <t>槎</t>
  </si>
  <si>
    <t>扯</t>
  </si>
  <si>
    <t>髁</t>
  </si>
  <si>
    <t>䊬</t>
  </si>
  <si>
    <t>葰</t>
  </si>
  <si>
    <t>奼</t>
  </si>
  <si>
    <t>像</t>
  </si>
  <si>
    <t>獎</t>
  </si>
  <si>
    <t>鞅</t>
  </si>
  <si>
    <t>勥</t>
  </si>
  <si>
    <t>仰</t>
  </si>
  <si>
    <t>磢</t>
  </si>
  <si>
    <t>想</t>
  </si>
  <si>
    <t>爽</t>
  </si>
  <si>
    <t>響</t>
  </si>
  <si>
    <t>敞</t>
  </si>
  <si>
    <t>繦</t>
  </si>
  <si>
    <t>昶</t>
  </si>
  <si>
    <t>壤</t>
  </si>
  <si>
    <t>仿</t>
  </si>
  <si>
    <t>枉</t>
  </si>
  <si>
    <t>怳</t>
  </si>
  <si>
    <t>搶</t>
  </si>
  <si>
    <t>臩</t>
  </si>
  <si>
    <t>䫪</t>
  </si>
  <si>
    <t>顙</t>
  </si>
  <si>
    <t>榜</t>
  </si>
  <si>
    <t>駔</t>
  </si>
  <si>
    <t>曩</t>
  </si>
  <si>
    <t>沆</t>
  </si>
  <si>
    <t>曭</t>
  </si>
  <si>
    <t>莽</t>
  </si>
  <si>
    <t>坱</t>
  </si>
  <si>
    <t>慷</t>
  </si>
  <si>
    <t>㳹</t>
  </si>
  <si>
    <t>髈</t>
  </si>
  <si>
    <t>慌</t>
  </si>
  <si>
    <t>䴚</t>
  </si>
  <si>
    <t>汻</t>
  </si>
  <si>
    <t>懬</t>
  </si>
  <si>
    <t>警</t>
  </si>
  <si>
    <t>省</t>
  </si>
  <si>
    <t>皿</t>
  </si>
  <si>
    <t>卝</t>
  </si>
  <si>
    <t>䁅</t>
  </si>
  <si>
    <t>逞</t>
  </si>
  <si>
    <t>痙</t>
  </si>
  <si>
    <t>穎</t>
  </si>
  <si>
    <t>領</t>
  </si>
  <si>
    <t>餅</t>
  </si>
  <si>
    <t>廮</t>
  </si>
  <si>
    <t>請</t>
  </si>
  <si>
    <t>眳</t>
  </si>
  <si>
    <t>徎</t>
  </si>
  <si>
    <t>熲</t>
  </si>
  <si>
    <t>茗</t>
  </si>
  <si>
    <t>珽</t>
  </si>
  <si>
    <t>𩕳</t>
  </si>
  <si>
    <t>婞</t>
  </si>
  <si>
    <t>褧</t>
  </si>
  <si>
    <t>巊</t>
  </si>
  <si>
    <t>笭</t>
  </si>
  <si>
    <t>竝</t>
  </si>
  <si>
    <t>紐</t>
  </si>
  <si>
    <t>肘</t>
  </si>
  <si>
    <t>手</t>
  </si>
  <si>
    <t>醜</t>
  </si>
  <si>
    <t>負</t>
  </si>
  <si>
    <t>蹂</t>
  </si>
  <si>
    <t>舅</t>
  </si>
  <si>
    <t>紂</t>
  </si>
  <si>
    <t>誘</t>
  </si>
  <si>
    <t>受</t>
  </si>
  <si>
    <t>滫</t>
  </si>
  <si>
    <t>䬀</t>
  </si>
  <si>
    <t>𣸈</t>
  </si>
  <si>
    <t>帚</t>
  </si>
  <si>
    <t>㤱</t>
  </si>
  <si>
    <t>掫</t>
  </si>
  <si>
    <t>𩋄</t>
  </si>
  <si>
    <t>𪌜</t>
  </si>
  <si>
    <t>藕</t>
  </si>
  <si>
    <t>㨐</t>
  </si>
  <si>
    <t>㝅</t>
  </si>
  <si>
    <t>叜</t>
  </si>
  <si>
    <t>吼</t>
  </si>
  <si>
    <t>剖</t>
  </si>
  <si>
    <t>歐</t>
  </si>
  <si>
    <t>簍</t>
  </si>
  <si>
    <t>䕆</t>
  </si>
  <si>
    <t>趣</t>
  </si>
  <si>
    <t>廩</t>
  </si>
  <si>
    <t>罧</t>
  </si>
  <si>
    <t>踸</t>
  </si>
  <si>
    <t>䤐</t>
  </si>
  <si>
    <t>葚</t>
  </si>
  <si>
    <t>墋</t>
  </si>
  <si>
    <t>噤</t>
  </si>
  <si>
    <t>僸</t>
  </si>
  <si>
    <t>㱃</t>
  </si>
  <si>
    <t>𩖄</t>
  </si>
  <si>
    <t>戡</t>
  </si>
  <si>
    <t>晻</t>
  </si>
  <si>
    <t>腩</t>
  </si>
  <si>
    <t>襑</t>
  </si>
  <si>
    <t>歜</t>
  </si>
  <si>
    <t>慘</t>
  </si>
  <si>
    <t>顉</t>
  </si>
  <si>
    <t>昝</t>
  </si>
  <si>
    <t>糂</t>
  </si>
  <si>
    <t>坎</t>
  </si>
  <si>
    <t>頷</t>
  </si>
  <si>
    <t>壈</t>
  </si>
  <si>
    <t>黕</t>
  </si>
  <si>
    <t>𦵹</t>
  </si>
  <si>
    <t>膽</t>
  </si>
  <si>
    <t>噉</t>
  </si>
  <si>
    <t>㛧</t>
  </si>
  <si>
    <t>槧</t>
  </si>
  <si>
    <t>埯</t>
  </si>
  <si>
    <t>𠪚</t>
  </si>
  <si>
    <t>貶</t>
  </si>
  <si>
    <t>𩑳</t>
  </si>
  <si>
    <t>顩</t>
  </si>
  <si>
    <t>黶</t>
  </si>
  <si>
    <t>閃</t>
  </si>
  <si>
    <t>諂</t>
  </si>
  <si>
    <t>憸</t>
  </si>
  <si>
    <t>淰</t>
  </si>
  <si>
    <t>點</t>
  </si>
  <si>
    <t>嗛</t>
  </si>
  <si>
    <t>鼸</t>
  </si>
  <si>
    <t>𡕢</t>
  </si>
  <si>
    <t>欦</t>
  </si>
  <si>
    <t>湛</t>
  </si>
  <si>
    <t>㦿</t>
  </si>
  <si>
    <t>鹼</t>
  </si>
  <si>
    <t>瀺</t>
  </si>
  <si>
    <t>臉</t>
  </si>
  <si>
    <t>䑎</t>
  </si>
  <si>
    <t>摻</t>
  </si>
  <si>
    <t>𦊔</t>
  </si>
  <si>
    <t>𠐩</t>
  </si>
  <si>
    <t>㨻</t>
  </si>
  <si>
    <t>㺖</t>
  </si>
  <si>
    <t>範</t>
  </si>
  <si>
    <t>凵</t>
  </si>
  <si>
    <t>𠑆</t>
  </si>
  <si>
    <t>控</t>
  </si>
  <si>
    <t>糉</t>
  </si>
  <si>
    <t>瓮</t>
  </si>
  <si>
    <t>𧩪</t>
  </si>
  <si>
    <t>洞</t>
  </si>
  <si>
    <t>諷</t>
  </si>
  <si>
    <t>焪</t>
  </si>
  <si>
    <t>夢</t>
  </si>
  <si>
    <t>𧽒</t>
  </si>
  <si>
    <t>𢄐</t>
  </si>
  <si>
    <t>賵</t>
  </si>
  <si>
    <t>𣀒</t>
  </si>
  <si>
    <t>哄</t>
  </si>
  <si>
    <t>齈</t>
  </si>
  <si>
    <t>俸</t>
  </si>
  <si>
    <t>葑</t>
  </si>
  <si>
    <t>供</t>
  </si>
  <si>
    <t>雍</t>
  </si>
  <si>
    <t>䩸</t>
  </si>
  <si>
    <t>種</t>
  </si>
  <si>
    <t>贚</t>
  </si>
  <si>
    <t>撞</t>
  </si>
  <si>
    <t>𥈄</t>
  </si>
  <si>
    <t>肨</t>
  </si>
  <si>
    <t>惴</t>
  </si>
  <si>
    <t>詈</t>
  </si>
  <si>
    <t>䞈</t>
  </si>
  <si>
    <t>帔</t>
  </si>
  <si>
    <t>賁</t>
  </si>
  <si>
    <t>髲</t>
  </si>
  <si>
    <t>芰</t>
  </si>
  <si>
    <t>刺</t>
  </si>
  <si>
    <t>議</t>
  </si>
  <si>
    <t>漬</t>
  </si>
  <si>
    <t>縋</t>
  </si>
  <si>
    <t>戲</t>
  </si>
  <si>
    <t>縊</t>
  </si>
  <si>
    <t>翅</t>
  </si>
  <si>
    <t>屣</t>
  </si>
  <si>
    <t>馶</t>
  </si>
  <si>
    <t>䅗</t>
  </si>
  <si>
    <t>娷</t>
  </si>
  <si>
    <t>瓗</t>
  </si>
  <si>
    <t>諉</t>
  </si>
  <si>
    <t>𧙁</t>
  </si>
  <si>
    <t>㞆</t>
  </si>
  <si>
    <t>郿</t>
  </si>
  <si>
    <t>邃</t>
  </si>
  <si>
    <t>匱</t>
  </si>
  <si>
    <t>濞</t>
  </si>
  <si>
    <t>帥</t>
  </si>
  <si>
    <t>喟</t>
  </si>
  <si>
    <t>豷</t>
  </si>
  <si>
    <t>嗜</t>
  </si>
  <si>
    <t>膩</t>
  </si>
  <si>
    <t>屁</t>
  </si>
  <si>
    <t>致</t>
  </si>
  <si>
    <t>棄</t>
  </si>
  <si>
    <t>緻</t>
  </si>
  <si>
    <t>杘</t>
  </si>
  <si>
    <t>臮</t>
  </si>
  <si>
    <t>翠</t>
  </si>
  <si>
    <t>恣</t>
  </si>
  <si>
    <t>次</t>
  </si>
  <si>
    <t>懿</t>
  </si>
  <si>
    <t>鼻</t>
  </si>
  <si>
    <t>痹</t>
  </si>
  <si>
    <t>地</t>
  </si>
  <si>
    <t>齂</t>
  </si>
  <si>
    <t>肄</t>
  </si>
  <si>
    <t>示</t>
  </si>
  <si>
    <t>屍</t>
  </si>
  <si>
    <t>㽷</t>
  </si>
  <si>
    <t>值</t>
  </si>
  <si>
    <t>蛓</t>
  </si>
  <si>
    <t>笥</t>
  </si>
  <si>
    <t>胾</t>
  </si>
  <si>
    <t>字</t>
  </si>
  <si>
    <t>眙</t>
  </si>
  <si>
    <t>餌</t>
  </si>
  <si>
    <t>𩢲</t>
  </si>
  <si>
    <t>異</t>
  </si>
  <si>
    <t>侍</t>
  </si>
  <si>
    <t>事</t>
  </si>
  <si>
    <t>忌</t>
  </si>
  <si>
    <t>熾</t>
  </si>
  <si>
    <t>意</t>
  </si>
  <si>
    <t>憙</t>
  </si>
  <si>
    <t>䰯</t>
  </si>
  <si>
    <t>亟</t>
  </si>
  <si>
    <t>魏</t>
  </si>
  <si>
    <t>費</t>
  </si>
  <si>
    <t>𥽂</t>
  </si>
  <si>
    <t>尉</t>
  </si>
  <si>
    <t>諱</t>
  </si>
  <si>
    <t>𥝋</t>
  </si>
  <si>
    <t>毅</t>
  </si>
  <si>
    <t>氣</t>
  </si>
  <si>
    <t>欷</t>
  </si>
  <si>
    <t>䤒</t>
  </si>
  <si>
    <t>覰</t>
  </si>
  <si>
    <t>㰦</t>
  </si>
  <si>
    <t>䬡</t>
  </si>
  <si>
    <t>䟽</t>
  </si>
  <si>
    <t>飫</t>
  </si>
  <si>
    <t>箸</t>
  </si>
  <si>
    <t>遽</t>
  </si>
  <si>
    <t>怚</t>
  </si>
  <si>
    <t>詛</t>
  </si>
  <si>
    <t>嫗</t>
  </si>
  <si>
    <t>樹</t>
  </si>
  <si>
    <t>住</t>
  </si>
  <si>
    <t>屨</t>
  </si>
  <si>
    <t>昫</t>
  </si>
  <si>
    <t>裕</t>
  </si>
  <si>
    <t>孺</t>
  </si>
  <si>
    <t>赴</t>
  </si>
  <si>
    <t>務</t>
  </si>
  <si>
    <t>緅</t>
  </si>
  <si>
    <t>懼</t>
  </si>
  <si>
    <t>芋</t>
  </si>
  <si>
    <t>埾</t>
  </si>
  <si>
    <t>捒</t>
  </si>
  <si>
    <t>付</t>
  </si>
  <si>
    <t>娶</t>
  </si>
  <si>
    <t>註</t>
  </si>
  <si>
    <t>菆</t>
  </si>
  <si>
    <t>䦌</t>
  </si>
  <si>
    <t>屢</t>
  </si>
  <si>
    <t>渡</t>
  </si>
  <si>
    <t>妬</t>
  </si>
  <si>
    <t>兔</t>
  </si>
  <si>
    <t>顧</t>
  </si>
  <si>
    <t>護</t>
  </si>
  <si>
    <t>訴</t>
  </si>
  <si>
    <t>怒</t>
  </si>
  <si>
    <t>汙</t>
  </si>
  <si>
    <t>錯</t>
  </si>
  <si>
    <t>絝</t>
  </si>
  <si>
    <t>謼</t>
  </si>
  <si>
    <t>帝</t>
  </si>
  <si>
    <t>替</t>
  </si>
  <si>
    <t>第</t>
  </si>
  <si>
    <t>砌</t>
  </si>
  <si>
    <t>細</t>
  </si>
  <si>
    <t>蒵</t>
  </si>
  <si>
    <t>契</t>
  </si>
  <si>
    <t>翳</t>
  </si>
  <si>
    <t>謎</t>
  </si>
  <si>
    <t>閉</t>
  </si>
  <si>
    <t>慧</t>
  </si>
  <si>
    <t>嘒</t>
  </si>
  <si>
    <t>媲</t>
  </si>
  <si>
    <t>薜</t>
  </si>
  <si>
    <t>麗</t>
  </si>
  <si>
    <t>㰥</t>
  </si>
  <si>
    <t>衞</t>
  </si>
  <si>
    <t>贅</t>
  </si>
  <si>
    <t>脆</t>
  </si>
  <si>
    <t>綴</t>
  </si>
  <si>
    <t>㯔</t>
  </si>
  <si>
    <t>篲</t>
  </si>
  <si>
    <t>劌</t>
  </si>
  <si>
    <t>㡜</t>
  </si>
  <si>
    <t>掣</t>
  </si>
  <si>
    <t>逝</t>
  </si>
  <si>
    <t>曵</t>
  </si>
  <si>
    <t>䋵</t>
  </si>
  <si>
    <t>藝</t>
  </si>
  <si>
    <t>滯</t>
  </si>
  <si>
    <t>丗</t>
  </si>
  <si>
    <t>猘</t>
  </si>
  <si>
    <t>跇</t>
  </si>
  <si>
    <t>蕝</t>
  </si>
  <si>
    <t>藹</t>
  </si>
  <si>
    <t>柰</t>
  </si>
  <si>
    <t>害</t>
  </si>
  <si>
    <t>霈</t>
  </si>
  <si>
    <t>兌</t>
  </si>
  <si>
    <t>儈</t>
  </si>
  <si>
    <t>𧬨</t>
  </si>
  <si>
    <t>酹</t>
  </si>
  <si>
    <t>懀</t>
  </si>
  <si>
    <t>蕞</t>
  </si>
  <si>
    <t>𥕸</t>
  </si>
  <si>
    <t>襊</t>
  </si>
  <si>
    <t>旆</t>
  </si>
  <si>
    <t>磕</t>
  </si>
  <si>
    <t>蔡</t>
  </si>
  <si>
    <t>餀</t>
  </si>
  <si>
    <t>蛻</t>
  </si>
  <si>
    <t>邂</t>
  </si>
  <si>
    <t>畫</t>
  </si>
  <si>
    <t>粺</t>
  </si>
  <si>
    <t>㾹</t>
  </si>
  <si>
    <t>派</t>
  </si>
  <si>
    <t>𡢖</t>
  </si>
  <si>
    <t>曬</t>
  </si>
  <si>
    <t>膪</t>
  </si>
  <si>
    <t>噫</t>
  </si>
  <si>
    <t>瘵</t>
  </si>
  <si>
    <t>誡</t>
  </si>
  <si>
    <t>譮</t>
  </si>
  <si>
    <t>械</t>
  </si>
  <si>
    <t>𦗐</t>
  </si>
  <si>
    <t>蒯</t>
  </si>
  <si>
    <t>湃</t>
  </si>
  <si>
    <t>聵</t>
  </si>
  <si>
    <t>𢟡</t>
  </si>
  <si>
    <t>䀛</t>
  </si>
  <si>
    <t>𧱳</t>
  </si>
  <si>
    <t>鎩</t>
  </si>
  <si>
    <t>烗</t>
  </si>
  <si>
    <t>䵳</t>
  </si>
  <si>
    <t>嘬</t>
  </si>
  <si>
    <t>蠆</t>
  </si>
  <si>
    <t>𠱡</t>
  </si>
  <si>
    <t>䜕</t>
  </si>
  <si>
    <t>寨</t>
  </si>
  <si>
    <t>配</t>
  </si>
  <si>
    <t>誨</t>
  </si>
  <si>
    <t>倅</t>
  </si>
  <si>
    <t>晬</t>
  </si>
  <si>
    <t>𩲄</t>
  </si>
  <si>
    <t>退</t>
  </si>
  <si>
    <t>憒</t>
  </si>
  <si>
    <t>潰</t>
  </si>
  <si>
    <t>塊</t>
  </si>
  <si>
    <t>碎</t>
  </si>
  <si>
    <t>纇</t>
  </si>
  <si>
    <t>背</t>
  </si>
  <si>
    <t>載</t>
  </si>
  <si>
    <t>賽</t>
  </si>
  <si>
    <t>貸</t>
  </si>
  <si>
    <t>慨</t>
  </si>
  <si>
    <t>礙</t>
  </si>
  <si>
    <t>瀣</t>
  </si>
  <si>
    <t>賚</t>
  </si>
  <si>
    <t>菜</t>
  </si>
  <si>
    <t>喙</t>
  </si>
  <si>
    <t>刈</t>
  </si>
  <si>
    <t>信</t>
  </si>
  <si>
    <t>胤</t>
  </si>
  <si>
    <t>儐</t>
  </si>
  <si>
    <t>陣</t>
  </si>
  <si>
    <t>愼</t>
  </si>
  <si>
    <t>眒</t>
  </si>
  <si>
    <t>菣</t>
  </si>
  <si>
    <t>賮</t>
  </si>
  <si>
    <t>憗</t>
  </si>
  <si>
    <t>釁</t>
  </si>
  <si>
    <t>鎭</t>
  </si>
  <si>
    <t>僅</t>
  </si>
  <si>
    <t>櫬</t>
  </si>
  <si>
    <t>疢</t>
  </si>
  <si>
    <t>𣎵</t>
  </si>
  <si>
    <t>呁</t>
  </si>
  <si>
    <t>𡺲</t>
  </si>
  <si>
    <t>殉</t>
  </si>
  <si>
    <t>儁</t>
  </si>
  <si>
    <t>舜</t>
  </si>
  <si>
    <t>訓</t>
  </si>
  <si>
    <t>湓</t>
  </si>
  <si>
    <t>糞</t>
  </si>
  <si>
    <t>醖</t>
  </si>
  <si>
    <t>攈</t>
  </si>
  <si>
    <t>㒚</t>
  </si>
  <si>
    <t>勸</t>
  </si>
  <si>
    <t>萬</t>
  </si>
  <si>
    <t>嬔</t>
  </si>
  <si>
    <t>堰</t>
  </si>
  <si>
    <t>獻</t>
  </si>
  <si>
    <t>楥</t>
  </si>
  <si>
    <t>健</t>
  </si>
  <si>
    <t>𤬝</t>
  </si>
  <si>
    <t>卛</t>
  </si>
  <si>
    <t>頓</t>
  </si>
  <si>
    <t>遜</t>
  </si>
  <si>
    <t>嫩</t>
  </si>
  <si>
    <t>揾</t>
  </si>
  <si>
    <t>鐏</t>
  </si>
  <si>
    <t>睔</t>
  </si>
  <si>
    <t>噴</t>
  </si>
  <si>
    <t>鈍</t>
  </si>
  <si>
    <t>坌</t>
  </si>
  <si>
    <t>顐</t>
  </si>
  <si>
    <t>焌</t>
  </si>
  <si>
    <t>汗</t>
  </si>
  <si>
    <t>炭</t>
  </si>
  <si>
    <t>憚</t>
  </si>
  <si>
    <t>幹</t>
  </si>
  <si>
    <t>岸</t>
  </si>
  <si>
    <t>看</t>
  </si>
  <si>
    <t>漢</t>
  </si>
  <si>
    <t>爛</t>
  </si>
  <si>
    <t>粲</t>
  </si>
  <si>
    <t>㜺</t>
  </si>
  <si>
    <t>䂎</t>
  </si>
  <si>
    <t>惋</t>
  </si>
  <si>
    <t>竄</t>
  </si>
  <si>
    <t>彖</t>
  </si>
  <si>
    <t>縵</t>
  </si>
  <si>
    <t>判</t>
  </si>
  <si>
    <t>叛</t>
  </si>
  <si>
    <t>偄</t>
  </si>
  <si>
    <t>䥗</t>
  </si>
  <si>
    <t>雁</t>
  </si>
  <si>
    <t>訕</t>
  </si>
  <si>
    <t>骭</t>
  </si>
  <si>
    <t>慢</t>
  </si>
  <si>
    <t>㝈</t>
  </si>
  <si>
    <t>輚</t>
  </si>
  <si>
    <t>鏟</t>
  </si>
  <si>
    <t>㬄</t>
  </si>
  <si>
    <t>瓣</t>
  </si>
  <si>
    <t>盻</t>
  </si>
  <si>
    <t>袒</t>
  </si>
  <si>
    <t>蒨</t>
  </si>
  <si>
    <t>絢</t>
  </si>
  <si>
    <t>睊</t>
  </si>
  <si>
    <t>瑱</t>
  </si>
  <si>
    <t>晛</t>
  </si>
  <si>
    <t>俔</t>
  </si>
  <si>
    <t>現</t>
  </si>
  <si>
    <t>硯</t>
  </si>
  <si>
    <t>宴</t>
  </si>
  <si>
    <t>薦</t>
  </si>
  <si>
    <t>麫</t>
  </si>
  <si>
    <t>片</t>
  </si>
  <si>
    <t>荐</t>
  </si>
  <si>
    <t>䬼</t>
  </si>
  <si>
    <t>殿</t>
  </si>
  <si>
    <t>𩎌</t>
  </si>
  <si>
    <t>繕</t>
  </si>
  <si>
    <t>彥</t>
  </si>
  <si>
    <t>譴</t>
  </si>
  <si>
    <t>瑗</t>
  </si>
  <si>
    <t>𩥇</t>
  </si>
  <si>
    <t>躽</t>
  </si>
  <si>
    <t>𨏉</t>
  </si>
  <si>
    <t>縓</t>
  </si>
  <si>
    <t>卞</t>
  </si>
  <si>
    <t>㳬</t>
  </si>
  <si>
    <t>籑</t>
  </si>
  <si>
    <t>傳</t>
  </si>
  <si>
    <t>羡</t>
  </si>
  <si>
    <t>騗</t>
  </si>
  <si>
    <t>𢮛</t>
  </si>
  <si>
    <t>輾</t>
  </si>
  <si>
    <t>衍</t>
  </si>
  <si>
    <t>𤹨</t>
  </si>
  <si>
    <t>𥛁</t>
  </si>
  <si>
    <t>徧</t>
  </si>
  <si>
    <t>糶</t>
  </si>
  <si>
    <t>尿</t>
  </si>
  <si>
    <t>藋</t>
  </si>
  <si>
    <t>竅</t>
  </si>
  <si>
    <t>𩕐</t>
  </si>
  <si>
    <t>顤</t>
  </si>
  <si>
    <t>窔</t>
  </si>
  <si>
    <t>𢿿</t>
  </si>
  <si>
    <t>曜</t>
  </si>
  <si>
    <t>邵</t>
  </si>
  <si>
    <t>嶠</t>
  </si>
  <si>
    <t>剽</t>
  </si>
  <si>
    <t>噍</t>
  </si>
  <si>
    <t>陗</t>
  </si>
  <si>
    <t>𤊽</t>
  </si>
  <si>
    <t>趬</t>
  </si>
  <si>
    <t>醮</t>
  </si>
  <si>
    <t>驃</t>
  </si>
  <si>
    <t>裱</t>
  </si>
  <si>
    <t>罩</t>
  </si>
  <si>
    <t>豹</t>
  </si>
  <si>
    <t>貌</t>
  </si>
  <si>
    <t>奅</t>
  </si>
  <si>
    <t>趠</t>
  </si>
  <si>
    <t>棹</t>
  </si>
  <si>
    <t>鬧</t>
  </si>
  <si>
    <t>抓</t>
  </si>
  <si>
    <t>靤</t>
  </si>
  <si>
    <t>靿</t>
  </si>
  <si>
    <t>樂</t>
  </si>
  <si>
    <t>誥</t>
  </si>
  <si>
    <t>傲</t>
  </si>
  <si>
    <t>冒</t>
  </si>
  <si>
    <t>嫪</t>
  </si>
  <si>
    <t>暴</t>
  </si>
  <si>
    <t>漕</t>
  </si>
  <si>
    <t>奥</t>
  </si>
  <si>
    <t>喿</t>
  </si>
  <si>
    <t>𩝝</t>
  </si>
  <si>
    <t>竈</t>
  </si>
  <si>
    <t>腝</t>
  </si>
  <si>
    <t>跢</t>
  </si>
  <si>
    <t>坷</t>
  </si>
  <si>
    <t>䭾</t>
  </si>
  <si>
    <t>挫</t>
  </si>
  <si>
    <t>課</t>
  </si>
  <si>
    <t>播</t>
  </si>
  <si>
    <t>剉</t>
  </si>
  <si>
    <t>磨</t>
  </si>
  <si>
    <t>愞</t>
  </si>
  <si>
    <t>破</t>
  </si>
  <si>
    <t>座</t>
  </si>
  <si>
    <t>諎</t>
  </si>
  <si>
    <t>惰</t>
  </si>
  <si>
    <t>䇔</t>
  </si>
  <si>
    <t>桗</t>
  </si>
  <si>
    <t>嚇</t>
  </si>
  <si>
    <t>呀</t>
  </si>
  <si>
    <t>詫</t>
  </si>
  <si>
    <t>吒</t>
  </si>
  <si>
    <t>詐</t>
  </si>
  <si>
    <t>乍</t>
  </si>
  <si>
    <t>髂</t>
  </si>
  <si>
    <t>暇</t>
  </si>
  <si>
    <t>褯</t>
  </si>
  <si>
    <t>䞣</t>
  </si>
  <si>
    <t>蝑</t>
  </si>
  <si>
    <t>柘</t>
  </si>
  <si>
    <t>唶</t>
  </si>
  <si>
    <t>舍</t>
  </si>
  <si>
    <t>射</t>
  </si>
  <si>
    <t>帊</t>
  </si>
  <si>
    <t>摦</t>
  </si>
  <si>
    <t>跨</t>
  </si>
  <si>
    <t>誜</t>
  </si>
  <si>
    <t>𤝡</t>
  </si>
  <si>
    <t>䏧</t>
  </si>
  <si>
    <t>笪</t>
  </si>
  <si>
    <t>嗄</t>
  </si>
  <si>
    <t>坬</t>
  </si>
  <si>
    <t>䖳</t>
  </si>
  <si>
    <t>攨</t>
  </si>
  <si>
    <t>餉</t>
  </si>
  <si>
    <t>帳</t>
  </si>
  <si>
    <t>悵</t>
  </si>
  <si>
    <t>仗</t>
  </si>
  <si>
    <t>釀</t>
  </si>
  <si>
    <t>障</t>
  </si>
  <si>
    <t>尚</t>
  </si>
  <si>
    <t>壯</t>
  </si>
  <si>
    <t>怏</t>
  </si>
  <si>
    <t>弶</t>
  </si>
  <si>
    <t>唱</t>
  </si>
  <si>
    <t>醬</t>
  </si>
  <si>
    <t>𨋕</t>
  </si>
  <si>
    <t>誑</t>
  </si>
  <si>
    <t>迋</t>
  </si>
  <si>
    <t>唴</t>
  </si>
  <si>
    <t>吭</t>
  </si>
  <si>
    <t>盎</t>
  </si>
  <si>
    <t>枊</t>
  </si>
  <si>
    <t>譡</t>
  </si>
  <si>
    <t>抗</t>
  </si>
  <si>
    <t>螃</t>
  </si>
  <si>
    <t>儻</t>
  </si>
  <si>
    <t>儾</t>
  </si>
  <si>
    <t>喪</t>
  </si>
  <si>
    <t>攩</t>
  </si>
  <si>
    <t>桄</t>
  </si>
  <si>
    <t>鋼</t>
  </si>
  <si>
    <t>漭</t>
  </si>
  <si>
    <t>競</t>
  </si>
  <si>
    <t>蝗</t>
  </si>
  <si>
    <t>柄</t>
  </si>
  <si>
    <t>詠</t>
  </si>
  <si>
    <t>倀</t>
  </si>
  <si>
    <t>牚</t>
  </si>
  <si>
    <t>鋥</t>
  </si>
  <si>
    <t>膨</t>
  </si>
  <si>
    <t>䙬</t>
  </si>
  <si>
    <t>鞕</t>
  </si>
  <si>
    <t>倩</t>
  </si>
  <si>
    <t>遉</t>
  </si>
  <si>
    <t>性</t>
  </si>
  <si>
    <t>聘</t>
  </si>
  <si>
    <t>敻</t>
  </si>
  <si>
    <t>摒</t>
  </si>
  <si>
    <t>偋</t>
  </si>
  <si>
    <t>淨</t>
  </si>
  <si>
    <t>寗</t>
  </si>
  <si>
    <t>腥</t>
  </si>
  <si>
    <t>脛</t>
  </si>
  <si>
    <t>矴</t>
  </si>
  <si>
    <t>罄</t>
  </si>
  <si>
    <t>聽</t>
  </si>
  <si>
    <t>靘</t>
  </si>
  <si>
    <t>䒌</t>
  </si>
  <si>
    <t>鎣</t>
  </si>
  <si>
    <t>另</t>
  </si>
  <si>
    <t>認</t>
  </si>
  <si>
    <t>勝</t>
  </si>
  <si>
    <t>瞪</t>
  </si>
  <si>
    <t>蹭</t>
  </si>
  <si>
    <t>𢅴</t>
  </si>
  <si>
    <t>𥦜</t>
  </si>
  <si>
    <t>愣</t>
  </si>
  <si>
    <t>胄</t>
  </si>
  <si>
    <t>晝</t>
  </si>
  <si>
    <t>狩</t>
  </si>
  <si>
    <t>臭</t>
  </si>
  <si>
    <t>岫</t>
  </si>
  <si>
    <t>齅</t>
  </si>
  <si>
    <t>咒</t>
  </si>
  <si>
    <t>舊</t>
  </si>
  <si>
    <t>𤸃</t>
  </si>
  <si>
    <t>皺</t>
  </si>
  <si>
    <t>簉</t>
  </si>
  <si>
    <t>畜</t>
  </si>
  <si>
    <t>秀</t>
  </si>
  <si>
    <t>驟</t>
  </si>
  <si>
    <t>就</t>
  </si>
  <si>
    <t>糅</t>
  </si>
  <si>
    <t>復</t>
  </si>
  <si>
    <t>狖</t>
  </si>
  <si>
    <t>授</t>
  </si>
  <si>
    <t>輮</t>
  </si>
  <si>
    <t>寇</t>
  </si>
  <si>
    <t>茂</t>
  </si>
  <si>
    <t>仆</t>
  </si>
  <si>
    <t>鬥</t>
  </si>
  <si>
    <t>搙</t>
  </si>
  <si>
    <t>瘶</t>
  </si>
  <si>
    <t>漚</t>
  </si>
  <si>
    <t>購</t>
  </si>
  <si>
    <t>輳</t>
  </si>
  <si>
    <t>陋</t>
  </si>
  <si>
    <t>蔻</t>
  </si>
  <si>
    <t>䏽</t>
  </si>
  <si>
    <t>浸</t>
  </si>
  <si>
    <t>妊</t>
  </si>
  <si>
    <t>𦧈</t>
  </si>
  <si>
    <t>滲</t>
  </si>
  <si>
    <t>闖</t>
  </si>
  <si>
    <t>揕</t>
  </si>
  <si>
    <t>臨</t>
  </si>
  <si>
    <t>䫴</t>
  </si>
  <si>
    <t>憾</t>
  </si>
  <si>
    <t>僋</t>
  </si>
  <si>
    <t>俕</t>
  </si>
  <si>
    <t>謲</t>
  </si>
  <si>
    <t>醰</t>
  </si>
  <si>
    <t>馾</t>
  </si>
  <si>
    <t>顲</t>
  </si>
  <si>
    <t>篸</t>
  </si>
  <si>
    <t>賧</t>
  </si>
  <si>
    <t>𧵊</t>
  </si>
  <si>
    <t>憨</t>
  </si>
  <si>
    <t>憺</t>
  </si>
  <si>
    <t>厭</t>
  </si>
  <si>
    <t>壍</t>
  </si>
  <si>
    <t>殮</t>
  </si>
  <si>
    <t>䠨</t>
  </si>
  <si>
    <t>𢜰</t>
  </si>
  <si>
    <t>㮇</t>
  </si>
  <si>
    <t>䃸</t>
  </si>
  <si>
    <t>磹</t>
  </si>
  <si>
    <t>脅</t>
  </si>
  <si>
    <t>𦲯</t>
  </si>
  <si>
    <t>𪉜</t>
  </si>
  <si>
    <t>歉</t>
  </si>
  <si>
    <t>𧸖</t>
  </si>
  <si>
    <t>儳</t>
  </si>
  <si>
    <t>覱</t>
  </si>
  <si>
    <t>釤</t>
  </si>
  <si>
    <t>㒈</t>
  </si>
  <si>
    <t>埿</t>
  </si>
  <si>
    <t>㽉</t>
  </si>
  <si>
    <t>鑱</t>
  </si>
  <si>
    <t>俺</t>
  </si>
  <si>
    <t>獨</t>
  </si>
  <si>
    <t>穀</t>
  </si>
  <si>
    <t>縠</t>
  </si>
  <si>
    <t>哭</t>
  </si>
  <si>
    <t>秃</t>
  </si>
  <si>
    <t>𣫔</t>
  </si>
  <si>
    <t>嗀</t>
  </si>
  <si>
    <t>族</t>
  </si>
  <si>
    <t>簇</t>
  </si>
  <si>
    <t>鏃</t>
  </si>
  <si>
    <t>扑</t>
  </si>
  <si>
    <t>伏</t>
  </si>
  <si>
    <t>縮</t>
  </si>
  <si>
    <t>麴</t>
  </si>
  <si>
    <t>熟</t>
  </si>
  <si>
    <t>俶</t>
  </si>
  <si>
    <t>育</t>
  </si>
  <si>
    <t>驧</t>
  </si>
  <si>
    <t>蹴</t>
  </si>
  <si>
    <t>肉</t>
  </si>
  <si>
    <t>粥</t>
  </si>
  <si>
    <t>叔</t>
  </si>
  <si>
    <t>蓄</t>
  </si>
  <si>
    <t>蹙</t>
  </si>
  <si>
    <t>珿</t>
  </si>
  <si>
    <t>肭</t>
  </si>
  <si>
    <t>縬</t>
  </si>
  <si>
    <t>蝮</t>
  </si>
  <si>
    <t>郁</t>
  </si>
  <si>
    <t>肅</t>
  </si>
  <si>
    <t>目</t>
  </si>
  <si>
    <t>囿</t>
  </si>
  <si>
    <t>鵠</t>
  </si>
  <si>
    <t>僕</t>
  </si>
  <si>
    <t>洬</t>
  </si>
  <si>
    <t>梏</t>
  </si>
  <si>
    <t>瑁</t>
  </si>
  <si>
    <t>熇</t>
  </si>
  <si>
    <t>褥</t>
  </si>
  <si>
    <t>傶</t>
  </si>
  <si>
    <t>襮</t>
  </si>
  <si>
    <t>旭</t>
  </si>
  <si>
    <t>鋦</t>
  </si>
  <si>
    <t>局</t>
  </si>
  <si>
    <t>觸</t>
  </si>
  <si>
    <t>辱</t>
  </si>
  <si>
    <t>束</t>
  </si>
  <si>
    <t>躅</t>
  </si>
  <si>
    <t>綠</t>
  </si>
  <si>
    <t>瘃</t>
  </si>
  <si>
    <t>贖</t>
  </si>
  <si>
    <t>幞</t>
  </si>
  <si>
    <t>促</t>
  </si>
  <si>
    <t>續</t>
  </si>
  <si>
    <t>粟</t>
  </si>
  <si>
    <t>梀</t>
  </si>
  <si>
    <t>嶽</t>
  </si>
  <si>
    <t>浞</t>
  </si>
  <si>
    <t>捉</t>
  </si>
  <si>
    <t>朔</t>
  </si>
  <si>
    <t>剝</t>
  </si>
  <si>
    <t>邈</t>
  </si>
  <si>
    <t>跑</t>
  </si>
  <si>
    <t>璞</t>
  </si>
  <si>
    <t>殼</t>
  </si>
  <si>
    <t>濁</t>
  </si>
  <si>
    <t>搦</t>
  </si>
  <si>
    <t>逴</t>
  </si>
  <si>
    <t>犖</t>
  </si>
  <si>
    <t>學</t>
  </si>
  <si>
    <t>㕰</t>
  </si>
  <si>
    <t>娖</t>
  </si>
  <si>
    <t>秩</t>
  </si>
  <si>
    <t>暱</t>
  </si>
  <si>
    <t>逸</t>
  </si>
  <si>
    <t>欯</t>
  </si>
  <si>
    <t>抶</t>
  </si>
  <si>
    <t>窒</t>
  </si>
  <si>
    <t>㓼</t>
  </si>
  <si>
    <t>堲</t>
  </si>
  <si>
    <t>蜜</t>
  </si>
  <si>
    <t>姞</t>
  </si>
  <si>
    <t>邲</t>
  </si>
  <si>
    <t>䫻</t>
  </si>
  <si>
    <t>率</t>
  </si>
  <si>
    <t>耴</t>
  </si>
  <si>
    <t>橘</t>
  </si>
  <si>
    <t>崒</t>
  </si>
  <si>
    <t>卒</t>
  </si>
  <si>
    <t>黜</t>
  </si>
  <si>
    <t>㤕</t>
  </si>
  <si>
    <t>术</t>
  </si>
  <si>
    <t>𠭴</t>
  </si>
  <si>
    <t>䎉</t>
  </si>
  <si>
    <t>鬱</t>
  </si>
  <si>
    <t>𠀔</t>
  </si>
  <si>
    <t>屈</t>
  </si>
  <si>
    <t>倔</t>
  </si>
  <si>
    <t>佛</t>
  </si>
  <si>
    <t>䬍</t>
  </si>
  <si>
    <t>䬑</t>
  </si>
  <si>
    <t>訖</t>
  </si>
  <si>
    <t>疙</t>
  </si>
  <si>
    <t>䞘</t>
  </si>
  <si>
    <t>𡡕</t>
  </si>
  <si>
    <t>掘</t>
  </si>
  <si>
    <t>闕</t>
  </si>
  <si>
    <t>韤</t>
  </si>
  <si>
    <t>䬂</t>
  </si>
  <si>
    <t>揭</t>
  </si>
  <si>
    <t>𢷒</t>
  </si>
  <si>
    <t>咄</t>
  </si>
  <si>
    <t>突</t>
  </si>
  <si>
    <t>𩑦</t>
  </si>
  <si>
    <t>兀</t>
  </si>
  <si>
    <t>䪬</t>
  </si>
  <si>
    <t>𢂤</t>
  </si>
  <si>
    <t>窟</t>
  </si>
  <si>
    <t>訥</t>
  </si>
  <si>
    <t>窣</t>
  </si>
  <si>
    <t>猝</t>
  </si>
  <si>
    <t>捽</t>
  </si>
  <si>
    <t>麧</t>
  </si>
  <si>
    <t>搰</t>
  </si>
  <si>
    <t>䫘</t>
  </si>
  <si>
    <t>怛</t>
  </si>
  <si>
    <t>闥</t>
  </si>
  <si>
    <t>遏</t>
  </si>
  <si>
    <t>剌</t>
  </si>
  <si>
    <t>渴</t>
  </si>
  <si>
    <t>巀</t>
  </si>
  <si>
    <t>嶭</t>
  </si>
  <si>
    <t>躠</t>
  </si>
  <si>
    <t>攃</t>
  </si>
  <si>
    <t>捺</t>
  </si>
  <si>
    <t>闊</t>
  </si>
  <si>
    <t>奪</t>
  </si>
  <si>
    <t>豁</t>
  </si>
  <si>
    <t>斡</t>
  </si>
  <si>
    <t>繓</t>
  </si>
  <si>
    <t>鏺</t>
  </si>
  <si>
    <t>侻</t>
  </si>
  <si>
    <t>捋</t>
  </si>
  <si>
    <t>掇</t>
  </si>
  <si>
    <t>撮</t>
  </si>
  <si>
    <t>札</t>
  </si>
  <si>
    <t>𤫶</t>
  </si>
  <si>
    <t>窡</t>
  </si>
  <si>
    <t>婠</t>
  </si>
  <si>
    <t>豽</t>
  </si>
  <si>
    <t>𪙻</t>
  </si>
  <si>
    <t>劀</t>
  </si>
  <si>
    <t>戛</t>
  </si>
  <si>
    <t>軋</t>
  </si>
  <si>
    <t>殺</t>
  </si>
  <si>
    <t>㑻</t>
  </si>
  <si>
    <t>傄</t>
  </si>
  <si>
    <t>痆</t>
  </si>
  <si>
    <t>𦤙</t>
  </si>
  <si>
    <t>汃</t>
  </si>
  <si>
    <t>𪆰</t>
  </si>
  <si>
    <t>齾</t>
  </si>
  <si>
    <t>刹</t>
  </si>
  <si>
    <t>𥴭</t>
  </si>
  <si>
    <t>頢</t>
  </si>
  <si>
    <t>鵽</t>
  </si>
  <si>
    <t>刖</t>
  </si>
  <si>
    <t>䵵</t>
  </si>
  <si>
    <t>𥗥</t>
  </si>
  <si>
    <t>捌</t>
  </si>
  <si>
    <t>𪈟</t>
  </si>
  <si>
    <t>𨰉</t>
  </si>
  <si>
    <t>哳</t>
  </si>
  <si>
    <t>切</t>
  </si>
  <si>
    <t>節</t>
  </si>
  <si>
    <t>血</t>
  </si>
  <si>
    <t>闋</t>
  </si>
  <si>
    <t>抉</t>
  </si>
  <si>
    <t>姪</t>
  </si>
  <si>
    <t>鐵</t>
  </si>
  <si>
    <t>纈</t>
  </si>
  <si>
    <t>涅</t>
  </si>
  <si>
    <t>𢧵</t>
  </si>
  <si>
    <t>齧</t>
  </si>
  <si>
    <t>噎</t>
  </si>
  <si>
    <t>猰</t>
  </si>
  <si>
    <t>𡘐</t>
  </si>
  <si>
    <t>撆</t>
  </si>
  <si>
    <t>癟</t>
  </si>
  <si>
    <t>𥸸</t>
  </si>
  <si>
    <t>哲</t>
  </si>
  <si>
    <t>傑</t>
  </si>
  <si>
    <t>晢</t>
  </si>
  <si>
    <t>舌</t>
  </si>
  <si>
    <t>孼</t>
  </si>
  <si>
    <t>朅</t>
  </si>
  <si>
    <t>憋</t>
  </si>
  <si>
    <t>缺</t>
  </si>
  <si>
    <t>拙</t>
  </si>
  <si>
    <t>歠</t>
  </si>
  <si>
    <t>瞥</t>
  </si>
  <si>
    <t>轍</t>
  </si>
  <si>
    <t>䇷</t>
  </si>
  <si>
    <t>㕞</t>
  </si>
  <si>
    <t>孑</t>
  </si>
  <si>
    <t>設</t>
  </si>
  <si>
    <t>𥄎</t>
  </si>
  <si>
    <t>蹶</t>
  </si>
  <si>
    <t>膬</t>
  </si>
  <si>
    <t>蠽</t>
  </si>
  <si>
    <t>焆</t>
  </si>
  <si>
    <t>撤</t>
  </si>
  <si>
    <t>娎</t>
  </si>
  <si>
    <t>㿱</t>
  </si>
  <si>
    <t>抴</t>
  </si>
  <si>
    <t>腳</t>
  </si>
  <si>
    <t>爍</t>
  </si>
  <si>
    <t>綽</t>
  </si>
  <si>
    <t>卻</t>
  </si>
  <si>
    <t>妁</t>
  </si>
  <si>
    <t>㲋</t>
  </si>
  <si>
    <t>皭</t>
  </si>
  <si>
    <t>鵲</t>
  </si>
  <si>
    <t>噱</t>
  </si>
  <si>
    <t>嬳</t>
  </si>
  <si>
    <t>䂄</t>
  </si>
  <si>
    <t>玃</t>
  </si>
  <si>
    <t>芍</t>
  </si>
  <si>
    <t>躩</t>
  </si>
  <si>
    <t>戄</t>
  </si>
  <si>
    <t>逽</t>
  </si>
  <si>
    <t>咢</t>
  </si>
  <si>
    <t>𩔈</t>
  </si>
  <si>
    <t>惡</t>
  </si>
  <si>
    <t>𦞦</t>
  </si>
  <si>
    <t>索</t>
  </si>
  <si>
    <t>涸</t>
  </si>
  <si>
    <t>霍</t>
  </si>
  <si>
    <t>雘</t>
  </si>
  <si>
    <t>廓</t>
  </si>
  <si>
    <t>磔</t>
  </si>
  <si>
    <t>𡩡</t>
  </si>
  <si>
    <t>柵</t>
  </si>
  <si>
    <t>嚄</t>
  </si>
  <si>
    <t>嘖</t>
  </si>
  <si>
    <t>齚</t>
  </si>
  <si>
    <t>隙</t>
  </si>
  <si>
    <t>額</t>
  </si>
  <si>
    <t>拆</t>
  </si>
  <si>
    <t>拍</t>
  </si>
  <si>
    <t>赫</t>
  </si>
  <si>
    <t>垎</t>
  </si>
  <si>
    <t>謋</t>
  </si>
  <si>
    <t>蹃</t>
  </si>
  <si>
    <t>𧍕</t>
  </si>
  <si>
    <t>欂</t>
  </si>
  <si>
    <t>蟈</t>
  </si>
  <si>
    <t>檗</t>
  </si>
  <si>
    <t>䌟</t>
  </si>
  <si>
    <t>賾</t>
  </si>
  <si>
    <t>䞰</t>
  </si>
  <si>
    <t>策</t>
  </si>
  <si>
    <t>礊</t>
  </si>
  <si>
    <t>剨</t>
  </si>
  <si>
    <t>覈</t>
  </si>
  <si>
    <t>隔</t>
  </si>
  <si>
    <t>栜</t>
  </si>
  <si>
    <t>𢶉</t>
  </si>
  <si>
    <t>虉</t>
  </si>
  <si>
    <t>礐</t>
  </si>
  <si>
    <t>疒</t>
  </si>
  <si>
    <t>擲</t>
  </si>
  <si>
    <t>皵</t>
  </si>
  <si>
    <t>席</t>
  </si>
  <si>
    <t>籍</t>
  </si>
  <si>
    <t>擗</t>
  </si>
  <si>
    <t>瞁</t>
  </si>
  <si>
    <t>僻</t>
  </si>
  <si>
    <t>麝</t>
  </si>
  <si>
    <t>彳</t>
  </si>
  <si>
    <t>劈</t>
  </si>
  <si>
    <t>的</t>
  </si>
  <si>
    <t>檄</t>
  </si>
  <si>
    <t>鷁</t>
  </si>
  <si>
    <t>荻</t>
  </si>
  <si>
    <t>踢</t>
  </si>
  <si>
    <t>績</t>
  </si>
  <si>
    <t>燩</t>
  </si>
  <si>
    <t>惄</t>
  </si>
  <si>
    <t>寂</t>
  </si>
  <si>
    <t>覓</t>
  </si>
  <si>
    <t>甓</t>
  </si>
  <si>
    <t>壁</t>
  </si>
  <si>
    <t>郹</t>
  </si>
  <si>
    <t>戚</t>
  </si>
  <si>
    <t>赥</t>
  </si>
  <si>
    <t>𥍟</t>
  </si>
  <si>
    <t>𣤩</t>
  </si>
  <si>
    <t>赩</t>
  </si>
  <si>
    <t>殛</t>
  </si>
  <si>
    <t>域</t>
  </si>
  <si>
    <t>洫</t>
  </si>
  <si>
    <t>堛</t>
  </si>
  <si>
    <t>稄</t>
  </si>
  <si>
    <t>愎</t>
  </si>
  <si>
    <t>嶷</t>
  </si>
  <si>
    <t>𡮞</t>
  </si>
  <si>
    <t>瀷</t>
  </si>
  <si>
    <t>刻</t>
  </si>
  <si>
    <t>賊</t>
  </si>
  <si>
    <t>塞</t>
  </si>
  <si>
    <t>菔</t>
  </si>
  <si>
    <t>餩</t>
  </si>
  <si>
    <t>䘅</t>
  </si>
  <si>
    <t>裓</t>
  </si>
  <si>
    <t>覆</t>
  </si>
  <si>
    <t>𢃤</t>
  </si>
  <si>
    <t>習</t>
  </si>
  <si>
    <t>集</t>
  </si>
  <si>
    <t>揖</t>
  </si>
  <si>
    <t>溼</t>
  </si>
  <si>
    <t>㗱</t>
  </si>
  <si>
    <t>蟄</t>
  </si>
  <si>
    <t>縶</t>
  </si>
  <si>
    <t>岌</t>
  </si>
  <si>
    <t>泣</t>
  </si>
  <si>
    <t>𩎕</t>
  </si>
  <si>
    <t>歰</t>
  </si>
  <si>
    <t>吸</t>
  </si>
  <si>
    <t>邑</t>
  </si>
  <si>
    <t>湁</t>
  </si>
  <si>
    <t>煜</t>
  </si>
  <si>
    <t>熠</t>
  </si>
  <si>
    <t>霵</t>
  </si>
  <si>
    <t>鵖</t>
  </si>
  <si>
    <t>㞚</t>
  </si>
  <si>
    <t>鴿</t>
  </si>
  <si>
    <t>答</t>
  </si>
  <si>
    <t>趿</t>
  </si>
  <si>
    <t>踏</t>
  </si>
  <si>
    <t>帀</t>
  </si>
  <si>
    <t>納</t>
  </si>
  <si>
    <t>溘</t>
  </si>
  <si>
    <t>姶</t>
  </si>
  <si>
    <t>欱</t>
  </si>
  <si>
    <t>㬎</t>
  </si>
  <si>
    <t>䟃</t>
  </si>
  <si>
    <t>㿴</t>
  </si>
  <si>
    <t>榻</t>
  </si>
  <si>
    <t>𣣹</t>
  </si>
  <si>
    <t>魶</t>
  </si>
  <si>
    <t>蹋</t>
  </si>
  <si>
    <t>𠎷</t>
  </si>
  <si>
    <t>䪞</t>
  </si>
  <si>
    <t>䫦</t>
  </si>
  <si>
    <t>鰪</t>
  </si>
  <si>
    <t>囃</t>
  </si>
  <si>
    <t>砝</t>
  </si>
  <si>
    <t>獵</t>
  </si>
  <si>
    <t>捷</t>
  </si>
  <si>
    <t>䐑</t>
  </si>
  <si>
    <t>𢽱</t>
  </si>
  <si>
    <t>聶</t>
  </si>
  <si>
    <t>謵</t>
  </si>
  <si>
    <t>讘</t>
  </si>
  <si>
    <t>讋</t>
  </si>
  <si>
    <t>妾</t>
  </si>
  <si>
    <t>锸</t>
  </si>
  <si>
    <t>衱</t>
  </si>
  <si>
    <t>曄</t>
  </si>
  <si>
    <t>萐</t>
  </si>
  <si>
    <t>𦀖</t>
  </si>
  <si>
    <t>魘</t>
  </si>
  <si>
    <t>貼</t>
  </si>
  <si>
    <t>苶</t>
  </si>
  <si>
    <t>燮</t>
  </si>
  <si>
    <t>㼲</t>
  </si>
  <si>
    <t>聑</t>
  </si>
  <si>
    <t>浹</t>
  </si>
  <si>
    <t>弽</t>
  </si>
  <si>
    <t>恰</t>
  </si>
  <si>
    <t>𥯦</t>
  </si>
  <si>
    <t>眨</t>
  </si>
  <si>
    <t>插</t>
  </si>
  <si>
    <t>䶎</t>
  </si>
  <si>
    <t>霎</t>
  </si>
  <si>
    <t>劄</t>
  </si>
  <si>
    <t>𨂁</t>
  </si>
  <si>
    <t>𥃐</t>
  </si>
  <si>
    <t>𠗨</t>
  </si>
  <si>
    <t>鴨</t>
  </si>
  <si>
    <t>翣</t>
  </si>
  <si>
    <t>呷</t>
  </si>
  <si>
    <t>腌</t>
  </si>
  <si>
    <t>殜</t>
  </si>
  <si>
    <t>跲</t>
  </si>
  <si>
    <t>猲</t>
  </si>
  <si>
    <t>䎎</t>
  </si>
  <si>
    <t>攮</t>
  </si>
  <si>
    <t>偌</t>
  </si>
  <si>
    <t>忒</t>
  </si>
  <si>
    <t>搇</t>
  </si>
  <si>
    <t>攛</t>
  </si>
  <si>
    <t>拉</t>
  </si>
  <si>
    <t>韜</t>
  </si>
  <si>
    <t>戤</t>
    <phoneticPr fontId="2" type="noConversion"/>
  </si>
  <si>
    <t>隘</t>
    <phoneticPr fontId="2" type="noConversion"/>
  </si>
  <si>
    <t>不]</t>
    <phoneticPr fontId="2" type="noConversion"/>
  </si>
  <si>
    <t>岔</t>
    <phoneticPr fontId="2" type="noConversion"/>
  </si>
  <si>
    <t>check</t>
    <phoneticPr fontId="2" type="noConversion"/>
  </si>
  <si>
    <t>吠</t>
    <phoneticPr fontId="2" type="noConversion"/>
  </si>
  <si>
    <t>慢</t>
    <phoneticPr fontId="2" type="noConversion"/>
  </si>
  <si>
    <t>線</t>
    <phoneticPr fontId="2" type="noConversion"/>
  </si>
  <si>
    <t>葅</t>
    <phoneticPr fontId="2" type="noConversion"/>
  </si>
  <si>
    <t>弓</t>
    <phoneticPr fontId="2" type="noConversion"/>
  </si>
  <si>
    <t>胸</t>
    <phoneticPr fontId="2" type="noConversion"/>
  </si>
  <si>
    <t>容</t>
    <phoneticPr fontId="2" type="noConversion"/>
  </si>
  <si>
    <t>隨</t>
    <phoneticPr fontId="2" type="noConversion"/>
  </si>
  <si>
    <t>姨</t>
    <phoneticPr fontId="2" type="noConversion"/>
  </si>
  <si>
    <t>錐</t>
    <phoneticPr fontId="2" type="noConversion"/>
  </si>
  <si>
    <t>惟</t>
    <phoneticPr fontId="2" type="noConversion"/>
  </si>
  <si>
    <t>雖</t>
    <phoneticPr fontId="2" type="noConversion"/>
  </si>
  <si>
    <t>飢</t>
    <phoneticPr fontId="2" type="noConversion"/>
  </si>
  <si>
    <t>治</t>
    <phoneticPr fontId="2" type="noConversion"/>
  </si>
  <si>
    <t>葘</t>
    <phoneticPr fontId="2" type="noConversion"/>
  </si>
  <si>
    <t>圍</t>
    <phoneticPr fontId="2" type="noConversion"/>
  </si>
  <si>
    <t>拘</t>
    <phoneticPr fontId="2" type="noConversion"/>
  </si>
  <si>
    <t>愚</t>
    <phoneticPr fontId="2" type="noConversion"/>
  </si>
  <si>
    <t>逾</t>
    <phoneticPr fontId="2" type="noConversion"/>
  </si>
  <si>
    <t>株</t>
    <phoneticPr fontId="2" type="noConversion"/>
  </si>
  <si>
    <t>吾</t>
    <phoneticPr fontId="2" type="noConversion"/>
  </si>
  <si>
    <t>胡</t>
    <phoneticPr fontId="2" type="noConversion"/>
  </si>
  <si>
    <t>孤</t>
    <phoneticPr fontId="2" type="noConversion"/>
  </si>
  <si>
    <t>雞</t>
    <phoneticPr fontId="2" type="noConversion"/>
  </si>
  <si>
    <t>奚</t>
    <phoneticPr fontId="2" type="noConversion"/>
  </si>
  <si>
    <t>㥟</t>
    <phoneticPr fontId="2" type="noConversion"/>
  </si>
  <si>
    <t>媧</t>
    <phoneticPr fontId="2" type="noConversion"/>
  </si>
  <si>
    <t>懷</t>
    <phoneticPr fontId="2" type="noConversion"/>
  </si>
  <si>
    <t>裁</t>
    <phoneticPr fontId="2" type="noConversion"/>
  </si>
  <si>
    <t>㷠</t>
    <phoneticPr fontId="2" type="noConversion"/>
  </si>
  <si>
    <t>仁</t>
    <phoneticPr fontId="2" type="noConversion"/>
  </si>
  <si>
    <t>淪</t>
    <phoneticPr fontId="2" type="noConversion"/>
  </si>
  <si>
    <t>屯</t>
    <phoneticPr fontId="2" type="noConversion"/>
  </si>
  <si>
    <t>莘</t>
    <phoneticPr fontId="2" type="noConversion"/>
  </si>
  <si>
    <t>雲</t>
    <phoneticPr fontId="2" type="noConversion"/>
  </si>
  <si>
    <t>掀</t>
    <phoneticPr fontId="2" type="noConversion"/>
  </si>
  <si>
    <t>魂</t>
    <phoneticPr fontId="2" type="noConversion"/>
  </si>
  <si>
    <t>完</t>
    <phoneticPr fontId="2" type="noConversion"/>
  </si>
  <si>
    <t>顏</t>
    <phoneticPr fontId="2" type="noConversion"/>
  </si>
  <si>
    <t>𤸷</t>
    <phoneticPr fontId="2" type="noConversion"/>
  </si>
  <si>
    <t>間閑</t>
    <phoneticPr fontId="2" type="noConversion"/>
  </si>
  <si>
    <t>沿</t>
    <phoneticPr fontId="2" type="noConversion"/>
  </si>
  <si>
    <t>全</t>
    <phoneticPr fontId="2" type="noConversion"/>
  </si>
  <si>
    <t>穿</t>
    <phoneticPr fontId="2" type="noConversion"/>
  </si>
  <si>
    <t>旋員</t>
    <phoneticPr fontId="2" type="noConversion"/>
  </si>
  <si>
    <t>刁</t>
    <phoneticPr fontId="2" type="noConversion"/>
  </si>
  <si>
    <t>要</t>
    <phoneticPr fontId="2" type="noConversion"/>
  </si>
  <si>
    <t>消</t>
    <phoneticPr fontId="2" type="noConversion"/>
  </si>
  <si>
    <t>遥</t>
    <phoneticPr fontId="2" type="noConversion"/>
  </si>
  <si>
    <t>驕喬</t>
    <phoneticPr fontId="2" type="noConversion"/>
  </si>
  <si>
    <t>昭</t>
    <phoneticPr fontId="2" type="noConversion"/>
  </si>
  <si>
    <t>鑣</t>
    <phoneticPr fontId="2" type="noConversion"/>
  </si>
  <si>
    <t>囂</t>
    <phoneticPr fontId="2" type="noConversion"/>
  </si>
  <si>
    <t>糟</t>
    <phoneticPr fontId="2" type="noConversion"/>
  </si>
  <si>
    <t>莪</t>
    <phoneticPr fontId="2" type="noConversion"/>
  </si>
  <si>
    <t>何</t>
    <phoneticPr fontId="2" type="noConversion"/>
  </si>
  <si>
    <t>和</t>
    <phoneticPr fontId="2" type="noConversion"/>
  </si>
  <si>
    <t>𩨷</t>
    <phoneticPr fontId="2" type="noConversion"/>
  </si>
  <si>
    <t>遐</t>
    <phoneticPr fontId="2" type="noConversion"/>
  </si>
  <si>
    <t>爺衺</t>
    <phoneticPr fontId="2" type="noConversion"/>
  </si>
  <si>
    <t>華</t>
    <phoneticPr fontId="2" type="noConversion"/>
  </si>
  <si>
    <t>家</t>
    <phoneticPr fontId="2" type="noConversion"/>
  </si>
  <si>
    <t>奢</t>
    <phoneticPr fontId="2" type="noConversion"/>
  </si>
  <si>
    <t>陽</t>
    <phoneticPr fontId="2" type="noConversion"/>
  </si>
  <si>
    <t>裝</t>
    <phoneticPr fontId="2" type="noConversion"/>
  </si>
  <si>
    <t>剛</t>
    <phoneticPr fontId="2" type="noConversion"/>
  </si>
  <si>
    <t>傍</t>
    <phoneticPr fontId="2" type="noConversion"/>
  </si>
  <si>
    <t>驚</t>
    <phoneticPr fontId="2" type="noConversion"/>
  </si>
  <si>
    <t>甍</t>
    <phoneticPr fontId="2" type="noConversion"/>
  </si>
  <si>
    <t>㓝</t>
    <phoneticPr fontId="2" type="noConversion"/>
  </si>
  <si>
    <t>熒</t>
    <phoneticPr fontId="2" type="noConversion"/>
  </si>
  <si>
    <t>冫</t>
    <phoneticPr fontId="2" type="noConversion"/>
  </si>
  <si>
    <t>兢</t>
    <phoneticPr fontId="2" type="noConversion"/>
  </si>
  <si>
    <t>騰</t>
    <phoneticPr fontId="2" type="noConversion"/>
  </si>
  <si>
    <t>留</t>
    <phoneticPr fontId="2" type="noConversion"/>
  </si>
  <si>
    <t>周</t>
    <phoneticPr fontId="2" type="noConversion"/>
  </si>
  <si>
    <t>樓</t>
    <phoneticPr fontId="2" type="noConversion"/>
  </si>
  <si>
    <t>飍</t>
    <phoneticPr fontId="2" type="noConversion"/>
  </si>
  <si>
    <t>斟</t>
    <phoneticPr fontId="2" type="noConversion"/>
  </si>
  <si>
    <t>金</t>
    <phoneticPr fontId="2" type="noConversion"/>
  </si>
  <si>
    <t>南</t>
    <phoneticPr fontId="2" type="noConversion"/>
  </si>
  <si>
    <t>懂</t>
    <phoneticPr fontId="2" type="noConversion"/>
  </si>
  <si>
    <t>總</t>
    <phoneticPr fontId="2" type="noConversion"/>
  </si>
  <si>
    <t>腫</t>
    <phoneticPr fontId="2" type="noConversion"/>
  </si>
  <si>
    <t>是</t>
    <phoneticPr fontId="2" type="noConversion"/>
  </si>
  <si>
    <t>渳</t>
    <phoneticPr fontId="2" type="noConversion"/>
  </si>
  <si>
    <t>紙</t>
    <phoneticPr fontId="2" type="noConversion"/>
  </si>
  <si>
    <t>屎</t>
    <phoneticPr fontId="2" type="noConversion"/>
  </si>
  <si>
    <t>壘</t>
    <phoneticPr fontId="2" type="noConversion"/>
  </si>
  <si>
    <t>紀</t>
    <phoneticPr fontId="2" type="noConversion"/>
  </si>
  <si>
    <t>豨</t>
    <phoneticPr fontId="2" type="noConversion"/>
  </si>
  <si>
    <t>韙</t>
    <phoneticPr fontId="2" type="noConversion"/>
  </si>
  <si>
    <t>與</t>
    <phoneticPr fontId="2" type="noConversion"/>
  </si>
  <si>
    <t>䰞</t>
    <phoneticPr fontId="2" type="noConversion"/>
  </si>
  <si>
    <t>羽</t>
    <phoneticPr fontId="2" type="noConversion"/>
  </si>
  <si>
    <t>戶</t>
    <phoneticPr fontId="2" type="noConversion"/>
  </si>
  <si>
    <t>待</t>
    <phoneticPr fontId="2" type="noConversion"/>
  </si>
  <si>
    <t>愍</t>
    <phoneticPr fontId="2" type="noConversion"/>
  </si>
  <si>
    <t>尹</t>
    <phoneticPr fontId="2" type="noConversion"/>
  </si>
  <si>
    <t>𩩌</t>
    <phoneticPr fontId="2" type="noConversion"/>
  </si>
  <si>
    <t>趕</t>
    <phoneticPr fontId="2" type="noConversion"/>
  </si>
  <si>
    <t>睆</t>
    <phoneticPr fontId="2" type="noConversion"/>
  </si>
  <si>
    <t>𡿨</t>
    <phoneticPr fontId="2" type="noConversion"/>
  </si>
  <si>
    <t>剪</t>
    <phoneticPr fontId="2" type="noConversion"/>
  </si>
  <si>
    <t>辯</t>
    <phoneticPr fontId="2" type="noConversion"/>
  </si>
  <si>
    <t>肇</t>
    <phoneticPr fontId="2" type="noConversion"/>
  </si>
  <si>
    <t>搞</t>
    <phoneticPr fontId="2" type="noConversion"/>
  </si>
  <si>
    <t>找</t>
    <phoneticPr fontId="2" type="noConversion"/>
  </si>
  <si>
    <t>晧</t>
    <phoneticPr fontId="2" type="noConversion"/>
  </si>
  <si>
    <t>野</t>
    <phoneticPr fontId="2" type="noConversion"/>
  </si>
  <si>
    <t>雅</t>
    <phoneticPr fontId="2" type="noConversion"/>
  </si>
  <si>
    <t>假</t>
    <phoneticPr fontId="2" type="noConversion"/>
  </si>
  <si>
    <t>獎</t>
    <phoneticPr fontId="2" type="noConversion"/>
  </si>
  <si>
    <t>警</t>
    <phoneticPr fontId="2" type="noConversion"/>
  </si>
  <si>
    <t>穎</t>
    <phoneticPr fontId="2" type="noConversion"/>
  </si>
  <si>
    <t>頂</t>
    <phoneticPr fontId="2" type="noConversion"/>
  </si>
  <si>
    <t>婞</t>
    <phoneticPr fontId="2" type="noConversion"/>
  </si>
  <si>
    <t>久</t>
    <phoneticPr fontId="2" type="noConversion"/>
  </si>
  <si>
    <t>誘</t>
    <phoneticPr fontId="2" type="noConversion"/>
  </si>
  <si>
    <t>負</t>
    <phoneticPr fontId="2" type="noConversion"/>
  </si>
  <si>
    <t>苟</t>
    <phoneticPr fontId="2" type="noConversion"/>
  </si>
  <si>
    <t>厚</t>
    <phoneticPr fontId="2" type="noConversion"/>
  </si>
  <si>
    <t>荏</t>
    <phoneticPr fontId="2" type="noConversion"/>
  </si>
  <si>
    <t>廩</t>
    <phoneticPr fontId="2" type="noConversion"/>
  </si>
  <si>
    <t>㱃</t>
    <phoneticPr fontId="2" type="noConversion"/>
  </si>
  <si>
    <t>晻</t>
    <phoneticPr fontId="2" type="noConversion"/>
  </si>
  <si>
    <t>點</t>
    <phoneticPr fontId="2" type="noConversion"/>
  </si>
  <si>
    <t>儼</t>
    <phoneticPr fontId="2" type="noConversion"/>
  </si>
  <si>
    <t>鹼豏</t>
    <phoneticPr fontId="2" type="noConversion"/>
  </si>
  <si>
    <t>範</t>
    <phoneticPr fontId="2" type="noConversion"/>
  </si>
  <si>
    <t>降</t>
    <phoneticPr fontId="2" type="noConversion"/>
  </si>
  <si>
    <t>議</t>
    <phoneticPr fontId="2" type="noConversion"/>
  </si>
  <si>
    <t>睡</t>
    <phoneticPr fontId="2" type="noConversion"/>
  </si>
  <si>
    <t>郿</t>
    <phoneticPr fontId="2" type="noConversion"/>
  </si>
  <si>
    <t>冀</t>
    <phoneticPr fontId="2" type="noConversion"/>
  </si>
  <si>
    <t>未</t>
    <phoneticPr fontId="2" type="noConversion"/>
  </si>
  <si>
    <t>尉</t>
    <phoneticPr fontId="2" type="noConversion"/>
  </si>
  <si>
    <t>毅</t>
    <phoneticPr fontId="2" type="noConversion"/>
  </si>
  <si>
    <t>據</t>
    <phoneticPr fontId="2" type="noConversion"/>
  </si>
  <si>
    <t>懼</t>
    <phoneticPr fontId="2" type="noConversion"/>
  </si>
  <si>
    <t>屨</t>
    <phoneticPr fontId="2" type="noConversion"/>
  </si>
  <si>
    <t>顧</t>
    <phoneticPr fontId="2" type="noConversion"/>
  </si>
  <si>
    <t>慧</t>
    <phoneticPr fontId="2" type="noConversion"/>
  </si>
  <si>
    <t>衞</t>
    <phoneticPr fontId="2" type="noConversion"/>
  </si>
  <si>
    <t>猘</t>
    <phoneticPr fontId="2" type="noConversion"/>
  </si>
  <si>
    <t>廢</t>
    <phoneticPr fontId="2" type="noConversion"/>
  </si>
  <si>
    <t>誡</t>
    <phoneticPr fontId="2" type="noConversion"/>
  </si>
  <si>
    <t>潰</t>
    <phoneticPr fontId="2" type="noConversion"/>
  </si>
  <si>
    <t>背</t>
    <phoneticPr fontId="2" type="noConversion"/>
  </si>
  <si>
    <t>漑</t>
    <phoneticPr fontId="2" type="noConversion"/>
  </si>
  <si>
    <t>震</t>
    <phoneticPr fontId="2" type="noConversion"/>
  </si>
  <si>
    <t>僅</t>
    <phoneticPr fontId="2" type="noConversion"/>
  </si>
  <si>
    <t>𡺲</t>
    <phoneticPr fontId="2" type="noConversion"/>
  </si>
  <si>
    <t>萬</t>
    <phoneticPr fontId="2" type="noConversion"/>
  </si>
  <si>
    <t>幹</t>
    <phoneticPr fontId="2" type="noConversion"/>
  </si>
  <si>
    <t>按</t>
    <phoneticPr fontId="2" type="noConversion"/>
  </si>
  <si>
    <t>諫</t>
    <phoneticPr fontId="2" type="noConversion"/>
  </si>
  <si>
    <t>雁</t>
    <phoneticPr fontId="2" type="noConversion"/>
  </si>
  <si>
    <t>瓣</t>
    <phoneticPr fontId="2" type="noConversion"/>
  </si>
  <si>
    <t>電</t>
    <phoneticPr fontId="2" type="noConversion"/>
  </si>
  <si>
    <t>麫</t>
    <phoneticPr fontId="2" type="noConversion"/>
  </si>
  <si>
    <t>繕</t>
    <phoneticPr fontId="2" type="noConversion"/>
  </si>
  <si>
    <t>輾</t>
    <phoneticPr fontId="2" type="noConversion"/>
  </si>
  <si>
    <t>彥</t>
    <phoneticPr fontId="2" type="noConversion"/>
  </si>
  <si>
    <t>笑</t>
    <phoneticPr fontId="2" type="noConversion"/>
  </si>
  <si>
    <t>貌</t>
    <phoneticPr fontId="2" type="noConversion"/>
  </si>
  <si>
    <t>箇</t>
    <phoneticPr fontId="2" type="noConversion"/>
  </si>
  <si>
    <t>呀</t>
    <phoneticPr fontId="2" type="noConversion"/>
  </si>
  <si>
    <t>駕</t>
    <phoneticPr fontId="2" type="noConversion"/>
  </si>
  <si>
    <t>摦</t>
    <phoneticPr fontId="2" type="noConversion"/>
  </si>
  <si>
    <t>螃</t>
    <phoneticPr fontId="2" type="noConversion"/>
  </si>
  <si>
    <t>政</t>
    <phoneticPr fontId="2" type="noConversion"/>
  </si>
  <si>
    <t>性</t>
    <phoneticPr fontId="2" type="noConversion"/>
  </si>
  <si>
    <t>寗</t>
    <phoneticPr fontId="2" type="noConversion"/>
  </si>
  <si>
    <t>嶝</t>
    <phoneticPr fontId="2" type="noConversion"/>
  </si>
  <si>
    <t>又</t>
    <phoneticPr fontId="2" type="noConversion"/>
  </si>
  <si>
    <t>咒</t>
    <phoneticPr fontId="2" type="noConversion"/>
  </si>
  <si>
    <t>購</t>
    <phoneticPr fontId="2" type="noConversion"/>
  </si>
  <si>
    <t>陋</t>
    <phoneticPr fontId="2" type="noConversion"/>
  </si>
  <si>
    <t>闞</t>
    <phoneticPr fontId="2" type="noConversion"/>
  </si>
  <si>
    <t>暫</t>
    <phoneticPr fontId="2" type="noConversion"/>
  </si>
  <si>
    <t>𧸖</t>
    <phoneticPr fontId="2" type="noConversion"/>
  </si>
  <si>
    <t>穀禄</t>
    <phoneticPr fontId="2" type="noConversion"/>
  </si>
  <si>
    <t>菊</t>
    <phoneticPr fontId="2" type="noConversion"/>
  </si>
  <si>
    <t>肅</t>
    <phoneticPr fontId="2" type="noConversion"/>
  </si>
  <si>
    <t>綠</t>
    <phoneticPr fontId="2" type="noConversion"/>
  </si>
  <si>
    <t>嶽</t>
    <phoneticPr fontId="2" type="noConversion"/>
  </si>
  <si>
    <t>覺</t>
    <phoneticPr fontId="2" type="noConversion"/>
  </si>
  <si>
    <t>必</t>
    <phoneticPr fontId="2" type="noConversion"/>
  </si>
  <si>
    <t>物</t>
    <phoneticPr fontId="2" type="noConversion"/>
  </si>
  <si>
    <t>揭</t>
    <phoneticPr fontId="2" type="noConversion"/>
  </si>
  <si>
    <t>沒</t>
    <phoneticPr fontId="2" type="noConversion"/>
  </si>
  <si>
    <t>葛</t>
    <phoneticPr fontId="2" type="noConversion"/>
  </si>
  <si>
    <t>括</t>
    <phoneticPr fontId="2" type="noConversion"/>
  </si>
  <si>
    <t>鎋</t>
    <phoneticPr fontId="2" type="noConversion"/>
  </si>
  <si>
    <t>薛</t>
    <phoneticPr fontId="2" type="noConversion"/>
  </si>
  <si>
    <t>傑</t>
    <phoneticPr fontId="2" type="noConversion"/>
  </si>
  <si>
    <t>灼妁</t>
    <phoneticPr fontId="2" type="noConversion"/>
  </si>
  <si>
    <t>爵</t>
    <phoneticPr fontId="2" type="noConversion"/>
  </si>
  <si>
    <t>玃</t>
    <phoneticPr fontId="2" type="noConversion"/>
  </si>
  <si>
    <t>隙</t>
    <phoneticPr fontId="2" type="noConversion"/>
  </si>
  <si>
    <t>戹</t>
    <phoneticPr fontId="2" type="noConversion"/>
  </si>
  <si>
    <t>隔</t>
    <phoneticPr fontId="2" type="noConversion"/>
  </si>
  <si>
    <t>覈</t>
    <phoneticPr fontId="2" type="noConversion"/>
  </si>
  <si>
    <t>蟈</t>
    <phoneticPr fontId="2" type="noConversion"/>
  </si>
  <si>
    <t>隻</t>
    <phoneticPr fontId="2" type="noConversion"/>
  </si>
  <si>
    <t>積</t>
    <phoneticPr fontId="2" type="noConversion"/>
  </si>
  <si>
    <t>激</t>
    <phoneticPr fontId="2" type="noConversion"/>
  </si>
  <si>
    <t>荻</t>
    <phoneticPr fontId="2" type="noConversion"/>
  </si>
  <si>
    <t>郹</t>
    <phoneticPr fontId="2" type="noConversion"/>
  </si>
  <si>
    <t>郹𥍟</t>
    <phoneticPr fontId="2" type="noConversion"/>
  </si>
  <si>
    <t>弋</t>
    <phoneticPr fontId="2" type="noConversion"/>
  </si>
  <si>
    <t>稄</t>
    <phoneticPr fontId="2" type="noConversion"/>
  </si>
  <si>
    <t>德</t>
    <phoneticPr fontId="2" type="noConversion"/>
  </si>
  <si>
    <t>急</t>
    <phoneticPr fontId="2" type="noConversion"/>
  </si>
  <si>
    <t>執</t>
    <phoneticPr fontId="2" type="noConversion"/>
  </si>
  <si>
    <t>鴿</t>
    <phoneticPr fontId="2" type="noConversion"/>
  </si>
  <si>
    <t>答</t>
    <phoneticPr fontId="2" type="noConversion"/>
  </si>
  <si>
    <r>
      <t>下字更</t>
    </r>
    <r>
      <rPr>
        <sz val="14"/>
        <rFont val="宋体"/>
        <family val="3"/>
        <charset val="134"/>
      </rPr>
      <t>换后</t>
    </r>
    <phoneticPr fontId="2" type="noConversion"/>
  </si>
  <si>
    <r>
      <t>R列</t>
    </r>
    <r>
      <rPr>
        <sz val="14"/>
        <rFont val="宋体"/>
        <family val="3"/>
        <charset val="134"/>
      </rPr>
      <t>为</t>
    </r>
    <r>
      <rPr>
        <sz val="14"/>
        <rFont val="MingLiU"/>
        <family val="3"/>
      </rPr>
      <t>查找</t>
    </r>
    <r>
      <rPr>
        <sz val="14"/>
        <rFont val="宋体"/>
        <family val="3"/>
        <charset val="134"/>
      </rPr>
      <t>结果所有结果并列含多音字</t>
    </r>
    <phoneticPr fontId="2" type="noConversion"/>
  </si>
</sst>
</file>

<file path=xl/styles.xml><?xml version="1.0" encoding="utf-8"?>
<styleSheet xmlns="http://schemas.openxmlformats.org/spreadsheetml/2006/main">
  <fonts count="10">
    <font>
      <sz val="10"/>
      <name val="宋体"/>
      <charset val="134"/>
    </font>
    <font>
      <sz val="10"/>
      <name val="宋体"/>
      <charset val="134"/>
    </font>
    <font>
      <sz val="9"/>
      <name val="宋体"/>
      <charset val="134"/>
    </font>
    <font>
      <sz val="14"/>
      <name val="MingLiU"/>
      <family val="3"/>
    </font>
    <font>
      <sz val="14"/>
      <name val="宋体"/>
      <charset val="134"/>
    </font>
    <font>
      <sz val="10"/>
      <name val="MingLiU"/>
      <family val="3"/>
    </font>
    <font>
      <sz val="10"/>
      <name val="宋体"/>
      <charset val="134"/>
    </font>
    <font>
      <sz val="14"/>
      <name val="宋体"/>
      <family val="3"/>
      <charset val="134"/>
    </font>
    <font>
      <sz val="9"/>
      <name val="宋体"/>
      <family val="3"/>
      <charset val="134"/>
    </font>
    <font>
      <sz val="10"/>
      <name val="宋体"/>
      <family val="3"/>
      <charset val="134"/>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3">
    <xf numFmtId="0" fontId="0" fillId="0" borderId="0" xfId="0"/>
    <xf numFmtId="0" fontId="5" fillId="0" borderId="0" xfId="0" applyNumberFormat="1" applyFont="1" applyAlignment="1">
      <alignment vertical="top" wrapText="1"/>
    </xf>
    <xf numFmtId="0" fontId="3" fillId="0" borderId="0" xfId="0" applyNumberFormat="1" applyFont="1" applyAlignment="1">
      <alignment vertical="top" wrapText="1"/>
    </xf>
    <xf numFmtId="0" fontId="5" fillId="0" borderId="0" xfId="0" quotePrefix="1" applyNumberFormat="1" applyFont="1" applyAlignment="1">
      <alignment vertical="top" wrapText="1"/>
    </xf>
    <xf numFmtId="0" fontId="3" fillId="0" borderId="0" xfId="0" applyFont="1" applyAlignment="1">
      <alignment vertical="top" wrapText="1"/>
    </xf>
    <xf numFmtId="0" fontId="3" fillId="0" borderId="0" xfId="0" quotePrefix="1" applyNumberFormat="1" applyFont="1" applyAlignment="1">
      <alignment vertical="top" wrapText="1"/>
    </xf>
    <xf numFmtId="0" fontId="5" fillId="0" borderId="0" xfId="0" applyFont="1" applyAlignment="1">
      <alignment vertical="top" wrapText="1"/>
    </xf>
    <xf numFmtId="0" fontId="6" fillId="0" borderId="0" xfId="0" quotePrefix="1" applyNumberFormat="1" applyFont="1" applyAlignment="1">
      <alignment vertical="top" wrapText="1"/>
    </xf>
    <xf numFmtId="0" fontId="4" fillId="0" borderId="0" xfId="0" quotePrefix="1" applyNumberFormat="1" applyFont="1" applyAlignment="1">
      <alignment vertical="top" wrapText="1"/>
    </xf>
    <xf numFmtId="0" fontId="7" fillId="0" borderId="0" xfId="0" applyFont="1" applyAlignment="1">
      <alignment vertical="top" wrapText="1"/>
    </xf>
    <xf numFmtId="0" fontId="9" fillId="0" borderId="0" xfId="0" applyFont="1"/>
    <xf numFmtId="49" fontId="3" fillId="0" borderId="0" xfId="0" applyNumberFormat="1" applyFont="1" applyAlignment="1">
      <alignment vertical="top" wrapText="1"/>
    </xf>
    <xf numFmtId="0" fontId="3" fillId="2" borderId="0" xfId="0" applyFont="1" applyFill="1" applyAlignment="1">
      <alignment vertical="top" wrapText="1"/>
    </xf>
  </cellXfs>
  <cellStyles count="1">
    <cellStyle name="常规" xfId="0" builtinId="0"/>
  </cellStyles>
  <dxfs count="2">
    <dxf>
      <fill>
        <patternFill patternType="solid">
          <fgColor rgb="FFFFFF00"/>
          <bgColor rgb="FF000000"/>
        </patternFill>
      </fill>
    </dxf>
    <dxf>
      <fill>
        <patternFill patternType="solid">
          <fgColor rgb="FFFFFF00"/>
          <bgColor rgb="FF00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V3881"/>
  <sheetViews>
    <sheetView tabSelected="1" workbookViewId="0">
      <selection activeCell="V3" sqref="V3"/>
    </sheetView>
  </sheetViews>
  <sheetFormatPr defaultRowHeight="19.5"/>
  <cols>
    <col min="1" max="1" width="5.5703125" style="6" customWidth="1"/>
    <col min="2" max="2" width="9.140625" style="6" customWidth="1"/>
    <col min="3" max="3" width="3.42578125" style="6" customWidth="1"/>
    <col min="4" max="5" width="3.140625" style="6" customWidth="1"/>
    <col min="6" max="6" width="4.85546875" style="6" customWidth="1"/>
    <col min="7" max="7" width="2.85546875" style="6" customWidth="1"/>
    <col min="8" max="8" width="5" style="6" customWidth="1"/>
    <col min="9" max="9" width="3" style="6" customWidth="1"/>
    <col min="10" max="10" width="53" style="4" customWidth="1"/>
    <col min="11" max="11" width="12.28515625" style="6" customWidth="1"/>
    <col min="12" max="12" width="5.7109375" style="6" customWidth="1"/>
    <col min="13" max="13" width="4.85546875" style="6" customWidth="1"/>
    <col min="14" max="14" width="9.140625" style="4"/>
    <col min="15" max="15" width="12.140625" style="4" bestFit="1" customWidth="1"/>
    <col min="16" max="20" width="9.140625" style="4"/>
    <col min="21" max="21" width="16.7109375" style="4" customWidth="1"/>
    <col min="22" max="22" width="46.28515625" style="4" bestFit="1" customWidth="1"/>
    <col min="23" max="16384" width="9.140625" style="4"/>
  </cols>
  <sheetData>
    <row r="1" spans="1:22" ht="28.5">
      <c r="A1" s="1" t="s">
        <v>6748</v>
      </c>
      <c r="B1" s="1" t="s">
        <v>6747</v>
      </c>
      <c r="C1" s="1" t="s">
        <v>6746</v>
      </c>
      <c r="D1" s="1" t="s">
        <v>6749</v>
      </c>
      <c r="E1" s="1" t="s">
        <v>6750</v>
      </c>
      <c r="F1" s="1" t="s">
        <v>6751</v>
      </c>
      <c r="G1" s="1" t="s">
        <v>6752</v>
      </c>
      <c r="H1" s="1" t="s">
        <v>6753</v>
      </c>
      <c r="I1" s="1" t="s">
        <v>6754</v>
      </c>
      <c r="J1" s="2" t="s">
        <v>6755</v>
      </c>
      <c r="K1" s="1" t="s">
        <v>6756</v>
      </c>
      <c r="L1" s="1" t="s">
        <v>9623</v>
      </c>
      <c r="M1" s="1" t="s">
        <v>6757</v>
      </c>
      <c r="N1" s="9" t="s">
        <v>9627</v>
      </c>
      <c r="O1" s="9" t="s">
        <v>9697</v>
      </c>
      <c r="P1" s="4" t="s">
        <v>9624</v>
      </c>
      <c r="Q1" s="4" t="s">
        <v>9625</v>
      </c>
      <c r="R1" s="9" t="s">
        <v>9626</v>
      </c>
      <c r="S1" s="4" t="s">
        <v>12989</v>
      </c>
      <c r="T1" s="4" t="s">
        <v>10907</v>
      </c>
      <c r="U1" s="4" t="s">
        <v>13208</v>
      </c>
      <c r="V1" s="4" t="s">
        <v>13209</v>
      </c>
    </row>
    <row r="2" spans="1:22">
      <c r="A2" s="3">
        <v>1</v>
      </c>
      <c r="B2" s="3" t="s">
        <v>5988</v>
      </c>
      <c r="C2" s="3" t="s">
        <v>5989</v>
      </c>
      <c r="D2" s="3" t="s">
        <v>5990</v>
      </c>
      <c r="E2" s="3" t="s">
        <v>5991</v>
      </c>
      <c r="F2" s="3" t="s">
        <v>5992</v>
      </c>
      <c r="G2" s="3" t="s">
        <v>5993</v>
      </c>
      <c r="H2" s="3" t="s">
        <v>5994</v>
      </c>
      <c r="I2" s="3" t="s">
        <v>5995</v>
      </c>
      <c r="J2" s="5" t="s">
        <v>8371</v>
      </c>
      <c r="L2" s="3" t="s">
        <v>5996</v>
      </c>
      <c r="M2" s="3">
        <v>17</v>
      </c>
      <c r="N2" s="4" t="s">
        <v>5992</v>
      </c>
      <c r="O2" s="4">
        <v>1</v>
      </c>
      <c r="P2" s="11" t="s">
        <v>9691</v>
      </c>
      <c r="Q2" s="11" t="s">
        <v>9705</v>
      </c>
      <c r="S2" s="4" t="b">
        <f>ISNUMBER(MATCH(Q2,T:T,0))</f>
        <v>1</v>
      </c>
      <c r="T2" s="4" t="s">
        <v>5992</v>
      </c>
      <c r="U2" s="4" t="str">
        <f>IF(ISBLANK(R2),Q2,R2)</f>
        <v>紅</v>
      </c>
    </row>
    <row r="3" spans="1:22" ht="58.5">
      <c r="A3" s="3">
        <v>2</v>
      </c>
      <c r="B3" s="3" t="s">
        <v>5988</v>
      </c>
      <c r="C3" s="3" t="s">
        <v>5997</v>
      </c>
      <c r="D3" s="3" t="s">
        <v>5990</v>
      </c>
      <c r="E3" s="3" t="s">
        <v>5991</v>
      </c>
      <c r="F3" s="3" t="s">
        <v>5992</v>
      </c>
      <c r="G3" s="3" t="s">
        <v>5993</v>
      </c>
      <c r="H3" s="3" t="s">
        <v>5998</v>
      </c>
      <c r="I3" s="3" t="s">
        <v>5995</v>
      </c>
      <c r="J3" s="5" t="s">
        <v>9622</v>
      </c>
      <c r="L3" s="3" t="s">
        <v>5999</v>
      </c>
      <c r="M3" s="3">
        <v>45</v>
      </c>
      <c r="N3" s="4" t="s">
        <v>5992</v>
      </c>
      <c r="O3" s="4">
        <v>1</v>
      </c>
      <c r="P3" s="11" t="s">
        <v>9706</v>
      </c>
      <c r="Q3" s="11" t="s">
        <v>9705</v>
      </c>
      <c r="S3" s="4" t="b">
        <f>ISNUMBER(MATCH(Q3,T:T,0))</f>
        <v>1</v>
      </c>
      <c r="T3" s="4" t="s">
        <v>9872</v>
      </c>
      <c r="U3" s="4" t="str">
        <f t="shared" ref="U3:U66" si="0">IF(ISBLANK(R3),Q3,R3)</f>
        <v>紅</v>
      </c>
    </row>
    <row r="4" spans="1:22" ht="28.5">
      <c r="A4" s="3">
        <v>3</v>
      </c>
      <c r="B4" s="3" t="s">
        <v>5988</v>
      </c>
      <c r="C4" s="3" t="s">
        <v>6000</v>
      </c>
      <c r="D4" s="3" t="s">
        <v>6001</v>
      </c>
      <c r="E4" s="3" t="s">
        <v>5991</v>
      </c>
      <c r="F4" s="3" t="s">
        <v>5992</v>
      </c>
      <c r="G4" s="3" t="s">
        <v>5993</v>
      </c>
      <c r="H4" s="3" t="s">
        <v>6002</v>
      </c>
      <c r="I4" s="3" t="s">
        <v>5995</v>
      </c>
      <c r="J4" s="5" t="s">
        <v>6003</v>
      </c>
      <c r="L4" s="3" t="s">
        <v>6004</v>
      </c>
      <c r="M4" s="3">
        <v>4</v>
      </c>
      <c r="N4" s="4" t="s">
        <v>5992</v>
      </c>
      <c r="O4" s="4">
        <v>1</v>
      </c>
      <c r="P4" s="11" t="s">
        <v>9707</v>
      </c>
      <c r="Q4" s="11" t="s">
        <v>9708</v>
      </c>
      <c r="S4" s="4" t="b">
        <f>ISNUMBER(MATCH(Q4,T:T,0))</f>
        <v>1</v>
      </c>
      <c r="T4" s="4" t="s">
        <v>9712</v>
      </c>
      <c r="U4" s="4" t="str">
        <f t="shared" si="0"/>
        <v>弓</v>
      </c>
    </row>
    <row r="5" spans="1:22" ht="28.5">
      <c r="A5" s="3">
        <v>4</v>
      </c>
      <c r="B5" s="3" t="s">
        <v>5988</v>
      </c>
      <c r="C5" s="3" t="s">
        <v>6005</v>
      </c>
      <c r="D5" s="3" t="s">
        <v>6001</v>
      </c>
      <c r="E5" s="3" t="s">
        <v>5991</v>
      </c>
      <c r="F5" s="3" t="s">
        <v>5992</v>
      </c>
      <c r="G5" s="3" t="s">
        <v>5993</v>
      </c>
      <c r="H5" s="3" t="s">
        <v>6006</v>
      </c>
      <c r="I5" s="3" t="s">
        <v>5995</v>
      </c>
      <c r="J5" s="5" t="s">
        <v>6007</v>
      </c>
      <c r="L5" s="3" t="s">
        <v>6008</v>
      </c>
      <c r="M5" s="3">
        <v>7</v>
      </c>
      <c r="N5" s="4" t="s">
        <v>5992</v>
      </c>
      <c r="O5" s="4">
        <v>1</v>
      </c>
      <c r="P5" s="11" t="s">
        <v>9709</v>
      </c>
      <c r="Q5" s="11" t="s">
        <v>9708</v>
      </c>
      <c r="S5" s="4" t="b">
        <f>ISNUMBER(MATCH(Q5,T:T,0))</f>
        <v>1</v>
      </c>
      <c r="T5" s="4" t="s">
        <v>10908</v>
      </c>
      <c r="U5" s="4" t="str">
        <f t="shared" si="0"/>
        <v>弓</v>
      </c>
    </row>
    <row r="6" spans="1:22" ht="28.5">
      <c r="A6" s="3">
        <v>5</v>
      </c>
      <c r="B6" s="3" t="s">
        <v>5988</v>
      </c>
      <c r="C6" s="3" t="s">
        <v>6009</v>
      </c>
      <c r="D6" s="3" t="s">
        <v>6001</v>
      </c>
      <c r="E6" s="3" t="s">
        <v>5991</v>
      </c>
      <c r="F6" s="3" t="s">
        <v>5992</v>
      </c>
      <c r="G6" s="3" t="s">
        <v>5993</v>
      </c>
      <c r="H6" s="3" t="s">
        <v>6010</v>
      </c>
      <c r="I6" s="3" t="s">
        <v>5995</v>
      </c>
      <c r="J6" s="5" t="s">
        <v>8372</v>
      </c>
      <c r="L6" s="3" t="s">
        <v>6004</v>
      </c>
      <c r="M6" s="3">
        <v>15</v>
      </c>
      <c r="N6" s="4" t="s">
        <v>5992</v>
      </c>
      <c r="O6" s="4">
        <v>1</v>
      </c>
      <c r="P6" s="11" t="s">
        <v>1726</v>
      </c>
      <c r="Q6" s="11" t="s">
        <v>9710</v>
      </c>
      <c r="S6" s="4" t="b">
        <f>ISNUMBER(MATCH(Q6,T:T,0))</f>
        <v>1</v>
      </c>
      <c r="T6" s="4" t="s">
        <v>9726</v>
      </c>
      <c r="U6" s="4" t="str">
        <f t="shared" si="0"/>
        <v>戎</v>
      </c>
    </row>
    <row r="7" spans="1:22" ht="28.5">
      <c r="A7" s="3">
        <v>6</v>
      </c>
      <c r="B7" s="3" t="s">
        <v>5988</v>
      </c>
      <c r="C7" s="3" t="s">
        <v>6011</v>
      </c>
      <c r="D7" s="3" t="s">
        <v>6001</v>
      </c>
      <c r="E7" s="3" t="s">
        <v>5991</v>
      </c>
      <c r="F7" s="3" t="s">
        <v>5992</v>
      </c>
      <c r="G7" s="3" t="s">
        <v>5993</v>
      </c>
      <c r="H7" s="3" t="s">
        <v>6012</v>
      </c>
      <c r="I7" s="3" t="s">
        <v>5995</v>
      </c>
      <c r="J7" s="5" t="s">
        <v>6013</v>
      </c>
      <c r="L7" s="3" t="s">
        <v>6014</v>
      </c>
      <c r="M7" s="3">
        <v>3</v>
      </c>
      <c r="N7" s="4" t="s">
        <v>5992</v>
      </c>
      <c r="O7" s="4">
        <v>1</v>
      </c>
      <c r="P7" s="11" t="s">
        <v>9711</v>
      </c>
      <c r="Q7" s="11" t="s">
        <v>9712</v>
      </c>
      <c r="S7" s="4" t="b">
        <f>ISNUMBER(MATCH(Q7,T:T,0))</f>
        <v>1</v>
      </c>
      <c r="T7" s="4" t="s">
        <v>10909</v>
      </c>
      <c r="U7" s="4" t="str">
        <f t="shared" si="0"/>
        <v>中</v>
      </c>
    </row>
    <row r="8" spans="1:22" ht="28.5">
      <c r="A8" s="3">
        <v>7</v>
      </c>
      <c r="B8" s="3" t="s">
        <v>5988</v>
      </c>
      <c r="C8" s="3" t="s">
        <v>6015</v>
      </c>
      <c r="D8" s="3" t="s">
        <v>6001</v>
      </c>
      <c r="E8" s="3" t="s">
        <v>5991</v>
      </c>
      <c r="F8" s="3" t="s">
        <v>5992</v>
      </c>
      <c r="G8" s="3" t="s">
        <v>5993</v>
      </c>
      <c r="H8" s="3" t="s">
        <v>6016</v>
      </c>
      <c r="I8" s="3" t="s">
        <v>5995</v>
      </c>
      <c r="J8" s="5" t="s">
        <v>8373</v>
      </c>
      <c r="L8" s="3" t="s">
        <v>6008</v>
      </c>
      <c r="M8" s="3">
        <v>4</v>
      </c>
      <c r="N8" s="4" t="s">
        <v>5992</v>
      </c>
      <c r="O8" s="4">
        <v>1</v>
      </c>
      <c r="P8" s="11" t="s">
        <v>9713</v>
      </c>
      <c r="Q8" s="11" t="s">
        <v>9708</v>
      </c>
      <c r="S8" s="4" t="b">
        <f>ISNUMBER(MATCH(Q8,T:T,0))</f>
        <v>1</v>
      </c>
      <c r="T8" s="4" t="s">
        <v>6015</v>
      </c>
      <c r="U8" s="4" t="str">
        <f t="shared" si="0"/>
        <v>弓</v>
      </c>
    </row>
    <row r="9" spans="1:22">
      <c r="A9" s="3">
        <v>8</v>
      </c>
      <c r="B9" s="3" t="s">
        <v>5988</v>
      </c>
      <c r="C9" s="3" t="s">
        <v>6017</v>
      </c>
      <c r="D9" s="3" t="s">
        <v>6001</v>
      </c>
      <c r="E9" s="3" t="s">
        <v>5991</v>
      </c>
      <c r="F9" s="3" t="s">
        <v>5992</v>
      </c>
      <c r="G9" s="3" t="s">
        <v>5993</v>
      </c>
      <c r="H9" s="3" t="s">
        <v>6018</v>
      </c>
      <c r="I9" s="3" t="s">
        <v>5995</v>
      </c>
      <c r="J9" s="5" t="s">
        <v>6019</v>
      </c>
      <c r="L9" s="3" t="s">
        <v>6020</v>
      </c>
      <c r="M9" s="3">
        <v>9</v>
      </c>
      <c r="N9" s="4" t="s">
        <v>5992</v>
      </c>
      <c r="O9" s="4">
        <v>1</v>
      </c>
      <c r="P9" s="11" t="s">
        <v>9714</v>
      </c>
      <c r="Q9" s="11" t="s">
        <v>9708</v>
      </c>
      <c r="S9" s="4" t="b">
        <f>ISNUMBER(MATCH(Q9,T:T,0))</f>
        <v>1</v>
      </c>
      <c r="T9" s="4" t="s">
        <v>10910</v>
      </c>
      <c r="U9" s="4" t="str">
        <f t="shared" si="0"/>
        <v>弓</v>
      </c>
    </row>
    <row r="10" spans="1:22">
      <c r="A10" s="3">
        <v>9</v>
      </c>
      <c r="B10" s="3" t="s">
        <v>5988</v>
      </c>
      <c r="C10" s="3" t="s">
        <v>6021</v>
      </c>
      <c r="D10" s="3" t="s">
        <v>6001</v>
      </c>
      <c r="E10" s="3" t="s">
        <v>5991</v>
      </c>
      <c r="F10" s="3" t="s">
        <v>5992</v>
      </c>
      <c r="G10" s="3" t="s">
        <v>5993</v>
      </c>
      <c r="H10" s="3" t="s">
        <v>6022</v>
      </c>
      <c r="I10" s="3" t="s">
        <v>5995</v>
      </c>
      <c r="J10" s="5" t="s">
        <v>6023</v>
      </c>
      <c r="L10" s="3" t="s">
        <v>6024</v>
      </c>
      <c r="M10" s="3">
        <v>9</v>
      </c>
      <c r="N10" s="4" t="s">
        <v>5992</v>
      </c>
      <c r="O10" s="4">
        <v>1</v>
      </c>
      <c r="P10" s="11" t="s">
        <v>9715</v>
      </c>
      <c r="Q10" s="11" t="s">
        <v>9716</v>
      </c>
      <c r="S10" s="4" t="b">
        <f>ISNUMBER(MATCH(Q10,T:T,0))</f>
        <v>1</v>
      </c>
      <c r="T10" s="4" t="s">
        <v>9710</v>
      </c>
      <c r="U10" s="4" t="str">
        <f t="shared" si="0"/>
        <v>融</v>
      </c>
    </row>
    <row r="11" spans="1:22" ht="28.5">
      <c r="A11" s="3">
        <v>10</v>
      </c>
      <c r="B11" s="3" t="s">
        <v>5988</v>
      </c>
      <c r="C11" s="3" t="s">
        <v>6025</v>
      </c>
      <c r="D11" s="3" t="s">
        <v>6001</v>
      </c>
      <c r="E11" s="3" t="s">
        <v>5991</v>
      </c>
      <c r="F11" s="3" t="s">
        <v>5992</v>
      </c>
      <c r="G11" s="3" t="s">
        <v>5993</v>
      </c>
      <c r="H11" s="3" t="s">
        <v>6026</v>
      </c>
      <c r="I11" s="3" t="s">
        <v>5995</v>
      </c>
      <c r="J11" s="5" t="s">
        <v>8374</v>
      </c>
      <c r="L11" s="3" t="s">
        <v>6027</v>
      </c>
      <c r="M11" s="3">
        <v>6</v>
      </c>
      <c r="N11" s="4" t="s">
        <v>5992</v>
      </c>
      <c r="O11" s="4">
        <v>1</v>
      </c>
      <c r="P11" s="11" t="s">
        <v>9717</v>
      </c>
      <c r="Q11" s="11" t="s">
        <v>9710</v>
      </c>
      <c r="S11" s="4" t="b">
        <f>ISNUMBER(MATCH(Q11,T:T,0))</f>
        <v>1</v>
      </c>
      <c r="T11" s="4" t="s">
        <v>9708</v>
      </c>
      <c r="U11" s="4" t="str">
        <f t="shared" si="0"/>
        <v>戎</v>
      </c>
    </row>
    <row r="12" spans="1:22">
      <c r="A12" s="3">
        <v>11</v>
      </c>
      <c r="B12" s="3" t="s">
        <v>5988</v>
      </c>
      <c r="C12" s="3" t="s">
        <v>6028</v>
      </c>
      <c r="D12" s="3" t="s">
        <v>6001</v>
      </c>
      <c r="E12" s="3" t="s">
        <v>5991</v>
      </c>
      <c r="F12" s="3" t="s">
        <v>5992</v>
      </c>
      <c r="G12" s="3" t="s">
        <v>5993</v>
      </c>
      <c r="H12" s="3" t="s">
        <v>6029</v>
      </c>
      <c r="I12" s="3" t="s">
        <v>5995</v>
      </c>
      <c r="J12" s="5" t="s">
        <v>6030</v>
      </c>
      <c r="L12" s="3" t="s">
        <v>6031</v>
      </c>
      <c r="M12" s="3">
        <v>3</v>
      </c>
      <c r="N12" s="4" t="s">
        <v>5992</v>
      </c>
      <c r="O12" s="4">
        <v>1</v>
      </c>
      <c r="P12" s="11" t="s">
        <v>6028</v>
      </c>
      <c r="Q12" s="11" t="s">
        <v>9710</v>
      </c>
      <c r="S12" s="4" t="b">
        <f>ISNUMBER(MATCH(Q12,T:T,0))</f>
        <v>1</v>
      </c>
      <c r="T12" s="4" t="s">
        <v>9716</v>
      </c>
      <c r="U12" s="4" t="str">
        <f t="shared" si="0"/>
        <v>戎</v>
      </c>
    </row>
    <row r="13" spans="1:22">
      <c r="A13" s="3">
        <v>12</v>
      </c>
      <c r="B13" s="3" t="s">
        <v>5988</v>
      </c>
      <c r="C13" s="3" t="s">
        <v>6032</v>
      </c>
      <c r="D13" s="3" t="s">
        <v>6001</v>
      </c>
      <c r="E13" s="3" t="s">
        <v>5991</v>
      </c>
      <c r="F13" s="3" t="s">
        <v>5992</v>
      </c>
      <c r="G13" s="3" t="s">
        <v>5993</v>
      </c>
      <c r="H13" s="3" t="s">
        <v>6033</v>
      </c>
      <c r="I13" s="3" t="s">
        <v>5995</v>
      </c>
      <c r="J13" s="5" t="s">
        <v>6034</v>
      </c>
      <c r="L13" s="3" t="s">
        <v>6031</v>
      </c>
      <c r="M13" s="3">
        <v>2</v>
      </c>
      <c r="N13" s="4" t="s">
        <v>5992</v>
      </c>
      <c r="O13" s="4">
        <v>1</v>
      </c>
      <c r="P13" s="11" t="s">
        <v>9718</v>
      </c>
      <c r="Q13" s="11" t="s">
        <v>9708</v>
      </c>
      <c r="S13" s="4" t="b">
        <f>ISNUMBER(MATCH(Q13,T:T,0))</f>
        <v>1</v>
      </c>
      <c r="T13" s="4" t="s">
        <v>10911</v>
      </c>
      <c r="U13" s="4" t="str">
        <f t="shared" si="0"/>
        <v>弓</v>
      </c>
    </row>
    <row r="14" spans="1:22">
      <c r="A14" s="3">
        <v>13</v>
      </c>
      <c r="B14" s="3" t="s">
        <v>5988</v>
      </c>
      <c r="C14" s="3" t="s">
        <v>6035</v>
      </c>
      <c r="D14" s="3" t="s">
        <v>6001</v>
      </c>
      <c r="E14" s="3" t="s">
        <v>5991</v>
      </c>
      <c r="F14" s="3" t="s">
        <v>5992</v>
      </c>
      <c r="G14" s="3" t="s">
        <v>5993</v>
      </c>
      <c r="H14" s="3" t="s">
        <v>6036</v>
      </c>
      <c r="I14" s="3" t="s">
        <v>5995</v>
      </c>
      <c r="J14" s="5" t="s">
        <v>8375</v>
      </c>
      <c r="L14" s="3" t="s">
        <v>6037</v>
      </c>
      <c r="M14" s="3">
        <v>6</v>
      </c>
      <c r="N14" s="4" t="s">
        <v>5992</v>
      </c>
      <c r="O14" s="4">
        <v>1</v>
      </c>
      <c r="P14" s="11" t="s">
        <v>9719</v>
      </c>
      <c r="Q14" s="11" t="s">
        <v>9712</v>
      </c>
      <c r="S14" s="4" t="b">
        <f>ISNUMBER(MATCH(Q14,T:T,0))</f>
        <v>1</v>
      </c>
      <c r="T14" s="4" t="s">
        <v>10912</v>
      </c>
      <c r="U14" s="4" t="str">
        <f t="shared" si="0"/>
        <v>中</v>
      </c>
    </row>
    <row r="15" spans="1:22" ht="28.5">
      <c r="A15" s="3">
        <v>14</v>
      </c>
      <c r="B15" s="3" t="s">
        <v>5988</v>
      </c>
      <c r="C15" s="3" t="s">
        <v>6038</v>
      </c>
      <c r="D15" s="3" t="s">
        <v>6001</v>
      </c>
      <c r="E15" s="3" t="s">
        <v>5991</v>
      </c>
      <c r="F15" s="3" t="s">
        <v>5992</v>
      </c>
      <c r="G15" s="3" t="s">
        <v>5993</v>
      </c>
      <c r="H15" s="3" t="s">
        <v>6039</v>
      </c>
      <c r="I15" s="3" t="s">
        <v>5995</v>
      </c>
      <c r="J15" s="5" t="s">
        <v>8376</v>
      </c>
      <c r="L15" s="3" t="s">
        <v>6040</v>
      </c>
      <c r="M15" s="3">
        <v>7</v>
      </c>
      <c r="N15" s="4" t="s">
        <v>5992</v>
      </c>
      <c r="O15" s="4">
        <v>1</v>
      </c>
      <c r="P15" s="11" t="s">
        <v>4210</v>
      </c>
      <c r="Q15" s="11" t="s">
        <v>9720</v>
      </c>
      <c r="R15" s="4" t="s">
        <v>12994</v>
      </c>
      <c r="S15" s="4" t="b">
        <f>ISNUMBER(MATCH(Q15,T:T,0))</f>
        <v>0</v>
      </c>
      <c r="T15" s="4" t="s">
        <v>10913</v>
      </c>
      <c r="U15" s="4" t="str">
        <f t="shared" si="0"/>
        <v>弓</v>
      </c>
      <c r="V15" s="4" t="b">
        <f>ISNUMBER(MATCH(R15,T:T,0))</f>
        <v>1</v>
      </c>
    </row>
    <row r="16" spans="1:22" ht="28.5">
      <c r="A16" s="3">
        <v>15</v>
      </c>
      <c r="B16" s="3" t="s">
        <v>5988</v>
      </c>
      <c r="C16" s="3" t="s">
        <v>6041</v>
      </c>
      <c r="D16" s="3" t="s">
        <v>6001</v>
      </c>
      <c r="E16" s="3" t="s">
        <v>5991</v>
      </c>
      <c r="F16" s="3" t="s">
        <v>5992</v>
      </c>
      <c r="G16" s="3" t="s">
        <v>5993</v>
      </c>
      <c r="H16" s="3" t="s">
        <v>6042</v>
      </c>
      <c r="I16" s="3" t="s">
        <v>5995</v>
      </c>
      <c r="J16" s="5" t="s">
        <v>6043</v>
      </c>
      <c r="L16" s="3" t="s">
        <v>6044</v>
      </c>
      <c r="M16" s="3">
        <v>3</v>
      </c>
      <c r="N16" s="4" t="s">
        <v>5992</v>
      </c>
      <c r="O16" s="4">
        <v>1</v>
      </c>
      <c r="P16" s="11" t="s">
        <v>9721</v>
      </c>
      <c r="Q16" s="11" t="s">
        <v>9708</v>
      </c>
      <c r="S16" s="4" t="b">
        <f>ISNUMBER(MATCH(Q16,T:T,0))</f>
        <v>1</v>
      </c>
      <c r="T16" s="4" t="s">
        <v>10914</v>
      </c>
      <c r="U16" s="4" t="str">
        <f t="shared" si="0"/>
        <v>弓</v>
      </c>
    </row>
    <row r="17" spans="1:21">
      <c r="A17" s="3">
        <v>16</v>
      </c>
      <c r="B17" s="3" t="s">
        <v>5988</v>
      </c>
      <c r="C17" s="3" t="s">
        <v>6045</v>
      </c>
      <c r="D17" s="3" t="s">
        <v>6001</v>
      </c>
      <c r="E17" s="3" t="s">
        <v>5991</v>
      </c>
      <c r="F17" s="3" t="s">
        <v>5992</v>
      </c>
      <c r="G17" s="3" t="s">
        <v>5993</v>
      </c>
      <c r="H17" s="3" t="s">
        <v>6046</v>
      </c>
      <c r="I17" s="3" t="s">
        <v>5995</v>
      </c>
      <c r="J17" s="5" t="s">
        <v>6047</v>
      </c>
      <c r="L17" s="3" t="s">
        <v>6048</v>
      </c>
      <c r="M17" s="3">
        <v>7</v>
      </c>
      <c r="N17" s="4" t="s">
        <v>5992</v>
      </c>
      <c r="O17" s="4">
        <v>1</v>
      </c>
      <c r="P17" s="11" t="s">
        <v>9722</v>
      </c>
      <c r="Q17" s="11" t="s">
        <v>9710</v>
      </c>
      <c r="S17" s="4" t="b">
        <f>ISNUMBER(MATCH(Q17,T:T,0))</f>
        <v>1</v>
      </c>
      <c r="T17" s="4" t="s">
        <v>10454</v>
      </c>
      <c r="U17" s="4" t="str">
        <f t="shared" si="0"/>
        <v>戎</v>
      </c>
    </row>
    <row r="18" spans="1:21">
      <c r="A18" s="3">
        <v>17</v>
      </c>
      <c r="B18" s="3" t="s">
        <v>5988</v>
      </c>
      <c r="C18" s="3" t="s">
        <v>6049</v>
      </c>
      <c r="D18" s="3" t="s">
        <v>6001</v>
      </c>
      <c r="E18" s="3" t="s">
        <v>5991</v>
      </c>
      <c r="F18" s="3" t="s">
        <v>5992</v>
      </c>
      <c r="G18" s="3" t="s">
        <v>5993</v>
      </c>
      <c r="H18" s="3" t="s">
        <v>6050</v>
      </c>
      <c r="I18" s="3" t="s">
        <v>5995</v>
      </c>
      <c r="J18" s="5" t="s">
        <v>6051</v>
      </c>
      <c r="L18" s="3" t="s">
        <v>6052</v>
      </c>
      <c r="M18" s="3">
        <v>7</v>
      </c>
      <c r="N18" s="4" t="s">
        <v>5992</v>
      </c>
      <c r="O18" s="4">
        <v>1</v>
      </c>
      <c r="P18" s="11" t="s">
        <v>9723</v>
      </c>
      <c r="Q18" s="11" t="s">
        <v>9710</v>
      </c>
      <c r="S18" s="4" t="b">
        <f>ISNUMBER(MATCH(Q18,T:T,0))</f>
        <v>1</v>
      </c>
      <c r="T18" s="4" t="s">
        <v>10915</v>
      </c>
      <c r="U18" s="4" t="str">
        <f t="shared" si="0"/>
        <v>戎</v>
      </c>
    </row>
    <row r="19" spans="1:21">
      <c r="A19" s="3">
        <v>18</v>
      </c>
      <c r="B19" s="3" t="s">
        <v>5988</v>
      </c>
      <c r="C19" s="3" t="s">
        <v>6053</v>
      </c>
      <c r="D19" s="3" t="s">
        <v>6001</v>
      </c>
      <c r="E19" s="3" t="s">
        <v>5991</v>
      </c>
      <c r="F19" s="3" t="s">
        <v>5992</v>
      </c>
      <c r="G19" s="3" t="s">
        <v>5993</v>
      </c>
      <c r="H19" s="3" t="s">
        <v>6054</v>
      </c>
      <c r="I19" s="3" t="s">
        <v>5995</v>
      </c>
      <c r="J19" s="5" t="s">
        <v>8377</v>
      </c>
      <c r="L19" s="3" t="s">
        <v>6052</v>
      </c>
      <c r="M19" s="3">
        <v>8</v>
      </c>
      <c r="N19" s="4" t="s">
        <v>5992</v>
      </c>
      <c r="O19" s="4">
        <v>1</v>
      </c>
      <c r="P19" s="11" t="s">
        <v>9724</v>
      </c>
      <c r="Q19" s="11" t="s">
        <v>9725</v>
      </c>
      <c r="S19" s="4" t="b">
        <f>ISNUMBER(MATCH(Q19,T:T,0))</f>
        <v>1</v>
      </c>
      <c r="T19" s="4" t="s">
        <v>10916</v>
      </c>
      <c r="U19" s="4" t="str">
        <f t="shared" si="0"/>
        <v>空</v>
      </c>
    </row>
    <row r="20" spans="1:21" ht="28.5">
      <c r="A20" s="3">
        <v>19</v>
      </c>
      <c r="B20" s="3" t="s">
        <v>5988</v>
      </c>
      <c r="C20" s="3" t="s">
        <v>6055</v>
      </c>
      <c r="D20" s="3" t="s">
        <v>6001</v>
      </c>
      <c r="E20" s="3" t="s">
        <v>5991</v>
      </c>
      <c r="F20" s="3" t="s">
        <v>5992</v>
      </c>
      <c r="G20" s="3" t="s">
        <v>5993</v>
      </c>
      <c r="H20" s="3" t="s">
        <v>6056</v>
      </c>
      <c r="I20" s="3" t="s">
        <v>5995</v>
      </c>
      <c r="J20" s="5" t="s">
        <v>6057</v>
      </c>
      <c r="L20" s="3" t="s">
        <v>6014</v>
      </c>
      <c r="M20" s="3">
        <v>7</v>
      </c>
      <c r="N20" s="4" t="s">
        <v>5992</v>
      </c>
      <c r="O20" s="4">
        <v>1</v>
      </c>
      <c r="P20" s="11" t="s">
        <v>6055</v>
      </c>
      <c r="Q20" s="11" t="s">
        <v>9726</v>
      </c>
      <c r="S20" s="4" t="b">
        <f>ISNUMBER(MATCH(Q20,T:T,0))</f>
        <v>1</v>
      </c>
      <c r="T20" s="4" t="s">
        <v>9992</v>
      </c>
      <c r="U20" s="4" t="str">
        <f t="shared" si="0"/>
        <v>終</v>
      </c>
    </row>
    <row r="21" spans="1:21">
      <c r="A21" s="3">
        <v>20</v>
      </c>
      <c r="B21" s="3" t="s">
        <v>5988</v>
      </c>
      <c r="C21" s="3" t="s">
        <v>6058</v>
      </c>
      <c r="D21" s="3" t="s">
        <v>6001</v>
      </c>
      <c r="E21" s="3" t="s">
        <v>5991</v>
      </c>
      <c r="F21" s="3" t="s">
        <v>5992</v>
      </c>
      <c r="G21" s="3" t="s">
        <v>5993</v>
      </c>
      <c r="H21" s="3" t="s">
        <v>6059</v>
      </c>
      <c r="I21" s="3" t="s">
        <v>5995</v>
      </c>
      <c r="J21" s="5" t="s">
        <v>8378</v>
      </c>
      <c r="L21" s="3" t="s">
        <v>6060</v>
      </c>
      <c r="M21" s="3">
        <v>6</v>
      </c>
      <c r="N21" s="4" t="s">
        <v>5992</v>
      </c>
      <c r="O21" s="4">
        <v>1</v>
      </c>
      <c r="P21" s="11" t="s">
        <v>9727</v>
      </c>
      <c r="Q21" s="11" t="s">
        <v>9712</v>
      </c>
      <c r="S21" s="4" t="b">
        <f>ISNUMBER(MATCH(Q21,T:T,0))</f>
        <v>1</v>
      </c>
      <c r="T21" s="4" t="s">
        <v>10917</v>
      </c>
      <c r="U21" s="4" t="str">
        <f t="shared" si="0"/>
        <v>中</v>
      </c>
    </row>
    <row r="22" spans="1:21">
      <c r="A22" s="3">
        <v>21</v>
      </c>
      <c r="B22" s="3" t="s">
        <v>5988</v>
      </c>
      <c r="C22" s="3" t="s">
        <v>6038</v>
      </c>
      <c r="D22" s="3" t="s">
        <v>5990</v>
      </c>
      <c r="E22" s="3" t="s">
        <v>5991</v>
      </c>
      <c r="F22" s="3" t="s">
        <v>5992</v>
      </c>
      <c r="G22" s="3" t="s">
        <v>5993</v>
      </c>
      <c r="H22" s="3" t="s">
        <v>6061</v>
      </c>
      <c r="I22" s="3" t="s">
        <v>5995</v>
      </c>
      <c r="J22" s="5" t="s">
        <v>8379</v>
      </c>
      <c r="L22" s="3" t="s">
        <v>6062</v>
      </c>
      <c r="M22" s="3">
        <v>14</v>
      </c>
      <c r="N22" s="4" t="s">
        <v>5992</v>
      </c>
      <c r="O22" s="4">
        <v>1</v>
      </c>
      <c r="P22" s="11" t="s">
        <v>9728</v>
      </c>
      <c r="Q22" s="11" t="s">
        <v>9705</v>
      </c>
      <c r="S22" s="4" t="b">
        <f>ISNUMBER(MATCH(Q22,T:T,0))</f>
        <v>1</v>
      </c>
      <c r="T22" s="4" t="s">
        <v>9725</v>
      </c>
      <c r="U22" s="4" t="str">
        <f t="shared" si="0"/>
        <v>紅</v>
      </c>
    </row>
    <row r="23" spans="1:21">
      <c r="A23" s="3">
        <v>22</v>
      </c>
      <c r="B23" s="3" t="s">
        <v>5988</v>
      </c>
      <c r="C23" s="3" t="s">
        <v>6025</v>
      </c>
      <c r="D23" s="3" t="s">
        <v>5990</v>
      </c>
      <c r="E23" s="3" t="s">
        <v>5991</v>
      </c>
      <c r="F23" s="3" t="s">
        <v>5992</v>
      </c>
      <c r="G23" s="3" t="s">
        <v>5993</v>
      </c>
      <c r="H23" s="3" t="s">
        <v>6063</v>
      </c>
      <c r="I23" s="3" t="s">
        <v>5995</v>
      </c>
      <c r="J23" s="5" t="s">
        <v>8380</v>
      </c>
      <c r="L23" s="3" t="s">
        <v>6064</v>
      </c>
      <c r="M23" s="3">
        <v>13</v>
      </c>
      <c r="N23" s="4" t="s">
        <v>5992</v>
      </c>
      <c r="O23" s="4">
        <v>1</v>
      </c>
      <c r="P23" s="11" t="s">
        <v>9729</v>
      </c>
      <c r="Q23" s="11" t="s">
        <v>9705</v>
      </c>
      <c r="S23" s="4" t="b">
        <f>ISNUMBER(MATCH(Q23,T:T,0))</f>
        <v>1</v>
      </c>
      <c r="T23" s="4" t="s">
        <v>9732</v>
      </c>
      <c r="U23" s="4" t="str">
        <f t="shared" si="0"/>
        <v>紅</v>
      </c>
    </row>
    <row r="24" spans="1:21" ht="39">
      <c r="A24" s="3">
        <v>23</v>
      </c>
      <c r="B24" s="3" t="s">
        <v>5988</v>
      </c>
      <c r="C24" s="3" t="s">
        <v>6035</v>
      </c>
      <c r="D24" s="3" t="s">
        <v>5990</v>
      </c>
      <c r="E24" s="3" t="s">
        <v>5991</v>
      </c>
      <c r="F24" s="3" t="s">
        <v>5992</v>
      </c>
      <c r="G24" s="3" t="s">
        <v>5993</v>
      </c>
      <c r="H24" s="3" t="s">
        <v>6065</v>
      </c>
      <c r="I24" s="3" t="s">
        <v>5995</v>
      </c>
      <c r="J24" s="5" t="s">
        <v>8381</v>
      </c>
      <c r="L24" s="3" t="s">
        <v>6037</v>
      </c>
      <c r="M24" s="3">
        <v>26</v>
      </c>
      <c r="N24" s="4" t="s">
        <v>5992</v>
      </c>
      <c r="O24" s="4">
        <v>1</v>
      </c>
      <c r="P24" s="11" t="s">
        <v>9719</v>
      </c>
      <c r="Q24" s="11" t="s">
        <v>9705</v>
      </c>
      <c r="S24" s="4" t="b">
        <f>ISNUMBER(MATCH(Q24,T:T,0))</f>
        <v>1</v>
      </c>
      <c r="T24" s="4" t="s">
        <v>10918</v>
      </c>
      <c r="U24" s="4" t="str">
        <f t="shared" si="0"/>
        <v>紅</v>
      </c>
    </row>
    <row r="25" spans="1:21" ht="39">
      <c r="A25" s="3">
        <v>24</v>
      </c>
      <c r="B25" s="3" t="s">
        <v>5988</v>
      </c>
      <c r="C25" s="3" t="s">
        <v>6058</v>
      </c>
      <c r="D25" s="3" t="s">
        <v>5990</v>
      </c>
      <c r="E25" s="3" t="s">
        <v>5991</v>
      </c>
      <c r="F25" s="3" t="s">
        <v>5992</v>
      </c>
      <c r="G25" s="3" t="s">
        <v>5993</v>
      </c>
      <c r="H25" s="3" t="s">
        <v>6066</v>
      </c>
      <c r="I25" s="3" t="s">
        <v>5995</v>
      </c>
      <c r="J25" s="5" t="s">
        <v>8382</v>
      </c>
      <c r="L25" s="3" t="s">
        <v>6060</v>
      </c>
      <c r="M25" s="3">
        <v>27</v>
      </c>
      <c r="N25" s="4" t="s">
        <v>5992</v>
      </c>
      <c r="O25" s="4">
        <v>1</v>
      </c>
      <c r="P25" s="11" t="s">
        <v>9730</v>
      </c>
      <c r="Q25" s="11" t="s">
        <v>9705</v>
      </c>
      <c r="S25" s="4" t="b">
        <f>ISNUMBER(MATCH(Q25,T:T,0))</f>
        <v>1</v>
      </c>
      <c r="T25" s="4" t="s">
        <v>10919</v>
      </c>
      <c r="U25" s="4" t="str">
        <f t="shared" si="0"/>
        <v>紅</v>
      </c>
    </row>
    <row r="26" spans="1:21" ht="39">
      <c r="A26" s="3">
        <v>25</v>
      </c>
      <c r="B26" s="3" t="s">
        <v>5988</v>
      </c>
      <c r="C26" s="3" t="s">
        <v>6067</v>
      </c>
      <c r="D26" s="3" t="s">
        <v>5990</v>
      </c>
      <c r="E26" s="3" t="s">
        <v>5991</v>
      </c>
      <c r="F26" s="3" t="s">
        <v>5992</v>
      </c>
      <c r="G26" s="3" t="s">
        <v>5993</v>
      </c>
      <c r="H26" s="7" t="s">
        <v>662</v>
      </c>
      <c r="I26" s="3" t="s">
        <v>5995</v>
      </c>
      <c r="J26" s="5" t="s">
        <v>8383</v>
      </c>
      <c r="L26" s="3" t="s">
        <v>6068</v>
      </c>
      <c r="M26" s="3">
        <v>22</v>
      </c>
      <c r="N26" s="4" t="s">
        <v>5992</v>
      </c>
      <c r="O26" s="4">
        <v>1</v>
      </c>
      <c r="P26" s="11" t="s">
        <v>9731</v>
      </c>
      <c r="Q26" s="11" t="s">
        <v>9732</v>
      </c>
      <c r="S26" s="4" t="b">
        <f>ISNUMBER(MATCH(Q26,T:T,0))</f>
        <v>1</v>
      </c>
      <c r="T26" s="4" t="s">
        <v>9705</v>
      </c>
      <c r="U26" s="4" t="str">
        <f t="shared" si="0"/>
        <v>公</v>
      </c>
    </row>
    <row r="27" spans="1:21">
      <c r="A27" s="3">
        <v>26</v>
      </c>
      <c r="B27" s="3" t="s">
        <v>5988</v>
      </c>
      <c r="C27" s="3" t="s">
        <v>6069</v>
      </c>
      <c r="D27" s="3" t="s">
        <v>5990</v>
      </c>
      <c r="E27" s="3" t="s">
        <v>5991</v>
      </c>
      <c r="F27" s="3" t="s">
        <v>5992</v>
      </c>
      <c r="G27" s="3" t="s">
        <v>5993</v>
      </c>
      <c r="H27" s="3" t="s">
        <v>6070</v>
      </c>
      <c r="I27" s="3" t="s">
        <v>5995</v>
      </c>
      <c r="J27" s="5" t="s">
        <v>8384</v>
      </c>
      <c r="L27" s="3" t="s">
        <v>6071</v>
      </c>
      <c r="M27" s="3">
        <v>5</v>
      </c>
      <c r="N27" s="4" t="s">
        <v>5992</v>
      </c>
      <c r="O27" s="4">
        <v>1</v>
      </c>
      <c r="P27" s="11" t="s">
        <v>9733</v>
      </c>
      <c r="Q27" s="11" t="s">
        <v>9705</v>
      </c>
      <c r="S27" s="4" t="b">
        <f>ISNUMBER(MATCH(Q27,T:T,0))</f>
        <v>1</v>
      </c>
      <c r="T27" s="4" t="s">
        <v>10920</v>
      </c>
      <c r="U27" s="4" t="str">
        <f t="shared" si="0"/>
        <v>紅</v>
      </c>
    </row>
    <row r="28" spans="1:21">
      <c r="A28" s="3">
        <v>27</v>
      </c>
      <c r="B28" s="3" t="s">
        <v>5988</v>
      </c>
      <c r="C28" s="3" t="s">
        <v>6072</v>
      </c>
      <c r="D28" s="3" t="s">
        <v>5990</v>
      </c>
      <c r="E28" s="3" t="s">
        <v>5991</v>
      </c>
      <c r="F28" s="3" t="s">
        <v>5992</v>
      </c>
      <c r="G28" s="3" t="s">
        <v>5993</v>
      </c>
      <c r="H28" s="3" t="s">
        <v>6073</v>
      </c>
      <c r="I28" s="3" t="s">
        <v>5995</v>
      </c>
      <c r="J28" s="5" t="s">
        <v>6074</v>
      </c>
      <c r="L28" s="3" t="s">
        <v>6075</v>
      </c>
      <c r="M28" s="3">
        <v>8</v>
      </c>
      <c r="N28" s="4" t="s">
        <v>5992</v>
      </c>
      <c r="O28" s="4">
        <v>1</v>
      </c>
      <c r="P28" s="11" t="s">
        <v>9734</v>
      </c>
      <c r="Q28" s="11" t="s">
        <v>9705</v>
      </c>
      <c r="S28" s="4" t="b">
        <f>ISNUMBER(MATCH(Q28,T:T,0))</f>
        <v>1</v>
      </c>
      <c r="T28" s="4" t="s">
        <v>10921</v>
      </c>
      <c r="U28" s="4" t="str">
        <f t="shared" si="0"/>
        <v>紅</v>
      </c>
    </row>
    <row r="29" spans="1:21" ht="58.5">
      <c r="A29" s="3">
        <v>28</v>
      </c>
      <c r="B29" s="3" t="s">
        <v>5988</v>
      </c>
      <c r="C29" s="3" t="s">
        <v>6076</v>
      </c>
      <c r="D29" s="3" t="s">
        <v>5990</v>
      </c>
      <c r="E29" s="3" t="s">
        <v>5991</v>
      </c>
      <c r="F29" s="3" t="s">
        <v>5992</v>
      </c>
      <c r="G29" s="3" t="s">
        <v>5993</v>
      </c>
      <c r="H29" s="3" t="s">
        <v>6077</v>
      </c>
      <c r="I29" s="3" t="s">
        <v>5995</v>
      </c>
      <c r="J29" s="8" t="s">
        <v>8385</v>
      </c>
      <c r="L29" s="3" t="s">
        <v>6078</v>
      </c>
      <c r="M29" s="3">
        <v>15</v>
      </c>
      <c r="N29" s="4" t="s">
        <v>5992</v>
      </c>
      <c r="O29" s="4">
        <v>1</v>
      </c>
      <c r="P29" s="11" t="s">
        <v>9735</v>
      </c>
      <c r="Q29" s="11" t="s">
        <v>9705</v>
      </c>
      <c r="S29" s="4" t="b">
        <f>ISNUMBER(MATCH(Q29,T:T,0))</f>
        <v>1</v>
      </c>
      <c r="T29" s="4" t="s">
        <v>10922</v>
      </c>
      <c r="U29" s="4" t="str">
        <f t="shared" si="0"/>
        <v>紅</v>
      </c>
    </row>
    <row r="30" spans="1:21">
      <c r="A30" s="3">
        <v>29</v>
      </c>
      <c r="B30" s="3" t="s">
        <v>5988</v>
      </c>
      <c r="C30" s="3" t="s">
        <v>6079</v>
      </c>
      <c r="D30" s="3" t="s">
        <v>5990</v>
      </c>
      <c r="E30" s="3" t="s">
        <v>5991</v>
      </c>
      <c r="F30" s="3" t="s">
        <v>5992</v>
      </c>
      <c r="G30" s="3" t="s">
        <v>5993</v>
      </c>
      <c r="H30" s="3" t="s">
        <v>6080</v>
      </c>
      <c r="I30" s="3" t="s">
        <v>5995</v>
      </c>
      <c r="J30" s="5" t="s">
        <v>6081</v>
      </c>
      <c r="L30" s="3" t="s">
        <v>6082</v>
      </c>
      <c r="M30" s="3">
        <v>9</v>
      </c>
      <c r="N30" s="4" t="s">
        <v>5992</v>
      </c>
      <c r="O30" s="4">
        <v>1</v>
      </c>
      <c r="P30" s="11" t="s">
        <v>9736</v>
      </c>
      <c r="Q30" s="11" t="s">
        <v>9705</v>
      </c>
      <c r="S30" s="4" t="b">
        <f>ISNUMBER(MATCH(Q30,T:T,0))</f>
        <v>1</v>
      </c>
      <c r="T30" s="4" t="s">
        <v>5995</v>
      </c>
      <c r="U30" s="4" t="str">
        <f t="shared" si="0"/>
        <v>紅</v>
      </c>
    </row>
    <row r="31" spans="1:21" ht="39">
      <c r="A31" s="3">
        <v>30</v>
      </c>
      <c r="B31" s="3" t="s">
        <v>5988</v>
      </c>
      <c r="C31" s="3" t="s">
        <v>6083</v>
      </c>
      <c r="D31" s="3" t="s">
        <v>5990</v>
      </c>
      <c r="E31" s="3" t="s">
        <v>5991</v>
      </c>
      <c r="F31" s="3" t="s">
        <v>5992</v>
      </c>
      <c r="G31" s="3" t="s">
        <v>5993</v>
      </c>
      <c r="H31" s="3" t="s">
        <v>6084</v>
      </c>
      <c r="I31" s="3" t="s">
        <v>5995</v>
      </c>
      <c r="J31" s="8" t="s">
        <v>8386</v>
      </c>
      <c r="L31" s="3" t="s">
        <v>6085</v>
      </c>
      <c r="M31" s="3">
        <v>21</v>
      </c>
      <c r="N31" s="4" t="s">
        <v>5992</v>
      </c>
      <c r="O31" s="4">
        <v>1</v>
      </c>
      <c r="P31" s="11" t="s">
        <v>9737</v>
      </c>
      <c r="Q31" s="11" t="s">
        <v>9705</v>
      </c>
      <c r="S31" s="4" t="b">
        <f>ISNUMBER(MATCH(Q31,T:T,0))</f>
        <v>1</v>
      </c>
      <c r="T31" s="4" t="s">
        <v>10923</v>
      </c>
      <c r="U31" s="4" t="str">
        <f t="shared" si="0"/>
        <v>紅</v>
      </c>
    </row>
    <row r="32" spans="1:21">
      <c r="A32" s="3">
        <v>31</v>
      </c>
      <c r="B32" s="3" t="s">
        <v>5988</v>
      </c>
      <c r="C32" s="3" t="s">
        <v>6045</v>
      </c>
      <c r="D32" s="3" t="s">
        <v>5990</v>
      </c>
      <c r="E32" s="3" t="s">
        <v>5991</v>
      </c>
      <c r="F32" s="3" t="s">
        <v>5992</v>
      </c>
      <c r="G32" s="3" t="s">
        <v>5993</v>
      </c>
      <c r="H32" s="3" t="s">
        <v>6086</v>
      </c>
      <c r="I32" s="3" t="s">
        <v>5995</v>
      </c>
      <c r="J32" s="5" t="s">
        <v>6087</v>
      </c>
      <c r="L32" s="3" t="s">
        <v>6088</v>
      </c>
      <c r="M32" s="3">
        <v>10</v>
      </c>
      <c r="N32" s="4" t="s">
        <v>5992</v>
      </c>
      <c r="O32" s="4">
        <v>1</v>
      </c>
      <c r="P32" s="11" t="s">
        <v>9738</v>
      </c>
      <c r="Q32" s="11" t="s">
        <v>9705</v>
      </c>
      <c r="S32" s="4" t="b">
        <f>ISNUMBER(MATCH(Q32,T:T,0))</f>
        <v>1</v>
      </c>
      <c r="T32" s="4" t="s">
        <v>10924</v>
      </c>
      <c r="U32" s="4" t="str">
        <f t="shared" si="0"/>
        <v>紅</v>
      </c>
    </row>
    <row r="33" spans="1:21">
      <c r="A33" s="3">
        <v>32</v>
      </c>
      <c r="B33" s="3" t="s">
        <v>5988</v>
      </c>
      <c r="C33" s="3" t="s">
        <v>6089</v>
      </c>
      <c r="D33" s="3" t="s">
        <v>5990</v>
      </c>
      <c r="E33" s="3" t="s">
        <v>5991</v>
      </c>
      <c r="F33" s="3" t="s">
        <v>5992</v>
      </c>
      <c r="G33" s="3" t="s">
        <v>5993</v>
      </c>
      <c r="H33" s="3" t="s">
        <v>6090</v>
      </c>
      <c r="I33" s="3" t="s">
        <v>5995</v>
      </c>
      <c r="J33" s="5" t="s">
        <v>8387</v>
      </c>
      <c r="L33" s="3" t="s">
        <v>6091</v>
      </c>
      <c r="M33" s="3">
        <v>6</v>
      </c>
      <c r="N33" s="4" t="s">
        <v>5992</v>
      </c>
      <c r="O33" s="4">
        <v>1</v>
      </c>
      <c r="P33" s="11" t="s">
        <v>9739</v>
      </c>
      <c r="Q33" s="11" t="s">
        <v>5992</v>
      </c>
      <c r="S33" s="4" t="b">
        <f>ISNUMBER(MATCH(Q33,T:T,0))</f>
        <v>1</v>
      </c>
      <c r="T33" s="4" t="s">
        <v>10925</v>
      </c>
      <c r="U33" s="4" t="str">
        <f t="shared" si="0"/>
        <v>東</v>
      </c>
    </row>
    <row r="34" spans="1:21">
      <c r="A34" s="3">
        <v>33</v>
      </c>
      <c r="B34" s="3" t="s">
        <v>5988</v>
      </c>
      <c r="C34" s="3" t="s">
        <v>6092</v>
      </c>
      <c r="D34" s="3" t="s">
        <v>5990</v>
      </c>
      <c r="E34" s="3" t="s">
        <v>5991</v>
      </c>
      <c r="F34" s="3" t="s">
        <v>5992</v>
      </c>
      <c r="G34" s="3" t="s">
        <v>5993</v>
      </c>
      <c r="H34" s="3" t="s">
        <v>6093</v>
      </c>
      <c r="I34" s="3" t="s">
        <v>5995</v>
      </c>
      <c r="J34" s="5" t="s">
        <v>6094</v>
      </c>
      <c r="L34" s="3" t="s">
        <v>6095</v>
      </c>
      <c r="M34" s="3">
        <v>1</v>
      </c>
      <c r="N34" s="4" t="s">
        <v>5992</v>
      </c>
      <c r="O34" s="4">
        <v>1</v>
      </c>
      <c r="P34" s="11" t="s">
        <v>9740</v>
      </c>
      <c r="Q34" s="11" t="s">
        <v>5992</v>
      </c>
      <c r="S34" s="4" t="b">
        <f>ISNUMBER(MATCH(Q34,T:T,0))</f>
        <v>1</v>
      </c>
      <c r="T34" s="4" t="s">
        <v>6094</v>
      </c>
      <c r="U34" s="4" t="str">
        <f t="shared" si="0"/>
        <v>東</v>
      </c>
    </row>
    <row r="35" spans="1:21">
      <c r="A35" s="3">
        <v>34</v>
      </c>
      <c r="B35" s="3" t="s">
        <v>5988</v>
      </c>
      <c r="C35" s="3" t="s">
        <v>6017</v>
      </c>
      <c r="D35" s="3" t="s">
        <v>5990</v>
      </c>
      <c r="E35" s="3" t="s">
        <v>5991</v>
      </c>
      <c r="F35" s="3" t="s">
        <v>5992</v>
      </c>
      <c r="G35" s="3" t="s">
        <v>5993</v>
      </c>
      <c r="H35" s="3" t="s">
        <v>6096</v>
      </c>
      <c r="I35" s="3" t="s">
        <v>5995</v>
      </c>
      <c r="J35" s="8" t="s">
        <v>8388</v>
      </c>
      <c r="L35" s="3" t="s">
        <v>6020</v>
      </c>
      <c r="M35" s="3">
        <v>3</v>
      </c>
      <c r="N35" s="4" t="s">
        <v>5992</v>
      </c>
      <c r="O35" s="4">
        <v>1</v>
      </c>
      <c r="P35" s="11" t="s">
        <v>9741</v>
      </c>
      <c r="Q35" s="11" t="s">
        <v>9732</v>
      </c>
      <c r="S35" s="4" t="b">
        <f>ISNUMBER(MATCH(Q35,T:T,0))</f>
        <v>1</v>
      </c>
      <c r="T35" s="4" t="s">
        <v>10926</v>
      </c>
      <c r="U35" s="4" t="str">
        <f t="shared" si="0"/>
        <v>公</v>
      </c>
    </row>
    <row r="36" spans="1:21">
      <c r="A36" s="3">
        <v>35</v>
      </c>
      <c r="B36" s="3" t="s">
        <v>6097</v>
      </c>
      <c r="C36" s="3" t="s">
        <v>5989</v>
      </c>
      <c r="D36" s="3" t="s">
        <v>5990</v>
      </c>
      <c r="E36" s="3" t="s">
        <v>5991</v>
      </c>
      <c r="F36" s="3" t="s">
        <v>6098</v>
      </c>
      <c r="G36" s="3" t="s">
        <v>5993</v>
      </c>
      <c r="H36" s="3" t="s">
        <v>6099</v>
      </c>
      <c r="I36" s="3" t="s">
        <v>5995</v>
      </c>
      <c r="J36" s="5" t="s">
        <v>8389</v>
      </c>
      <c r="L36" s="3" t="s">
        <v>5996</v>
      </c>
      <c r="M36" s="3">
        <v>7</v>
      </c>
      <c r="N36" s="4" t="s">
        <v>6098</v>
      </c>
      <c r="O36" s="4">
        <v>2</v>
      </c>
      <c r="P36" s="11" t="s">
        <v>9742</v>
      </c>
      <c r="Q36" s="11" t="s">
        <v>9743</v>
      </c>
      <c r="S36" s="4" t="b">
        <f>ISNUMBER(MATCH(Q36,T:T,0))</f>
        <v>1</v>
      </c>
      <c r="T36" s="4" t="s">
        <v>6098</v>
      </c>
      <c r="U36" s="4" t="str">
        <f t="shared" si="0"/>
        <v>宗</v>
      </c>
    </row>
    <row r="37" spans="1:21" ht="39">
      <c r="A37" s="3">
        <v>36</v>
      </c>
      <c r="B37" s="3" t="s">
        <v>6097</v>
      </c>
      <c r="C37" s="3" t="s">
        <v>5997</v>
      </c>
      <c r="D37" s="3" t="s">
        <v>5990</v>
      </c>
      <c r="E37" s="3" t="s">
        <v>5991</v>
      </c>
      <c r="F37" s="3" t="s">
        <v>6098</v>
      </c>
      <c r="G37" s="3" t="s">
        <v>5993</v>
      </c>
      <c r="H37" s="3" t="s">
        <v>6100</v>
      </c>
      <c r="I37" s="3" t="s">
        <v>5995</v>
      </c>
      <c r="J37" s="5" t="s">
        <v>8390</v>
      </c>
      <c r="L37" s="3" t="s">
        <v>5999</v>
      </c>
      <c r="M37" s="3">
        <v>22</v>
      </c>
      <c r="N37" s="4" t="s">
        <v>6098</v>
      </c>
      <c r="O37" s="4">
        <v>2</v>
      </c>
      <c r="P37" s="11" t="s">
        <v>9706</v>
      </c>
      <c r="Q37" s="11" t="s">
        <v>6098</v>
      </c>
      <c r="S37" s="4" t="b">
        <f>ISNUMBER(MATCH(Q37,T:T,0))</f>
        <v>1</v>
      </c>
      <c r="T37" s="4" t="s">
        <v>10927</v>
      </c>
      <c r="U37" s="4" t="str">
        <f t="shared" si="0"/>
        <v>冬</v>
      </c>
    </row>
    <row r="38" spans="1:21">
      <c r="A38" s="3">
        <v>37</v>
      </c>
      <c r="B38" s="3" t="s">
        <v>6097</v>
      </c>
      <c r="C38" s="3" t="s">
        <v>6069</v>
      </c>
      <c r="D38" s="3" t="s">
        <v>5990</v>
      </c>
      <c r="E38" s="3" t="s">
        <v>5991</v>
      </c>
      <c r="F38" s="3" t="s">
        <v>6098</v>
      </c>
      <c r="G38" s="3" t="s">
        <v>5993</v>
      </c>
      <c r="H38" s="3" t="s">
        <v>6101</v>
      </c>
      <c r="I38" s="3" t="s">
        <v>5995</v>
      </c>
      <c r="J38" s="5" t="s">
        <v>8391</v>
      </c>
      <c r="L38" s="3" t="s">
        <v>6071</v>
      </c>
      <c r="M38" s="3">
        <v>11</v>
      </c>
      <c r="N38" s="4" t="s">
        <v>6098</v>
      </c>
      <c r="O38" s="4">
        <v>2</v>
      </c>
      <c r="P38" s="11" t="s">
        <v>1077</v>
      </c>
      <c r="Q38" s="11" t="s">
        <v>9743</v>
      </c>
      <c r="S38" s="4" t="b">
        <f>ISNUMBER(MATCH(Q38,T:T,0))</f>
        <v>1</v>
      </c>
      <c r="T38" s="4" t="s">
        <v>10928</v>
      </c>
      <c r="U38" s="4" t="str">
        <f t="shared" si="0"/>
        <v>宗</v>
      </c>
    </row>
    <row r="39" spans="1:21">
      <c r="A39" s="3">
        <v>38</v>
      </c>
      <c r="B39" s="3" t="s">
        <v>6097</v>
      </c>
      <c r="C39" s="3" t="s">
        <v>6102</v>
      </c>
      <c r="D39" s="3" t="s">
        <v>5990</v>
      </c>
      <c r="E39" s="3" t="s">
        <v>5991</v>
      </c>
      <c r="F39" s="3" t="s">
        <v>6098</v>
      </c>
      <c r="G39" s="3" t="s">
        <v>5993</v>
      </c>
      <c r="H39" s="3" t="s">
        <v>6103</v>
      </c>
      <c r="I39" s="3" t="s">
        <v>5995</v>
      </c>
      <c r="J39" s="5" t="s">
        <v>8392</v>
      </c>
      <c r="L39" s="3" t="s">
        <v>6104</v>
      </c>
      <c r="M39" s="3">
        <v>12</v>
      </c>
      <c r="N39" s="4" t="s">
        <v>6098</v>
      </c>
      <c r="O39" s="4">
        <v>2</v>
      </c>
      <c r="P39" s="11" t="s">
        <v>9744</v>
      </c>
      <c r="Q39" s="11" t="s">
        <v>6098</v>
      </c>
      <c r="S39" s="4" t="b">
        <f>ISNUMBER(MATCH(Q39,T:T,0))</f>
        <v>1</v>
      </c>
      <c r="T39" s="4" t="s">
        <v>10929</v>
      </c>
      <c r="U39" s="4" t="str">
        <f t="shared" si="0"/>
        <v>冬</v>
      </c>
    </row>
    <row r="40" spans="1:21">
      <c r="A40" s="3">
        <v>39</v>
      </c>
      <c r="B40" s="3" t="s">
        <v>6097</v>
      </c>
      <c r="C40" s="3" t="s">
        <v>6025</v>
      </c>
      <c r="D40" s="3" t="s">
        <v>5990</v>
      </c>
      <c r="E40" s="3" t="s">
        <v>5991</v>
      </c>
      <c r="F40" s="3" t="s">
        <v>6098</v>
      </c>
      <c r="G40" s="3" t="s">
        <v>5993</v>
      </c>
      <c r="H40" s="3" t="s">
        <v>6105</v>
      </c>
      <c r="I40" s="3" t="s">
        <v>5995</v>
      </c>
      <c r="J40" s="5" t="s">
        <v>6106</v>
      </c>
      <c r="L40" s="3" t="s">
        <v>6064</v>
      </c>
      <c r="M40" s="3">
        <v>2</v>
      </c>
      <c r="N40" s="4" t="s">
        <v>6098</v>
      </c>
      <c r="O40" s="4">
        <v>2</v>
      </c>
      <c r="P40" s="11" t="s">
        <v>9729</v>
      </c>
      <c r="Q40" s="11" t="s">
        <v>6098</v>
      </c>
      <c r="S40" s="4" t="b">
        <f>ISNUMBER(MATCH(Q40,T:T,0))</f>
        <v>1</v>
      </c>
      <c r="T40" s="4" t="s">
        <v>10930</v>
      </c>
      <c r="U40" s="4" t="str">
        <f t="shared" si="0"/>
        <v>冬</v>
      </c>
    </row>
    <row r="41" spans="1:21">
      <c r="A41" s="3">
        <v>40</v>
      </c>
      <c r="B41" s="3" t="s">
        <v>6097</v>
      </c>
      <c r="C41" s="3" t="s">
        <v>6067</v>
      </c>
      <c r="D41" s="3" t="s">
        <v>5990</v>
      </c>
      <c r="E41" s="3" t="s">
        <v>5991</v>
      </c>
      <c r="F41" s="3" t="s">
        <v>6098</v>
      </c>
      <c r="G41" s="3" t="s">
        <v>5993</v>
      </c>
      <c r="H41" s="7" t="s">
        <v>663</v>
      </c>
      <c r="I41" s="3" t="s">
        <v>5995</v>
      </c>
      <c r="J41" s="5" t="s">
        <v>6107</v>
      </c>
      <c r="L41" s="3" t="s">
        <v>6068</v>
      </c>
      <c r="M41" s="3">
        <v>4</v>
      </c>
      <c r="N41" s="4" t="s">
        <v>6098</v>
      </c>
      <c r="O41" s="4">
        <v>2</v>
      </c>
      <c r="P41" s="11" t="s">
        <v>9731</v>
      </c>
      <c r="Q41" s="11" t="s">
        <v>6098</v>
      </c>
      <c r="S41" s="4" t="b">
        <f>ISNUMBER(MATCH(Q41,T:T,0))</f>
        <v>1</v>
      </c>
      <c r="T41" s="4" t="s">
        <v>10931</v>
      </c>
      <c r="U41" s="4" t="str">
        <f t="shared" si="0"/>
        <v>冬</v>
      </c>
    </row>
    <row r="42" spans="1:21">
      <c r="A42" s="3">
        <v>41</v>
      </c>
      <c r="B42" s="3" t="s">
        <v>6097</v>
      </c>
      <c r="C42" s="3" t="s">
        <v>6058</v>
      </c>
      <c r="D42" s="3" t="s">
        <v>5990</v>
      </c>
      <c r="E42" s="3" t="s">
        <v>5991</v>
      </c>
      <c r="F42" s="3" t="s">
        <v>6098</v>
      </c>
      <c r="G42" s="3" t="s">
        <v>5993</v>
      </c>
      <c r="H42" s="3" t="s">
        <v>6108</v>
      </c>
      <c r="I42" s="3" t="s">
        <v>5995</v>
      </c>
      <c r="J42" s="5" t="s">
        <v>6109</v>
      </c>
      <c r="L42" s="3" t="s">
        <v>6060</v>
      </c>
      <c r="M42" s="3">
        <v>3</v>
      </c>
      <c r="N42" s="4" t="s">
        <v>6098</v>
      </c>
      <c r="O42" s="4">
        <v>2</v>
      </c>
      <c r="P42" s="11" t="s">
        <v>9727</v>
      </c>
      <c r="Q42" s="11" t="s">
        <v>6098</v>
      </c>
      <c r="S42" s="4" t="b">
        <f>ISNUMBER(MATCH(Q42,T:T,0))</f>
        <v>1</v>
      </c>
      <c r="T42" s="4" t="s">
        <v>10932</v>
      </c>
      <c r="U42" s="4" t="str">
        <f t="shared" si="0"/>
        <v>冬</v>
      </c>
    </row>
    <row r="43" spans="1:21">
      <c r="A43" s="3">
        <v>42</v>
      </c>
      <c r="B43" s="3" t="s">
        <v>6097</v>
      </c>
      <c r="C43" s="3" t="s">
        <v>6083</v>
      </c>
      <c r="D43" s="3" t="s">
        <v>5990</v>
      </c>
      <c r="E43" s="3" t="s">
        <v>5991</v>
      </c>
      <c r="F43" s="3" t="s">
        <v>6098</v>
      </c>
      <c r="G43" s="3" t="s">
        <v>5993</v>
      </c>
      <c r="H43" s="3" t="s">
        <v>6110</v>
      </c>
      <c r="I43" s="3" t="s">
        <v>5995</v>
      </c>
      <c r="J43" s="5" t="s">
        <v>6111</v>
      </c>
      <c r="L43" s="3" t="s">
        <v>6085</v>
      </c>
      <c r="M43" s="3">
        <v>2</v>
      </c>
      <c r="N43" s="4" t="s">
        <v>6098</v>
      </c>
      <c r="O43" s="4">
        <v>2</v>
      </c>
      <c r="P43" s="11" t="s">
        <v>9745</v>
      </c>
      <c r="Q43" s="11" t="s">
        <v>6098</v>
      </c>
      <c r="S43" s="4" t="b">
        <f>ISNUMBER(MATCH(Q43,T:T,0))</f>
        <v>1</v>
      </c>
      <c r="T43" s="4" t="s">
        <v>9743</v>
      </c>
      <c r="U43" s="4" t="str">
        <f t="shared" si="0"/>
        <v>冬</v>
      </c>
    </row>
    <row r="44" spans="1:21">
      <c r="A44" s="3">
        <v>43</v>
      </c>
      <c r="B44" s="3" t="s">
        <v>6097</v>
      </c>
      <c r="C44" s="3" t="s">
        <v>6017</v>
      </c>
      <c r="D44" s="3" t="s">
        <v>5990</v>
      </c>
      <c r="E44" s="3" t="s">
        <v>5991</v>
      </c>
      <c r="F44" s="3" t="s">
        <v>6098</v>
      </c>
      <c r="G44" s="3" t="s">
        <v>5993</v>
      </c>
      <c r="H44" s="3" t="s">
        <v>6112</v>
      </c>
      <c r="I44" s="3" t="s">
        <v>5995</v>
      </c>
      <c r="J44" s="5" t="s">
        <v>6113</v>
      </c>
      <c r="L44" s="3" t="s">
        <v>6020</v>
      </c>
      <c r="M44" s="3">
        <v>2</v>
      </c>
      <c r="N44" s="4" t="s">
        <v>6098</v>
      </c>
      <c r="O44" s="4">
        <v>2</v>
      </c>
      <c r="P44" s="11" t="s">
        <v>9746</v>
      </c>
      <c r="Q44" s="11" t="s">
        <v>9743</v>
      </c>
      <c r="S44" s="4" t="b">
        <f>ISNUMBER(MATCH(Q44,T:T,0))</f>
        <v>1</v>
      </c>
      <c r="T44" s="4" t="s">
        <v>10933</v>
      </c>
      <c r="U44" s="4" t="str">
        <f t="shared" si="0"/>
        <v>宗</v>
      </c>
    </row>
    <row r="45" spans="1:21">
      <c r="A45" s="3">
        <v>44</v>
      </c>
      <c r="B45" s="3" t="s">
        <v>6097</v>
      </c>
      <c r="C45" s="3" t="s">
        <v>6079</v>
      </c>
      <c r="D45" s="3" t="s">
        <v>5990</v>
      </c>
      <c r="E45" s="3" t="s">
        <v>5991</v>
      </c>
      <c r="F45" s="3" t="s">
        <v>6098</v>
      </c>
      <c r="G45" s="3" t="s">
        <v>5993</v>
      </c>
      <c r="H45" s="3" t="s">
        <v>6114</v>
      </c>
      <c r="I45" s="3" t="s">
        <v>5995</v>
      </c>
      <c r="J45" s="5" t="s">
        <v>6115</v>
      </c>
      <c r="L45" s="3" t="s">
        <v>6082</v>
      </c>
      <c r="M45" s="3">
        <v>1</v>
      </c>
      <c r="N45" s="4" t="s">
        <v>6098</v>
      </c>
      <c r="O45" s="4">
        <v>2</v>
      </c>
      <c r="P45" s="11" t="s">
        <v>9736</v>
      </c>
      <c r="Q45" s="11" t="s">
        <v>6098</v>
      </c>
      <c r="S45" s="4" t="b">
        <f>ISNUMBER(MATCH(Q45,T:T,0))</f>
        <v>1</v>
      </c>
      <c r="T45" s="4" t="s">
        <v>6115</v>
      </c>
      <c r="U45" s="4" t="str">
        <f t="shared" si="0"/>
        <v>冬</v>
      </c>
    </row>
    <row r="46" spans="1:21" ht="28.5">
      <c r="A46" s="3">
        <v>45</v>
      </c>
      <c r="B46" s="3" t="s">
        <v>6116</v>
      </c>
      <c r="C46" s="3" t="s">
        <v>6009</v>
      </c>
      <c r="D46" s="3" t="s">
        <v>6001</v>
      </c>
      <c r="E46" s="3" t="s">
        <v>5991</v>
      </c>
      <c r="F46" s="3" t="s">
        <v>6117</v>
      </c>
      <c r="G46" s="3" t="s">
        <v>5993</v>
      </c>
      <c r="H46" s="3" t="s">
        <v>6118</v>
      </c>
      <c r="I46" s="3" t="s">
        <v>5995</v>
      </c>
      <c r="J46" s="5" t="s">
        <v>8393</v>
      </c>
      <c r="L46" s="3" t="s">
        <v>6004</v>
      </c>
      <c r="M46" s="3">
        <v>18</v>
      </c>
      <c r="N46" s="4" t="s">
        <v>6117</v>
      </c>
      <c r="O46" s="4">
        <v>3</v>
      </c>
      <c r="P46" s="11" t="s">
        <v>1726</v>
      </c>
      <c r="Q46" s="11" t="s">
        <v>9747</v>
      </c>
      <c r="S46" s="4" t="b">
        <f>ISNUMBER(MATCH(Q46,T:T,0))</f>
        <v>1</v>
      </c>
      <c r="T46" s="4" t="s">
        <v>6117</v>
      </c>
      <c r="U46" s="4" t="str">
        <f t="shared" si="0"/>
        <v>容</v>
      </c>
    </row>
    <row r="47" spans="1:21">
      <c r="A47" s="3">
        <v>46</v>
      </c>
      <c r="B47" s="3" t="s">
        <v>6116</v>
      </c>
      <c r="C47" s="3" t="s">
        <v>6058</v>
      </c>
      <c r="D47" s="3" t="s">
        <v>6001</v>
      </c>
      <c r="E47" s="3" t="s">
        <v>5991</v>
      </c>
      <c r="F47" s="3" t="s">
        <v>6117</v>
      </c>
      <c r="G47" s="3" t="s">
        <v>5993</v>
      </c>
      <c r="H47" s="3" t="s">
        <v>6119</v>
      </c>
      <c r="I47" s="3" t="s">
        <v>5995</v>
      </c>
      <c r="J47" s="5" t="s">
        <v>8394</v>
      </c>
      <c r="L47" s="3" t="s">
        <v>6060</v>
      </c>
      <c r="M47" s="3">
        <v>9</v>
      </c>
      <c r="N47" s="4" t="s">
        <v>6117</v>
      </c>
      <c r="O47" s="4">
        <v>3</v>
      </c>
      <c r="P47" s="11" t="s">
        <v>9727</v>
      </c>
      <c r="Q47" s="11" t="s">
        <v>6117</v>
      </c>
      <c r="S47" s="4" t="b">
        <f>ISNUMBER(MATCH(Q47,T:T,0))</f>
        <v>1</v>
      </c>
      <c r="T47" s="4" t="s">
        <v>10934</v>
      </c>
      <c r="U47" s="4" t="str">
        <f t="shared" si="0"/>
        <v>鍾</v>
      </c>
    </row>
    <row r="48" spans="1:21" ht="28.5">
      <c r="A48" s="3">
        <v>47</v>
      </c>
      <c r="B48" s="3" t="s">
        <v>6116</v>
      </c>
      <c r="C48" s="3" t="s">
        <v>6120</v>
      </c>
      <c r="D48" s="3" t="s">
        <v>6001</v>
      </c>
      <c r="E48" s="3" t="s">
        <v>5991</v>
      </c>
      <c r="F48" s="3" t="s">
        <v>6117</v>
      </c>
      <c r="G48" s="3" t="s">
        <v>5993</v>
      </c>
      <c r="H48" s="3" t="s">
        <v>6121</v>
      </c>
      <c r="I48" s="3" t="s">
        <v>5995</v>
      </c>
      <c r="J48" s="5" t="s">
        <v>8395</v>
      </c>
      <c r="L48" s="3" t="s">
        <v>6122</v>
      </c>
      <c r="M48" s="3">
        <v>6</v>
      </c>
      <c r="N48" s="4" t="s">
        <v>6117</v>
      </c>
      <c r="O48" s="4">
        <v>3</v>
      </c>
      <c r="P48" s="11" t="s">
        <v>6120</v>
      </c>
      <c r="Q48" s="11" t="s">
        <v>9747</v>
      </c>
      <c r="S48" s="4" t="b">
        <f>ISNUMBER(MATCH(Q48,T:T,0))</f>
        <v>1</v>
      </c>
      <c r="T48" s="4" t="s">
        <v>10935</v>
      </c>
      <c r="U48" s="4" t="str">
        <f t="shared" si="0"/>
        <v>容</v>
      </c>
    </row>
    <row r="49" spans="1:22">
      <c r="A49" s="3">
        <v>48</v>
      </c>
      <c r="B49" s="3" t="s">
        <v>6116</v>
      </c>
      <c r="C49" s="3" t="s">
        <v>6123</v>
      </c>
      <c r="D49" s="3" t="s">
        <v>6001</v>
      </c>
      <c r="E49" s="3" t="s">
        <v>5991</v>
      </c>
      <c r="F49" s="3" t="s">
        <v>6117</v>
      </c>
      <c r="G49" s="3" t="s">
        <v>5993</v>
      </c>
      <c r="H49" s="3" t="s">
        <v>6124</v>
      </c>
      <c r="I49" s="3" t="s">
        <v>5995</v>
      </c>
      <c r="J49" s="5" t="s">
        <v>6125</v>
      </c>
      <c r="L49" s="3" t="s">
        <v>6126</v>
      </c>
      <c r="M49" s="3">
        <v>4</v>
      </c>
      <c r="N49" s="4" t="s">
        <v>6117</v>
      </c>
      <c r="O49" s="4">
        <v>3</v>
      </c>
      <c r="P49" s="11" t="s">
        <v>9748</v>
      </c>
      <c r="Q49" s="11" t="s">
        <v>9747</v>
      </c>
      <c r="S49" s="4" t="b">
        <f>ISNUMBER(MATCH(Q49,T:T,0))</f>
        <v>1</v>
      </c>
      <c r="T49" s="4" t="s">
        <v>10936</v>
      </c>
      <c r="U49" s="4" t="str">
        <f t="shared" si="0"/>
        <v>容</v>
      </c>
    </row>
    <row r="50" spans="1:22" ht="28.5">
      <c r="A50" s="3">
        <v>49</v>
      </c>
      <c r="B50" s="3" t="s">
        <v>6116</v>
      </c>
      <c r="C50" s="3" t="s">
        <v>6055</v>
      </c>
      <c r="D50" s="3" t="s">
        <v>6001</v>
      </c>
      <c r="E50" s="3" t="s">
        <v>5991</v>
      </c>
      <c r="F50" s="3" t="s">
        <v>6117</v>
      </c>
      <c r="G50" s="3" t="s">
        <v>5993</v>
      </c>
      <c r="H50" s="3" t="s">
        <v>6127</v>
      </c>
      <c r="I50" s="3" t="s">
        <v>5995</v>
      </c>
      <c r="J50" s="5" t="s">
        <v>8396</v>
      </c>
      <c r="L50" s="3" t="s">
        <v>6014</v>
      </c>
      <c r="M50" s="3">
        <v>11</v>
      </c>
      <c r="N50" s="4" t="s">
        <v>6117</v>
      </c>
      <c r="O50" s="4">
        <v>3</v>
      </c>
      <c r="P50" s="11" t="s">
        <v>9749</v>
      </c>
      <c r="Q50" s="11" t="s">
        <v>9747</v>
      </c>
      <c r="S50" s="4" t="b">
        <f>ISNUMBER(MATCH(Q50,T:T,0))</f>
        <v>1</v>
      </c>
      <c r="T50" s="4" t="s">
        <v>10937</v>
      </c>
      <c r="U50" s="4" t="str">
        <f t="shared" si="0"/>
        <v>容</v>
      </c>
    </row>
    <row r="51" spans="1:22" ht="39">
      <c r="A51" s="3">
        <v>50</v>
      </c>
      <c r="B51" s="3" t="s">
        <v>6116</v>
      </c>
      <c r="C51" s="3" t="s">
        <v>6028</v>
      </c>
      <c r="D51" s="3" t="s">
        <v>6001</v>
      </c>
      <c r="E51" s="3" t="s">
        <v>5991</v>
      </c>
      <c r="F51" s="3" t="s">
        <v>6117</v>
      </c>
      <c r="G51" s="3" t="s">
        <v>5993</v>
      </c>
      <c r="H51" s="3" t="s">
        <v>6128</v>
      </c>
      <c r="I51" s="3" t="s">
        <v>5995</v>
      </c>
      <c r="J51" s="5" t="s">
        <v>8397</v>
      </c>
      <c r="L51" s="3" t="s">
        <v>6031</v>
      </c>
      <c r="M51" s="3">
        <v>35</v>
      </c>
      <c r="N51" s="4" t="s">
        <v>6117</v>
      </c>
      <c r="O51" s="4">
        <v>3</v>
      </c>
      <c r="P51" s="11" t="s">
        <v>9750</v>
      </c>
      <c r="Q51" s="11" t="s">
        <v>9751</v>
      </c>
      <c r="S51" s="4" t="b">
        <f>ISNUMBER(MATCH(Q51,T:T,0))</f>
        <v>1</v>
      </c>
      <c r="T51" s="4" t="s">
        <v>9747</v>
      </c>
      <c r="U51" s="4" t="str">
        <f t="shared" si="0"/>
        <v>封</v>
      </c>
    </row>
    <row r="52" spans="1:22">
      <c r="A52" s="3">
        <v>51</v>
      </c>
      <c r="B52" s="3" t="s">
        <v>6116</v>
      </c>
      <c r="C52" s="3" t="s">
        <v>6049</v>
      </c>
      <c r="D52" s="3" t="s">
        <v>6001</v>
      </c>
      <c r="E52" s="3" t="s">
        <v>5991</v>
      </c>
      <c r="F52" s="3" t="s">
        <v>6117</v>
      </c>
      <c r="G52" s="3" t="s">
        <v>5993</v>
      </c>
      <c r="H52" s="3" t="s">
        <v>6129</v>
      </c>
      <c r="I52" s="3" t="s">
        <v>5995</v>
      </c>
      <c r="J52" s="5" t="s">
        <v>8398</v>
      </c>
      <c r="L52" s="3" t="s">
        <v>6052</v>
      </c>
      <c r="M52" s="3">
        <v>5</v>
      </c>
      <c r="N52" s="4" t="s">
        <v>6117</v>
      </c>
      <c r="O52" s="4">
        <v>3</v>
      </c>
      <c r="P52" s="11" t="s">
        <v>9752</v>
      </c>
      <c r="Q52" s="11" t="s">
        <v>9747</v>
      </c>
      <c r="S52" s="4" t="b">
        <f>ISNUMBER(MATCH(Q52,T:T,0))</f>
        <v>1</v>
      </c>
      <c r="T52" s="4" t="s">
        <v>9751</v>
      </c>
      <c r="U52" s="4" t="str">
        <f t="shared" si="0"/>
        <v>容</v>
      </c>
    </row>
    <row r="53" spans="1:22" ht="28.5">
      <c r="A53" s="3">
        <v>52</v>
      </c>
      <c r="B53" s="3" t="s">
        <v>6116</v>
      </c>
      <c r="C53" s="3" t="s">
        <v>6089</v>
      </c>
      <c r="D53" s="3" t="s">
        <v>6001</v>
      </c>
      <c r="E53" s="3" t="s">
        <v>5991</v>
      </c>
      <c r="F53" s="3" t="s">
        <v>6117</v>
      </c>
      <c r="G53" s="3" t="s">
        <v>5993</v>
      </c>
      <c r="H53" s="3" t="s">
        <v>6130</v>
      </c>
      <c r="I53" s="3" t="s">
        <v>5995</v>
      </c>
      <c r="J53" s="5" t="s">
        <v>8399</v>
      </c>
      <c r="L53" s="3" t="s">
        <v>6131</v>
      </c>
      <c r="M53" s="3">
        <v>10</v>
      </c>
      <c r="N53" s="4" t="s">
        <v>6117</v>
      </c>
      <c r="O53" s="4">
        <v>3</v>
      </c>
      <c r="P53" s="11" t="s">
        <v>9753</v>
      </c>
      <c r="Q53" s="11" t="s">
        <v>9747</v>
      </c>
      <c r="S53" s="4" t="b">
        <f>ISNUMBER(MATCH(Q53,T:T,0))</f>
        <v>1</v>
      </c>
      <c r="T53" s="4" t="s">
        <v>10938</v>
      </c>
      <c r="U53" s="4" t="str">
        <f t="shared" si="0"/>
        <v>容</v>
      </c>
    </row>
    <row r="54" spans="1:22">
      <c r="A54" s="3">
        <v>53</v>
      </c>
      <c r="B54" s="3" t="s">
        <v>6116</v>
      </c>
      <c r="C54" s="3" t="s">
        <v>6092</v>
      </c>
      <c r="D54" s="3" t="s">
        <v>6001</v>
      </c>
      <c r="E54" s="3" t="s">
        <v>5991</v>
      </c>
      <c r="F54" s="3" t="s">
        <v>6117</v>
      </c>
      <c r="G54" s="3" t="s">
        <v>5993</v>
      </c>
      <c r="H54" s="3" t="s">
        <v>6132</v>
      </c>
      <c r="I54" s="3" t="s">
        <v>5995</v>
      </c>
      <c r="J54" s="5" t="s">
        <v>6133</v>
      </c>
      <c r="L54" s="3" t="s">
        <v>6031</v>
      </c>
      <c r="M54" s="3">
        <v>4</v>
      </c>
      <c r="N54" s="4" t="s">
        <v>6117</v>
      </c>
      <c r="O54" s="4">
        <v>3</v>
      </c>
      <c r="P54" s="11" t="s">
        <v>6462</v>
      </c>
      <c r="Q54" s="11" t="s">
        <v>9747</v>
      </c>
      <c r="S54" s="4" t="b">
        <f>ISNUMBER(MATCH(Q54,T:T,0))</f>
        <v>1</v>
      </c>
      <c r="T54" s="4" t="s">
        <v>10939</v>
      </c>
      <c r="U54" s="4" t="str">
        <f t="shared" si="0"/>
        <v>容</v>
      </c>
    </row>
    <row r="55" spans="1:22">
      <c r="A55" s="3">
        <v>54</v>
      </c>
      <c r="B55" s="3" t="s">
        <v>6116</v>
      </c>
      <c r="C55" s="3" t="s">
        <v>6072</v>
      </c>
      <c r="D55" s="3" t="s">
        <v>6001</v>
      </c>
      <c r="E55" s="3" t="s">
        <v>5991</v>
      </c>
      <c r="F55" s="3" t="s">
        <v>6117</v>
      </c>
      <c r="G55" s="3" t="s">
        <v>5993</v>
      </c>
      <c r="H55" s="3" t="s">
        <v>6134</v>
      </c>
      <c r="I55" s="3" t="s">
        <v>5995</v>
      </c>
      <c r="J55" s="5" t="s">
        <v>6135</v>
      </c>
      <c r="L55" s="3" t="s">
        <v>6136</v>
      </c>
      <c r="M55" s="3">
        <v>16</v>
      </c>
      <c r="N55" s="4" t="s">
        <v>6117</v>
      </c>
      <c r="O55" s="4">
        <v>3</v>
      </c>
      <c r="P55" s="11" t="s">
        <v>9754</v>
      </c>
      <c r="Q55" s="11" t="s">
        <v>9747</v>
      </c>
      <c r="S55" s="4" t="b">
        <f>ISNUMBER(MATCH(Q55,T:T,0))</f>
        <v>1</v>
      </c>
      <c r="T55" s="4" t="s">
        <v>10940</v>
      </c>
      <c r="U55" s="4" t="str">
        <f t="shared" si="0"/>
        <v>容</v>
      </c>
    </row>
    <row r="56" spans="1:22">
      <c r="A56" s="3">
        <v>55</v>
      </c>
      <c r="B56" s="3" t="s">
        <v>6116</v>
      </c>
      <c r="C56" s="3" t="s">
        <v>6137</v>
      </c>
      <c r="D56" s="3" t="s">
        <v>6001</v>
      </c>
      <c r="E56" s="3" t="s">
        <v>5991</v>
      </c>
      <c r="F56" s="3" t="s">
        <v>6117</v>
      </c>
      <c r="G56" s="3" t="s">
        <v>5993</v>
      </c>
      <c r="H56" s="3" t="s">
        <v>6138</v>
      </c>
      <c r="I56" s="3" t="s">
        <v>5995</v>
      </c>
      <c r="J56" s="5" t="s">
        <v>8400</v>
      </c>
      <c r="L56" s="3" t="s">
        <v>6104</v>
      </c>
      <c r="M56" s="3">
        <v>8</v>
      </c>
      <c r="N56" s="4" t="s">
        <v>6117</v>
      </c>
      <c r="O56" s="4">
        <v>3</v>
      </c>
      <c r="P56" s="11" t="s">
        <v>9755</v>
      </c>
      <c r="Q56" s="11" t="s">
        <v>9747</v>
      </c>
      <c r="S56" s="4" t="b">
        <f>ISNUMBER(MATCH(Q56,T:T,0))</f>
        <v>1</v>
      </c>
      <c r="T56" s="4" t="s">
        <v>10941</v>
      </c>
      <c r="U56" s="4" t="str">
        <f t="shared" si="0"/>
        <v>容</v>
      </c>
    </row>
    <row r="57" spans="1:22" ht="28.5">
      <c r="A57" s="3">
        <v>56</v>
      </c>
      <c r="B57" s="3" t="s">
        <v>6116</v>
      </c>
      <c r="C57" s="3" t="s">
        <v>6005</v>
      </c>
      <c r="D57" s="3" t="s">
        <v>6001</v>
      </c>
      <c r="E57" s="3" t="s">
        <v>5991</v>
      </c>
      <c r="F57" s="3" t="s">
        <v>6117</v>
      </c>
      <c r="G57" s="3" t="s">
        <v>5993</v>
      </c>
      <c r="H57" s="3" t="s">
        <v>6139</v>
      </c>
      <c r="I57" s="3" t="s">
        <v>5995</v>
      </c>
      <c r="J57" s="5" t="s">
        <v>8401</v>
      </c>
      <c r="L57" s="3" t="s">
        <v>6008</v>
      </c>
      <c r="M57" s="3">
        <v>6</v>
      </c>
      <c r="N57" s="4" t="s">
        <v>6117</v>
      </c>
      <c r="O57" s="4">
        <v>3</v>
      </c>
      <c r="P57" s="11" t="s">
        <v>9709</v>
      </c>
      <c r="Q57" s="11" t="s">
        <v>9747</v>
      </c>
      <c r="S57" s="4" t="b">
        <f>ISNUMBER(MATCH(Q57,T:T,0))</f>
        <v>1</v>
      </c>
      <c r="T57" s="4" t="s">
        <v>10942</v>
      </c>
      <c r="U57" s="4" t="str">
        <f t="shared" si="0"/>
        <v>容</v>
      </c>
    </row>
    <row r="58" spans="1:22">
      <c r="A58" s="3">
        <v>57</v>
      </c>
      <c r="B58" s="3" t="s">
        <v>6116</v>
      </c>
      <c r="C58" s="3" t="s">
        <v>6069</v>
      </c>
      <c r="D58" s="3" t="s">
        <v>6001</v>
      </c>
      <c r="E58" s="3" t="s">
        <v>5991</v>
      </c>
      <c r="F58" s="3" t="s">
        <v>6117</v>
      </c>
      <c r="G58" s="3" t="s">
        <v>5993</v>
      </c>
      <c r="H58" s="3" t="s">
        <v>6140</v>
      </c>
      <c r="I58" s="3" t="s">
        <v>5995</v>
      </c>
      <c r="J58" s="5" t="s">
        <v>8402</v>
      </c>
      <c r="L58" s="3" t="s">
        <v>6071</v>
      </c>
      <c r="M58" s="3">
        <v>3</v>
      </c>
      <c r="N58" s="4" t="s">
        <v>6117</v>
      </c>
      <c r="O58" s="4">
        <v>3</v>
      </c>
      <c r="P58" s="11" t="s">
        <v>9756</v>
      </c>
      <c r="Q58" s="11" t="s">
        <v>9747</v>
      </c>
      <c r="S58" s="4" t="b">
        <f>ISNUMBER(MATCH(Q58,T:T,0))</f>
        <v>1</v>
      </c>
      <c r="T58" s="4" t="s">
        <v>6069</v>
      </c>
      <c r="U58" s="4" t="str">
        <f t="shared" si="0"/>
        <v>容</v>
      </c>
    </row>
    <row r="59" spans="1:22" ht="28.5">
      <c r="A59" s="3">
        <v>58</v>
      </c>
      <c r="B59" s="3" t="s">
        <v>6116</v>
      </c>
      <c r="C59" s="3" t="s">
        <v>6011</v>
      </c>
      <c r="D59" s="3" t="s">
        <v>6001</v>
      </c>
      <c r="E59" s="3" t="s">
        <v>5991</v>
      </c>
      <c r="F59" s="3" t="s">
        <v>6117</v>
      </c>
      <c r="G59" s="3" t="s">
        <v>5993</v>
      </c>
      <c r="H59" s="3" t="s">
        <v>6141</v>
      </c>
      <c r="I59" s="3" t="s">
        <v>5995</v>
      </c>
      <c r="J59" s="8" t="s">
        <v>8403</v>
      </c>
      <c r="L59" s="3" t="s">
        <v>6014</v>
      </c>
      <c r="M59" s="3">
        <v>7</v>
      </c>
      <c r="N59" s="4" t="s">
        <v>6117</v>
      </c>
      <c r="O59" s="4">
        <v>3</v>
      </c>
      <c r="P59" s="11" t="s">
        <v>9757</v>
      </c>
      <c r="Q59" s="11" t="s">
        <v>9758</v>
      </c>
      <c r="R59" s="4" t="s">
        <v>12995</v>
      </c>
      <c r="S59" s="4" t="b">
        <f>ISNUMBER(MATCH(Q59,T:T,0))</f>
        <v>0</v>
      </c>
      <c r="T59" s="4" t="s">
        <v>10943</v>
      </c>
      <c r="U59" s="4" t="str">
        <f t="shared" si="0"/>
        <v>胸</v>
      </c>
      <c r="V59" s="4" t="b">
        <f>ISNUMBER(MATCH(R59,T:T,0))</f>
        <v>1</v>
      </c>
    </row>
    <row r="60" spans="1:22">
      <c r="A60" s="3">
        <v>59</v>
      </c>
      <c r="B60" s="3" t="s">
        <v>6116</v>
      </c>
      <c r="C60" s="3" t="s">
        <v>6045</v>
      </c>
      <c r="D60" s="3" t="s">
        <v>6001</v>
      </c>
      <c r="E60" s="3" t="s">
        <v>5991</v>
      </c>
      <c r="F60" s="3" t="s">
        <v>6117</v>
      </c>
      <c r="G60" s="3" t="s">
        <v>5993</v>
      </c>
      <c r="H60" s="3" t="s">
        <v>6142</v>
      </c>
      <c r="I60" s="3" t="s">
        <v>5995</v>
      </c>
      <c r="J60" s="5" t="s">
        <v>8404</v>
      </c>
      <c r="L60" s="3" t="s">
        <v>6048</v>
      </c>
      <c r="M60" s="3">
        <v>8</v>
      </c>
      <c r="N60" s="4" t="s">
        <v>6117</v>
      </c>
      <c r="O60" s="4">
        <v>3</v>
      </c>
      <c r="P60" s="11" t="s">
        <v>9759</v>
      </c>
      <c r="Q60" s="11" t="s">
        <v>9747</v>
      </c>
      <c r="S60" s="4" t="b">
        <f>ISNUMBER(MATCH(Q60,T:T,0))</f>
        <v>1</v>
      </c>
      <c r="T60" s="4" t="s">
        <v>10944</v>
      </c>
      <c r="U60" s="4" t="str">
        <f t="shared" si="0"/>
        <v>容</v>
      </c>
    </row>
    <row r="61" spans="1:22">
      <c r="A61" s="3">
        <v>60</v>
      </c>
      <c r="B61" s="3" t="s">
        <v>6116</v>
      </c>
      <c r="C61" s="3" t="s">
        <v>6053</v>
      </c>
      <c r="D61" s="3" t="s">
        <v>6001</v>
      </c>
      <c r="E61" s="3" t="s">
        <v>5991</v>
      </c>
      <c r="F61" s="3" t="s">
        <v>6117</v>
      </c>
      <c r="G61" s="3" t="s">
        <v>5993</v>
      </c>
      <c r="H61" s="3" t="s">
        <v>6143</v>
      </c>
      <c r="I61" s="3" t="s">
        <v>5995</v>
      </c>
      <c r="J61" s="8" t="s">
        <v>8405</v>
      </c>
      <c r="L61" s="3" t="s">
        <v>6052</v>
      </c>
      <c r="M61" s="3">
        <v>16</v>
      </c>
      <c r="N61" s="4" t="s">
        <v>6117</v>
      </c>
      <c r="O61" s="4">
        <v>3</v>
      </c>
      <c r="P61" s="11" t="s">
        <v>9724</v>
      </c>
      <c r="Q61" s="11" t="s">
        <v>9747</v>
      </c>
      <c r="S61" s="4" t="b">
        <f>ISNUMBER(MATCH(Q61,T:T,0))</f>
        <v>1</v>
      </c>
      <c r="T61" s="4" t="s">
        <v>10452</v>
      </c>
      <c r="U61" s="4" t="str">
        <f t="shared" si="0"/>
        <v>容</v>
      </c>
    </row>
    <row r="62" spans="1:22">
      <c r="A62" s="3">
        <v>61</v>
      </c>
      <c r="B62" s="3" t="s">
        <v>6116</v>
      </c>
      <c r="C62" s="3" t="s">
        <v>6083</v>
      </c>
      <c r="D62" s="3" t="s">
        <v>6001</v>
      </c>
      <c r="E62" s="3" t="s">
        <v>5991</v>
      </c>
      <c r="F62" s="3" t="s">
        <v>6117</v>
      </c>
      <c r="G62" s="3" t="s">
        <v>5993</v>
      </c>
      <c r="H62" s="3" t="s">
        <v>6144</v>
      </c>
      <c r="I62" s="3" t="s">
        <v>5995</v>
      </c>
      <c r="J62" s="5" t="s">
        <v>8406</v>
      </c>
      <c r="L62" s="3" t="s">
        <v>6085</v>
      </c>
      <c r="M62" s="3">
        <v>9</v>
      </c>
      <c r="N62" s="4" t="s">
        <v>6117</v>
      </c>
      <c r="O62" s="4">
        <v>3</v>
      </c>
      <c r="P62" s="11" t="s">
        <v>9760</v>
      </c>
      <c r="Q62" s="11" t="s">
        <v>9747</v>
      </c>
      <c r="S62" s="4" t="b">
        <f>ISNUMBER(MATCH(Q62,T:T,0))</f>
        <v>1</v>
      </c>
      <c r="T62" s="4" t="s">
        <v>10945</v>
      </c>
      <c r="U62" s="4" t="str">
        <f t="shared" si="0"/>
        <v>容</v>
      </c>
    </row>
    <row r="63" spans="1:22">
      <c r="A63" s="3">
        <v>62</v>
      </c>
      <c r="B63" s="3" t="s">
        <v>6116</v>
      </c>
      <c r="C63" s="3" t="s">
        <v>6021</v>
      </c>
      <c r="D63" s="3" t="s">
        <v>6001</v>
      </c>
      <c r="E63" s="3" t="s">
        <v>5991</v>
      </c>
      <c r="F63" s="3" t="s">
        <v>6117</v>
      </c>
      <c r="G63" s="3" t="s">
        <v>5993</v>
      </c>
      <c r="H63" s="3" t="s">
        <v>6145</v>
      </c>
      <c r="I63" s="3" t="s">
        <v>5995</v>
      </c>
      <c r="J63" s="5" t="s">
        <v>8407</v>
      </c>
      <c r="L63" s="3" t="s">
        <v>6024</v>
      </c>
      <c r="M63" s="3">
        <v>10</v>
      </c>
      <c r="N63" s="4" t="s">
        <v>6117</v>
      </c>
      <c r="O63" s="4">
        <v>3</v>
      </c>
      <c r="P63" s="11" t="s">
        <v>9761</v>
      </c>
      <c r="Q63" s="11" t="s">
        <v>9747</v>
      </c>
      <c r="S63" s="4" t="b">
        <f>ISNUMBER(MATCH(Q63,T:T,0))</f>
        <v>1</v>
      </c>
      <c r="T63" s="4" t="s">
        <v>10946</v>
      </c>
      <c r="U63" s="4" t="str">
        <f t="shared" si="0"/>
        <v>容</v>
      </c>
    </row>
    <row r="64" spans="1:22" ht="28.5">
      <c r="A64" s="3">
        <v>63</v>
      </c>
      <c r="B64" s="3" t="s">
        <v>6116</v>
      </c>
      <c r="C64" s="3" t="s">
        <v>6041</v>
      </c>
      <c r="D64" s="3" t="s">
        <v>6001</v>
      </c>
      <c r="E64" s="3" t="s">
        <v>5991</v>
      </c>
      <c r="F64" s="3" t="s">
        <v>6117</v>
      </c>
      <c r="G64" s="3" t="s">
        <v>5993</v>
      </c>
      <c r="H64" s="3" t="s">
        <v>6146</v>
      </c>
      <c r="I64" s="3" t="s">
        <v>5995</v>
      </c>
      <c r="J64" s="5" t="s">
        <v>6147</v>
      </c>
      <c r="L64" s="3" t="s">
        <v>6044</v>
      </c>
      <c r="M64" s="3">
        <v>16</v>
      </c>
      <c r="N64" s="4" t="s">
        <v>6117</v>
      </c>
      <c r="O64" s="4">
        <v>3</v>
      </c>
      <c r="P64" s="11" t="s">
        <v>9721</v>
      </c>
      <c r="Q64" s="11" t="s">
        <v>9747</v>
      </c>
      <c r="S64" s="4" t="b">
        <f>ISNUMBER(MATCH(Q64,T:T,0))</f>
        <v>1</v>
      </c>
      <c r="T64" s="4" t="s">
        <v>10947</v>
      </c>
      <c r="U64" s="4" t="str">
        <f t="shared" si="0"/>
        <v>容</v>
      </c>
    </row>
    <row r="65" spans="1:22" ht="28.5">
      <c r="A65" s="3">
        <v>64</v>
      </c>
      <c r="B65" s="3" t="s">
        <v>6116</v>
      </c>
      <c r="C65" s="3" t="s">
        <v>6148</v>
      </c>
      <c r="D65" s="3" t="s">
        <v>6001</v>
      </c>
      <c r="E65" s="3" t="s">
        <v>5991</v>
      </c>
      <c r="F65" s="3" t="s">
        <v>6117</v>
      </c>
      <c r="G65" s="3" t="s">
        <v>5993</v>
      </c>
      <c r="H65" s="3" t="s">
        <v>6149</v>
      </c>
      <c r="I65" s="3" t="s">
        <v>5995</v>
      </c>
      <c r="J65" s="8" t="s">
        <v>8408</v>
      </c>
      <c r="L65" s="3" t="s">
        <v>6008</v>
      </c>
      <c r="M65" s="3">
        <v>3</v>
      </c>
      <c r="N65" s="4" t="s">
        <v>6117</v>
      </c>
      <c r="O65" s="4">
        <v>3</v>
      </c>
      <c r="P65" s="11" t="s">
        <v>9762</v>
      </c>
      <c r="Q65" s="11" t="s">
        <v>9763</v>
      </c>
      <c r="R65" s="4" t="s">
        <v>12996</v>
      </c>
      <c r="S65" s="4" t="b">
        <f>ISNUMBER(MATCH(Q65,T:T,0))</f>
        <v>0</v>
      </c>
      <c r="T65" s="4" t="s">
        <v>10948</v>
      </c>
      <c r="U65" s="4" t="str">
        <f t="shared" si="0"/>
        <v>容</v>
      </c>
      <c r="V65" s="4" t="b">
        <f>ISNUMBER(MATCH(R65,T:T,0))</f>
        <v>1</v>
      </c>
    </row>
    <row r="66" spans="1:22" ht="28.5">
      <c r="A66" s="3">
        <v>65</v>
      </c>
      <c r="B66" s="3" t="s">
        <v>6116</v>
      </c>
      <c r="C66" s="3" t="s">
        <v>6025</v>
      </c>
      <c r="D66" s="3" t="s">
        <v>6001</v>
      </c>
      <c r="E66" s="3" t="s">
        <v>5991</v>
      </c>
      <c r="F66" s="3" t="s">
        <v>6117</v>
      </c>
      <c r="G66" s="3" t="s">
        <v>5993</v>
      </c>
      <c r="H66" s="3" t="s">
        <v>6150</v>
      </c>
      <c r="I66" s="3" t="s">
        <v>5995</v>
      </c>
      <c r="J66" s="5" t="s">
        <v>8409</v>
      </c>
      <c r="L66" s="3" t="s">
        <v>6027</v>
      </c>
      <c r="M66" s="3">
        <v>10</v>
      </c>
      <c r="N66" s="4" t="s">
        <v>6117</v>
      </c>
      <c r="O66" s="4">
        <v>3</v>
      </c>
      <c r="P66" s="11" t="s">
        <v>9764</v>
      </c>
      <c r="Q66" s="11" t="s">
        <v>9747</v>
      </c>
      <c r="S66" s="4" t="b">
        <f>ISNUMBER(MATCH(Q66,T:T,0))</f>
        <v>1</v>
      </c>
      <c r="T66" s="4" t="s">
        <v>9765</v>
      </c>
      <c r="U66" s="4" t="str">
        <f t="shared" si="0"/>
        <v>容</v>
      </c>
    </row>
    <row r="67" spans="1:22">
      <c r="A67" s="3">
        <v>66</v>
      </c>
      <c r="B67" s="3" t="s">
        <v>6116</v>
      </c>
      <c r="C67" s="3" t="s">
        <v>6017</v>
      </c>
      <c r="D67" s="3" t="s">
        <v>6001</v>
      </c>
      <c r="E67" s="3" t="s">
        <v>5991</v>
      </c>
      <c r="F67" s="3" t="s">
        <v>6117</v>
      </c>
      <c r="G67" s="3" t="s">
        <v>5993</v>
      </c>
      <c r="H67" s="3" t="s">
        <v>6151</v>
      </c>
      <c r="I67" s="3" t="s">
        <v>5995</v>
      </c>
      <c r="J67" s="5" t="s">
        <v>8410</v>
      </c>
      <c r="L67" s="3" t="s">
        <v>6020</v>
      </c>
      <c r="M67" s="3">
        <v>6</v>
      </c>
      <c r="N67" s="4" t="s">
        <v>6117</v>
      </c>
      <c r="O67" s="4">
        <v>3</v>
      </c>
      <c r="P67" s="11" t="s">
        <v>9714</v>
      </c>
      <c r="Q67" s="11" t="s">
        <v>9765</v>
      </c>
      <c r="S67" s="4" t="b">
        <f>ISNUMBER(MATCH(Q67,T:T,0))</f>
        <v>1</v>
      </c>
      <c r="T67" s="4" t="s">
        <v>10949</v>
      </c>
      <c r="U67" s="4" t="str">
        <f t="shared" ref="U67:U130" si="1">IF(ISBLANK(R67),Q67,R67)</f>
        <v>恭</v>
      </c>
    </row>
    <row r="68" spans="1:22">
      <c r="A68" s="3">
        <v>67</v>
      </c>
      <c r="B68" s="3" t="s">
        <v>6116</v>
      </c>
      <c r="C68" s="3" t="s">
        <v>6076</v>
      </c>
      <c r="D68" s="3" t="s">
        <v>6001</v>
      </c>
      <c r="E68" s="3" t="s">
        <v>5991</v>
      </c>
      <c r="F68" s="3" t="s">
        <v>6117</v>
      </c>
      <c r="G68" s="3" t="s">
        <v>5993</v>
      </c>
      <c r="H68" s="3" t="s">
        <v>6152</v>
      </c>
      <c r="I68" s="3" t="s">
        <v>5995</v>
      </c>
      <c r="J68" s="5" t="s">
        <v>6153</v>
      </c>
      <c r="L68" s="3" t="s">
        <v>6078</v>
      </c>
      <c r="M68" s="3">
        <v>12</v>
      </c>
      <c r="N68" s="4" t="s">
        <v>6117</v>
      </c>
      <c r="O68" s="4">
        <v>3</v>
      </c>
      <c r="P68" s="11" t="s">
        <v>9766</v>
      </c>
      <c r="Q68" s="11" t="s">
        <v>9765</v>
      </c>
      <c r="S68" s="4" t="b">
        <f>ISNUMBER(MATCH(Q68,T:T,0))</f>
        <v>1</v>
      </c>
      <c r="T68" s="4" t="s">
        <v>10950</v>
      </c>
      <c r="U68" s="4" t="str">
        <f t="shared" si="1"/>
        <v>恭</v>
      </c>
    </row>
    <row r="69" spans="1:22" ht="28.5">
      <c r="A69" s="3">
        <v>68</v>
      </c>
      <c r="B69" s="3" t="s">
        <v>6116</v>
      </c>
      <c r="C69" s="3" t="s">
        <v>6038</v>
      </c>
      <c r="D69" s="3" t="s">
        <v>6001</v>
      </c>
      <c r="E69" s="3" t="s">
        <v>5991</v>
      </c>
      <c r="F69" s="3" t="s">
        <v>6117</v>
      </c>
      <c r="G69" s="3" t="s">
        <v>5993</v>
      </c>
      <c r="H69" s="3" t="s">
        <v>6154</v>
      </c>
      <c r="I69" s="3" t="s">
        <v>5995</v>
      </c>
      <c r="J69" s="5" t="s">
        <v>6155</v>
      </c>
      <c r="L69" s="3" t="s">
        <v>6040</v>
      </c>
      <c r="M69" s="3">
        <v>2</v>
      </c>
      <c r="N69" s="4" t="s">
        <v>6117</v>
      </c>
      <c r="O69" s="4">
        <v>3</v>
      </c>
      <c r="P69" s="11" t="s">
        <v>9767</v>
      </c>
      <c r="Q69" s="11" t="s">
        <v>9765</v>
      </c>
      <c r="S69" s="4" t="b">
        <f>ISNUMBER(MATCH(Q69,T:T,0))</f>
        <v>1</v>
      </c>
      <c r="T69" s="4" t="s">
        <v>10951</v>
      </c>
      <c r="U69" s="4" t="str">
        <f t="shared" si="1"/>
        <v>恭</v>
      </c>
    </row>
    <row r="70" spans="1:22" ht="28.5">
      <c r="A70" s="3">
        <v>69</v>
      </c>
      <c r="B70" s="3" t="s">
        <v>6156</v>
      </c>
      <c r="C70" s="3" t="s">
        <v>6025</v>
      </c>
      <c r="D70" s="3" t="s">
        <v>6157</v>
      </c>
      <c r="E70" s="3" t="s">
        <v>5991</v>
      </c>
      <c r="F70" s="3" t="s">
        <v>6158</v>
      </c>
      <c r="G70" s="3" t="s">
        <v>5993</v>
      </c>
      <c r="H70" s="3" t="s">
        <v>6159</v>
      </c>
      <c r="I70" s="3" t="s">
        <v>6158</v>
      </c>
      <c r="J70" s="5" t="s">
        <v>6160</v>
      </c>
      <c r="L70" s="3" t="s">
        <v>6161</v>
      </c>
      <c r="M70" s="3">
        <v>11</v>
      </c>
      <c r="N70" s="4" t="s">
        <v>6158</v>
      </c>
      <c r="O70" s="4">
        <v>4</v>
      </c>
      <c r="P70" s="11" t="s">
        <v>9729</v>
      </c>
      <c r="Q70" s="11" t="s">
        <v>9768</v>
      </c>
      <c r="S70" s="4" t="b">
        <f>ISNUMBER(MATCH(Q70,T:T,0))</f>
        <v>1</v>
      </c>
      <c r="T70" s="4" t="s">
        <v>6158</v>
      </c>
      <c r="U70" s="4" t="str">
        <f t="shared" si="1"/>
        <v>雙</v>
      </c>
    </row>
    <row r="71" spans="1:22">
      <c r="A71" s="3">
        <v>70</v>
      </c>
      <c r="B71" s="3" t="s">
        <v>6156</v>
      </c>
      <c r="C71" s="3" t="s">
        <v>6035</v>
      </c>
      <c r="D71" s="3" t="s">
        <v>6157</v>
      </c>
      <c r="E71" s="3" t="s">
        <v>5991</v>
      </c>
      <c r="F71" s="3" t="s">
        <v>6158</v>
      </c>
      <c r="G71" s="3" t="s">
        <v>5993</v>
      </c>
      <c r="H71" s="3" t="s">
        <v>6162</v>
      </c>
      <c r="I71" s="3" t="s">
        <v>6158</v>
      </c>
      <c r="J71" s="5" t="s">
        <v>8411</v>
      </c>
      <c r="L71" s="3" t="s">
        <v>6163</v>
      </c>
      <c r="M71" s="3">
        <v>14</v>
      </c>
      <c r="N71" s="4" t="s">
        <v>6158</v>
      </c>
      <c r="O71" s="4">
        <v>4</v>
      </c>
      <c r="P71" s="11" t="s">
        <v>9719</v>
      </c>
      <c r="Q71" s="11" t="s">
        <v>6158</v>
      </c>
      <c r="S71" s="4" t="b">
        <f>ISNUMBER(MATCH(Q71,T:T,0))</f>
        <v>1</v>
      </c>
      <c r="T71" s="4" t="s">
        <v>10952</v>
      </c>
      <c r="U71" s="4" t="str">
        <f t="shared" si="1"/>
        <v>江</v>
      </c>
    </row>
    <row r="72" spans="1:22">
      <c r="A72" s="3">
        <v>71</v>
      </c>
      <c r="B72" s="3" t="s">
        <v>6156</v>
      </c>
      <c r="C72" s="3" t="s">
        <v>6137</v>
      </c>
      <c r="D72" s="3" t="s">
        <v>6157</v>
      </c>
      <c r="E72" s="3" t="s">
        <v>5991</v>
      </c>
      <c r="F72" s="3" t="s">
        <v>6158</v>
      </c>
      <c r="G72" s="3" t="s">
        <v>5993</v>
      </c>
      <c r="H72" s="3" t="s">
        <v>6164</v>
      </c>
      <c r="I72" s="3" t="s">
        <v>6158</v>
      </c>
      <c r="J72" s="5" t="s">
        <v>6165</v>
      </c>
      <c r="L72" s="3" t="s">
        <v>6166</v>
      </c>
      <c r="M72" s="3">
        <v>8</v>
      </c>
      <c r="N72" s="4" t="s">
        <v>6158</v>
      </c>
      <c r="O72" s="4">
        <v>4</v>
      </c>
      <c r="P72" s="11" t="s">
        <v>9755</v>
      </c>
      <c r="Q72" s="11" t="s">
        <v>6158</v>
      </c>
      <c r="S72" s="4" t="b">
        <f>ISNUMBER(MATCH(Q72,T:T,0))</f>
        <v>1</v>
      </c>
      <c r="T72" s="4" t="s">
        <v>10953</v>
      </c>
      <c r="U72" s="4" t="str">
        <f t="shared" si="1"/>
        <v>江</v>
      </c>
    </row>
    <row r="73" spans="1:22" ht="28.5">
      <c r="A73" s="3">
        <v>72</v>
      </c>
      <c r="B73" s="3" t="s">
        <v>6156</v>
      </c>
      <c r="C73" s="3" t="s">
        <v>6167</v>
      </c>
      <c r="D73" s="3" t="s">
        <v>6157</v>
      </c>
      <c r="E73" s="3" t="s">
        <v>5991</v>
      </c>
      <c r="F73" s="3" t="s">
        <v>6158</v>
      </c>
      <c r="G73" s="3" t="s">
        <v>5993</v>
      </c>
      <c r="H73" s="3" t="s">
        <v>6168</v>
      </c>
      <c r="I73" s="3" t="s">
        <v>6158</v>
      </c>
      <c r="J73" s="5" t="s">
        <v>8412</v>
      </c>
      <c r="L73" s="3" t="s">
        <v>6169</v>
      </c>
      <c r="M73" s="3">
        <v>9</v>
      </c>
      <c r="N73" s="4" t="s">
        <v>6158</v>
      </c>
      <c r="O73" s="4">
        <v>4</v>
      </c>
      <c r="P73" s="11" t="s">
        <v>9769</v>
      </c>
      <c r="Q73" s="11" t="s">
        <v>6158</v>
      </c>
      <c r="S73" s="4" t="b">
        <f>ISNUMBER(MATCH(Q73,T:T,0))</f>
        <v>1</v>
      </c>
      <c r="T73" s="4" t="s">
        <v>10954</v>
      </c>
      <c r="U73" s="4" t="str">
        <f t="shared" si="1"/>
        <v>江</v>
      </c>
    </row>
    <row r="74" spans="1:22">
      <c r="A74" s="3">
        <v>73</v>
      </c>
      <c r="B74" s="3" t="s">
        <v>6156</v>
      </c>
      <c r="C74" s="3" t="s">
        <v>6049</v>
      </c>
      <c r="D74" s="3" t="s">
        <v>6157</v>
      </c>
      <c r="E74" s="3" t="s">
        <v>5991</v>
      </c>
      <c r="F74" s="3" t="s">
        <v>6158</v>
      </c>
      <c r="G74" s="3" t="s">
        <v>5993</v>
      </c>
      <c r="H74" s="3" t="s">
        <v>6170</v>
      </c>
      <c r="I74" s="3" t="s">
        <v>6158</v>
      </c>
      <c r="J74" s="5" t="s">
        <v>6171</v>
      </c>
      <c r="L74" s="3" t="s">
        <v>6172</v>
      </c>
      <c r="M74" s="3">
        <v>4</v>
      </c>
      <c r="N74" s="4" t="s">
        <v>6158</v>
      </c>
      <c r="O74" s="4">
        <v>4</v>
      </c>
      <c r="P74" s="11" t="s">
        <v>9770</v>
      </c>
      <c r="Q74" s="11" t="s">
        <v>6158</v>
      </c>
      <c r="S74" s="4" t="b">
        <f>ISNUMBER(MATCH(Q74,T:T,0))</f>
        <v>1</v>
      </c>
      <c r="T74" s="4" t="s">
        <v>10955</v>
      </c>
      <c r="U74" s="4" t="str">
        <f t="shared" si="1"/>
        <v>江</v>
      </c>
    </row>
    <row r="75" spans="1:22" ht="28.5">
      <c r="A75" s="3">
        <v>74</v>
      </c>
      <c r="B75" s="3" t="s">
        <v>6156</v>
      </c>
      <c r="C75" s="3" t="s">
        <v>6067</v>
      </c>
      <c r="D75" s="3" t="s">
        <v>6157</v>
      </c>
      <c r="E75" s="3" t="s">
        <v>5991</v>
      </c>
      <c r="F75" s="3" t="s">
        <v>6158</v>
      </c>
      <c r="G75" s="3" t="s">
        <v>5993</v>
      </c>
      <c r="H75" s="3" t="s">
        <v>6173</v>
      </c>
      <c r="I75" s="3" t="s">
        <v>6158</v>
      </c>
      <c r="J75" s="8" t="s">
        <v>8413</v>
      </c>
      <c r="L75" s="3" t="s">
        <v>6174</v>
      </c>
      <c r="M75" s="3">
        <v>8</v>
      </c>
      <c r="N75" s="4" t="s">
        <v>6158</v>
      </c>
      <c r="O75" s="4">
        <v>4</v>
      </c>
      <c r="P75" s="11" t="s">
        <v>9771</v>
      </c>
      <c r="Q75" s="11" t="s">
        <v>6158</v>
      </c>
      <c r="S75" s="4" t="b">
        <f>ISNUMBER(MATCH(Q75,T:T,0))</f>
        <v>1</v>
      </c>
      <c r="T75" s="4" t="s">
        <v>10956</v>
      </c>
      <c r="U75" s="4" t="str">
        <f t="shared" si="1"/>
        <v>江</v>
      </c>
    </row>
    <row r="76" spans="1:22">
      <c r="A76" s="3">
        <v>75</v>
      </c>
      <c r="B76" s="3" t="s">
        <v>6156</v>
      </c>
      <c r="C76" s="3" t="s">
        <v>6053</v>
      </c>
      <c r="D76" s="3" t="s">
        <v>6157</v>
      </c>
      <c r="E76" s="3" t="s">
        <v>5991</v>
      </c>
      <c r="F76" s="3" t="s">
        <v>6158</v>
      </c>
      <c r="G76" s="3" t="s">
        <v>5993</v>
      </c>
      <c r="H76" s="3" t="s">
        <v>6175</v>
      </c>
      <c r="I76" s="3" t="s">
        <v>6158</v>
      </c>
      <c r="J76" s="8" t="s">
        <v>8414</v>
      </c>
      <c r="L76" s="3" t="s">
        <v>6176</v>
      </c>
      <c r="M76" s="3">
        <v>5</v>
      </c>
      <c r="N76" s="4" t="s">
        <v>6158</v>
      </c>
      <c r="O76" s="4">
        <v>4</v>
      </c>
      <c r="P76" s="11" t="s">
        <v>9772</v>
      </c>
      <c r="Q76" s="11" t="s">
        <v>6158</v>
      </c>
      <c r="S76" s="4" t="b">
        <f>ISNUMBER(MATCH(Q76,T:T,0))</f>
        <v>1</v>
      </c>
      <c r="T76" s="4" t="s">
        <v>10957</v>
      </c>
      <c r="U76" s="4" t="str">
        <f t="shared" si="1"/>
        <v>江</v>
      </c>
    </row>
    <row r="77" spans="1:22">
      <c r="A77" s="3">
        <v>76</v>
      </c>
      <c r="B77" s="3" t="s">
        <v>6156</v>
      </c>
      <c r="C77" s="3" t="s">
        <v>6058</v>
      </c>
      <c r="D77" s="3" t="s">
        <v>6157</v>
      </c>
      <c r="E77" s="3" t="s">
        <v>5991</v>
      </c>
      <c r="F77" s="3" t="s">
        <v>6158</v>
      </c>
      <c r="G77" s="3" t="s">
        <v>5993</v>
      </c>
      <c r="H77" s="3" t="s">
        <v>6177</v>
      </c>
      <c r="I77" s="3" t="s">
        <v>6158</v>
      </c>
      <c r="J77" s="5" t="s">
        <v>6178</v>
      </c>
      <c r="L77" s="3" t="s">
        <v>6179</v>
      </c>
      <c r="M77" s="3">
        <v>2</v>
      </c>
      <c r="N77" s="4" t="s">
        <v>6158</v>
      </c>
      <c r="O77" s="4">
        <v>4</v>
      </c>
      <c r="P77" s="11" t="s">
        <v>9773</v>
      </c>
      <c r="Q77" s="11" t="s">
        <v>6158</v>
      </c>
      <c r="S77" s="4" t="b">
        <f>ISNUMBER(MATCH(Q77,T:T,0))</f>
        <v>1</v>
      </c>
      <c r="T77" s="4" t="s">
        <v>10958</v>
      </c>
      <c r="U77" s="4" t="str">
        <f t="shared" si="1"/>
        <v>江</v>
      </c>
    </row>
    <row r="78" spans="1:22" ht="28.5">
      <c r="A78" s="3">
        <v>77</v>
      </c>
      <c r="B78" s="3" t="s">
        <v>6156</v>
      </c>
      <c r="C78" s="3" t="s">
        <v>6180</v>
      </c>
      <c r="D78" s="3" t="s">
        <v>6157</v>
      </c>
      <c r="E78" s="3" t="s">
        <v>5991</v>
      </c>
      <c r="F78" s="3" t="s">
        <v>6158</v>
      </c>
      <c r="G78" s="3" t="s">
        <v>5993</v>
      </c>
      <c r="H78" s="3" t="s">
        <v>6181</v>
      </c>
      <c r="I78" s="3" t="s">
        <v>6158</v>
      </c>
      <c r="J78" s="5" t="s">
        <v>6182</v>
      </c>
      <c r="L78" s="3" t="s">
        <v>6183</v>
      </c>
      <c r="M78" s="3">
        <v>7</v>
      </c>
      <c r="N78" s="4" t="s">
        <v>6158</v>
      </c>
      <c r="O78" s="4">
        <v>4</v>
      </c>
      <c r="P78" s="11" t="s">
        <v>9774</v>
      </c>
      <c r="Q78" s="11" t="s">
        <v>6158</v>
      </c>
      <c r="S78" s="4" t="b">
        <f>ISNUMBER(MATCH(Q78,T:T,0))</f>
        <v>1</v>
      </c>
      <c r="T78" s="4" t="s">
        <v>9768</v>
      </c>
      <c r="U78" s="4" t="str">
        <f t="shared" si="1"/>
        <v>江</v>
      </c>
    </row>
    <row r="79" spans="1:22">
      <c r="A79" s="3">
        <v>78</v>
      </c>
      <c r="B79" s="3" t="s">
        <v>6156</v>
      </c>
      <c r="C79" s="3" t="s">
        <v>6045</v>
      </c>
      <c r="D79" s="3" t="s">
        <v>6157</v>
      </c>
      <c r="E79" s="3" t="s">
        <v>5991</v>
      </c>
      <c r="F79" s="3" t="s">
        <v>6158</v>
      </c>
      <c r="G79" s="3" t="s">
        <v>5993</v>
      </c>
      <c r="H79" s="3" t="s">
        <v>6184</v>
      </c>
      <c r="I79" s="3" t="s">
        <v>6158</v>
      </c>
      <c r="J79" s="5" t="s">
        <v>8415</v>
      </c>
      <c r="L79" s="3" t="s">
        <v>6185</v>
      </c>
      <c r="M79" s="3">
        <v>5</v>
      </c>
      <c r="N79" s="4" t="s">
        <v>6158</v>
      </c>
      <c r="O79" s="4">
        <v>4</v>
      </c>
      <c r="P79" s="11" t="s">
        <v>9738</v>
      </c>
      <c r="Q79" s="11" t="s">
        <v>6158</v>
      </c>
      <c r="S79" s="4" t="b">
        <f>ISNUMBER(MATCH(Q79,T:T,0))</f>
        <v>1</v>
      </c>
      <c r="T79" s="4" t="s">
        <v>10959</v>
      </c>
      <c r="U79" s="4" t="str">
        <f t="shared" si="1"/>
        <v>江</v>
      </c>
    </row>
    <row r="80" spans="1:22" ht="28.5">
      <c r="A80" s="3">
        <v>79</v>
      </c>
      <c r="B80" s="3" t="s">
        <v>6156</v>
      </c>
      <c r="C80" s="3" t="s">
        <v>6089</v>
      </c>
      <c r="D80" s="3" t="s">
        <v>6157</v>
      </c>
      <c r="E80" s="3" t="s">
        <v>5991</v>
      </c>
      <c r="F80" s="3" t="s">
        <v>6158</v>
      </c>
      <c r="G80" s="3" t="s">
        <v>5993</v>
      </c>
      <c r="H80" s="3" t="s">
        <v>6186</v>
      </c>
      <c r="I80" s="3" t="s">
        <v>6158</v>
      </c>
      <c r="J80" s="5" t="s">
        <v>8416</v>
      </c>
      <c r="L80" s="3" t="s">
        <v>6187</v>
      </c>
      <c r="M80" s="3">
        <v>4</v>
      </c>
      <c r="N80" s="4" t="s">
        <v>6158</v>
      </c>
      <c r="O80" s="4">
        <v>4</v>
      </c>
      <c r="P80" s="11" t="s">
        <v>9753</v>
      </c>
      <c r="Q80" s="11" t="s">
        <v>6158</v>
      </c>
      <c r="S80" s="4" t="b">
        <f>ISNUMBER(MATCH(Q80,T:T,0))</f>
        <v>1</v>
      </c>
      <c r="T80" s="4" t="s">
        <v>10960</v>
      </c>
      <c r="U80" s="4" t="str">
        <f t="shared" si="1"/>
        <v>江</v>
      </c>
    </row>
    <row r="81" spans="1:21">
      <c r="A81" s="3">
        <v>80</v>
      </c>
      <c r="B81" s="3" t="s">
        <v>6156</v>
      </c>
      <c r="C81" s="3" t="s">
        <v>6072</v>
      </c>
      <c r="D81" s="3" t="s">
        <v>6157</v>
      </c>
      <c r="E81" s="3" t="s">
        <v>5991</v>
      </c>
      <c r="F81" s="3" t="s">
        <v>6158</v>
      </c>
      <c r="G81" s="3" t="s">
        <v>5993</v>
      </c>
      <c r="H81" s="3" t="s">
        <v>6188</v>
      </c>
      <c r="I81" s="3" t="s">
        <v>6158</v>
      </c>
      <c r="J81" s="5" t="s">
        <v>6189</v>
      </c>
      <c r="L81" s="3" t="s">
        <v>6190</v>
      </c>
      <c r="M81" s="3">
        <v>1</v>
      </c>
      <c r="N81" s="4" t="s">
        <v>6158</v>
      </c>
      <c r="O81" s="4">
        <v>4</v>
      </c>
      <c r="P81" s="11" t="s">
        <v>9775</v>
      </c>
      <c r="Q81" s="11" t="s">
        <v>6158</v>
      </c>
      <c r="S81" s="4" t="b">
        <f>ISNUMBER(MATCH(Q81,T:T,0))</f>
        <v>1</v>
      </c>
      <c r="T81" s="4" t="s">
        <v>6189</v>
      </c>
      <c r="U81" s="4" t="str">
        <f t="shared" si="1"/>
        <v>江</v>
      </c>
    </row>
    <row r="82" spans="1:21" ht="28.5">
      <c r="A82" s="3">
        <v>81</v>
      </c>
      <c r="B82" s="3" t="s">
        <v>6156</v>
      </c>
      <c r="C82" s="3" t="s">
        <v>6038</v>
      </c>
      <c r="D82" s="3" t="s">
        <v>6157</v>
      </c>
      <c r="E82" s="3" t="s">
        <v>5991</v>
      </c>
      <c r="F82" s="3" t="s">
        <v>6158</v>
      </c>
      <c r="G82" s="3" t="s">
        <v>5993</v>
      </c>
      <c r="H82" s="3" t="s">
        <v>6191</v>
      </c>
      <c r="I82" s="3" t="s">
        <v>6158</v>
      </c>
      <c r="J82" s="5" t="s">
        <v>8417</v>
      </c>
      <c r="L82" s="3" t="s">
        <v>6192</v>
      </c>
      <c r="M82" s="3">
        <v>12</v>
      </c>
      <c r="N82" s="4" t="s">
        <v>6158</v>
      </c>
      <c r="O82" s="4">
        <v>4</v>
      </c>
      <c r="P82" s="11" t="s">
        <v>9728</v>
      </c>
      <c r="Q82" s="11" t="s">
        <v>6158</v>
      </c>
      <c r="S82" s="4" t="b">
        <f>ISNUMBER(MATCH(Q82,T:T,0))</f>
        <v>1</v>
      </c>
      <c r="T82" s="4" t="s">
        <v>10961</v>
      </c>
      <c r="U82" s="4" t="str">
        <f t="shared" si="1"/>
        <v>江</v>
      </c>
    </row>
    <row r="83" spans="1:21" ht="28.5">
      <c r="A83" s="3">
        <v>82</v>
      </c>
      <c r="B83" s="3" t="s">
        <v>6156</v>
      </c>
      <c r="C83" s="3" t="s">
        <v>6005</v>
      </c>
      <c r="D83" s="3" t="s">
        <v>6157</v>
      </c>
      <c r="E83" s="3" t="s">
        <v>5991</v>
      </c>
      <c r="F83" s="3" t="s">
        <v>6158</v>
      </c>
      <c r="G83" s="3" t="s">
        <v>5993</v>
      </c>
      <c r="H83" s="3" t="s">
        <v>6193</v>
      </c>
      <c r="I83" s="3" t="s">
        <v>6158</v>
      </c>
      <c r="J83" s="5" t="s">
        <v>8418</v>
      </c>
      <c r="L83" s="3" t="s">
        <v>6194</v>
      </c>
      <c r="M83" s="3">
        <v>6</v>
      </c>
      <c r="N83" s="4" t="s">
        <v>6158</v>
      </c>
      <c r="O83" s="4">
        <v>4</v>
      </c>
      <c r="P83" s="11" t="s">
        <v>9776</v>
      </c>
      <c r="Q83" s="11" t="s">
        <v>6158</v>
      </c>
      <c r="S83" s="4" t="b">
        <f>ISNUMBER(MATCH(Q83,T:T,0))</f>
        <v>1</v>
      </c>
      <c r="T83" s="4" t="s">
        <v>10962</v>
      </c>
      <c r="U83" s="4" t="str">
        <f t="shared" si="1"/>
        <v>江</v>
      </c>
    </row>
    <row r="84" spans="1:21" ht="28.5">
      <c r="A84" s="3">
        <v>83</v>
      </c>
      <c r="B84" s="3" t="s">
        <v>6156</v>
      </c>
      <c r="C84" s="3" t="s">
        <v>6011</v>
      </c>
      <c r="D84" s="3" t="s">
        <v>6157</v>
      </c>
      <c r="E84" s="3" t="s">
        <v>5991</v>
      </c>
      <c r="F84" s="3" t="s">
        <v>6158</v>
      </c>
      <c r="G84" s="3" t="s">
        <v>5993</v>
      </c>
      <c r="H84" s="3" t="s">
        <v>6195</v>
      </c>
      <c r="I84" s="3" t="s">
        <v>6158</v>
      </c>
      <c r="J84" s="5" t="s">
        <v>6196</v>
      </c>
      <c r="L84" s="3" t="s">
        <v>6169</v>
      </c>
      <c r="M84" s="3">
        <v>5</v>
      </c>
      <c r="N84" s="4" t="s">
        <v>6158</v>
      </c>
      <c r="O84" s="4">
        <v>4</v>
      </c>
      <c r="P84" s="11" t="s">
        <v>9757</v>
      </c>
      <c r="Q84" s="11" t="s">
        <v>6158</v>
      </c>
      <c r="S84" s="4" t="b">
        <f>ISNUMBER(MATCH(Q84,T:T,0))</f>
        <v>1</v>
      </c>
      <c r="T84" s="4" t="s">
        <v>10963</v>
      </c>
      <c r="U84" s="4" t="str">
        <f t="shared" si="1"/>
        <v>江</v>
      </c>
    </row>
    <row r="85" spans="1:21" ht="28.5">
      <c r="A85" s="3">
        <v>84</v>
      </c>
      <c r="B85" s="3" t="s">
        <v>6156</v>
      </c>
      <c r="C85" s="3" t="s">
        <v>6000</v>
      </c>
      <c r="D85" s="3" t="s">
        <v>6157</v>
      </c>
      <c r="E85" s="3" t="s">
        <v>5991</v>
      </c>
      <c r="F85" s="3" t="s">
        <v>6158</v>
      </c>
      <c r="G85" s="3" t="s">
        <v>5993</v>
      </c>
      <c r="H85" s="3" t="s">
        <v>6197</v>
      </c>
      <c r="I85" s="3" t="s">
        <v>6158</v>
      </c>
      <c r="J85" s="5" t="s">
        <v>6198</v>
      </c>
      <c r="L85" s="3" t="s">
        <v>6199</v>
      </c>
      <c r="M85" s="3">
        <v>2</v>
      </c>
      <c r="N85" s="4" t="s">
        <v>6158</v>
      </c>
      <c r="O85" s="4">
        <v>4</v>
      </c>
      <c r="P85" s="11" t="s">
        <v>9742</v>
      </c>
      <c r="Q85" s="11" t="s">
        <v>6158</v>
      </c>
      <c r="S85" s="4" t="b">
        <f>ISNUMBER(MATCH(Q85,T:T,0))</f>
        <v>1</v>
      </c>
      <c r="T85" s="4" t="s">
        <v>10964</v>
      </c>
      <c r="U85" s="4" t="str">
        <f t="shared" si="1"/>
        <v>江</v>
      </c>
    </row>
    <row r="86" spans="1:21">
      <c r="A86" s="3">
        <v>85</v>
      </c>
      <c r="B86" s="3" t="s">
        <v>6156</v>
      </c>
      <c r="C86" s="3" t="s">
        <v>6092</v>
      </c>
      <c r="D86" s="3" t="s">
        <v>6157</v>
      </c>
      <c r="E86" s="3" t="s">
        <v>5991</v>
      </c>
      <c r="F86" s="3" t="s">
        <v>6158</v>
      </c>
      <c r="G86" s="3" t="s">
        <v>5993</v>
      </c>
      <c r="H86" s="3" t="s">
        <v>6200</v>
      </c>
      <c r="I86" s="3" t="s">
        <v>6158</v>
      </c>
      <c r="J86" s="5" t="s">
        <v>6094</v>
      </c>
      <c r="L86" s="3" t="s">
        <v>6201</v>
      </c>
      <c r="M86" s="3">
        <v>1</v>
      </c>
      <c r="N86" s="4" t="s">
        <v>6158</v>
      </c>
      <c r="O86" s="4">
        <v>4</v>
      </c>
      <c r="P86" s="11" t="s">
        <v>9740</v>
      </c>
      <c r="Q86" s="11" t="s">
        <v>6158</v>
      </c>
      <c r="S86" s="4" t="b">
        <f>ISNUMBER(MATCH(Q86,T:T,0))</f>
        <v>1</v>
      </c>
      <c r="T86" s="4" t="s">
        <v>6094</v>
      </c>
      <c r="U86" s="4" t="str">
        <f t="shared" si="1"/>
        <v>江</v>
      </c>
    </row>
    <row r="87" spans="1:21" ht="28.5">
      <c r="A87" s="3">
        <v>86</v>
      </c>
      <c r="B87" s="3" t="s">
        <v>6156</v>
      </c>
      <c r="C87" s="3" t="s">
        <v>6015</v>
      </c>
      <c r="D87" s="3" t="s">
        <v>6157</v>
      </c>
      <c r="E87" s="3" t="s">
        <v>5991</v>
      </c>
      <c r="F87" s="3" t="s">
        <v>6158</v>
      </c>
      <c r="G87" s="3" t="s">
        <v>5993</v>
      </c>
      <c r="H87" s="3" t="s">
        <v>6202</v>
      </c>
      <c r="I87" s="3" t="s">
        <v>6158</v>
      </c>
      <c r="J87" s="5" t="s">
        <v>6203</v>
      </c>
      <c r="L87" s="3" t="s">
        <v>6194</v>
      </c>
      <c r="M87" s="3">
        <v>4</v>
      </c>
      <c r="N87" s="4" t="s">
        <v>6158</v>
      </c>
      <c r="O87" s="4">
        <v>4</v>
      </c>
      <c r="P87" s="11" t="s">
        <v>9777</v>
      </c>
      <c r="Q87" s="11" t="s">
        <v>6158</v>
      </c>
      <c r="S87" s="4" t="b">
        <f>ISNUMBER(MATCH(Q87,T:T,0))</f>
        <v>1</v>
      </c>
      <c r="T87" s="4" t="s">
        <v>10965</v>
      </c>
      <c r="U87" s="4" t="str">
        <f t="shared" si="1"/>
        <v>江</v>
      </c>
    </row>
    <row r="88" spans="1:21" ht="39">
      <c r="A88" s="3">
        <v>87</v>
      </c>
      <c r="B88" s="3" t="s">
        <v>6204</v>
      </c>
      <c r="C88" s="3" t="s">
        <v>6009</v>
      </c>
      <c r="D88" s="3" t="s">
        <v>6001</v>
      </c>
      <c r="E88" s="3" t="s">
        <v>5991</v>
      </c>
      <c r="F88" s="3" t="s">
        <v>6205</v>
      </c>
      <c r="G88" s="3" t="s">
        <v>5993</v>
      </c>
      <c r="H88" s="3" t="s">
        <v>6206</v>
      </c>
      <c r="I88" s="3" t="s">
        <v>6207</v>
      </c>
      <c r="J88" s="5" t="s">
        <v>8419</v>
      </c>
      <c r="L88" s="3" t="s">
        <v>6208</v>
      </c>
      <c r="M88" s="3">
        <v>29</v>
      </c>
      <c r="N88" s="4" t="s">
        <v>6209</v>
      </c>
      <c r="O88" s="4">
        <v>5</v>
      </c>
      <c r="P88" s="11" t="s">
        <v>6009</v>
      </c>
      <c r="Q88" s="11" t="s">
        <v>9778</v>
      </c>
      <c r="S88" s="4" t="b">
        <f>ISNUMBER(MATCH(Q88,T:T,0))</f>
        <v>1</v>
      </c>
      <c r="T88" s="4" t="s">
        <v>6209</v>
      </c>
      <c r="U88" s="4" t="str">
        <f t="shared" si="1"/>
        <v>移</v>
      </c>
    </row>
    <row r="89" spans="1:21" ht="39">
      <c r="A89" s="3">
        <v>88</v>
      </c>
      <c r="B89" s="3" t="s">
        <v>6204</v>
      </c>
      <c r="C89" s="3" t="s">
        <v>6028</v>
      </c>
      <c r="D89" s="3" t="s">
        <v>6001</v>
      </c>
      <c r="E89" s="3" t="s">
        <v>5991</v>
      </c>
      <c r="F89" s="3" t="s">
        <v>6205</v>
      </c>
      <c r="G89" s="3" t="s">
        <v>5993</v>
      </c>
      <c r="H89" s="3" t="s">
        <v>6210</v>
      </c>
      <c r="I89" s="3" t="s">
        <v>6207</v>
      </c>
      <c r="J89" s="5" t="s">
        <v>8420</v>
      </c>
      <c r="L89" s="3" t="s">
        <v>6211</v>
      </c>
      <c r="M89" s="3">
        <v>32</v>
      </c>
      <c r="N89" s="4" t="s">
        <v>6209</v>
      </c>
      <c r="O89" s="4">
        <v>5</v>
      </c>
      <c r="P89" s="11" t="s">
        <v>9779</v>
      </c>
      <c r="Q89" s="11" t="s">
        <v>6209</v>
      </c>
      <c r="S89" s="4" t="b">
        <f>ISNUMBER(MATCH(Q89,T:T,0))</f>
        <v>1</v>
      </c>
      <c r="T89" s="4" t="s">
        <v>9778</v>
      </c>
      <c r="U89" s="4" t="str">
        <f t="shared" si="1"/>
        <v>支</v>
      </c>
    </row>
    <row r="90" spans="1:21">
      <c r="A90" s="3">
        <v>89</v>
      </c>
      <c r="B90" s="3" t="s">
        <v>6204</v>
      </c>
      <c r="C90" s="3" t="s">
        <v>6032</v>
      </c>
      <c r="D90" s="3" t="s">
        <v>6001</v>
      </c>
      <c r="E90" s="3" t="s">
        <v>6212</v>
      </c>
      <c r="F90" s="3" t="s">
        <v>6213</v>
      </c>
      <c r="G90" s="3" t="s">
        <v>5993</v>
      </c>
      <c r="H90" s="3" t="s">
        <v>6214</v>
      </c>
      <c r="I90" s="3" t="s">
        <v>6207</v>
      </c>
      <c r="J90" s="8" t="s">
        <v>8421</v>
      </c>
      <c r="L90" s="3" t="s">
        <v>6216</v>
      </c>
      <c r="M90" s="3">
        <v>6</v>
      </c>
      <c r="N90" s="4" t="s">
        <v>6209</v>
      </c>
      <c r="O90" s="4">
        <v>5</v>
      </c>
      <c r="P90" s="11" t="s">
        <v>9780</v>
      </c>
      <c r="Q90" s="11" t="s">
        <v>6209</v>
      </c>
      <c r="S90" s="4" t="b">
        <f>ISNUMBER(MATCH(Q90,T:T,0))</f>
        <v>1</v>
      </c>
      <c r="T90" s="4" t="s">
        <v>4351</v>
      </c>
      <c r="U90" s="4" t="str">
        <f t="shared" si="1"/>
        <v>支</v>
      </c>
    </row>
    <row r="91" spans="1:21">
      <c r="A91" s="3">
        <v>90</v>
      </c>
      <c r="B91" s="3" t="s">
        <v>6204</v>
      </c>
      <c r="C91" s="3" t="s">
        <v>6025</v>
      </c>
      <c r="D91" s="3" t="s">
        <v>6001</v>
      </c>
      <c r="E91" s="3" t="s">
        <v>6212</v>
      </c>
      <c r="F91" s="3" t="s">
        <v>6213</v>
      </c>
      <c r="G91" s="3" t="s">
        <v>5993</v>
      </c>
      <c r="H91" s="3" t="s">
        <v>664</v>
      </c>
      <c r="I91" s="3" t="s">
        <v>6207</v>
      </c>
      <c r="J91" s="8" t="s">
        <v>8422</v>
      </c>
      <c r="L91" s="3" t="s">
        <v>6217</v>
      </c>
      <c r="M91" s="3">
        <v>2</v>
      </c>
      <c r="N91" s="4" t="s">
        <v>6209</v>
      </c>
      <c r="O91" s="4">
        <v>5</v>
      </c>
      <c r="P91" s="11" t="s">
        <v>9717</v>
      </c>
      <c r="Q91" s="11" t="s">
        <v>4351</v>
      </c>
      <c r="S91" s="4" t="b">
        <f>ISNUMBER(MATCH(Q91,T:T,0))</f>
        <v>1</v>
      </c>
      <c r="T91" s="4" t="s">
        <v>10966</v>
      </c>
      <c r="U91" s="4" t="str">
        <f t="shared" si="1"/>
        <v>爲</v>
      </c>
    </row>
    <row r="92" spans="1:21">
      <c r="A92" s="3">
        <v>91</v>
      </c>
      <c r="B92" s="3" t="s">
        <v>6204</v>
      </c>
      <c r="C92" s="3" t="s">
        <v>6089</v>
      </c>
      <c r="D92" s="3" t="s">
        <v>6001</v>
      </c>
      <c r="E92" s="3" t="s">
        <v>6212</v>
      </c>
      <c r="F92" s="3" t="s">
        <v>6213</v>
      </c>
      <c r="G92" s="3" t="s">
        <v>5993</v>
      </c>
      <c r="H92" s="3" t="s">
        <v>665</v>
      </c>
      <c r="I92" s="3" t="s">
        <v>6207</v>
      </c>
      <c r="J92" s="5" t="s">
        <v>6218</v>
      </c>
      <c r="L92" s="3" t="s">
        <v>6219</v>
      </c>
      <c r="M92" s="3">
        <v>6</v>
      </c>
      <c r="N92" s="4" t="s">
        <v>6209</v>
      </c>
      <c r="O92" s="4">
        <v>5</v>
      </c>
      <c r="P92" s="11" t="s">
        <v>9753</v>
      </c>
      <c r="Q92" s="11" t="s">
        <v>4351</v>
      </c>
      <c r="S92" s="4" t="b">
        <f>ISNUMBER(MATCH(Q92,T:T,0))</f>
        <v>1</v>
      </c>
      <c r="T92" s="4" t="s">
        <v>10967</v>
      </c>
      <c r="U92" s="4" t="str">
        <f t="shared" si="1"/>
        <v>爲</v>
      </c>
    </row>
    <row r="93" spans="1:21">
      <c r="A93" s="3">
        <v>92</v>
      </c>
      <c r="B93" s="3" t="s">
        <v>6204</v>
      </c>
      <c r="C93" s="3" t="s">
        <v>6072</v>
      </c>
      <c r="D93" s="3" t="s">
        <v>6001</v>
      </c>
      <c r="E93" s="3" t="s">
        <v>6212</v>
      </c>
      <c r="F93" s="3" t="s">
        <v>6213</v>
      </c>
      <c r="G93" s="3" t="s">
        <v>5993</v>
      </c>
      <c r="H93" s="3" t="s">
        <v>666</v>
      </c>
      <c r="I93" s="3" t="s">
        <v>6207</v>
      </c>
      <c r="J93" s="5" t="s">
        <v>6220</v>
      </c>
      <c r="L93" s="3" t="s">
        <v>6221</v>
      </c>
      <c r="M93" s="3">
        <v>10</v>
      </c>
      <c r="N93" s="4" t="s">
        <v>6209</v>
      </c>
      <c r="O93" s="4">
        <v>5</v>
      </c>
      <c r="P93" s="11" t="s">
        <v>9754</v>
      </c>
      <c r="Q93" s="11" t="s">
        <v>4351</v>
      </c>
      <c r="S93" s="4" t="b">
        <f>ISNUMBER(MATCH(Q93,T:T,0))</f>
        <v>1</v>
      </c>
      <c r="T93" s="4" t="s">
        <v>10968</v>
      </c>
      <c r="U93" s="4" t="str">
        <f t="shared" si="1"/>
        <v>爲</v>
      </c>
    </row>
    <row r="94" spans="1:21">
      <c r="A94" s="3">
        <v>93</v>
      </c>
      <c r="B94" s="3" t="s">
        <v>6204</v>
      </c>
      <c r="C94" s="3" t="s">
        <v>6035</v>
      </c>
      <c r="D94" s="3" t="s">
        <v>6001</v>
      </c>
      <c r="E94" s="3" t="s">
        <v>5991</v>
      </c>
      <c r="F94" s="3" t="s">
        <v>6213</v>
      </c>
      <c r="G94" s="3" t="s">
        <v>5993</v>
      </c>
      <c r="H94" s="3" t="s">
        <v>667</v>
      </c>
      <c r="I94" s="3" t="s">
        <v>6207</v>
      </c>
      <c r="J94" s="5" t="s">
        <v>8423</v>
      </c>
      <c r="L94" s="3" t="s">
        <v>6222</v>
      </c>
      <c r="M94" s="3">
        <v>9</v>
      </c>
      <c r="N94" s="4" t="s">
        <v>6209</v>
      </c>
      <c r="O94" s="4">
        <v>5</v>
      </c>
      <c r="P94" s="11" t="s">
        <v>9781</v>
      </c>
      <c r="Q94" s="11" t="s">
        <v>4351</v>
      </c>
      <c r="S94" s="4" t="b">
        <f>ISNUMBER(MATCH(Q94,T:T,0))</f>
        <v>1</v>
      </c>
      <c r="T94" s="4" t="s">
        <v>10969</v>
      </c>
      <c r="U94" s="4" t="str">
        <f t="shared" si="1"/>
        <v>爲</v>
      </c>
    </row>
    <row r="95" spans="1:21" ht="28.5">
      <c r="A95" s="3">
        <v>94</v>
      </c>
      <c r="B95" s="3" t="s">
        <v>6204</v>
      </c>
      <c r="C95" s="3" t="s">
        <v>6089</v>
      </c>
      <c r="D95" s="3" t="s">
        <v>6001</v>
      </c>
      <c r="E95" s="3" t="s">
        <v>6212</v>
      </c>
      <c r="F95" s="3" t="s">
        <v>6205</v>
      </c>
      <c r="G95" s="3" t="s">
        <v>5993</v>
      </c>
      <c r="H95" s="3" t="s">
        <v>6223</v>
      </c>
      <c r="I95" s="3" t="s">
        <v>6207</v>
      </c>
      <c r="J95" s="5" t="s">
        <v>6224</v>
      </c>
      <c r="K95" s="3" t="s">
        <v>560</v>
      </c>
      <c r="L95" s="3" t="s">
        <v>6219</v>
      </c>
      <c r="M95" s="3">
        <v>9</v>
      </c>
      <c r="N95" s="4" t="s">
        <v>6209</v>
      </c>
      <c r="O95" s="4">
        <v>5</v>
      </c>
      <c r="P95" s="11" t="s">
        <v>9753</v>
      </c>
      <c r="Q95" s="11" t="s">
        <v>9782</v>
      </c>
      <c r="S95" s="4" t="b">
        <f>ISNUMBER(MATCH(Q95,T:T,0))</f>
        <v>1</v>
      </c>
      <c r="T95" s="4" t="s">
        <v>10970</v>
      </c>
      <c r="U95" s="4" t="str">
        <f t="shared" si="1"/>
        <v>規</v>
      </c>
    </row>
    <row r="96" spans="1:21">
      <c r="A96" s="3">
        <v>95</v>
      </c>
      <c r="B96" s="3" t="s">
        <v>6204</v>
      </c>
      <c r="C96" s="3" t="s">
        <v>6005</v>
      </c>
      <c r="D96" s="3" t="s">
        <v>6001</v>
      </c>
      <c r="E96" s="3" t="s">
        <v>6212</v>
      </c>
      <c r="F96" s="3" t="s">
        <v>6213</v>
      </c>
      <c r="G96" s="3" t="s">
        <v>5993</v>
      </c>
      <c r="H96" s="3" t="s">
        <v>6225</v>
      </c>
      <c r="I96" s="3" t="s">
        <v>6207</v>
      </c>
      <c r="J96" s="5" t="s">
        <v>6226</v>
      </c>
      <c r="L96" s="3" t="s">
        <v>6227</v>
      </c>
      <c r="M96" s="3">
        <v>3</v>
      </c>
      <c r="N96" s="4" t="s">
        <v>6209</v>
      </c>
      <c r="O96" s="4">
        <v>5</v>
      </c>
      <c r="P96" s="11" t="s">
        <v>9709</v>
      </c>
      <c r="Q96" s="11" t="s">
        <v>9783</v>
      </c>
      <c r="S96" s="4" t="b">
        <f>ISNUMBER(MATCH(Q96,T:T,0))</f>
        <v>1</v>
      </c>
      <c r="T96" s="4" t="s">
        <v>10971</v>
      </c>
      <c r="U96" s="4" t="str">
        <f t="shared" si="1"/>
        <v>垂</v>
      </c>
    </row>
    <row r="97" spans="1:21">
      <c r="A97" s="3">
        <v>96</v>
      </c>
      <c r="B97" s="3" t="s">
        <v>6204</v>
      </c>
      <c r="C97" s="3" t="s">
        <v>6148</v>
      </c>
      <c r="D97" s="3" t="s">
        <v>6001</v>
      </c>
      <c r="E97" s="3" t="s">
        <v>6212</v>
      </c>
      <c r="F97" s="3" t="s">
        <v>6205</v>
      </c>
      <c r="G97" s="3" t="s">
        <v>5993</v>
      </c>
      <c r="H97" s="3" t="s">
        <v>668</v>
      </c>
      <c r="I97" s="3" t="s">
        <v>6207</v>
      </c>
      <c r="J97" s="5" t="s">
        <v>8424</v>
      </c>
      <c r="K97" s="3" t="s">
        <v>561</v>
      </c>
      <c r="L97" s="3" t="s">
        <v>6227</v>
      </c>
      <c r="M97" s="3">
        <v>10</v>
      </c>
      <c r="N97" s="4" t="s">
        <v>6209</v>
      </c>
      <c r="O97" s="4">
        <v>5</v>
      </c>
      <c r="P97" s="11" t="s">
        <v>9784</v>
      </c>
      <c r="Q97" s="11" t="s">
        <v>4351</v>
      </c>
      <c r="S97" s="4" t="b">
        <f>ISNUMBER(MATCH(Q97,T:T,0))</f>
        <v>1</v>
      </c>
      <c r="T97" s="4" t="s">
        <v>9783</v>
      </c>
      <c r="U97" s="4" t="str">
        <f t="shared" si="1"/>
        <v>爲</v>
      </c>
    </row>
    <row r="98" spans="1:21">
      <c r="A98" s="3">
        <v>97</v>
      </c>
      <c r="B98" s="3" t="s">
        <v>6204</v>
      </c>
      <c r="C98" s="3" t="s">
        <v>6058</v>
      </c>
      <c r="D98" s="3" t="s">
        <v>6001</v>
      </c>
      <c r="E98" s="3" t="s">
        <v>6212</v>
      </c>
      <c r="F98" s="3" t="s">
        <v>6205</v>
      </c>
      <c r="G98" s="3" t="s">
        <v>5993</v>
      </c>
      <c r="H98" s="3" t="s">
        <v>669</v>
      </c>
      <c r="I98" s="3" t="s">
        <v>6207</v>
      </c>
      <c r="J98" s="5" t="s">
        <v>6228</v>
      </c>
      <c r="L98" s="3" t="s">
        <v>6229</v>
      </c>
      <c r="M98" s="3">
        <v>2</v>
      </c>
      <c r="N98" s="4" t="s">
        <v>6209</v>
      </c>
      <c r="O98" s="4">
        <v>5</v>
      </c>
      <c r="P98" s="11" t="s">
        <v>9727</v>
      </c>
      <c r="Q98" s="11" t="s">
        <v>4351</v>
      </c>
      <c r="S98" s="4" t="b">
        <f>ISNUMBER(MATCH(Q98,T:T,0))</f>
        <v>1</v>
      </c>
      <c r="T98" s="4" t="s">
        <v>10972</v>
      </c>
      <c r="U98" s="4" t="str">
        <f t="shared" si="1"/>
        <v>爲</v>
      </c>
    </row>
    <row r="99" spans="1:21">
      <c r="A99" s="3">
        <v>98</v>
      </c>
      <c r="B99" s="3" t="s">
        <v>6204</v>
      </c>
      <c r="C99" s="3" t="s">
        <v>6055</v>
      </c>
      <c r="D99" s="3" t="s">
        <v>6001</v>
      </c>
      <c r="E99" s="3" t="s">
        <v>6212</v>
      </c>
      <c r="F99" s="3" t="s">
        <v>6205</v>
      </c>
      <c r="G99" s="3" t="s">
        <v>5993</v>
      </c>
      <c r="H99" s="3" t="s">
        <v>6230</v>
      </c>
      <c r="I99" s="3" t="s">
        <v>6207</v>
      </c>
      <c r="J99" s="5" t="s">
        <v>8425</v>
      </c>
      <c r="K99" s="3" t="s">
        <v>6231</v>
      </c>
      <c r="L99" s="3" t="s">
        <v>6232</v>
      </c>
      <c r="M99" s="3">
        <v>3</v>
      </c>
      <c r="N99" s="4" t="s">
        <v>6209</v>
      </c>
      <c r="O99" s="4">
        <v>5</v>
      </c>
      <c r="P99" s="11" t="s">
        <v>6055</v>
      </c>
      <c r="Q99" s="11" t="s">
        <v>9783</v>
      </c>
      <c r="S99" s="4" t="b">
        <f>ISNUMBER(MATCH(Q99,T:T,0))</f>
        <v>1</v>
      </c>
      <c r="T99" s="4" t="s">
        <v>9806</v>
      </c>
      <c r="U99" s="4" t="str">
        <f t="shared" si="1"/>
        <v>垂</v>
      </c>
    </row>
    <row r="100" spans="1:21">
      <c r="A100" s="3">
        <v>99</v>
      </c>
      <c r="B100" s="3" t="s">
        <v>6204</v>
      </c>
      <c r="C100" s="3" t="s">
        <v>6053</v>
      </c>
      <c r="D100" s="3" t="s">
        <v>6001</v>
      </c>
      <c r="E100" s="3" t="s">
        <v>5991</v>
      </c>
      <c r="F100" s="3" t="s">
        <v>6213</v>
      </c>
      <c r="G100" s="3" t="s">
        <v>5993</v>
      </c>
      <c r="H100" s="3" t="s">
        <v>6233</v>
      </c>
      <c r="I100" s="3" t="s">
        <v>6207</v>
      </c>
      <c r="J100" s="5" t="s">
        <v>8426</v>
      </c>
      <c r="K100" s="3" t="s">
        <v>562</v>
      </c>
      <c r="L100" s="3" t="s">
        <v>6234</v>
      </c>
      <c r="M100" s="3">
        <v>12</v>
      </c>
      <c r="N100" s="4" t="s">
        <v>6209</v>
      </c>
      <c r="O100" s="4">
        <v>5</v>
      </c>
      <c r="P100" s="11" t="s">
        <v>9724</v>
      </c>
      <c r="Q100" s="11" t="s">
        <v>9785</v>
      </c>
      <c r="S100" s="4" t="b">
        <f>ISNUMBER(MATCH(Q100,T:T,0))</f>
        <v>1</v>
      </c>
      <c r="T100" s="4" t="s">
        <v>10973</v>
      </c>
      <c r="U100" s="4" t="str">
        <f t="shared" si="1"/>
        <v>羈</v>
      </c>
    </row>
    <row r="101" spans="1:21">
      <c r="A101" s="3">
        <v>100</v>
      </c>
      <c r="B101" s="3" t="s">
        <v>6204</v>
      </c>
      <c r="C101" s="3" t="s">
        <v>6049</v>
      </c>
      <c r="D101" s="3" t="s">
        <v>6001</v>
      </c>
      <c r="E101" s="3" t="s">
        <v>5991</v>
      </c>
      <c r="F101" s="3" t="s">
        <v>6213</v>
      </c>
      <c r="G101" s="3" t="s">
        <v>5993</v>
      </c>
      <c r="H101" s="3" t="s">
        <v>670</v>
      </c>
      <c r="I101" s="3" t="s">
        <v>6207</v>
      </c>
      <c r="J101" s="5" t="s">
        <v>8427</v>
      </c>
      <c r="L101" s="3" t="s">
        <v>6236</v>
      </c>
      <c r="M101" s="3">
        <v>11</v>
      </c>
      <c r="N101" s="4" t="s">
        <v>6209</v>
      </c>
      <c r="O101" s="4">
        <v>5</v>
      </c>
      <c r="P101" s="11" t="s">
        <v>9786</v>
      </c>
      <c r="Q101" s="11" t="s">
        <v>4351</v>
      </c>
      <c r="S101" s="4" t="b">
        <f>ISNUMBER(MATCH(Q101,T:T,0))</f>
        <v>1</v>
      </c>
      <c r="T101" s="4" t="s">
        <v>10344</v>
      </c>
      <c r="U101" s="4" t="str">
        <f t="shared" si="1"/>
        <v>爲</v>
      </c>
    </row>
    <row r="102" spans="1:21">
      <c r="A102" s="3">
        <v>101</v>
      </c>
      <c r="B102" s="3" t="s">
        <v>6204</v>
      </c>
      <c r="C102" s="3" t="s">
        <v>6123</v>
      </c>
      <c r="D102" s="3" t="s">
        <v>6001</v>
      </c>
      <c r="E102" s="3" t="s">
        <v>6212</v>
      </c>
      <c r="F102" s="3" t="s">
        <v>6205</v>
      </c>
      <c r="G102" s="3" t="s">
        <v>5993</v>
      </c>
      <c r="H102" s="3" t="s">
        <v>671</v>
      </c>
      <c r="I102" s="3" t="s">
        <v>6207</v>
      </c>
      <c r="J102" s="5" t="s">
        <v>6237</v>
      </c>
      <c r="L102" s="3" t="s">
        <v>6238</v>
      </c>
      <c r="M102" s="3">
        <v>3</v>
      </c>
      <c r="N102" s="4" t="s">
        <v>6209</v>
      </c>
      <c r="O102" s="4">
        <v>5</v>
      </c>
      <c r="P102" s="11" t="s">
        <v>9787</v>
      </c>
      <c r="Q102" s="11" t="s">
        <v>4351</v>
      </c>
      <c r="S102" s="4" t="b">
        <f>ISNUMBER(MATCH(Q102,T:T,0))</f>
        <v>1</v>
      </c>
      <c r="T102" s="4" t="s">
        <v>9788</v>
      </c>
      <c r="U102" s="4" t="str">
        <f t="shared" si="1"/>
        <v>爲</v>
      </c>
    </row>
    <row r="103" spans="1:21">
      <c r="A103" s="3">
        <v>102</v>
      </c>
      <c r="B103" s="3" t="s">
        <v>6204</v>
      </c>
      <c r="C103" s="3" t="s">
        <v>6038</v>
      </c>
      <c r="D103" s="3" t="s">
        <v>6001</v>
      </c>
      <c r="E103" s="3" t="s">
        <v>6212</v>
      </c>
      <c r="F103" s="3" t="s">
        <v>6213</v>
      </c>
      <c r="G103" s="3" t="s">
        <v>5993</v>
      </c>
      <c r="H103" s="3" t="s">
        <v>672</v>
      </c>
      <c r="I103" s="3" t="s">
        <v>6207</v>
      </c>
      <c r="J103" s="5" t="s">
        <v>6239</v>
      </c>
      <c r="L103" s="3" t="s">
        <v>6240</v>
      </c>
      <c r="M103" s="3">
        <v>1</v>
      </c>
      <c r="N103" s="4" t="s">
        <v>6209</v>
      </c>
      <c r="O103" s="4">
        <v>5</v>
      </c>
      <c r="P103" s="11" t="s">
        <v>4210</v>
      </c>
      <c r="Q103" s="11" t="s">
        <v>4351</v>
      </c>
      <c r="S103" s="4" t="b">
        <f>ISNUMBER(MATCH(Q103,T:T,0))</f>
        <v>1</v>
      </c>
      <c r="T103" s="4" t="s">
        <v>6239</v>
      </c>
      <c r="U103" s="4" t="str">
        <f t="shared" si="1"/>
        <v>爲</v>
      </c>
    </row>
    <row r="104" spans="1:21">
      <c r="A104" s="3">
        <v>103</v>
      </c>
      <c r="B104" s="3" t="s">
        <v>6204</v>
      </c>
      <c r="C104" s="3" t="s">
        <v>6038</v>
      </c>
      <c r="D104" s="3" t="s">
        <v>6001</v>
      </c>
      <c r="E104" s="3" t="s">
        <v>6212</v>
      </c>
      <c r="F104" s="3" t="s">
        <v>6205</v>
      </c>
      <c r="G104" s="3" t="s">
        <v>5993</v>
      </c>
      <c r="H104" s="3" t="s">
        <v>6241</v>
      </c>
      <c r="I104" s="3" t="s">
        <v>6207</v>
      </c>
      <c r="J104" s="5" t="s">
        <v>6242</v>
      </c>
      <c r="L104" s="3" t="s">
        <v>6240</v>
      </c>
      <c r="M104" s="3">
        <v>2</v>
      </c>
      <c r="N104" s="4" t="s">
        <v>6209</v>
      </c>
      <c r="O104" s="4">
        <v>5</v>
      </c>
      <c r="P104" s="11" t="s">
        <v>4210</v>
      </c>
      <c r="Q104" s="11" t="s">
        <v>9788</v>
      </c>
      <c r="S104" s="4" t="b">
        <f>ISNUMBER(MATCH(Q104,T:T,0))</f>
        <v>1</v>
      </c>
      <c r="T104" s="4" t="s">
        <v>10473</v>
      </c>
      <c r="U104" s="4" t="str">
        <f t="shared" si="1"/>
        <v>隨</v>
      </c>
    </row>
    <row r="105" spans="1:21" ht="28.5">
      <c r="A105" s="3">
        <v>104</v>
      </c>
      <c r="B105" s="3" t="s">
        <v>6204</v>
      </c>
      <c r="C105" s="3" t="s">
        <v>6041</v>
      </c>
      <c r="D105" s="3" t="s">
        <v>6001</v>
      </c>
      <c r="E105" s="3" t="s">
        <v>5991</v>
      </c>
      <c r="F105" s="3" t="s">
        <v>6213</v>
      </c>
      <c r="G105" s="3" t="s">
        <v>5993</v>
      </c>
      <c r="H105" s="3" t="s">
        <v>6243</v>
      </c>
      <c r="I105" s="3" t="s">
        <v>6207</v>
      </c>
      <c r="J105" s="5" t="s">
        <v>8428</v>
      </c>
      <c r="K105" s="3" t="s">
        <v>563</v>
      </c>
      <c r="L105" s="3" t="s">
        <v>6244</v>
      </c>
      <c r="M105" s="3">
        <v>10</v>
      </c>
      <c r="N105" s="4" t="s">
        <v>6209</v>
      </c>
      <c r="O105" s="4">
        <v>5</v>
      </c>
      <c r="P105" s="11" t="s">
        <v>9721</v>
      </c>
      <c r="Q105" s="11" t="s">
        <v>9785</v>
      </c>
      <c r="S105" s="4" t="b">
        <f>ISNUMBER(MATCH(Q105,T:T,0))</f>
        <v>1</v>
      </c>
      <c r="T105" s="4" t="s">
        <v>9790</v>
      </c>
      <c r="U105" s="4" t="str">
        <f t="shared" si="1"/>
        <v>羈</v>
      </c>
    </row>
    <row r="106" spans="1:21" ht="39">
      <c r="A106" s="3">
        <v>105</v>
      </c>
      <c r="B106" s="3" t="s">
        <v>6204</v>
      </c>
      <c r="C106" s="3" t="s">
        <v>6041</v>
      </c>
      <c r="D106" s="3" t="s">
        <v>6001</v>
      </c>
      <c r="E106" s="3" t="s">
        <v>5991</v>
      </c>
      <c r="F106" s="3" t="s">
        <v>6205</v>
      </c>
      <c r="G106" s="3" t="s">
        <v>5993</v>
      </c>
      <c r="H106" s="3" t="s">
        <v>6245</v>
      </c>
      <c r="I106" s="3" t="s">
        <v>6207</v>
      </c>
      <c r="J106" s="5" t="s">
        <v>8429</v>
      </c>
      <c r="L106" s="3" t="s">
        <v>6244</v>
      </c>
      <c r="M106" s="3">
        <v>25</v>
      </c>
      <c r="N106" s="4" t="s">
        <v>6209</v>
      </c>
      <c r="O106" s="4">
        <v>5</v>
      </c>
      <c r="P106" s="11" t="s">
        <v>9789</v>
      </c>
      <c r="Q106" s="11" t="s">
        <v>6209</v>
      </c>
      <c r="S106" s="4" t="b">
        <f>ISNUMBER(MATCH(Q106,T:T,0))</f>
        <v>1</v>
      </c>
      <c r="T106" s="4" t="s">
        <v>10974</v>
      </c>
      <c r="U106" s="4" t="str">
        <f t="shared" si="1"/>
        <v>支</v>
      </c>
    </row>
    <row r="107" spans="1:21">
      <c r="A107" s="3">
        <v>106</v>
      </c>
      <c r="B107" s="3" t="s">
        <v>6204</v>
      </c>
      <c r="C107" s="3" t="s">
        <v>6089</v>
      </c>
      <c r="D107" s="3" t="s">
        <v>6001</v>
      </c>
      <c r="E107" s="3" t="s">
        <v>5991</v>
      </c>
      <c r="F107" s="3" t="s">
        <v>6213</v>
      </c>
      <c r="G107" s="3" t="s">
        <v>5993</v>
      </c>
      <c r="H107" s="3" t="s">
        <v>6246</v>
      </c>
      <c r="I107" s="3" t="s">
        <v>6207</v>
      </c>
      <c r="J107" s="5" t="s">
        <v>8430</v>
      </c>
      <c r="K107" s="3" t="s">
        <v>6247</v>
      </c>
      <c r="L107" s="3" t="s">
        <v>6248</v>
      </c>
      <c r="M107" s="3">
        <v>18</v>
      </c>
      <c r="N107" s="4" t="s">
        <v>6209</v>
      </c>
      <c r="O107" s="4">
        <v>5</v>
      </c>
      <c r="P107" s="11" t="s">
        <v>9753</v>
      </c>
      <c r="Q107" s="11" t="s">
        <v>9785</v>
      </c>
      <c r="S107" s="4" t="b">
        <f>ISNUMBER(MATCH(Q107,T:T,0))</f>
        <v>1</v>
      </c>
      <c r="T107" s="4" t="s">
        <v>10975</v>
      </c>
      <c r="U107" s="4" t="str">
        <f t="shared" si="1"/>
        <v>羈</v>
      </c>
    </row>
    <row r="108" spans="1:21">
      <c r="A108" s="3">
        <v>107</v>
      </c>
      <c r="B108" s="3" t="s">
        <v>6204</v>
      </c>
      <c r="C108" s="3" t="s">
        <v>6038</v>
      </c>
      <c r="D108" s="3" t="s">
        <v>6001</v>
      </c>
      <c r="E108" s="3" t="s">
        <v>5991</v>
      </c>
      <c r="F108" s="3" t="s">
        <v>6213</v>
      </c>
      <c r="G108" s="3" t="s">
        <v>5993</v>
      </c>
      <c r="H108" s="3" t="s">
        <v>6249</v>
      </c>
      <c r="I108" s="3" t="s">
        <v>6207</v>
      </c>
      <c r="J108" s="5" t="s">
        <v>6250</v>
      </c>
      <c r="L108" s="3" t="s">
        <v>6251</v>
      </c>
      <c r="M108" s="3">
        <v>11</v>
      </c>
      <c r="N108" s="4" t="s">
        <v>6209</v>
      </c>
      <c r="O108" s="4">
        <v>5</v>
      </c>
      <c r="P108" s="11" t="s">
        <v>4210</v>
      </c>
      <c r="Q108" s="11" t="s">
        <v>9790</v>
      </c>
      <c r="S108" s="4" t="b">
        <f>ISNUMBER(MATCH(Q108,T:T,0))</f>
        <v>1</v>
      </c>
      <c r="T108" s="4" t="s">
        <v>10976</v>
      </c>
      <c r="U108" s="4" t="str">
        <f t="shared" si="1"/>
        <v>奇</v>
      </c>
    </row>
    <row r="109" spans="1:21">
      <c r="A109" s="3">
        <v>108</v>
      </c>
      <c r="B109" s="3" t="s">
        <v>6204</v>
      </c>
      <c r="C109" s="3" t="s">
        <v>6092</v>
      </c>
      <c r="D109" s="3" t="s">
        <v>6001</v>
      </c>
      <c r="E109" s="3" t="s">
        <v>5991</v>
      </c>
      <c r="F109" s="3" t="s">
        <v>6213</v>
      </c>
      <c r="G109" s="3" t="s">
        <v>5993</v>
      </c>
      <c r="H109" s="3" t="s">
        <v>6252</v>
      </c>
      <c r="I109" s="3" t="s">
        <v>6207</v>
      </c>
      <c r="J109" s="5" t="s">
        <v>8431</v>
      </c>
      <c r="L109" s="3" t="s">
        <v>6211</v>
      </c>
      <c r="M109" s="3">
        <v>11</v>
      </c>
      <c r="N109" s="4" t="s">
        <v>6209</v>
      </c>
      <c r="O109" s="4">
        <v>5</v>
      </c>
      <c r="P109" s="11" t="s">
        <v>6462</v>
      </c>
      <c r="Q109" s="11" t="s">
        <v>9785</v>
      </c>
      <c r="S109" s="4" t="b">
        <f>ISNUMBER(MATCH(Q109,T:T,0))</f>
        <v>1</v>
      </c>
      <c r="T109" s="4" t="s">
        <v>9792</v>
      </c>
      <c r="U109" s="4" t="str">
        <f t="shared" si="1"/>
        <v>羈</v>
      </c>
    </row>
    <row r="110" spans="1:21">
      <c r="A110" s="3">
        <v>109</v>
      </c>
      <c r="B110" s="3" t="s">
        <v>6204</v>
      </c>
      <c r="C110" s="3" t="s">
        <v>6045</v>
      </c>
      <c r="D110" s="3" t="s">
        <v>6001</v>
      </c>
      <c r="E110" s="3" t="s">
        <v>5991</v>
      </c>
      <c r="F110" s="3" t="s">
        <v>6213</v>
      </c>
      <c r="G110" s="3" t="s">
        <v>5993</v>
      </c>
      <c r="H110" s="3" t="s">
        <v>6253</v>
      </c>
      <c r="I110" s="3" t="s">
        <v>6207</v>
      </c>
      <c r="J110" s="5" t="s">
        <v>6254</v>
      </c>
      <c r="L110" s="3" t="s">
        <v>6256</v>
      </c>
      <c r="M110" s="3">
        <v>6</v>
      </c>
      <c r="N110" s="4" t="s">
        <v>6209</v>
      </c>
      <c r="O110" s="4">
        <v>5</v>
      </c>
      <c r="P110" s="11" t="s">
        <v>9759</v>
      </c>
      <c r="Q110" s="11" t="s">
        <v>9785</v>
      </c>
      <c r="S110" s="4" t="b">
        <f>ISNUMBER(MATCH(Q110,T:T,0))</f>
        <v>1</v>
      </c>
      <c r="T110" s="4" t="s">
        <v>10154</v>
      </c>
      <c r="U110" s="4" t="str">
        <f t="shared" si="1"/>
        <v>羈</v>
      </c>
    </row>
    <row r="111" spans="1:21">
      <c r="A111" s="3">
        <v>110</v>
      </c>
      <c r="B111" s="3" t="s">
        <v>6204</v>
      </c>
      <c r="C111" s="3" t="s">
        <v>6148</v>
      </c>
      <c r="D111" s="3" t="s">
        <v>6001</v>
      </c>
      <c r="E111" s="3" t="s">
        <v>5991</v>
      </c>
      <c r="F111" s="3" t="s">
        <v>6205</v>
      </c>
      <c r="G111" s="3" t="s">
        <v>5993</v>
      </c>
      <c r="H111" s="3" t="s">
        <v>6257</v>
      </c>
      <c r="I111" s="3" t="s">
        <v>6207</v>
      </c>
      <c r="J111" s="5" t="s">
        <v>8432</v>
      </c>
      <c r="L111" s="3" t="s">
        <v>6258</v>
      </c>
      <c r="M111" s="3">
        <v>12</v>
      </c>
      <c r="N111" s="4" t="s">
        <v>6209</v>
      </c>
      <c r="O111" s="4">
        <v>5</v>
      </c>
      <c r="P111" s="11" t="s">
        <v>9784</v>
      </c>
      <c r="Q111" s="11" t="s">
        <v>6209</v>
      </c>
      <c r="S111" s="4" t="b">
        <f>ISNUMBER(MATCH(Q111,T:T,0))</f>
        <v>1</v>
      </c>
      <c r="T111" s="4" t="s">
        <v>10977</v>
      </c>
      <c r="U111" s="4" t="str">
        <f t="shared" si="1"/>
        <v>支</v>
      </c>
    </row>
    <row r="112" spans="1:21">
      <c r="A112" s="3">
        <v>111</v>
      </c>
      <c r="B112" s="3" t="s">
        <v>6204</v>
      </c>
      <c r="C112" s="3" t="s">
        <v>6021</v>
      </c>
      <c r="D112" s="3" t="s">
        <v>6001</v>
      </c>
      <c r="E112" s="3" t="s">
        <v>5991</v>
      </c>
      <c r="F112" s="3" t="s">
        <v>6205</v>
      </c>
      <c r="G112" s="3" t="s">
        <v>5993</v>
      </c>
      <c r="H112" s="3" t="s">
        <v>6259</v>
      </c>
      <c r="I112" s="3" t="s">
        <v>6207</v>
      </c>
      <c r="J112" s="5" t="s">
        <v>6260</v>
      </c>
      <c r="K112" s="3" t="s">
        <v>6261</v>
      </c>
      <c r="L112" s="3" t="s">
        <v>6262</v>
      </c>
      <c r="M112" s="3">
        <v>4</v>
      </c>
      <c r="N112" s="4" t="s">
        <v>6209</v>
      </c>
      <c r="O112" s="4">
        <v>5</v>
      </c>
      <c r="P112" s="11" t="s">
        <v>9791</v>
      </c>
      <c r="Q112" s="11" t="s">
        <v>9778</v>
      </c>
      <c r="S112" s="4" t="b">
        <f>ISNUMBER(MATCH(Q112,T:T,0))</f>
        <v>1</v>
      </c>
      <c r="T112" s="4" t="s">
        <v>10207</v>
      </c>
      <c r="U112" s="4" t="str">
        <f t="shared" si="1"/>
        <v>移</v>
      </c>
    </row>
    <row r="113" spans="1:21" ht="58.5">
      <c r="A113" s="3">
        <v>112</v>
      </c>
      <c r="B113" s="3" t="s">
        <v>6204</v>
      </c>
      <c r="C113" s="3" t="s">
        <v>6058</v>
      </c>
      <c r="D113" s="3" t="s">
        <v>6001</v>
      </c>
      <c r="E113" s="3" t="s">
        <v>5991</v>
      </c>
      <c r="F113" s="3" t="s">
        <v>6205</v>
      </c>
      <c r="G113" s="3" t="s">
        <v>5993</v>
      </c>
      <c r="H113" s="3" t="s">
        <v>6263</v>
      </c>
      <c r="I113" s="3" t="s">
        <v>6207</v>
      </c>
      <c r="J113" s="5" t="s">
        <v>8433</v>
      </c>
      <c r="L113" s="3" t="s">
        <v>6264</v>
      </c>
      <c r="M113" s="3">
        <v>37</v>
      </c>
      <c r="N113" s="4" t="s">
        <v>6209</v>
      </c>
      <c r="O113" s="4">
        <v>5</v>
      </c>
      <c r="P113" s="11" t="s">
        <v>9773</v>
      </c>
      <c r="Q113" s="11" t="s">
        <v>6209</v>
      </c>
      <c r="S113" s="4" t="b">
        <f>ISNUMBER(MATCH(Q113,T:T,0))</f>
        <v>1</v>
      </c>
      <c r="T113" s="4" t="s">
        <v>9796</v>
      </c>
      <c r="U113" s="4" t="str">
        <f t="shared" si="1"/>
        <v>支</v>
      </c>
    </row>
    <row r="114" spans="1:21">
      <c r="A114" s="3">
        <v>113</v>
      </c>
      <c r="B114" s="3" t="s">
        <v>6204</v>
      </c>
      <c r="C114" s="3" t="s">
        <v>6069</v>
      </c>
      <c r="D114" s="3" t="s">
        <v>6001</v>
      </c>
      <c r="E114" s="3" t="s">
        <v>5991</v>
      </c>
      <c r="F114" s="3" t="s">
        <v>6205</v>
      </c>
      <c r="G114" s="3" t="s">
        <v>5993</v>
      </c>
      <c r="H114" s="3" t="s">
        <v>6265</v>
      </c>
      <c r="I114" s="3" t="s">
        <v>6207</v>
      </c>
      <c r="J114" s="5" t="s">
        <v>8434</v>
      </c>
      <c r="L114" s="3" t="s">
        <v>6266</v>
      </c>
      <c r="M114" s="3">
        <v>8</v>
      </c>
      <c r="N114" s="4" t="s">
        <v>6209</v>
      </c>
      <c r="O114" s="4">
        <v>5</v>
      </c>
      <c r="P114" s="11" t="s">
        <v>9756</v>
      </c>
      <c r="Q114" s="11" t="s">
        <v>9778</v>
      </c>
      <c r="S114" s="4" t="b">
        <f>ISNUMBER(MATCH(Q114,T:T,0))</f>
        <v>1</v>
      </c>
      <c r="T114" s="4" t="s">
        <v>10978</v>
      </c>
      <c r="U114" s="4" t="str">
        <f t="shared" si="1"/>
        <v>移</v>
      </c>
    </row>
    <row r="115" spans="1:21" ht="39">
      <c r="A115" s="3">
        <v>114</v>
      </c>
      <c r="B115" s="3" t="s">
        <v>6204</v>
      </c>
      <c r="C115" s="3" t="s">
        <v>6083</v>
      </c>
      <c r="D115" s="3" t="s">
        <v>6001</v>
      </c>
      <c r="E115" s="3" t="s">
        <v>5991</v>
      </c>
      <c r="F115" s="3" t="s">
        <v>6205</v>
      </c>
      <c r="G115" s="3" t="s">
        <v>5993</v>
      </c>
      <c r="H115" s="3" t="s">
        <v>6267</v>
      </c>
      <c r="I115" s="3" t="s">
        <v>6207</v>
      </c>
      <c r="J115" s="5" t="s">
        <v>8435</v>
      </c>
      <c r="L115" s="3" t="s">
        <v>6268</v>
      </c>
      <c r="M115" s="3">
        <v>16</v>
      </c>
      <c r="N115" s="4" t="s">
        <v>6209</v>
      </c>
      <c r="O115" s="4">
        <v>5</v>
      </c>
      <c r="P115" s="11" t="s">
        <v>9760</v>
      </c>
      <c r="Q115" s="11" t="s">
        <v>9778</v>
      </c>
      <c r="S115" s="4" t="b">
        <f>ISNUMBER(MATCH(Q115,T:T,0))</f>
        <v>1</v>
      </c>
      <c r="T115" s="4" t="s">
        <v>10979</v>
      </c>
      <c r="U115" s="4" t="str">
        <f t="shared" si="1"/>
        <v>移</v>
      </c>
    </row>
    <row r="116" spans="1:21">
      <c r="A116" s="3">
        <v>115</v>
      </c>
      <c r="B116" s="3" t="s">
        <v>6204</v>
      </c>
      <c r="C116" s="3" t="s">
        <v>6025</v>
      </c>
      <c r="D116" s="3" t="s">
        <v>6001</v>
      </c>
      <c r="E116" s="3" t="s">
        <v>5991</v>
      </c>
      <c r="F116" s="3" t="s">
        <v>6213</v>
      </c>
      <c r="G116" s="3" t="s">
        <v>5993</v>
      </c>
      <c r="H116" s="3" t="s">
        <v>6269</v>
      </c>
      <c r="I116" s="3" t="s">
        <v>6207</v>
      </c>
      <c r="J116" s="5" t="s">
        <v>8436</v>
      </c>
      <c r="L116" s="3" t="s">
        <v>6270</v>
      </c>
      <c r="M116" s="3">
        <v>9</v>
      </c>
      <c r="N116" s="4" t="s">
        <v>6209</v>
      </c>
      <c r="O116" s="4">
        <v>5</v>
      </c>
      <c r="P116" s="11" t="s">
        <v>9717</v>
      </c>
      <c r="Q116" s="11" t="s">
        <v>9792</v>
      </c>
      <c r="S116" s="4" t="b">
        <f>ISNUMBER(MATCH(Q116,T:T,0))</f>
        <v>1</v>
      </c>
      <c r="T116" s="4" t="s">
        <v>9785</v>
      </c>
      <c r="U116" s="4" t="str">
        <f t="shared" si="1"/>
        <v>宜</v>
      </c>
    </row>
    <row r="117" spans="1:21">
      <c r="A117" s="3">
        <v>116</v>
      </c>
      <c r="B117" s="3" t="s">
        <v>6204</v>
      </c>
      <c r="C117" s="3" t="s">
        <v>6049</v>
      </c>
      <c r="D117" s="3" t="s">
        <v>6001</v>
      </c>
      <c r="E117" s="3" t="s">
        <v>5991</v>
      </c>
      <c r="F117" s="3" t="s">
        <v>6205</v>
      </c>
      <c r="G117" s="3" t="s">
        <v>5993</v>
      </c>
      <c r="H117" s="3" t="s">
        <v>6271</v>
      </c>
      <c r="I117" s="3" t="s">
        <v>6207</v>
      </c>
      <c r="J117" s="5" t="s">
        <v>8437</v>
      </c>
      <c r="L117" s="3" t="s">
        <v>6236</v>
      </c>
      <c r="M117" s="3">
        <v>11</v>
      </c>
      <c r="N117" s="4" t="s">
        <v>6209</v>
      </c>
      <c r="O117" s="4">
        <v>5</v>
      </c>
      <c r="P117" s="11" t="s">
        <v>9752</v>
      </c>
      <c r="Q117" s="11" t="s">
        <v>9778</v>
      </c>
      <c r="S117" s="4" t="b">
        <f>ISNUMBER(MATCH(Q117,T:T,0))</f>
        <v>1</v>
      </c>
      <c r="T117" s="4" t="s">
        <v>10015</v>
      </c>
      <c r="U117" s="4" t="str">
        <f t="shared" si="1"/>
        <v>移</v>
      </c>
    </row>
    <row r="118" spans="1:21">
      <c r="A118" s="3">
        <v>117</v>
      </c>
      <c r="B118" s="3" t="s">
        <v>6204</v>
      </c>
      <c r="C118" s="3" t="s">
        <v>6045</v>
      </c>
      <c r="D118" s="3" t="s">
        <v>6001</v>
      </c>
      <c r="E118" s="3" t="s">
        <v>5991</v>
      </c>
      <c r="F118" s="3" t="s">
        <v>6205</v>
      </c>
      <c r="G118" s="3" t="s">
        <v>5993</v>
      </c>
      <c r="H118" s="3" t="s">
        <v>6272</v>
      </c>
      <c r="I118" s="3" t="s">
        <v>6207</v>
      </c>
      <c r="J118" s="5" t="s">
        <v>8438</v>
      </c>
      <c r="L118" s="3" t="s">
        <v>6256</v>
      </c>
      <c r="M118" s="3">
        <v>15</v>
      </c>
      <c r="N118" s="4" t="s">
        <v>6209</v>
      </c>
      <c r="O118" s="4">
        <v>5</v>
      </c>
      <c r="P118" s="11" t="s">
        <v>9759</v>
      </c>
      <c r="Q118" s="11" t="s">
        <v>6209</v>
      </c>
      <c r="S118" s="4" t="b">
        <f>ISNUMBER(MATCH(Q118,T:T,0))</f>
        <v>1</v>
      </c>
      <c r="T118" s="4" t="s">
        <v>10980</v>
      </c>
      <c r="U118" s="4" t="str">
        <f t="shared" si="1"/>
        <v>支</v>
      </c>
    </row>
    <row r="119" spans="1:21">
      <c r="A119" s="3">
        <v>118</v>
      </c>
      <c r="B119" s="3" t="s">
        <v>6204</v>
      </c>
      <c r="C119" s="3" t="s">
        <v>6120</v>
      </c>
      <c r="D119" s="3" t="s">
        <v>6001</v>
      </c>
      <c r="E119" s="3" t="s">
        <v>5991</v>
      </c>
      <c r="F119" s="3" t="s">
        <v>6205</v>
      </c>
      <c r="G119" s="3" t="s">
        <v>5993</v>
      </c>
      <c r="H119" s="3" t="s">
        <v>6273</v>
      </c>
      <c r="I119" s="3" t="s">
        <v>6207</v>
      </c>
      <c r="J119" s="5" t="s">
        <v>8439</v>
      </c>
      <c r="L119" s="3" t="s">
        <v>6274</v>
      </c>
      <c r="M119" s="3">
        <v>12</v>
      </c>
      <c r="N119" s="4" t="s">
        <v>6209</v>
      </c>
      <c r="O119" s="4">
        <v>5</v>
      </c>
      <c r="P119" s="11" t="s">
        <v>9793</v>
      </c>
      <c r="Q119" s="11" t="s">
        <v>6209</v>
      </c>
      <c r="S119" s="4" t="b">
        <f>ISNUMBER(MATCH(Q119,T:T,0))</f>
        <v>1</v>
      </c>
      <c r="T119" s="4" t="s">
        <v>10981</v>
      </c>
      <c r="U119" s="4" t="str">
        <f t="shared" si="1"/>
        <v>支</v>
      </c>
    </row>
    <row r="120" spans="1:21" ht="39">
      <c r="A120" s="3">
        <v>119</v>
      </c>
      <c r="B120" s="3" t="s">
        <v>6204</v>
      </c>
      <c r="C120" s="3" t="s">
        <v>6017</v>
      </c>
      <c r="D120" s="3" t="s">
        <v>6001</v>
      </c>
      <c r="E120" s="3" t="s">
        <v>5991</v>
      </c>
      <c r="F120" s="3" t="s">
        <v>6205</v>
      </c>
      <c r="G120" s="3" t="s">
        <v>5993</v>
      </c>
      <c r="H120" s="3" t="s">
        <v>6275</v>
      </c>
      <c r="I120" s="3" t="s">
        <v>6207</v>
      </c>
      <c r="J120" s="5" t="s">
        <v>8440</v>
      </c>
      <c r="L120" s="3" t="s">
        <v>6276</v>
      </c>
      <c r="M120" s="3">
        <v>26</v>
      </c>
      <c r="N120" s="4" t="s">
        <v>6209</v>
      </c>
      <c r="O120" s="4">
        <v>5</v>
      </c>
      <c r="P120" s="11" t="s">
        <v>9714</v>
      </c>
      <c r="Q120" s="11" t="s">
        <v>9778</v>
      </c>
      <c r="S120" s="4" t="b">
        <f>ISNUMBER(MATCH(Q120,T:T,0))</f>
        <v>1</v>
      </c>
      <c r="T120" s="4" t="s">
        <v>10205</v>
      </c>
      <c r="U120" s="4" t="str">
        <f t="shared" si="1"/>
        <v>移</v>
      </c>
    </row>
    <row r="121" spans="1:21">
      <c r="A121" s="3">
        <v>120</v>
      </c>
      <c r="B121" s="3" t="s">
        <v>6204</v>
      </c>
      <c r="C121" s="3" t="s">
        <v>6167</v>
      </c>
      <c r="D121" s="3" t="s">
        <v>6001</v>
      </c>
      <c r="E121" s="3" t="s">
        <v>5991</v>
      </c>
      <c r="F121" s="3" t="s">
        <v>6213</v>
      </c>
      <c r="G121" s="3" t="s">
        <v>5993</v>
      </c>
      <c r="H121" s="3" t="s">
        <v>6277</v>
      </c>
      <c r="I121" s="3" t="s">
        <v>6207</v>
      </c>
      <c r="J121" s="5" t="s">
        <v>6278</v>
      </c>
      <c r="L121" s="3" t="s">
        <v>6279</v>
      </c>
      <c r="M121" s="3">
        <v>4</v>
      </c>
      <c r="N121" s="4" t="s">
        <v>6209</v>
      </c>
      <c r="O121" s="4">
        <v>5</v>
      </c>
      <c r="P121" s="11" t="s">
        <v>9769</v>
      </c>
      <c r="Q121" s="11" t="s">
        <v>9792</v>
      </c>
      <c r="S121" s="4" t="b">
        <f>ISNUMBER(MATCH(Q121,T:T,0))</f>
        <v>1</v>
      </c>
      <c r="T121" s="4" t="s">
        <v>10982</v>
      </c>
      <c r="U121" s="4" t="str">
        <f t="shared" si="1"/>
        <v>宜</v>
      </c>
    </row>
    <row r="122" spans="1:21">
      <c r="A122" s="3">
        <v>121</v>
      </c>
      <c r="B122" s="3" t="s">
        <v>6204</v>
      </c>
      <c r="C122" s="3" t="s">
        <v>6011</v>
      </c>
      <c r="D122" s="3" t="s">
        <v>6001</v>
      </c>
      <c r="E122" s="3" t="s">
        <v>5991</v>
      </c>
      <c r="F122" s="3" t="s">
        <v>6213</v>
      </c>
      <c r="G122" s="3" t="s">
        <v>5993</v>
      </c>
      <c r="H122" s="3" t="s">
        <v>6280</v>
      </c>
      <c r="I122" s="3" t="s">
        <v>6207</v>
      </c>
      <c r="J122" s="5" t="s">
        <v>8441</v>
      </c>
      <c r="L122" s="3" t="s">
        <v>6279</v>
      </c>
      <c r="M122" s="3">
        <v>9</v>
      </c>
      <c r="N122" s="4" t="s">
        <v>6209</v>
      </c>
      <c r="O122" s="4">
        <v>5</v>
      </c>
      <c r="P122" s="11" t="s">
        <v>9757</v>
      </c>
      <c r="Q122" s="11" t="s">
        <v>6000</v>
      </c>
      <c r="S122" s="4" t="b">
        <f>ISNUMBER(MATCH(Q122,T:T,0))</f>
        <v>1</v>
      </c>
      <c r="T122" s="4" t="s">
        <v>10983</v>
      </c>
      <c r="U122" s="4" t="str">
        <f t="shared" si="1"/>
        <v>知</v>
      </c>
    </row>
    <row r="123" spans="1:21">
      <c r="A123" s="3">
        <v>122</v>
      </c>
      <c r="B123" s="3" t="s">
        <v>6204</v>
      </c>
      <c r="C123" s="3" t="s">
        <v>6035</v>
      </c>
      <c r="D123" s="3" t="s">
        <v>6001</v>
      </c>
      <c r="E123" s="3" t="s">
        <v>5991</v>
      </c>
      <c r="F123" s="3" t="s">
        <v>6205</v>
      </c>
      <c r="G123" s="3" t="s">
        <v>5993</v>
      </c>
      <c r="H123" s="3" t="s">
        <v>6281</v>
      </c>
      <c r="I123" s="3" t="s">
        <v>6207</v>
      </c>
      <c r="J123" s="5" t="s">
        <v>8442</v>
      </c>
      <c r="L123" s="3" t="s">
        <v>6222</v>
      </c>
      <c r="M123" s="3">
        <v>17</v>
      </c>
      <c r="N123" s="4" t="s">
        <v>6209</v>
      </c>
      <c r="O123" s="4">
        <v>5</v>
      </c>
      <c r="P123" s="11" t="s">
        <v>9794</v>
      </c>
      <c r="Q123" s="11" t="s">
        <v>9778</v>
      </c>
      <c r="S123" s="4" t="b">
        <f>ISNUMBER(MATCH(Q123,T:T,0))</f>
        <v>1</v>
      </c>
      <c r="T123" s="4" t="s">
        <v>9941</v>
      </c>
      <c r="U123" s="4" t="str">
        <f t="shared" si="1"/>
        <v>移</v>
      </c>
    </row>
    <row r="124" spans="1:21">
      <c r="A124" s="3">
        <v>123</v>
      </c>
      <c r="B124" s="3" t="s">
        <v>6204</v>
      </c>
      <c r="C124" s="3" t="s">
        <v>6076</v>
      </c>
      <c r="D124" s="3" t="s">
        <v>6001</v>
      </c>
      <c r="E124" s="3" t="s">
        <v>5991</v>
      </c>
      <c r="F124" s="3" t="s">
        <v>6205</v>
      </c>
      <c r="G124" s="3" t="s">
        <v>5993</v>
      </c>
      <c r="H124" s="3" t="s">
        <v>6282</v>
      </c>
      <c r="I124" s="3" t="s">
        <v>6207</v>
      </c>
      <c r="J124" s="5" t="s">
        <v>8443</v>
      </c>
      <c r="L124" s="3" t="s">
        <v>6283</v>
      </c>
      <c r="M124" s="3">
        <v>5</v>
      </c>
      <c r="N124" s="4" t="s">
        <v>6209</v>
      </c>
      <c r="O124" s="4">
        <v>5</v>
      </c>
      <c r="P124" s="11" t="s">
        <v>9795</v>
      </c>
      <c r="Q124" s="11" t="s">
        <v>9778</v>
      </c>
      <c r="S124" s="4" t="b">
        <f>ISNUMBER(MATCH(Q124,T:T,0))</f>
        <v>1</v>
      </c>
      <c r="T124" s="4" t="s">
        <v>10202</v>
      </c>
      <c r="U124" s="4" t="str">
        <f t="shared" si="1"/>
        <v>移</v>
      </c>
    </row>
    <row r="125" spans="1:21">
      <c r="A125" s="3">
        <v>124</v>
      </c>
      <c r="B125" s="3" t="s">
        <v>6204</v>
      </c>
      <c r="C125" s="3" t="s">
        <v>6000</v>
      </c>
      <c r="D125" s="3" t="s">
        <v>6001</v>
      </c>
      <c r="E125" s="3" t="s">
        <v>5991</v>
      </c>
      <c r="F125" s="3" t="s">
        <v>6213</v>
      </c>
      <c r="G125" s="3" t="s">
        <v>5993</v>
      </c>
      <c r="H125" s="3" t="s">
        <v>6284</v>
      </c>
      <c r="I125" s="3" t="s">
        <v>6207</v>
      </c>
      <c r="J125" s="5" t="s">
        <v>8444</v>
      </c>
      <c r="L125" s="3" t="s">
        <v>6208</v>
      </c>
      <c r="M125" s="3">
        <v>6</v>
      </c>
      <c r="N125" s="4" t="s">
        <v>6209</v>
      </c>
      <c r="O125" s="4">
        <v>5</v>
      </c>
      <c r="P125" s="11" t="s">
        <v>9707</v>
      </c>
      <c r="Q125" s="11" t="s">
        <v>9778</v>
      </c>
      <c r="S125" s="4" t="b">
        <f>ISNUMBER(MATCH(Q125,T:T,0))</f>
        <v>1</v>
      </c>
      <c r="T125" s="4" t="s">
        <v>6000</v>
      </c>
      <c r="U125" s="4" t="str">
        <f t="shared" si="1"/>
        <v>移</v>
      </c>
    </row>
    <row r="126" spans="1:21">
      <c r="A126" s="3">
        <v>125</v>
      </c>
      <c r="B126" s="3" t="s">
        <v>6204</v>
      </c>
      <c r="C126" s="3" t="s">
        <v>6072</v>
      </c>
      <c r="D126" s="3" t="s">
        <v>6001</v>
      </c>
      <c r="E126" s="3" t="s">
        <v>5991</v>
      </c>
      <c r="F126" s="3" t="s">
        <v>6213</v>
      </c>
      <c r="G126" s="3" t="s">
        <v>5993</v>
      </c>
      <c r="H126" s="3" t="s">
        <v>6285</v>
      </c>
      <c r="I126" s="3" t="s">
        <v>6207</v>
      </c>
      <c r="J126" s="5" t="s">
        <v>6286</v>
      </c>
      <c r="L126" s="3" t="s">
        <v>6288</v>
      </c>
      <c r="M126" s="3">
        <v>11</v>
      </c>
      <c r="N126" s="4" t="s">
        <v>6209</v>
      </c>
      <c r="O126" s="4">
        <v>5</v>
      </c>
      <c r="P126" s="11" t="s">
        <v>9754</v>
      </c>
      <c r="Q126" s="11" t="s">
        <v>9796</v>
      </c>
      <c r="S126" s="4" t="b">
        <f>ISNUMBER(MATCH(Q126,T:T,0))</f>
        <v>1</v>
      </c>
      <c r="T126" s="4" t="s">
        <v>10984</v>
      </c>
      <c r="U126" s="4" t="str">
        <f t="shared" si="1"/>
        <v>離</v>
      </c>
    </row>
    <row r="127" spans="1:21">
      <c r="A127" s="3">
        <v>126</v>
      </c>
      <c r="B127" s="3" t="s">
        <v>6204</v>
      </c>
      <c r="C127" s="3" t="s">
        <v>6005</v>
      </c>
      <c r="D127" s="3" t="s">
        <v>6001</v>
      </c>
      <c r="E127" s="3" t="s">
        <v>5991</v>
      </c>
      <c r="F127" s="3" t="s">
        <v>6213</v>
      </c>
      <c r="G127" s="3" t="s">
        <v>5993</v>
      </c>
      <c r="H127" s="3" t="s">
        <v>6289</v>
      </c>
      <c r="I127" s="3" t="s">
        <v>6207</v>
      </c>
      <c r="J127" s="5" t="s">
        <v>6290</v>
      </c>
      <c r="K127" s="3" t="s">
        <v>6291</v>
      </c>
      <c r="L127" s="3" t="s">
        <v>6258</v>
      </c>
      <c r="M127" s="3">
        <v>13</v>
      </c>
      <c r="N127" s="4" t="s">
        <v>6209</v>
      </c>
      <c r="O127" s="4">
        <v>5</v>
      </c>
      <c r="P127" s="11" t="s">
        <v>9709</v>
      </c>
      <c r="Q127" s="11" t="s">
        <v>9796</v>
      </c>
      <c r="S127" s="4" t="b">
        <f>ISNUMBER(MATCH(Q127,T:T,0))</f>
        <v>1</v>
      </c>
      <c r="T127" s="4" t="s">
        <v>10472</v>
      </c>
      <c r="U127" s="4" t="str">
        <f t="shared" si="1"/>
        <v>離</v>
      </c>
    </row>
    <row r="128" spans="1:21">
      <c r="A128" s="3">
        <v>127</v>
      </c>
      <c r="B128" s="3" t="s">
        <v>6204</v>
      </c>
      <c r="C128" s="3" t="s">
        <v>6017</v>
      </c>
      <c r="D128" s="3" t="s">
        <v>6001</v>
      </c>
      <c r="E128" s="3" t="s">
        <v>6212</v>
      </c>
      <c r="F128" s="3" t="s">
        <v>6205</v>
      </c>
      <c r="G128" s="3" t="s">
        <v>5993</v>
      </c>
      <c r="H128" s="3" t="s">
        <v>673</v>
      </c>
      <c r="I128" s="3" t="s">
        <v>6207</v>
      </c>
      <c r="J128" s="5" t="s">
        <v>6292</v>
      </c>
      <c r="L128" s="3" t="s">
        <v>6293</v>
      </c>
      <c r="M128" s="3">
        <v>1</v>
      </c>
      <c r="N128" s="4" t="s">
        <v>6209</v>
      </c>
      <c r="O128" s="4">
        <v>5</v>
      </c>
      <c r="P128" s="11" t="s">
        <v>9714</v>
      </c>
      <c r="Q128" s="11" t="s">
        <v>4351</v>
      </c>
      <c r="S128" s="4" t="b">
        <f>ISNUMBER(MATCH(Q128,T:T,0))</f>
        <v>1</v>
      </c>
      <c r="T128" s="4" t="s">
        <v>6292</v>
      </c>
      <c r="U128" s="4" t="str">
        <f t="shared" si="1"/>
        <v>爲</v>
      </c>
    </row>
    <row r="129" spans="1:22">
      <c r="A129" s="3">
        <v>128</v>
      </c>
      <c r="B129" s="3" t="s">
        <v>6204</v>
      </c>
      <c r="C129" s="3" t="s">
        <v>6092</v>
      </c>
      <c r="D129" s="3" t="s">
        <v>6001</v>
      </c>
      <c r="E129" s="3" t="s">
        <v>6212</v>
      </c>
      <c r="F129" s="3" t="s">
        <v>6213</v>
      </c>
      <c r="G129" s="3" t="s">
        <v>5993</v>
      </c>
      <c r="H129" s="3" t="s">
        <v>674</v>
      </c>
      <c r="I129" s="3" t="s">
        <v>6207</v>
      </c>
      <c r="J129" s="5" t="s">
        <v>6294</v>
      </c>
      <c r="L129" s="3" t="s">
        <v>6216</v>
      </c>
      <c r="M129" s="3">
        <v>4</v>
      </c>
      <c r="N129" s="4" t="s">
        <v>6209</v>
      </c>
      <c r="O129" s="4">
        <v>5</v>
      </c>
      <c r="P129" s="11" t="s">
        <v>6462</v>
      </c>
      <c r="Q129" s="11" t="s">
        <v>4351</v>
      </c>
      <c r="S129" s="4" t="b">
        <f>ISNUMBER(MATCH(Q129,T:T,0))</f>
        <v>1</v>
      </c>
      <c r="T129" s="4" t="s">
        <v>9802</v>
      </c>
      <c r="U129" s="4" t="str">
        <f t="shared" si="1"/>
        <v>爲</v>
      </c>
    </row>
    <row r="130" spans="1:22">
      <c r="A130" s="3">
        <v>129</v>
      </c>
      <c r="B130" s="3" t="s">
        <v>6204</v>
      </c>
      <c r="C130" s="3" t="s">
        <v>6089</v>
      </c>
      <c r="D130" s="3" t="s">
        <v>6001</v>
      </c>
      <c r="E130" s="3" t="s">
        <v>5991</v>
      </c>
      <c r="F130" s="3" t="s">
        <v>6205</v>
      </c>
      <c r="G130" s="3" t="s">
        <v>5993</v>
      </c>
      <c r="H130" s="3" t="s">
        <v>6295</v>
      </c>
      <c r="I130" s="3" t="s">
        <v>6207</v>
      </c>
      <c r="J130" s="5" t="s">
        <v>8445</v>
      </c>
      <c r="L130" s="3" t="s">
        <v>6248</v>
      </c>
      <c r="M130" s="3">
        <v>2</v>
      </c>
      <c r="N130" s="4" t="s">
        <v>6209</v>
      </c>
      <c r="O130" s="4">
        <v>5</v>
      </c>
      <c r="P130" s="11" t="s">
        <v>9797</v>
      </c>
      <c r="Q130" s="11" t="s">
        <v>6209</v>
      </c>
      <c r="S130" s="4" t="b">
        <f>ISNUMBER(MATCH(Q130,T:T,0))</f>
        <v>1</v>
      </c>
      <c r="T130" s="4" t="s">
        <v>10985</v>
      </c>
      <c r="U130" s="4" t="str">
        <f t="shared" si="1"/>
        <v>支</v>
      </c>
    </row>
    <row r="131" spans="1:22">
      <c r="A131" s="3">
        <v>130</v>
      </c>
      <c r="B131" s="3" t="s">
        <v>6204</v>
      </c>
      <c r="C131" s="3" t="s">
        <v>6180</v>
      </c>
      <c r="D131" s="3" t="s">
        <v>6001</v>
      </c>
      <c r="E131" s="3" t="s">
        <v>5991</v>
      </c>
      <c r="F131" s="3" t="s">
        <v>6213</v>
      </c>
      <c r="G131" s="3" t="s">
        <v>5993</v>
      </c>
      <c r="H131" s="3" t="s">
        <v>6297</v>
      </c>
      <c r="I131" s="3" t="s">
        <v>6207</v>
      </c>
      <c r="J131" s="5" t="s">
        <v>8446</v>
      </c>
      <c r="L131" s="3" t="s">
        <v>6274</v>
      </c>
      <c r="M131" s="3">
        <v>7</v>
      </c>
      <c r="N131" s="4" t="s">
        <v>6209</v>
      </c>
      <c r="O131" s="4">
        <v>5</v>
      </c>
      <c r="P131" s="11" t="s">
        <v>9774</v>
      </c>
      <c r="Q131" s="11" t="s">
        <v>9792</v>
      </c>
      <c r="S131" s="4" t="b">
        <f>ISNUMBER(MATCH(Q131,T:T,0))</f>
        <v>1</v>
      </c>
      <c r="T131" s="4" t="s">
        <v>10986</v>
      </c>
      <c r="U131" s="4" t="str">
        <f t="shared" ref="U131:U194" si="2">IF(ISBLANK(R131),Q131,R131)</f>
        <v>宜</v>
      </c>
    </row>
    <row r="132" spans="1:22" ht="28.5">
      <c r="A132" s="3">
        <v>131</v>
      </c>
      <c r="B132" s="3" t="s">
        <v>6204</v>
      </c>
      <c r="C132" s="3" t="s">
        <v>6180</v>
      </c>
      <c r="D132" s="3" t="s">
        <v>6001</v>
      </c>
      <c r="E132" s="3" t="s">
        <v>6212</v>
      </c>
      <c r="F132" s="3" t="s">
        <v>6213</v>
      </c>
      <c r="G132" s="3" t="s">
        <v>5993</v>
      </c>
      <c r="H132" s="3" t="s">
        <v>6298</v>
      </c>
      <c r="I132" s="3" t="s">
        <v>6207</v>
      </c>
      <c r="J132" s="5" t="s">
        <v>6299</v>
      </c>
      <c r="L132" s="3" t="s">
        <v>6300</v>
      </c>
      <c r="M132" s="3">
        <v>2</v>
      </c>
      <c r="N132" s="4" t="s">
        <v>6209</v>
      </c>
      <c r="O132" s="4">
        <v>5</v>
      </c>
      <c r="P132" s="11" t="s">
        <v>6836</v>
      </c>
      <c r="Q132" s="11" t="s">
        <v>9783</v>
      </c>
      <c r="S132" s="4" t="b">
        <f>ISNUMBER(MATCH(Q132,T:T,0))</f>
        <v>1</v>
      </c>
      <c r="T132" s="4" t="s">
        <v>10987</v>
      </c>
      <c r="U132" s="4" t="str">
        <f t="shared" si="2"/>
        <v>垂</v>
      </c>
    </row>
    <row r="133" spans="1:22">
      <c r="A133" s="3">
        <v>132</v>
      </c>
      <c r="B133" s="3" t="s">
        <v>6204</v>
      </c>
      <c r="C133" s="3" t="s">
        <v>6021</v>
      </c>
      <c r="D133" s="3" t="s">
        <v>6001</v>
      </c>
      <c r="E133" s="3" t="s">
        <v>6212</v>
      </c>
      <c r="F133" s="3" t="s">
        <v>6205</v>
      </c>
      <c r="G133" s="3" t="s">
        <v>5993</v>
      </c>
      <c r="H133" s="3" t="s">
        <v>6301</v>
      </c>
      <c r="I133" s="3" t="s">
        <v>6207</v>
      </c>
      <c r="J133" s="5" t="s">
        <v>6302</v>
      </c>
      <c r="L133" s="3" t="s">
        <v>6303</v>
      </c>
      <c r="M133" s="3">
        <v>2</v>
      </c>
      <c r="N133" s="4" t="s">
        <v>6209</v>
      </c>
      <c r="O133" s="4">
        <v>5</v>
      </c>
      <c r="P133" s="11" t="s">
        <v>9798</v>
      </c>
      <c r="Q133" s="11" t="s">
        <v>9783</v>
      </c>
      <c r="S133" s="4" t="b">
        <f>ISNUMBER(MATCH(Q133,T:T,0))</f>
        <v>1</v>
      </c>
      <c r="T133" s="4" t="s">
        <v>10988</v>
      </c>
      <c r="U133" s="4" t="str">
        <f t="shared" si="2"/>
        <v>垂</v>
      </c>
    </row>
    <row r="134" spans="1:22">
      <c r="A134" s="3">
        <v>133</v>
      </c>
      <c r="B134" s="3" t="s">
        <v>6204</v>
      </c>
      <c r="C134" s="3" t="s">
        <v>6083</v>
      </c>
      <c r="D134" s="3" t="s">
        <v>6001</v>
      </c>
      <c r="E134" s="3" t="s">
        <v>5991</v>
      </c>
      <c r="F134" s="3" t="s">
        <v>6205</v>
      </c>
      <c r="G134" s="3" t="s">
        <v>5993</v>
      </c>
      <c r="H134" s="3" t="s">
        <v>6304</v>
      </c>
      <c r="I134" s="3" t="s">
        <v>6207</v>
      </c>
      <c r="J134" s="5" t="s">
        <v>6305</v>
      </c>
      <c r="L134" s="3" t="s">
        <v>6268</v>
      </c>
      <c r="M134" s="3">
        <v>6</v>
      </c>
      <c r="N134" s="4" t="s">
        <v>6209</v>
      </c>
      <c r="O134" s="4">
        <v>5</v>
      </c>
      <c r="P134" s="11" t="s">
        <v>9799</v>
      </c>
      <c r="Q134" s="11" t="s">
        <v>9778</v>
      </c>
      <c r="S134" s="4" t="b">
        <f>ISNUMBER(MATCH(Q134,T:T,0))</f>
        <v>1</v>
      </c>
      <c r="T134" s="4" t="s">
        <v>10989</v>
      </c>
      <c r="U134" s="4" t="str">
        <f t="shared" si="2"/>
        <v>移</v>
      </c>
    </row>
    <row r="135" spans="1:22">
      <c r="A135" s="3">
        <v>134</v>
      </c>
      <c r="B135" s="3" t="s">
        <v>6204</v>
      </c>
      <c r="C135" s="3" t="s">
        <v>6025</v>
      </c>
      <c r="D135" s="3" t="s">
        <v>6001</v>
      </c>
      <c r="E135" s="3" t="s">
        <v>6212</v>
      </c>
      <c r="F135" s="3" t="s">
        <v>6205</v>
      </c>
      <c r="G135" s="3" t="s">
        <v>5993</v>
      </c>
      <c r="H135" s="3" t="s">
        <v>6306</v>
      </c>
      <c r="I135" s="3" t="s">
        <v>6207</v>
      </c>
      <c r="J135" s="5" t="s">
        <v>8447</v>
      </c>
      <c r="L135" s="3" t="s">
        <v>6217</v>
      </c>
      <c r="M135" s="3">
        <v>7</v>
      </c>
      <c r="N135" s="4" t="s">
        <v>6209</v>
      </c>
      <c r="O135" s="4">
        <v>5</v>
      </c>
      <c r="P135" s="11" t="s">
        <v>9717</v>
      </c>
      <c r="Q135" s="11" t="s">
        <v>9800</v>
      </c>
      <c r="R135" s="4" t="s">
        <v>12997</v>
      </c>
      <c r="S135" s="4" t="b">
        <f>ISNUMBER(MATCH(Q135,T:T,0))</f>
        <v>0</v>
      </c>
      <c r="T135" s="4" t="s">
        <v>9782</v>
      </c>
      <c r="U135" s="4" t="str">
        <f t="shared" si="2"/>
        <v>隨</v>
      </c>
      <c r="V135" s="4" t="b">
        <f>ISNUMBER(MATCH(R135,T:T,0))</f>
        <v>1</v>
      </c>
    </row>
    <row r="136" spans="1:22">
      <c r="A136" s="3">
        <v>135</v>
      </c>
      <c r="B136" s="3" t="s">
        <v>6204</v>
      </c>
      <c r="C136" s="3" t="s">
        <v>6083</v>
      </c>
      <c r="D136" s="3" t="s">
        <v>6001</v>
      </c>
      <c r="E136" s="3" t="s">
        <v>6212</v>
      </c>
      <c r="F136" s="3" t="s">
        <v>6205</v>
      </c>
      <c r="G136" s="3" t="s">
        <v>5993</v>
      </c>
      <c r="H136" s="3" t="s">
        <v>675</v>
      </c>
      <c r="I136" s="3" t="s">
        <v>6207</v>
      </c>
      <c r="J136" s="5" t="s">
        <v>6307</v>
      </c>
      <c r="L136" s="3" t="s">
        <v>6308</v>
      </c>
      <c r="M136" s="3">
        <v>6</v>
      </c>
      <c r="N136" s="4" t="s">
        <v>6209</v>
      </c>
      <c r="O136" s="4">
        <v>5</v>
      </c>
      <c r="P136" s="11" t="s">
        <v>9801</v>
      </c>
      <c r="Q136" s="11" t="s">
        <v>4351</v>
      </c>
      <c r="S136" s="4" t="b">
        <f>ISNUMBER(MATCH(Q136,T:T,0))</f>
        <v>1</v>
      </c>
      <c r="T136" s="4" t="s">
        <v>10990</v>
      </c>
      <c r="U136" s="4" t="str">
        <f t="shared" si="2"/>
        <v>爲</v>
      </c>
    </row>
    <row r="137" spans="1:22" ht="28.5">
      <c r="A137" s="3">
        <v>136</v>
      </c>
      <c r="B137" s="3" t="s">
        <v>6204</v>
      </c>
      <c r="C137" s="3" t="s">
        <v>6167</v>
      </c>
      <c r="D137" s="3" t="s">
        <v>6001</v>
      </c>
      <c r="E137" s="3" t="s">
        <v>6212</v>
      </c>
      <c r="F137" s="3" t="s">
        <v>6213</v>
      </c>
      <c r="G137" s="3" t="s">
        <v>5993</v>
      </c>
      <c r="H137" s="3" t="s">
        <v>6309</v>
      </c>
      <c r="I137" s="3" t="s">
        <v>6207</v>
      </c>
      <c r="J137" s="5" t="s">
        <v>8448</v>
      </c>
      <c r="L137" s="3" t="s">
        <v>6310</v>
      </c>
      <c r="M137" s="3">
        <v>2</v>
      </c>
      <c r="N137" s="4" t="s">
        <v>6209</v>
      </c>
      <c r="O137" s="4">
        <v>5</v>
      </c>
      <c r="P137" s="11" t="s">
        <v>9769</v>
      </c>
      <c r="Q137" s="11" t="s">
        <v>9802</v>
      </c>
      <c r="S137" s="4" t="b">
        <f>ISNUMBER(MATCH(Q137,T:T,0))</f>
        <v>1</v>
      </c>
      <c r="T137" s="4" t="s">
        <v>10991</v>
      </c>
      <c r="U137" s="4" t="str">
        <f t="shared" si="2"/>
        <v>危</v>
      </c>
    </row>
    <row r="138" spans="1:22">
      <c r="A138" s="3">
        <v>137</v>
      </c>
      <c r="B138" s="3" t="s">
        <v>6204</v>
      </c>
      <c r="C138" s="3" t="s">
        <v>6000</v>
      </c>
      <c r="D138" s="3" t="s">
        <v>6001</v>
      </c>
      <c r="E138" s="3" t="s">
        <v>6212</v>
      </c>
      <c r="F138" s="3" t="s">
        <v>6213</v>
      </c>
      <c r="G138" s="3" t="s">
        <v>5993</v>
      </c>
      <c r="H138" s="3" t="s">
        <v>6311</v>
      </c>
      <c r="I138" s="3" t="s">
        <v>6207</v>
      </c>
      <c r="J138" s="5" t="s">
        <v>6312</v>
      </c>
      <c r="L138" s="3" t="s">
        <v>6313</v>
      </c>
      <c r="M138" s="3">
        <v>3</v>
      </c>
      <c r="N138" s="4" t="s">
        <v>6209</v>
      </c>
      <c r="O138" s="4">
        <v>5</v>
      </c>
      <c r="P138" s="11" t="s">
        <v>9803</v>
      </c>
      <c r="Q138" s="11" t="s">
        <v>9783</v>
      </c>
      <c r="S138" s="4" t="b">
        <f>ISNUMBER(MATCH(Q138,T:T,0))</f>
        <v>1</v>
      </c>
      <c r="T138" s="4" t="s">
        <v>10992</v>
      </c>
      <c r="U138" s="4" t="str">
        <f t="shared" si="2"/>
        <v>垂</v>
      </c>
    </row>
    <row r="139" spans="1:22">
      <c r="A139" s="3">
        <v>138</v>
      </c>
      <c r="B139" s="3" t="s">
        <v>6204</v>
      </c>
      <c r="C139" s="3" t="s">
        <v>6083</v>
      </c>
      <c r="D139" s="3" t="s">
        <v>6001</v>
      </c>
      <c r="E139" s="3" t="s">
        <v>6212</v>
      </c>
      <c r="F139" s="3" t="s">
        <v>6205</v>
      </c>
      <c r="G139" s="3" t="s">
        <v>5993</v>
      </c>
      <c r="H139" s="3" t="s">
        <v>6314</v>
      </c>
      <c r="I139" s="3" t="s">
        <v>6207</v>
      </c>
      <c r="J139" s="5" t="s">
        <v>6315</v>
      </c>
      <c r="L139" s="3" t="s">
        <v>6308</v>
      </c>
      <c r="M139" s="3">
        <v>1</v>
      </c>
      <c r="N139" s="4" t="s">
        <v>6209</v>
      </c>
      <c r="O139" s="4">
        <v>5</v>
      </c>
      <c r="P139" s="11" t="s">
        <v>9737</v>
      </c>
      <c r="Q139" s="11" t="s">
        <v>9783</v>
      </c>
      <c r="S139" s="4" t="b">
        <f>ISNUMBER(MATCH(Q139,T:T,0))</f>
        <v>1</v>
      </c>
      <c r="T139" s="4" t="s">
        <v>6315</v>
      </c>
      <c r="U139" s="4" t="str">
        <f t="shared" si="2"/>
        <v>垂</v>
      </c>
    </row>
    <row r="140" spans="1:22">
      <c r="A140" s="3">
        <v>139</v>
      </c>
      <c r="B140" s="3" t="s">
        <v>6204</v>
      </c>
      <c r="C140" s="3" t="s">
        <v>6055</v>
      </c>
      <c r="D140" s="3" t="s">
        <v>6001</v>
      </c>
      <c r="E140" s="3" t="s">
        <v>5991</v>
      </c>
      <c r="F140" s="3" t="s">
        <v>6205</v>
      </c>
      <c r="G140" s="3" t="s">
        <v>5993</v>
      </c>
      <c r="H140" s="3" t="s">
        <v>6316</v>
      </c>
      <c r="I140" s="3" t="s">
        <v>6207</v>
      </c>
      <c r="J140" s="5" t="s">
        <v>6317</v>
      </c>
      <c r="L140" s="3" t="s">
        <v>6279</v>
      </c>
      <c r="M140" s="3">
        <v>2</v>
      </c>
      <c r="N140" s="4" t="s">
        <v>6209</v>
      </c>
      <c r="O140" s="4">
        <v>5</v>
      </c>
      <c r="P140" s="11" t="s">
        <v>3507</v>
      </c>
      <c r="Q140" s="11" t="s">
        <v>6209</v>
      </c>
      <c r="S140" s="4" t="b">
        <f>ISNUMBER(MATCH(Q140,T:T,0))</f>
        <v>1</v>
      </c>
      <c r="T140" s="4" t="s">
        <v>10993</v>
      </c>
      <c r="U140" s="4" t="str">
        <f t="shared" si="2"/>
        <v>支</v>
      </c>
    </row>
    <row r="141" spans="1:22">
      <c r="A141" s="3">
        <v>140</v>
      </c>
      <c r="B141" s="3" t="s">
        <v>6204</v>
      </c>
      <c r="C141" s="3" t="s">
        <v>6318</v>
      </c>
      <c r="D141" s="3" t="s">
        <v>6001</v>
      </c>
      <c r="E141" s="3" t="s">
        <v>5991</v>
      </c>
      <c r="F141" s="3" t="s">
        <v>6213</v>
      </c>
      <c r="G141" s="3" t="s">
        <v>5993</v>
      </c>
      <c r="H141" s="3" t="s">
        <v>6319</v>
      </c>
      <c r="I141" s="3" t="s">
        <v>6207</v>
      </c>
      <c r="J141" s="5" t="s">
        <v>6320</v>
      </c>
      <c r="L141" s="3" t="s">
        <v>6208</v>
      </c>
      <c r="M141" s="3">
        <v>1</v>
      </c>
      <c r="N141" s="4" t="s">
        <v>6209</v>
      </c>
      <c r="O141" s="4">
        <v>5</v>
      </c>
      <c r="P141" s="11" t="s">
        <v>9804</v>
      </c>
      <c r="Q141" s="11" t="s">
        <v>9778</v>
      </c>
      <c r="S141" s="4" t="b">
        <f>ISNUMBER(MATCH(Q141,T:T,0))</f>
        <v>1</v>
      </c>
      <c r="T141" s="4" t="s">
        <v>6320</v>
      </c>
      <c r="U141" s="4" t="str">
        <f t="shared" si="2"/>
        <v>移</v>
      </c>
    </row>
    <row r="142" spans="1:22">
      <c r="A142" s="3">
        <v>141</v>
      </c>
      <c r="B142" s="3" t="s">
        <v>6204</v>
      </c>
      <c r="C142" s="3" t="s">
        <v>6053</v>
      </c>
      <c r="D142" s="3" t="s">
        <v>6001</v>
      </c>
      <c r="E142" s="3" t="s">
        <v>5991</v>
      </c>
      <c r="F142" s="3" t="s">
        <v>6205</v>
      </c>
      <c r="G142" s="3" t="s">
        <v>5993</v>
      </c>
      <c r="H142" s="3" t="s">
        <v>6321</v>
      </c>
      <c r="I142" s="3" t="s">
        <v>6207</v>
      </c>
      <c r="J142" s="5" t="s">
        <v>6322</v>
      </c>
      <c r="L142" s="3" t="s">
        <v>6234</v>
      </c>
      <c r="M142" s="3">
        <v>1</v>
      </c>
      <c r="N142" s="4" t="s">
        <v>6209</v>
      </c>
      <c r="O142" s="4">
        <v>5</v>
      </c>
      <c r="P142" s="11" t="s">
        <v>9772</v>
      </c>
      <c r="Q142" s="11" t="s">
        <v>6209</v>
      </c>
      <c r="S142" s="4" t="b">
        <f>ISNUMBER(MATCH(Q142,T:T,0))</f>
        <v>1</v>
      </c>
      <c r="T142" s="4" t="s">
        <v>6322</v>
      </c>
      <c r="U142" s="4" t="str">
        <f t="shared" si="2"/>
        <v>支</v>
      </c>
    </row>
    <row r="143" spans="1:22">
      <c r="A143" s="3">
        <v>142</v>
      </c>
      <c r="B143" s="3" t="s">
        <v>6204</v>
      </c>
      <c r="C143" s="3" t="s">
        <v>6028</v>
      </c>
      <c r="D143" s="3" t="s">
        <v>6001</v>
      </c>
      <c r="E143" s="3" t="s">
        <v>6212</v>
      </c>
      <c r="F143" s="3" t="s">
        <v>6205</v>
      </c>
      <c r="G143" s="3" t="s">
        <v>5993</v>
      </c>
      <c r="H143" s="3" t="s">
        <v>6323</v>
      </c>
      <c r="I143" s="3" t="s">
        <v>6207</v>
      </c>
      <c r="J143" s="5" t="s">
        <v>6324</v>
      </c>
      <c r="L143" s="3" t="s">
        <v>6216</v>
      </c>
      <c r="M143" s="3">
        <v>6</v>
      </c>
      <c r="N143" s="4" t="s">
        <v>6209</v>
      </c>
      <c r="O143" s="4">
        <v>5</v>
      </c>
      <c r="P143" s="11" t="s">
        <v>9805</v>
      </c>
      <c r="Q143" s="11" t="s">
        <v>9806</v>
      </c>
      <c r="S143" s="4" t="b">
        <f>ISNUMBER(MATCH(Q143,T:T,0))</f>
        <v>1</v>
      </c>
      <c r="T143" s="4" t="s">
        <v>10994</v>
      </c>
      <c r="U143" s="4" t="str">
        <f t="shared" si="2"/>
        <v>吹</v>
      </c>
    </row>
    <row r="144" spans="1:22">
      <c r="A144" s="3">
        <v>143</v>
      </c>
      <c r="B144" s="3" t="s">
        <v>6204</v>
      </c>
      <c r="C144" s="3" t="s">
        <v>6015</v>
      </c>
      <c r="D144" s="3" t="s">
        <v>6001</v>
      </c>
      <c r="E144" s="3" t="s">
        <v>5991</v>
      </c>
      <c r="F144" s="3" t="s">
        <v>6213</v>
      </c>
      <c r="G144" s="3" t="s">
        <v>5993</v>
      </c>
      <c r="H144" s="3" t="s">
        <v>6325</v>
      </c>
      <c r="I144" s="3" t="s">
        <v>6207</v>
      </c>
      <c r="J144" s="5" t="s">
        <v>6326</v>
      </c>
      <c r="L144" s="3" t="s">
        <v>6258</v>
      </c>
      <c r="M144" s="3">
        <v>1</v>
      </c>
      <c r="N144" s="4" t="s">
        <v>6209</v>
      </c>
      <c r="O144" s="4">
        <v>5</v>
      </c>
      <c r="P144" s="11" t="s">
        <v>9777</v>
      </c>
      <c r="Q144" s="11" t="s">
        <v>9778</v>
      </c>
      <c r="S144" s="4" t="b">
        <f>ISNUMBER(MATCH(Q144,T:T,0))</f>
        <v>1</v>
      </c>
      <c r="T144" s="4" t="s">
        <v>6326</v>
      </c>
      <c r="U144" s="4" t="str">
        <f t="shared" si="2"/>
        <v>移</v>
      </c>
    </row>
    <row r="145" spans="1:22">
      <c r="A145" s="3">
        <v>144</v>
      </c>
      <c r="B145" s="3" t="s">
        <v>6327</v>
      </c>
      <c r="C145" s="3" t="s">
        <v>6009</v>
      </c>
      <c r="D145" s="3" t="s">
        <v>6001</v>
      </c>
      <c r="E145" s="3" t="s">
        <v>5991</v>
      </c>
      <c r="F145" s="3" t="s">
        <v>6328</v>
      </c>
      <c r="G145" s="3" t="s">
        <v>5993</v>
      </c>
      <c r="H145" s="3" t="s">
        <v>6329</v>
      </c>
      <c r="I145" s="3" t="s">
        <v>6207</v>
      </c>
      <c r="J145" s="5" t="s">
        <v>8449</v>
      </c>
      <c r="L145" s="3" t="s">
        <v>6208</v>
      </c>
      <c r="M145" s="3">
        <v>10</v>
      </c>
      <c r="N145" s="4" t="s">
        <v>9629</v>
      </c>
      <c r="O145" s="4">
        <v>6</v>
      </c>
      <c r="P145" s="11" t="s">
        <v>9633</v>
      </c>
      <c r="Q145" s="11" t="s">
        <v>9807</v>
      </c>
      <c r="R145" s="4" t="s">
        <v>12998</v>
      </c>
      <c r="S145" s="4" t="b">
        <f>ISNUMBER(MATCH(Q145,T:T,0))</f>
        <v>0</v>
      </c>
      <c r="T145" s="4" t="s">
        <v>9629</v>
      </c>
      <c r="U145" s="4" t="str">
        <f t="shared" si="2"/>
        <v>姨</v>
      </c>
      <c r="V145" s="4" t="b">
        <f>ISNUMBER(MATCH(R145,T:T,0))</f>
        <v>1</v>
      </c>
    </row>
    <row r="146" spans="1:22" ht="39">
      <c r="A146" s="3">
        <v>145</v>
      </c>
      <c r="B146" s="3" t="s">
        <v>6327</v>
      </c>
      <c r="C146" s="3" t="s">
        <v>6028</v>
      </c>
      <c r="D146" s="3" t="s">
        <v>6001</v>
      </c>
      <c r="E146" s="3" t="s">
        <v>5991</v>
      </c>
      <c r="F146" s="3" t="s">
        <v>6328</v>
      </c>
      <c r="G146" s="3" t="s">
        <v>5993</v>
      </c>
      <c r="H146" s="3" t="s">
        <v>6330</v>
      </c>
      <c r="I146" s="3" t="s">
        <v>6207</v>
      </c>
      <c r="J146" s="5" t="s">
        <v>8450</v>
      </c>
      <c r="L146" s="3" t="s">
        <v>6211</v>
      </c>
      <c r="M146" s="3">
        <v>26</v>
      </c>
      <c r="N146" s="4" t="s">
        <v>9629</v>
      </c>
      <c r="O146" s="4">
        <v>6</v>
      </c>
      <c r="P146" s="11" t="s">
        <v>6028</v>
      </c>
      <c r="Q146" s="11" t="s">
        <v>9629</v>
      </c>
      <c r="S146" s="4" t="b">
        <f>ISNUMBER(MATCH(Q146,T:T,0))</f>
        <v>1</v>
      </c>
      <c r="T146" s="4" t="s">
        <v>10995</v>
      </c>
      <c r="U146" s="4" t="str">
        <f t="shared" si="2"/>
        <v>脂</v>
      </c>
    </row>
    <row r="147" spans="1:22">
      <c r="A147" s="3">
        <v>146</v>
      </c>
      <c r="B147" s="3" t="s">
        <v>6327</v>
      </c>
      <c r="C147" s="3" t="s">
        <v>6180</v>
      </c>
      <c r="D147" s="3" t="s">
        <v>6001</v>
      </c>
      <c r="E147" s="3" t="s">
        <v>5991</v>
      </c>
      <c r="F147" s="3" t="s">
        <v>6332</v>
      </c>
      <c r="G147" s="3" t="s">
        <v>5993</v>
      </c>
      <c r="H147" s="3" t="s">
        <v>6333</v>
      </c>
      <c r="I147" s="3" t="s">
        <v>6207</v>
      </c>
      <c r="J147" s="5" t="s">
        <v>8451</v>
      </c>
      <c r="L147" s="3" t="s">
        <v>6274</v>
      </c>
      <c r="M147" s="3">
        <v>6</v>
      </c>
      <c r="N147" s="4" t="s">
        <v>9629</v>
      </c>
      <c r="O147" s="4">
        <v>6</v>
      </c>
      <c r="P147" s="11" t="s">
        <v>9808</v>
      </c>
      <c r="Q147" s="11" t="s">
        <v>9807</v>
      </c>
      <c r="R147" s="4" t="s">
        <v>12998</v>
      </c>
      <c r="S147" s="4" t="b">
        <f>ISNUMBER(MATCH(Q147,T:T,0))</f>
        <v>0</v>
      </c>
      <c r="T147" s="4" t="s">
        <v>10996</v>
      </c>
      <c r="U147" s="4" t="str">
        <f t="shared" si="2"/>
        <v>姨</v>
      </c>
      <c r="V147" s="4" t="b">
        <f>ISNUMBER(MATCH(R147,T:T,0))</f>
        <v>1</v>
      </c>
    </row>
    <row r="148" spans="1:22" ht="39">
      <c r="A148" s="3">
        <v>147</v>
      </c>
      <c r="B148" s="3" t="s">
        <v>6327</v>
      </c>
      <c r="C148" s="3" t="s">
        <v>6045</v>
      </c>
      <c r="D148" s="3" t="s">
        <v>6001</v>
      </c>
      <c r="E148" s="3" t="s">
        <v>5991</v>
      </c>
      <c r="F148" s="3" t="s">
        <v>6328</v>
      </c>
      <c r="G148" s="3" t="s">
        <v>5993</v>
      </c>
      <c r="H148" s="3" t="s">
        <v>6334</v>
      </c>
      <c r="I148" s="3" t="s">
        <v>6207</v>
      </c>
      <c r="J148" s="5" t="s">
        <v>8452</v>
      </c>
      <c r="L148" s="3" t="s">
        <v>6256</v>
      </c>
      <c r="M148" s="3">
        <v>23</v>
      </c>
      <c r="N148" s="4" t="s">
        <v>9629</v>
      </c>
      <c r="O148" s="4">
        <v>6</v>
      </c>
      <c r="P148" s="11" t="s">
        <v>9722</v>
      </c>
      <c r="Q148" s="11" t="s">
        <v>9629</v>
      </c>
      <c r="S148" s="4" t="b">
        <f>ISNUMBER(MATCH(Q148,T:T,0))</f>
        <v>1</v>
      </c>
      <c r="T148" s="4" t="s">
        <v>10997</v>
      </c>
      <c r="U148" s="4" t="str">
        <f t="shared" si="2"/>
        <v>脂</v>
      </c>
    </row>
    <row r="149" spans="1:22">
      <c r="A149" s="3">
        <v>148</v>
      </c>
      <c r="B149" s="3" t="s">
        <v>6327</v>
      </c>
      <c r="C149" s="3" t="s">
        <v>6083</v>
      </c>
      <c r="D149" s="3" t="s">
        <v>6001</v>
      </c>
      <c r="E149" s="3" t="s">
        <v>5991</v>
      </c>
      <c r="F149" s="3" t="s">
        <v>6328</v>
      </c>
      <c r="G149" s="3" t="s">
        <v>5993</v>
      </c>
      <c r="H149" s="3" t="s">
        <v>6336</v>
      </c>
      <c r="I149" s="3" t="s">
        <v>6207</v>
      </c>
      <c r="J149" s="5" t="s">
        <v>6337</v>
      </c>
      <c r="K149" s="3" t="s">
        <v>564</v>
      </c>
      <c r="L149" s="3" t="s">
        <v>6268</v>
      </c>
      <c r="M149" s="3">
        <v>15</v>
      </c>
      <c r="N149" s="4" t="s">
        <v>9629</v>
      </c>
      <c r="O149" s="4">
        <v>6</v>
      </c>
      <c r="P149" s="11" t="s">
        <v>9760</v>
      </c>
      <c r="Q149" s="11" t="s">
        <v>9807</v>
      </c>
      <c r="R149" s="4" t="s">
        <v>12998</v>
      </c>
      <c r="S149" s="4" t="b">
        <f>ISNUMBER(MATCH(Q149,T:T,0))</f>
        <v>0</v>
      </c>
      <c r="T149" s="4" t="s">
        <v>9811</v>
      </c>
      <c r="U149" s="4" t="str">
        <f t="shared" si="2"/>
        <v>姨</v>
      </c>
      <c r="V149" s="4" t="b">
        <f t="shared" ref="V149:V150" si="3">ISNUMBER(MATCH(R149,T:T,0))</f>
        <v>1</v>
      </c>
    </row>
    <row r="150" spans="1:22">
      <c r="A150" s="3">
        <v>149</v>
      </c>
      <c r="B150" s="3" t="s">
        <v>6327</v>
      </c>
      <c r="C150" s="3" t="s">
        <v>6025</v>
      </c>
      <c r="D150" s="3" t="s">
        <v>6001</v>
      </c>
      <c r="E150" s="3" t="s">
        <v>5991</v>
      </c>
      <c r="F150" s="3" t="s">
        <v>6328</v>
      </c>
      <c r="G150" s="3" t="s">
        <v>5993</v>
      </c>
      <c r="H150" s="3" t="s">
        <v>6338</v>
      </c>
      <c r="I150" s="3" t="s">
        <v>6207</v>
      </c>
      <c r="J150" s="5" t="s">
        <v>6339</v>
      </c>
      <c r="L150" s="3" t="s">
        <v>6270</v>
      </c>
      <c r="M150" s="3">
        <v>4</v>
      </c>
      <c r="N150" s="4" t="s">
        <v>9629</v>
      </c>
      <c r="O150" s="4">
        <v>6</v>
      </c>
      <c r="P150" s="11" t="s">
        <v>9717</v>
      </c>
      <c r="Q150" s="11" t="s">
        <v>9807</v>
      </c>
      <c r="R150" s="4" t="s">
        <v>12998</v>
      </c>
      <c r="S150" s="4" t="b">
        <f>ISNUMBER(MATCH(Q150,T:T,0))</f>
        <v>0</v>
      </c>
      <c r="T150" s="4" t="s">
        <v>9810</v>
      </c>
      <c r="U150" s="4" t="str">
        <f t="shared" si="2"/>
        <v>姨</v>
      </c>
      <c r="V150" s="4" t="b">
        <f t="shared" si="3"/>
        <v>1</v>
      </c>
    </row>
    <row r="151" spans="1:22">
      <c r="A151" s="3">
        <v>150</v>
      </c>
      <c r="B151" s="3" t="s">
        <v>6327</v>
      </c>
      <c r="C151" s="3" t="s">
        <v>6055</v>
      </c>
      <c r="D151" s="3" t="s">
        <v>6001</v>
      </c>
      <c r="E151" s="3" t="s">
        <v>5991</v>
      </c>
      <c r="F151" s="3" t="s">
        <v>6328</v>
      </c>
      <c r="G151" s="3" t="s">
        <v>5993</v>
      </c>
      <c r="H151" s="3" t="s">
        <v>6340</v>
      </c>
      <c r="I151" s="3" t="s">
        <v>6207</v>
      </c>
      <c r="J151" s="5" t="s">
        <v>8453</v>
      </c>
      <c r="L151" s="3" t="s">
        <v>6279</v>
      </c>
      <c r="M151" s="3">
        <v>7</v>
      </c>
      <c r="N151" s="4" t="s">
        <v>9629</v>
      </c>
      <c r="O151" s="4">
        <v>6</v>
      </c>
      <c r="P151" s="11" t="s">
        <v>9809</v>
      </c>
      <c r="Q151" s="11" t="s">
        <v>9629</v>
      </c>
      <c r="S151" s="4" t="b">
        <f>ISNUMBER(MATCH(Q151,T:T,0))</f>
        <v>1</v>
      </c>
      <c r="T151" s="4" t="s">
        <v>10998</v>
      </c>
      <c r="U151" s="4" t="str">
        <f t="shared" si="2"/>
        <v>脂</v>
      </c>
    </row>
    <row r="152" spans="1:22">
      <c r="A152" s="3">
        <v>151</v>
      </c>
      <c r="B152" s="3" t="s">
        <v>6327</v>
      </c>
      <c r="C152" s="3" t="s">
        <v>6011</v>
      </c>
      <c r="D152" s="3" t="s">
        <v>6001</v>
      </c>
      <c r="E152" s="3" t="s">
        <v>5991</v>
      </c>
      <c r="F152" s="3" t="s">
        <v>6332</v>
      </c>
      <c r="G152" s="3" t="s">
        <v>5993</v>
      </c>
      <c r="H152" s="3" t="s">
        <v>6341</v>
      </c>
      <c r="I152" s="3" t="s">
        <v>6207</v>
      </c>
      <c r="J152" s="5" t="s">
        <v>8454</v>
      </c>
      <c r="L152" s="3" t="s">
        <v>6279</v>
      </c>
      <c r="M152" s="3">
        <v>7</v>
      </c>
      <c r="N152" s="4" t="s">
        <v>9629</v>
      </c>
      <c r="O152" s="4">
        <v>6</v>
      </c>
      <c r="P152" s="11" t="s">
        <v>9757</v>
      </c>
      <c r="Q152" s="11" t="s">
        <v>9810</v>
      </c>
      <c r="S152" s="4" t="b">
        <f>ISNUMBER(MATCH(Q152,T:T,0))</f>
        <v>1</v>
      </c>
      <c r="T152" s="4" t="s">
        <v>10999</v>
      </c>
      <c r="U152" s="4" t="str">
        <f t="shared" si="2"/>
        <v>飢</v>
      </c>
    </row>
    <row r="153" spans="1:22" ht="28.5">
      <c r="A153" s="3">
        <v>152</v>
      </c>
      <c r="B153" s="3" t="s">
        <v>6327</v>
      </c>
      <c r="C153" s="3" t="s">
        <v>6076</v>
      </c>
      <c r="D153" s="3" t="s">
        <v>6001</v>
      </c>
      <c r="E153" s="3" t="s">
        <v>5991</v>
      </c>
      <c r="F153" s="3" t="s">
        <v>6328</v>
      </c>
      <c r="G153" s="3" t="s">
        <v>5993</v>
      </c>
      <c r="H153" s="3" t="s">
        <v>6342</v>
      </c>
      <c r="I153" s="3" t="s">
        <v>6207</v>
      </c>
      <c r="J153" s="5" t="s">
        <v>6343</v>
      </c>
      <c r="K153" s="3" t="s">
        <v>565</v>
      </c>
      <c r="L153" s="3" t="s">
        <v>6283</v>
      </c>
      <c r="M153" s="3">
        <v>9</v>
      </c>
      <c r="N153" s="4" t="s">
        <v>9629</v>
      </c>
      <c r="O153" s="4">
        <v>6</v>
      </c>
      <c r="P153" s="11" t="s">
        <v>5720</v>
      </c>
      <c r="Q153" s="11" t="s">
        <v>9746</v>
      </c>
      <c r="S153" s="4" t="b">
        <f>ISNUMBER(MATCH(Q153,T:T,0))</f>
        <v>1</v>
      </c>
      <c r="T153" s="4" t="s">
        <v>11000</v>
      </c>
      <c r="U153" s="4" t="str">
        <f t="shared" si="2"/>
        <v>私</v>
      </c>
    </row>
    <row r="154" spans="1:22">
      <c r="A154" s="3">
        <v>153</v>
      </c>
      <c r="B154" s="3" t="s">
        <v>6327</v>
      </c>
      <c r="C154" s="3" t="s">
        <v>6069</v>
      </c>
      <c r="D154" s="3" t="s">
        <v>6001</v>
      </c>
      <c r="E154" s="3" t="s">
        <v>5991</v>
      </c>
      <c r="F154" s="3" t="s">
        <v>6328</v>
      </c>
      <c r="G154" s="3" t="s">
        <v>5993</v>
      </c>
      <c r="H154" s="3" t="s">
        <v>6344</v>
      </c>
      <c r="I154" s="3" t="s">
        <v>6207</v>
      </c>
      <c r="J154" s="5" t="s">
        <v>8455</v>
      </c>
      <c r="L154" s="3" t="s">
        <v>6266</v>
      </c>
      <c r="M154" s="3">
        <v>13</v>
      </c>
      <c r="N154" s="4" t="s">
        <v>9629</v>
      </c>
      <c r="O154" s="4">
        <v>6</v>
      </c>
      <c r="P154" s="11" t="s">
        <v>9756</v>
      </c>
      <c r="Q154" s="11" t="s">
        <v>9811</v>
      </c>
      <c r="S154" s="4" t="b">
        <f>ISNUMBER(MATCH(Q154,T:T,0))</f>
        <v>1</v>
      </c>
      <c r="T154" s="4" t="s">
        <v>11001</v>
      </c>
      <c r="U154" s="4" t="str">
        <f t="shared" si="2"/>
        <v>資</v>
      </c>
    </row>
    <row r="155" spans="1:22">
      <c r="A155" s="3">
        <v>154</v>
      </c>
      <c r="B155" s="3" t="s">
        <v>6327</v>
      </c>
      <c r="C155" s="3" t="s">
        <v>6137</v>
      </c>
      <c r="D155" s="3" t="s">
        <v>6001</v>
      </c>
      <c r="E155" s="3" t="s">
        <v>5991</v>
      </c>
      <c r="F155" s="3" t="s">
        <v>6332</v>
      </c>
      <c r="G155" s="3" t="s">
        <v>5993</v>
      </c>
      <c r="H155" s="3" t="s">
        <v>6345</v>
      </c>
      <c r="I155" s="3" t="s">
        <v>6207</v>
      </c>
      <c r="J155" s="5" t="s">
        <v>8456</v>
      </c>
      <c r="L155" s="3" t="s">
        <v>6346</v>
      </c>
      <c r="M155" s="3">
        <v>8</v>
      </c>
      <c r="N155" s="4" t="s">
        <v>9629</v>
      </c>
      <c r="O155" s="4">
        <v>6</v>
      </c>
      <c r="P155" s="11" t="s">
        <v>9755</v>
      </c>
      <c r="Q155" s="11" t="s">
        <v>9807</v>
      </c>
      <c r="R155" s="4" t="s">
        <v>12998</v>
      </c>
      <c r="S155" s="4" t="b">
        <f>ISNUMBER(MATCH(Q155,T:T,0))</f>
        <v>0</v>
      </c>
      <c r="T155" s="4" t="s">
        <v>9812</v>
      </c>
      <c r="U155" s="4" t="str">
        <f t="shared" si="2"/>
        <v>姨</v>
      </c>
      <c r="V155" s="4" t="b">
        <f>ISNUMBER(MATCH(R155,T:T,0))</f>
        <v>1</v>
      </c>
    </row>
    <row r="156" spans="1:22">
      <c r="A156" s="3">
        <v>155</v>
      </c>
      <c r="B156" s="3" t="s">
        <v>6327</v>
      </c>
      <c r="C156" s="3" t="s">
        <v>6005</v>
      </c>
      <c r="D156" s="3" t="s">
        <v>6001</v>
      </c>
      <c r="E156" s="3" t="s">
        <v>5991</v>
      </c>
      <c r="F156" s="3" t="s">
        <v>6332</v>
      </c>
      <c r="G156" s="3" t="s">
        <v>5993</v>
      </c>
      <c r="H156" s="3" t="s">
        <v>6347</v>
      </c>
      <c r="I156" s="3" t="s">
        <v>6207</v>
      </c>
      <c r="J156" s="5" t="s">
        <v>8457</v>
      </c>
      <c r="L156" s="3" t="s">
        <v>6258</v>
      </c>
      <c r="M156" s="3">
        <v>15</v>
      </c>
      <c r="N156" s="4" t="s">
        <v>9629</v>
      </c>
      <c r="O156" s="4">
        <v>6</v>
      </c>
      <c r="P156" s="11" t="s">
        <v>9709</v>
      </c>
      <c r="Q156" s="11" t="s">
        <v>9812</v>
      </c>
      <c r="S156" s="4" t="b">
        <f>ISNUMBER(MATCH(Q156,T:T,0))</f>
        <v>1</v>
      </c>
      <c r="T156" s="4" t="s">
        <v>11002</v>
      </c>
      <c r="U156" s="4" t="str">
        <f t="shared" si="2"/>
        <v>尼</v>
      </c>
    </row>
    <row r="157" spans="1:22">
      <c r="A157" s="3">
        <v>156</v>
      </c>
      <c r="B157" s="3" t="s">
        <v>6327</v>
      </c>
      <c r="C157" s="3" t="s">
        <v>6017</v>
      </c>
      <c r="D157" s="3" t="s">
        <v>6001</v>
      </c>
      <c r="E157" s="3" t="s">
        <v>5991</v>
      </c>
      <c r="F157" s="3" t="s">
        <v>6328</v>
      </c>
      <c r="G157" s="3" t="s">
        <v>5993</v>
      </c>
      <c r="H157" s="3" t="s">
        <v>6348</v>
      </c>
      <c r="I157" s="3" t="s">
        <v>6207</v>
      </c>
      <c r="J157" s="5" t="s">
        <v>8458</v>
      </c>
      <c r="L157" s="3" t="s">
        <v>6276</v>
      </c>
      <c r="M157" s="3">
        <v>5</v>
      </c>
      <c r="N157" s="4" t="s">
        <v>9629</v>
      </c>
      <c r="O157" s="4">
        <v>6</v>
      </c>
      <c r="P157" s="11" t="s">
        <v>9714</v>
      </c>
      <c r="Q157" s="11" t="s">
        <v>9807</v>
      </c>
      <c r="R157" s="4" t="s">
        <v>12998</v>
      </c>
      <c r="S157" s="4" t="b">
        <f>ISNUMBER(MATCH(Q157,T:T,0))</f>
        <v>0</v>
      </c>
      <c r="T157" s="4" t="s">
        <v>9746</v>
      </c>
      <c r="U157" s="4" t="str">
        <f t="shared" si="2"/>
        <v>姨</v>
      </c>
      <c r="V157" s="4" t="b">
        <f>ISNUMBER(MATCH(R157,T:T,0))</f>
        <v>1</v>
      </c>
    </row>
    <row r="158" spans="1:22">
      <c r="A158" s="3">
        <v>157</v>
      </c>
      <c r="B158" s="3" t="s">
        <v>6327</v>
      </c>
      <c r="C158" s="3" t="s">
        <v>6120</v>
      </c>
      <c r="D158" s="3" t="s">
        <v>6001</v>
      </c>
      <c r="E158" s="3" t="s">
        <v>5991</v>
      </c>
      <c r="F158" s="3" t="s">
        <v>6328</v>
      </c>
      <c r="G158" s="3" t="s">
        <v>5993</v>
      </c>
      <c r="H158" s="3" t="s">
        <v>6349</v>
      </c>
      <c r="I158" s="3" t="s">
        <v>6207</v>
      </c>
      <c r="J158" s="5" t="s">
        <v>6350</v>
      </c>
      <c r="L158" s="3" t="s">
        <v>6274</v>
      </c>
      <c r="M158" s="3">
        <v>4</v>
      </c>
      <c r="N158" s="4" t="s">
        <v>9629</v>
      </c>
      <c r="O158" s="4">
        <v>6</v>
      </c>
      <c r="P158" s="11" t="s">
        <v>9793</v>
      </c>
      <c r="Q158" s="11" t="s">
        <v>6396</v>
      </c>
      <c r="S158" s="4" t="b">
        <f>ISNUMBER(MATCH(Q158,T:T,0))</f>
        <v>1</v>
      </c>
      <c r="T158" s="4" t="s">
        <v>11003</v>
      </c>
      <c r="U158" s="4" t="str">
        <f t="shared" si="2"/>
        <v>之</v>
      </c>
    </row>
    <row r="159" spans="1:22">
      <c r="A159" s="3">
        <v>158</v>
      </c>
      <c r="B159" s="3" t="s">
        <v>6327</v>
      </c>
      <c r="C159" s="3" t="s">
        <v>6041</v>
      </c>
      <c r="D159" s="3" t="s">
        <v>6001</v>
      </c>
      <c r="E159" s="3" t="s">
        <v>5991</v>
      </c>
      <c r="F159" s="3" t="s">
        <v>6328</v>
      </c>
      <c r="G159" s="3" t="s">
        <v>5993</v>
      </c>
      <c r="H159" s="3" t="s">
        <v>6351</v>
      </c>
      <c r="I159" s="3" t="s">
        <v>6207</v>
      </c>
      <c r="J159" s="5" t="s">
        <v>8459</v>
      </c>
      <c r="L159" s="3" t="s">
        <v>6244</v>
      </c>
      <c r="M159" s="3">
        <v>11</v>
      </c>
      <c r="N159" s="4" t="s">
        <v>9629</v>
      </c>
      <c r="O159" s="4">
        <v>6</v>
      </c>
      <c r="P159" s="11" t="s">
        <v>9721</v>
      </c>
      <c r="Q159" s="11" t="s">
        <v>9629</v>
      </c>
      <c r="S159" s="4" t="b">
        <f>ISNUMBER(MATCH(Q159,T:T,0))</f>
        <v>1</v>
      </c>
      <c r="T159" s="4" t="s">
        <v>11004</v>
      </c>
      <c r="U159" s="4" t="str">
        <f t="shared" si="2"/>
        <v>脂</v>
      </c>
    </row>
    <row r="160" spans="1:22">
      <c r="A160" s="3">
        <v>159</v>
      </c>
      <c r="B160" s="3" t="s">
        <v>6327</v>
      </c>
      <c r="C160" s="3" t="s">
        <v>6072</v>
      </c>
      <c r="D160" s="3" t="s">
        <v>6001</v>
      </c>
      <c r="E160" s="3" t="s">
        <v>5991</v>
      </c>
      <c r="F160" s="3" t="s">
        <v>6328</v>
      </c>
      <c r="G160" s="3" t="s">
        <v>5993</v>
      </c>
      <c r="H160" s="3" t="s">
        <v>6352</v>
      </c>
      <c r="I160" s="3" t="s">
        <v>6207</v>
      </c>
      <c r="J160" s="5" t="s">
        <v>6353</v>
      </c>
      <c r="L160" s="3" t="s">
        <v>6288</v>
      </c>
      <c r="M160" s="3">
        <v>5</v>
      </c>
      <c r="N160" s="4" t="s">
        <v>9629</v>
      </c>
      <c r="O160" s="4">
        <v>6</v>
      </c>
      <c r="P160" s="11" t="s">
        <v>9754</v>
      </c>
      <c r="Q160" s="11" t="s">
        <v>9629</v>
      </c>
      <c r="S160" s="4" t="b">
        <f>ISNUMBER(MATCH(Q160,T:T,0))</f>
        <v>1</v>
      </c>
      <c r="T160" s="4" t="s">
        <v>10720</v>
      </c>
      <c r="U160" s="4" t="str">
        <f t="shared" si="2"/>
        <v>脂</v>
      </c>
    </row>
    <row r="161" spans="1:22">
      <c r="A161" s="3">
        <v>160</v>
      </c>
      <c r="B161" s="3" t="s">
        <v>6327</v>
      </c>
      <c r="C161" s="3" t="s">
        <v>6058</v>
      </c>
      <c r="D161" s="3" t="s">
        <v>6001</v>
      </c>
      <c r="E161" s="3" t="s">
        <v>5991</v>
      </c>
      <c r="F161" s="3" t="s">
        <v>6328</v>
      </c>
      <c r="G161" s="3" t="s">
        <v>5993</v>
      </c>
      <c r="H161" s="3" t="s">
        <v>6354</v>
      </c>
      <c r="I161" s="3" t="s">
        <v>6207</v>
      </c>
      <c r="J161" s="8" t="s">
        <v>8460</v>
      </c>
      <c r="L161" s="3" t="s">
        <v>6264</v>
      </c>
      <c r="M161" s="3">
        <v>14</v>
      </c>
      <c r="N161" s="4" t="s">
        <v>9629</v>
      </c>
      <c r="O161" s="4">
        <v>6</v>
      </c>
      <c r="P161" s="11" t="s">
        <v>9727</v>
      </c>
      <c r="Q161" s="11" t="s">
        <v>9629</v>
      </c>
      <c r="S161" s="4" t="b">
        <f>ISNUMBER(MATCH(Q161,T:T,0))</f>
        <v>1</v>
      </c>
      <c r="T161" s="4" t="s">
        <v>11005</v>
      </c>
      <c r="U161" s="4" t="str">
        <f t="shared" si="2"/>
        <v>脂</v>
      </c>
    </row>
    <row r="162" spans="1:22">
      <c r="A162" s="3">
        <v>161</v>
      </c>
      <c r="B162" s="3" t="s">
        <v>6327</v>
      </c>
      <c r="C162" s="3" t="s">
        <v>6041</v>
      </c>
      <c r="D162" s="3" t="s">
        <v>6001</v>
      </c>
      <c r="E162" s="3" t="s">
        <v>6212</v>
      </c>
      <c r="F162" s="3" t="s">
        <v>6328</v>
      </c>
      <c r="G162" s="3" t="s">
        <v>5993</v>
      </c>
      <c r="H162" s="3" t="s">
        <v>6355</v>
      </c>
      <c r="I162" s="3" t="s">
        <v>6207</v>
      </c>
      <c r="J162" s="5" t="s">
        <v>6356</v>
      </c>
      <c r="L162" s="3" t="s">
        <v>6357</v>
      </c>
      <c r="M162" s="3">
        <v>8</v>
      </c>
      <c r="N162" s="4" t="s">
        <v>9629</v>
      </c>
      <c r="O162" s="4">
        <v>6</v>
      </c>
      <c r="P162" s="11" t="s">
        <v>9721</v>
      </c>
      <c r="Q162" s="11" t="s">
        <v>9813</v>
      </c>
      <c r="R162" s="4" t="s">
        <v>12999</v>
      </c>
      <c r="S162" s="4" t="b">
        <f>ISNUMBER(MATCH(Q162,T:T,0))</f>
        <v>0</v>
      </c>
      <c r="T162" s="4" t="s">
        <v>11006</v>
      </c>
      <c r="U162" s="4" t="str">
        <f t="shared" si="2"/>
        <v>錐</v>
      </c>
      <c r="V162" s="4" t="b">
        <f t="shared" ref="V162:V163" si="4">ISNUMBER(MATCH(R162,T:T,0))</f>
        <v>1</v>
      </c>
    </row>
    <row r="163" spans="1:22">
      <c r="A163" s="3">
        <v>162</v>
      </c>
      <c r="B163" s="3" t="s">
        <v>6327</v>
      </c>
      <c r="C163" s="3" t="s">
        <v>6000</v>
      </c>
      <c r="D163" s="3" t="s">
        <v>6001</v>
      </c>
      <c r="E163" s="3" t="s">
        <v>6212</v>
      </c>
      <c r="F163" s="3" t="s">
        <v>6332</v>
      </c>
      <c r="G163" s="3" t="s">
        <v>5993</v>
      </c>
      <c r="H163" s="3" t="s">
        <v>6358</v>
      </c>
      <c r="I163" s="3" t="s">
        <v>6207</v>
      </c>
      <c r="J163" s="5" t="s">
        <v>8461</v>
      </c>
      <c r="L163" s="3" t="s">
        <v>6313</v>
      </c>
      <c r="M163" s="3">
        <v>3</v>
      </c>
      <c r="N163" s="4" t="s">
        <v>9629</v>
      </c>
      <c r="O163" s="4">
        <v>6</v>
      </c>
      <c r="P163" s="11" t="s">
        <v>9707</v>
      </c>
      <c r="Q163" s="11" t="s">
        <v>9813</v>
      </c>
      <c r="R163" s="4" t="s">
        <v>12999</v>
      </c>
      <c r="S163" s="4" t="b">
        <f>ISNUMBER(MATCH(Q163,T:T,0))</f>
        <v>0</v>
      </c>
      <c r="T163" s="4" t="s">
        <v>9814</v>
      </c>
      <c r="U163" s="4" t="str">
        <f t="shared" si="2"/>
        <v>錐</v>
      </c>
      <c r="V163" s="4" t="b">
        <f t="shared" si="4"/>
        <v>1</v>
      </c>
    </row>
    <row r="164" spans="1:22" ht="28.5">
      <c r="A164" s="3">
        <v>163</v>
      </c>
      <c r="B164" s="3" t="s">
        <v>6327</v>
      </c>
      <c r="C164" s="3" t="s">
        <v>6025</v>
      </c>
      <c r="D164" s="3" t="s">
        <v>6001</v>
      </c>
      <c r="E164" s="3" t="s">
        <v>6212</v>
      </c>
      <c r="F164" s="3" t="s">
        <v>6332</v>
      </c>
      <c r="G164" s="3" t="s">
        <v>5993</v>
      </c>
      <c r="H164" s="3" t="s">
        <v>6359</v>
      </c>
      <c r="I164" s="3" t="s">
        <v>6207</v>
      </c>
      <c r="J164" s="5" t="s">
        <v>6360</v>
      </c>
      <c r="K164" s="3" t="s">
        <v>566</v>
      </c>
      <c r="L164" s="3" t="s">
        <v>6217</v>
      </c>
      <c r="M164" s="3">
        <v>6</v>
      </c>
      <c r="N164" s="4" t="s">
        <v>9629</v>
      </c>
      <c r="O164" s="4">
        <v>6</v>
      </c>
      <c r="P164" s="11" t="s">
        <v>9717</v>
      </c>
      <c r="Q164" s="11" t="s">
        <v>9814</v>
      </c>
      <c r="S164" s="4" t="b">
        <f>ISNUMBER(MATCH(Q164,T:T,0))</f>
        <v>1</v>
      </c>
      <c r="T164" s="4" t="s">
        <v>11007</v>
      </c>
      <c r="U164" s="4" t="str">
        <f t="shared" si="2"/>
        <v>追</v>
      </c>
    </row>
    <row r="165" spans="1:22">
      <c r="A165" s="3">
        <v>164</v>
      </c>
      <c r="B165" s="3" t="s">
        <v>6327</v>
      </c>
      <c r="C165" s="3" t="s">
        <v>6021</v>
      </c>
      <c r="D165" s="3" t="s">
        <v>6001</v>
      </c>
      <c r="E165" s="3" t="s">
        <v>6212</v>
      </c>
      <c r="F165" s="3" t="s">
        <v>6328</v>
      </c>
      <c r="G165" s="3" t="s">
        <v>5993</v>
      </c>
      <c r="H165" s="3" t="s">
        <v>6361</v>
      </c>
      <c r="I165" s="3" t="s">
        <v>6207</v>
      </c>
      <c r="J165" s="5" t="s">
        <v>8462</v>
      </c>
      <c r="L165" s="3" t="s">
        <v>6303</v>
      </c>
      <c r="M165" s="3">
        <v>7</v>
      </c>
      <c r="N165" s="4" t="s">
        <v>9629</v>
      </c>
      <c r="O165" s="4">
        <v>6</v>
      </c>
      <c r="P165" s="11" t="s">
        <v>9815</v>
      </c>
      <c r="Q165" s="11" t="s">
        <v>9813</v>
      </c>
      <c r="R165" s="4" t="s">
        <v>12999</v>
      </c>
      <c r="S165" s="4" t="b">
        <f>ISNUMBER(MATCH(Q165,T:T,0))</f>
        <v>0</v>
      </c>
      <c r="T165" s="4" t="s">
        <v>11008</v>
      </c>
      <c r="U165" s="4" t="str">
        <f t="shared" si="2"/>
        <v>錐</v>
      </c>
      <c r="V165" s="4" t="b">
        <f>ISNUMBER(MATCH(R165,T:T,0))</f>
        <v>1</v>
      </c>
    </row>
    <row r="166" spans="1:22" ht="28.5">
      <c r="A166" s="3">
        <v>165</v>
      </c>
      <c r="B166" s="3" t="s">
        <v>6327</v>
      </c>
      <c r="C166" s="3" t="s">
        <v>6180</v>
      </c>
      <c r="D166" s="3" t="s">
        <v>6001</v>
      </c>
      <c r="E166" s="3" t="s">
        <v>6212</v>
      </c>
      <c r="F166" s="3" t="s">
        <v>6332</v>
      </c>
      <c r="G166" s="3" t="s">
        <v>5993</v>
      </c>
      <c r="H166" s="3" t="s">
        <v>6362</v>
      </c>
      <c r="I166" s="3" t="s">
        <v>6207</v>
      </c>
      <c r="J166" s="5" t="s">
        <v>6363</v>
      </c>
      <c r="L166" s="3" t="s">
        <v>6300</v>
      </c>
      <c r="M166" s="3">
        <v>3</v>
      </c>
      <c r="N166" s="4" t="s">
        <v>9629</v>
      </c>
      <c r="O166" s="4">
        <v>6</v>
      </c>
      <c r="P166" s="11" t="s">
        <v>9774</v>
      </c>
      <c r="Q166" s="11" t="s">
        <v>9814</v>
      </c>
      <c r="S166" s="4" t="b">
        <f>ISNUMBER(MATCH(Q166,T:T,0))</f>
        <v>1</v>
      </c>
      <c r="T166" s="4" t="s">
        <v>10991</v>
      </c>
      <c r="U166" s="4" t="str">
        <f t="shared" si="2"/>
        <v>追</v>
      </c>
    </row>
    <row r="167" spans="1:22">
      <c r="A167" s="3">
        <v>166</v>
      </c>
      <c r="B167" s="3" t="s">
        <v>6327</v>
      </c>
      <c r="C167" s="3" t="s">
        <v>6028</v>
      </c>
      <c r="D167" s="3" t="s">
        <v>6001</v>
      </c>
      <c r="E167" s="3" t="s">
        <v>6212</v>
      </c>
      <c r="F167" s="3" t="s">
        <v>6328</v>
      </c>
      <c r="G167" s="3" t="s">
        <v>5993</v>
      </c>
      <c r="H167" s="3" t="s">
        <v>6364</v>
      </c>
      <c r="I167" s="3" t="s">
        <v>6207</v>
      </c>
      <c r="J167" s="5" t="s">
        <v>8463</v>
      </c>
      <c r="L167" s="3" t="s">
        <v>6216</v>
      </c>
      <c r="M167" s="3">
        <v>12</v>
      </c>
      <c r="N167" s="4" t="s">
        <v>9629</v>
      </c>
      <c r="O167" s="4">
        <v>6</v>
      </c>
      <c r="P167" s="11" t="s">
        <v>6028</v>
      </c>
      <c r="Q167" s="11" t="s">
        <v>9814</v>
      </c>
      <c r="S167" s="4" t="b">
        <f>ISNUMBER(MATCH(Q167,T:T,0))</f>
        <v>1</v>
      </c>
      <c r="T167" s="4" t="s">
        <v>11009</v>
      </c>
      <c r="U167" s="4" t="str">
        <f t="shared" si="2"/>
        <v>追</v>
      </c>
    </row>
    <row r="168" spans="1:22" ht="39">
      <c r="A168" s="3">
        <v>167</v>
      </c>
      <c r="B168" s="3" t="s">
        <v>6327</v>
      </c>
      <c r="C168" s="3" t="s">
        <v>6058</v>
      </c>
      <c r="D168" s="3" t="s">
        <v>6001</v>
      </c>
      <c r="E168" s="3" t="s">
        <v>6212</v>
      </c>
      <c r="F168" s="3" t="s">
        <v>6328</v>
      </c>
      <c r="G168" s="3" t="s">
        <v>5993</v>
      </c>
      <c r="H168" s="3" t="s">
        <v>6365</v>
      </c>
      <c r="I168" s="3" t="s">
        <v>6207</v>
      </c>
      <c r="J168" s="5" t="s">
        <v>8464</v>
      </c>
      <c r="L168" s="3" t="s">
        <v>6229</v>
      </c>
      <c r="M168" s="3">
        <v>13</v>
      </c>
      <c r="N168" s="4" t="s">
        <v>9629</v>
      </c>
      <c r="O168" s="4">
        <v>6</v>
      </c>
      <c r="P168" s="11" t="s">
        <v>9727</v>
      </c>
      <c r="Q168" s="11" t="s">
        <v>9814</v>
      </c>
      <c r="S168" s="4" t="b">
        <f>ISNUMBER(MATCH(Q168,T:T,0))</f>
        <v>1</v>
      </c>
      <c r="T168" s="4" t="s">
        <v>11010</v>
      </c>
      <c r="U168" s="4" t="str">
        <f t="shared" si="2"/>
        <v>追</v>
      </c>
    </row>
    <row r="169" spans="1:22">
      <c r="A169" s="3">
        <v>168</v>
      </c>
      <c r="B169" s="3" t="s">
        <v>6327</v>
      </c>
      <c r="C169" s="3" t="s">
        <v>6017</v>
      </c>
      <c r="D169" s="3" t="s">
        <v>6001</v>
      </c>
      <c r="E169" s="3" t="s">
        <v>6212</v>
      </c>
      <c r="F169" s="3" t="s">
        <v>6328</v>
      </c>
      <c r="G169" s="3" t="s">
        <v>5993</v>
      </c>
      <c r="H169" s="3" t="s">
        <v>6366</v>
      </c>
      <c r="I169" s="3" t="s">
        <v>6207</v>
      </c>
      <c r="J169" s="5" t="s">
        <v>8465</v>
      </c>
      <c r="L169" s="3" t="s">
        <v>6293</v>
      </c>
      <c r="M169" s="3">
        <v>12</v>
      </c>
      <c r="N169" s="4" t="s">
        <v>9629</v>
      </c>
      <c r="O169" s="4">
        <v>6</v>
      </c>
      <c r="P169" s="11" t="s">
        <v>9714</v>
      </c>
      <c r="Q169" s="11" t="s">
        <v>9816</v>
      </c>
      <c r="S169" s="4" t="b">
        <f>ISNUMBER(MATCH(Q169,T:T,0))</f>
        <v>1</v>
      </c>
      <c r="T169" s="4" t="s">
        <v>10482</v>
      </c>
      <c r="U169" s="4" t="str">
        <f t="shared" si="2"/>
        <v>遺</v>
      </c>
    </row>
    <row r="170" spans="1:22">
      <c r="A170" s="3">
        <v>169</v>
      </c>
      <c r="B170" s="3" t="s">
        <v>6327</v>
      </c>
      <c r="C170" s="3" t="s">
        <v>6041</v>
      </c>
      <c r="D170" s="3" t="s">
        <v>6001</v>
      </c>
      <c r="E170" s="3" t="s">
        <v>6212</v>
      </c>
      <c r="F170" s="3" t="s">
        <v>6332</v>
      </c>
      <c r="G170" s="3" t="s">
        <v>5993</v>
      </c>
      <c r="H170" s="3" t="s">
        <v>6367</v>
      </c>
      <c r="I170" s="3" t="s">
        <v>6207</v>
      </c>
      <c r="J170" s="5" t="s">
        <v>8466</v>
      </c>
      <c r="K170" s="3" t="s">
        <v>567</v>
      </c>
      <c r="L170" s="3" t="s">
        <v>6357</v>
      </c>
      <c r="M170" s="3">
        <v>19</v>
      </c>
      <c r="N170" s="4" t="s">
        <v>9629</v>
      </c>
      <c r="O170" s="4">
        <v>6</v>
      </c>
      <c r="P170" s="11" t="s">
        <v>9721</v>
      </c>
      <c r="Q170" s="11" t="s">
        <v>9814</v>
      </c>
      <c r="S170" s="4" t="b">
        <f>ISNUMBER(MATCH(Q170,T:T,0))</f>
        <v>1</v>
      </c>
      <c r="T170" s="4" t="s">
        <v>11011</v>
      </c>
      <c r="U170" s="4" t="str">
        <f t="shared" si="2"/>
        <v>追</v>
      </c>
    </row>
    <row r="171" spans="1:22" ht="39">
      <c r="A171" s="3">
        <v>170</v>
      </c>
      <c r="B171" s="3" t="s">
        <v>6327</v>
      </c>
      <c r="C171" s="3" t="s">
        <v>6035</v>
      </c>
      <c r="D171" s="3" t="s">
        <v>6001</v>
      </c>
      <c r="E171" s="3" t="s">
        <v>5991</v>
      </c>
      <c r="F171" s="3" t="s">
        <v>6332</v>
      </c>
      <c r="G171" s="3" t="s">
        <v>5993</v>
      </c>
      <c r="H171" s="3" t="s">
        <v>6368</v>
      </c>
      <c r="I171" s="3" t="s">
        <v>6207</v>
      </c>
      <c r="J171" s="5" t="s">
        <v>8467</v>
      </c>
      <c r="L171" s="3" t="s">
        <v>6222</v>
      </c>
      <c r="M171" s="3">
        <v>20</v>
      </c>
      <c r="N171" s="4" t="s">
        <v>9629</v>
      </c>
      <c r="O171" s="4">
        <v>6</v>
      </c>
      <c r="P171" s="11" t="s">
        <v>9794</v>
      </c>
      <c r="Q171" s="11" t="s">
        <v>6370</v>
      </c>
      <c r="S171" s="4" t="b">
        <f>ISNUMBER(MATCH(Q171,T:T,0))</f>
        <v>1</v>
      </c>
      <c r="T171" s="4" t="s">
        <v>9817</v>
      </c>
      <c r="U171" s="4" t="str">
        <f t="shared" si="2"/>
        <v>悲</v>
      </c>
    </row>
    <row r="172" spans="1:22">
      <c r="A172" s="3">
        <v>171</v>
      </c>
      <c r="B172" s="3" t="s">
        <v>6327</v>
      </c>
      <c r="C172" s="3" t="s">
        <v>6049</v>
      </c>
      <c r="D172" s="3" t="s">
        <v>6001</v>
      </c>
      <c r="E172" s="3" t="s">
        <v>5991</v>
      </c>
      <c r="F172" s="3" t="s">
        <v>6332</v>
      </c>
      <c r="G172" s="3" t="s">
        <v>5993</v>
      </c>
      <c r="H172" s="3" t="s">
        <v>6369</v>
      </c>
      <c r="I172" s="3" t="s">
        <v>6207</v>
      </c>
      <c r="J172" s="5" t="s">
        <v>6370</v>
      </c>
      <c r="L172" s="3" t="s">
        <v>6236</v>
      </c>
      <c r="M172" s="3">
        <v>1</v>
      </c>
      <c r="N172" s="4" t="s">
        <v>9629</v>
      </c>
      <c r="O172" s="4">
        <v>6</v>
      </c>
      <c r="P172" s="11" t="s">
        <v>9752</v>
      </c>
      <c r="Q172" s="11" t="s">
        <v>9817</v>
      </c>
      <c r="S172" s="4" t="b">
        <f>ISNUMBER(MATCH(Q172,T:T,0))</f>
        <v>1</v>
      </c>
      <c r="T172" s="4" t="s">
        <v>6370</v>
      </c>
      <c r="U172" s="4" t="str">
        <f t="shared" si="2"/>
        <v>眉</v>
      </c>
    </row>
    <row r="173" spans="1:22">
      <c r="A173" s="3">
        <v>172</v>
      </c>
      <c r="B173" s="3" t="s">
        <v>6327</v>
      </c>
      <c r="C173" s="3" t="s">
        <v>6009</v>
      </c>
      <c r="D173" s="3" t="s">
        <v>6001</v>
      </c>
      <c r="E173" s="3" t="s">
        <v>6212</v>
      </c>
      <c r="F173" s="3" t="s">
        <v>6328</v>
      </c>
      <c r="G173" s="3" t="s">
        <v>5993</v>
      </c>
      <c r="H173" s="3" t="s">
        <v>6371</v>
      </c>
      <c r="I173" s="3" t="s">
        <v>6207</v>
      </c>
      <c r="J173" s="5" t="s">
        <v>6372</v>
      </c>
      <c r="L173" s="3" t="s">
        <v>6313</v>
      </c>
      <c r="M173" s="3">
        <v>8</v>
      </c>
      <c r="N173" s="4" t="s">
        <v>9629</v>
      </c>
      <c r="O173" s="4">
        <v>6</v>
      </c>
      <c r="P173" s="11" t="s">
        <v>1726</v>
      </c>
      <c r="Q173" s="11" t="s">
        <v>9814</v>
      </c>
      <c r="S173" s="4" t="b">
        <f>ISNUMBER(MATCH(Q173,T:T,0))</f>
        <v>1</v>
      </c>
      <c r="T173" s="4" t="s">
        <v>11012</v>
      </c>
      <c r="U173" s="4" t="str">
        <f t="shared" si="2"/>
        <v>追</v>
      </c>
    </row>
    <row r="174" spans="1:22">
      <c r="A174" s="3">
        <v>173</v>
      </c>
      <c r="B174" s="3" t="s">
        <v>6327</v>
      </c>
      <c r="C174" s="3" t="s">
        <v>6148</v>
      </c>
      <c r="D174" s="3" t="s">
        <v>6001</v>
      </c>
      <c r="E174" s="3" t="s">
        <v>6212</v>
      </c>
      <c r="F174" s="3" t="s">
        <v>6328</v>
      </c>
      <c r="G174" s="3" t="s">
        <v>5993</v>
      </c>
      <c r="H174" s="3" t="s">
        <v>6373</v>
      </c>
      <c r="I174" s="3" t="s">
        <v>6207</v>
      </c>
      <c r="J174" s="5" t="s">
        <v>6374</v>
      </c>
      <c r="L174" s="3" t="s">
        <v>6227</v>
      </c>
      <c r="M174" s="3">
        <v>3</v>
      </c>
      <c r="N174" s="4" t="s">
        <v>9629</v>
      </c>
      <c r="O174" s="4">
        <v>6</v>
      </c>
      <c r="P174" s="11" t="s">
        <v>9818</v>
      </c>
      <c r="Q174" s="11" t="s">
        <v>9813</v>
      </c>
      <c r="R174" s="4" t="s">
        <v>12999</v>
      </c>
      <c r="S174" s="4" t="b">
        <f>ISNUMBER(MATCH(Q174,T:T,0))</f>
        <v>0</v>
      </c>
      <c r="T174" s="4" t="s">
        <v>11013</v>
      </c>
      <c r="U174" s="4" t="str">
        <f t="shared" si="2"/>
        <v>錐</v>
      </c>
      <c r="V174" s="4" t="b">
        <f>ISNUMBER(MATCH(R174,T:T,0))</f>
        <v>1</v>
      </c>
    </row>
    <row r="175" spans="1:22">
      <c r="A175" s="3">
        <v>174</v>
      </c>
      <c r="B175" s="3" t="s">
        <v>6327</v>
      </c>
      <c r="C175" s="3" t="s">
        <v>6032</v>
      </c>
      <c r="D175" s="3" t="s">
        <v>6001</v>
      </c>
      <c r="E175" s="3" t="s">
        <v>6212</v>
      </c>
      <c r="F175" s="3" t="s">
        <v>6332</v>
      </c>
      <c r="G175" s="3" t="s">
        <v>5993</v>
      </c>
      <c r="H175" s="3" t="s">
        <v>6375</v>
      </c>
      <c r="I175" s="3" t="s">
        <v>6207</v>
      </c>
      <c r="J175" s="5" t="s">
        <v>6376</v>
      </c>
      <c r="L175" s="3" t="s">
        <v>6216</v>
      </c>
      <c r="M175" s="3">
        <v>1</v>
      </c>
      <c r="N175" s="4" t="s">
        <v>9629</v>
      </c>
      <c r="O175" s="4">
        <v>6</v>
      </c>
      <c r="P175" s="11" t="s">
        <v>9819</v>
      </c>
      <c r="Q175" s="11" t="s">
        <v>6370</v>
      </c>
      <c r="S175" s="4" t="b">
        <f>ISNUMBER(MATCH(Q175,T:T,0))</f>
        <v>1</v>
      </c>
      <c r="T175" s="4" t="s">
        <v>6376</v>
      </c>
      <c r="U175" s="4" t="str">
        <f t="shared" si="2"/>
        <v>悲</v>
      </c>
    </row>
    <row r="176" spans="1:22">
      <c r="A176" s="3">
        <v>175</v>
      </c>
      <c r="B176" s="3" t="s">
        <v>6327</v>
      </c>
      <c r="C176" s="3" t="s">
        <v>6045</v>
      </c>
      <c r="D176" s="3" t="s">
        <v>6001</v>
      </c>
      <c r="E176" s="3" t="s">
        <v>5991</v>
      </c>
      <c r="F176" s="3" t="s">
        <v>6332</v>
      </c>
      <c r="G176" s="3" t="s">
        <v>5993</v>
      </c>
      <c r="H176" s="3" t="s">
        <v>6378</v>
      </c>
      <c r="I176" s="3" t="s">
        <v>6207</v>
      </c>
      <c r="J176" s="5" t="s">
        <v>8468</v>
      </c>
      <c r="L176" s="3" t="s">
        <v>6256</v>
      </c>
      <c r="M176" s="3">
        <v>6</v>
      </c>
      <c r="N176" s="4" t="s">
        <v>9629</v>
      </c>
      <c r="O176" s="4">
        <v>6</v>
      </c>
      <c r="P176" s="11" t="s">
        <v>9759</v>
      </c>
      <c r="Q176" s="11" t="s">
        <v>6370</v>
      </c>
      <c r="S176" s="4" t="b">
        <f>ISNUMBER(MATCH(Q176,T:T,0))</f>
        <v>1</v>
      </c>
      <c r="T176" s="4" t="s">
        <v>11014</v>
      </c>
      <c r="U176" s="4" t="str">
        <f t="shared" si="2"/>
        <v>悲</v>
      </c>
    </row>
    <row r="177" spans="1:22">
      <c r="A177" s="3">
        <v>176</v>
      </c>
      <c r="B177" s="3" t="s">
        <v>6327</v>
      </c>
      <c r="C177" s="3" t="s">
        <v>6053</v>
      </c>
      <c r="D177" s="3" t="s">
        <v>6001</v>
      </c>
      <c r="E177" s="3" t="s">
        <v>5991</v>
      </c>
      <c r="F177" s="3" t="s">
        <v>6332</v>
      </c>
      <c r="G177" s="3" t="s">
        <v>5993</v>
      </c>
      <c r="H177" s="3" t="s">
        <v>6379</v>
      </c>
      <c r="I177" s="3" t="s">
        <v>6207</v>
      </c>
      <c r="J177" s="5" t="s">
        <v>8469</v>
      </c>
      <c r="L177" s="3" t="s">
        <v>6234</v>
      </c>
      <c r="M177" s="3">
        <v>12</v>
      </c>
      <c r="N177" s="4" t="s">
        <v>9629</v>
      </c>
      <c r="O177" s="4">
        <v>6</v>
      </c>
      <c r="P177" s="11" t="s">
        <v>9724</v>
      </c>
      <c r="Q177" s="11" t="s">
        <v>6370</v>
      </c>
      <c r="S177" s="4" t="b">
        <f>ISNUMBER(MATCH(Q177,T:T,0))</f>
        <v>1</v>
      </c>
      <c r="T177" s="4" t="s">
        <v>10427</v>
      </c>
      <c r="U177" s="4" t="str">
        <f t="shared" si="2"/>
        <v>悲</v>
      </c>
    </row>
    <row r="178" spans="1:22" ht="26.25">
      <c r="A178" s="3">
        <v>177</v>
      </c>
      <c r="B178" s="3" t="s">
        <v>6327</v>
      </c>
      <c r="C178" s="3" t="s">
        <v>6089</v>
      </c>
      <c r="D178" s="3" t="s">
        <v>6001</v>
      </c>
      <c r="E178" s="3" t="s">
        <v>6212</v>
      </c>
      <c r="F178" s="3" t="s">
        <v>6328</v>
      </c>
      <c r="G178" s="3" t="s">
        <v>5993</v>
      </c>
      <c r="H178" s="3" t="s">
        <v>6380</v>
      </c>
      <c r="I178" s="3" t="s">
        <v>6207</v>
      </c>
      <c r="J178" s="5" t="s">
        <v>8470</v>
      </c>
      <c r="K178" s="3" t="s">
        <v>568</v>
      </c>
      <c r="L178" s="3" t="s">
        <v>6219</v>
      </c>
      <c r="M178" s="3">
        <v>6</v>
      </c>
      <c r="N178" s="4" t="s">
        <v>9629</v>
      </c>
      <c r="O178" s="4">
        <v>6</v>
      </c>
      <c r="P178" s="11" t="s">
        <v>9753</v>
      </c>
      <c r="Q178" s="11" t="s">
        <v>9820</v>
      </c>
      <c r="R178" s="4" t="s">
        <v>13000</v>
      </c>
      <c r="S178" s="4" t="b">
        <f>ISNUMBER(MATCH(Q178,T:T,0))</f>
        <v>0</v>
      </c>
      <c r="T178" s="4" t="s">
        <v>11015</v>
      </c>
      <c r="U178" s="4" t="str">
        <f t="shared" si="2"/>
        <v>惟</v>
      </c>
      <c r="V178" s="4" t="b">
        <f>ISNUMBER(MATCH(R178,T:T,0))</f>
        <v>1</v>
      </c>
    </row>
    <row r="179" spans="1:22">
      <c r="A179" s="3">
        <v>178</v>
      </c>
      <c r="B179" s="3" t="s">
        <v>6327</v>
      </c>
      <c r="C179" s="3" t="s">
        <v>6005</v>
      </c>
      <c r="D179" s="3" t="s">
        <v>6001</v>
      </c>
      <c r="E179" s="3" t="s">
        <v>6212</v>
      </c>
      <c r="F179" s="3" t="s">
        <v>6332</v>
      </c>
      <c r="G179" s="3" t="s">
        <v>5993</v>
      </c>
      <c r="H179" s="3" t="s">
        <v>6381</v>
      </c>
      <c r="I179" s="3" t="s">
        <v>6207</v>
      </c>
      <c r="J179" s="5" t="s">
        <v>8471</v>
      </c>
      <c r="L179" s="3" t="s">
        <v>6227</v>
      </c>
      <c r="M179" s="3">
        <v>5</v>
      </c>
      <c r="N179" s="4" t="s">
        <v>9629</v>
      </c>
      <c r="O179" s="4">
        <v>6</v>
      </c>
      <c r="P179" s="11" t="s">
        <v>9709</v>
      </c>
      <c r="Q179" s="11" t="s">
        <v>9814</v>
      </c>
      <c r="S179" s="4" t="b">
        <f>ISNUMBER(MATCH(Q179,T:T,0))</f>
        <v>1</v>
      </c>
      <c r="T179" s="4" t="s">
        <v>11016</v>
      </c>
      <c r="U179" s="4" t="str">
        <f t="shared" si="2"/>
        <v>追</v>
      </c>
    </row>
    <row r="180" spans="1:22">
      <c r="A180" s="3">
        <v>179</v>
      </c>
      <c r="B180" s="3" t="s">
        <v>6327</v>
      </c>
      <c r="C180" s="3" t="s">
        <v>6167</v>
      </c>
      <c r="D180" s="3" t="s">
        <v>6001</v>
      </c>
      <c r="E180" s="3" t="s">
        <v>6212</v>
      </c>
      <c r="F180" s="3" t="s">
        <v>6328</v>
      </c>
      <c r="G180" s="3" t="s">
        <v>5993</v>
      </c>
      <c r="H180" s="3" t="s">
        <v>6382</v>
      </c>
      <c r="I180" s="3" t="s">
        <v>6207</v>
      </c>
      <c r="J180" s="5" t="s">
        <v>6383</v>
      </c>
      <c r="M180" s="3">
        <v>2</v>
      </c>
      <c r="N180" s="4" t="s">
        <v>9629</v>
      </c>
      <c r="O180" s="4">
        <v>6</v>
      </c>
      <c r="P180" s="11" t="s">
        <v>9821</v>
      </c>
      <c r="Q180" s="11" t="s">
        <v>9813</v>
      </c>
      <c r="R180" s="4" t="s">
        <v>12999</v>
      </c>
      <c r="S180" s="4" t="b">
        <f>ISNUMBER(MATCH(Q180,T:T,0))</f>
        <v>0</v>
      </c>
      <c r="T180" s="4" t="s">
        <v>11017</v>
      </c>
      <c r="U180" s="4" t="str">
        <f t="shared" si="2"/>
        <v>錐</v>
      </c>
      <c r="V180" s="4" t="b">
        <f>ISNUMBER(MATCH(R180,T:T,0))</f>
        <v>1</v>
      </c>
    </row>
    <row r="181" spans="1:22">
      <c r="A181" s="3">
        <v>180</v>
      </c>
      <c r="B181" s="3" t="s">
        <v>6327</v>
      </c>
      <c r="C181" s="3" t="s">
        <v>6000</v>
      </c>
      <c r="D181" s="3" t="s">
        <v>6001</v>
      </c>
      <c r="E181" s="3" t="s">
        <v>5991</v>
      </c>
      <c r="F181" s="3" t="s">
        <v>6332</v>
      </c>
      <c r="G181" s="3" t="s">
        <v>5993</v>
      </c>
      <c r="H181" s="3" t="s">
        <v>6384</v>
      </c>
      <c r="I181" s="3" t="s">
        <v>6207</v>
      </c>
      <c r="J181" s="5" t="s">
        <v>6385</v>
      </c>
      <c r="K181" s="3" t="s">
        <v>569</v>
      </c>
      <c r="L181" s="3" t="s">
        <v>6208</v>
      </c>
      <c r="M181" s="3">
        <v>4</v>
      </c>
      <c r="N181" s="4" t="s">
        <v>9629</v>
      </c>
      <c r="O181" s="4">
        <v>6</v>
      </c>
      <c r="P181" s="11" t="s">
        <v>9822</v>
      </c>
      <c r="Q181" s="11" t="s">
        <v>9812</v>
      </c>
      <c r="S181" s="4" t="b">
        <f>ISNUMBER(MATCH(Q181,T:T,0))</f>
        <v>1</v>
      </c>
      <c r="T181" s="4" t="s">
        <v>11018</v>
      </c>
      <c r="U181" s="4" t="str">
        <f t="shared" si="2"/>
        <v>尼</v>
      </c>
    </row>
    <row r="182" spans="1:22">
      <c r="A182" s="3">
        <v>181</v>
      </c>
      <c r="B182" s="3" t="s">
        <v>6327</v>
      </c>
      <c r="C182" s="3" t="s">
        <v>6053</v>
      </c>
      <c r="D182" s="3" t="s">
        <v>6001</v>
      </c>
      <c r="E182" s="3" t="s">
        <v>5991</v>
      </c>
      <c r="F182" s="3" t="s">
        <v>6328</v>
      </c>
      <c r="G182" s="3" t="s">
        <v>5993</v>
      </c>
      <c r="H182" s="3" t="s">
        <v>6386</v>
      </c>
      <c r="I182" s="3" t="s">
        <v>6207</v>
      </c>
      <c r="J182" s="5" t="s">
        <v>8472</v>
      </c>
      <c r="L182" s="3" t="s">
        <v>6234</v>
      </c>
      <c r="M182" s="3">
        <v>6</v>
      </c>
      <c r="N182" s="4" t="s">
        <v>9629</v>
      </c>
      <c r="O182" s="4">
        <v>6</v>
      </c>
      <c r="P182" s="11" t="s">
        <v>9772</v>
      </c>
      <c r="Q182" s="11" t="s">
        <v>9807</v>
      </c>
      <c r="R182" s="4" t="s">
        <v>12998</v>
      </c>
      <c r="S182" s="4" t="b">
        <f>ISNUMBER(MATCH(Q182,T:T,0))</f>
        <v>0</v>
      </c>
      <c r="T182" s="4" t="s">
        <v>11019</v>
      </c>
      <c r="U182" s="4" t="str">
        <f t="shared" si="2"/>
        <v>姨</v>
      </c>
      <c r="V182" s="4" t="b">
        <f t="shared" ref="V182:V183" si="5">ISNUMBER(MATCH(R182,T:T,0))</f>
        <v>1</v>
      </c>
    </row>
    <row r="183" spans="1:22">
      <c r="A183" s="3">
        <v>182</v>
      </c>
      <c r="B183" s="3" t="s">
        <v>6327</v>
      </c>
      <c r="C183" s="3" t="s">
        <v>6083</v>
      </c>
      <c r="D183" s="3" t="s">
        <v>6001</v>
      </c>
      <c r="E183" s="3" t="s">
        <v>6212</v>
      </c>
      <c r="F183" s="3" t="s">
        <v>6328</v>
      </c>
      <c r="G183" s="3" t="s">
        <v>5993</v>
      </c>
      <c r="H183" s="3" t="s">
        <v>6387</v>
      </c>
      <c r="I183" s="3" t="s">
        <v>6207</v>
      </c>
      <c r="J183" s="5" t="s">
        <v>6388</v>
      </c>
      <c r="L183" s="3" t="s">
        <v>6308</v>
      </c>
      <c r="M183" s="3">
        <v>2</v>
      </c>
      <c r="N183" s="4" t="s">
        <v>9629</v>
      </c>
      <c r="O183" s="4">
        <v>6</v>
      </c>
      <c r="P183" s="11" t="s">
        <v>9823</v>
      </c>
      <c r="Q183" s="11" t="s">
        <v>9824</v>
      </c>
      <c r="R183" s="4" t="s">
        <v>13001</v>
      </c>
      <c r="S183" s="4" t="b">
        <f>ISNUMBER(MATCH(Q183,T:T,0))</f>
        <v>0</v>
      </c>
      <c r="T183" s="4" t="s">
        <v>11020</v>
      </c>
      <c r="U183" s="4" t="str">
        <f t="shared" si="2"/>
        <v>雖</v>
      </c>
      <c r="V183" s="4" t="b">
        <f t="shared" si="5"/>
        <v>1</v>
      </c>
    </row>
    <row r="184" spans="1:22">
      <c r="A184" s="3">
        <v>183</v>
      </c>
      <c r="B184" s="3" t="s">
        <v>6327</v>
      </c>
      <c r="C184" s="3" t="s">
        <v>6038</v>
      </c>
      <c r="D184" s="3" t="s">
        <v>6001</v>
      </c>
      <c r="E184" s="3" t="s">
        <v>6212</v>
      </c>
      <c r="F184" s="3" t="s">
        <v>6332</v>
      </c>
      <c r="G184" s="3" t="s">
        <v>5993</v>
      </c>
      <c r="H184" s="3" t="s">
        <v>6389</v>
      </c>
      <c r="I184" s="3" t="s">
        <v>6207</v>
      </c>
      <c r="J184" s="5" t="s">
        <v>6390</v>
      </c>
      <c r="L184" s="3" t="s">
        <v>6240</v>
      </c>
      <c r="M184" s="3">
        <v>2</v>
      </c>
      <c r="N184" s="4" t="s">
        <v>9629</v>
      </c>
      <c r="O184" s="4">
        <v>6</v>
      </c>
      <c r="P184" s="11" t="s">
        <v>9825</v>
      </c>
      <c r="Q184" s="11" t="s">
        <v>9814</v>
      </c>
      <c r="S184" s="4" t="b">
        <f>ISNUMBER(MATCH(Q184,T:T,0))</f>
        <v>1</v>
      </c>
      <c r="T184" s="4" t="s">
        <v>11021</v>
      </c>
      <c r="U184" s="4" t="str">
        <f t="shared" si="2"/>
        <v>追</v>
      </c>
    </row>
    <row r="185" spans="1:22">
      <c r="A185" s="3">
        <v>184</v>
      </c>
      <c r="B185" s="3" t="s">
        <v>6327</v>
      </c>
      <c r="C185" s="3" t="s">
        <v>6092</v>
      </c>
      <c r="D185" s="3" t="s">
        <v>6001</v>
      </c>
      <c r="E185" s="3" t="s">
        <v>5991</v>
      </c>
      <c r="F185" s="3" t="s">
        <v>6328</v>
      </c>
      <c r="G185" s="3" t="s">
        <v>5993</v>
      </c>
      <c r="H185" s="3" t="s">
        <v>6391</v>
      </c>
      <c r="I185" s="3" t="s">
        <v>6207</v>
      </c>
      <c r="J185" s="5" t="s">
        <v>6392</v>
      </c>
      <c r="L185" s="3" t="s">
        <v>6211</v>
      </c>
      <c r="M185" s="3">
        <v>1</v>
      </c>
      <c r="N185" s="4" t="s">
        <v>9629</v>
      </c>
      <c r="O185" s="4">
        <v>6</v>
      </c>
      <c r="P185" s="11" t="s">
        <v>5008</v>
      </c>
      <c r="Q185" s="11" t="s">
        <v>9826</v>
      </c>
      <c r="R185" s="4" t="s">
        <v>13002</v>
      </c>
      <c r="S185" s="4" t="b">
        <f>ISNUMBER(MATCH(Q185,T:T,0))</f>
        <v>0</v>
      </c>
      <c r="T185" s="4" t="s">
        <v>6392</v>
      </c>
      <c r="U185" s="4" t="str">
        <f t="shared" si="2"/>
        <v>飢</v>
      </c>
      <c r="V185" s="4" t="b">
        <f t="shared" ref="V185:V186" si="6">ISNUMBER(MATCH(R185,T:T,0))</f>
        <v>1</v>
      </c>
    </row>
    <row r="186" spans="1:22">
      <c r="A186" s="3">
        <v>185</v>
      </c>
      <c r="B186" s="3" t="s">
        <v>6327</v>
      </c>
      <c r="C186" s="3" t="s">
        <v>6089</v>
      </c>
      <c r="D186" s="3" t="s">
        <v>6001</v>
      </c>
      <c r="E186" s="3" t="s">
        <v>5991</v>
      </c>
      <c r="F186" s="3" t="s">
        <v>6328</v>
      </c>
      <c r="G186" s="3" t="s">
        <v>5993</v>
      </c>
      <c r="H186" s="3" t="s">
        <v>6393</v>
      </c>
      <c r="I186" s="3" t="s">
        <v>6207</v>
      </c>
      <c r="J186" s="5" t="s">
        <v>8473</v>
      </c>
      <c r="L186" s="3" t="s">
        <v>6248</v>
      </c>
      <c r="M186" s="3">
        <v>5</v>
      </c>
      <c r="N186" s="4" t="s">
        <v>9629</v>
      </c>
      <c r="O186" s="4">
        <v>6</v>
      </c>
      <c r="P186" s="11" t="s">
        <v>9827</v>
      </c>
      <c r="Q186" s="11" t="s">
        <v>9807</v>
      </c>
      <c r="R186" s="4" t="s">
        <v>12998</v>
      </c>
      <c r="S186" s="4" t="b">
        <f>ISNUMBER(MATCH(Q186,T:T,0))</f>
        <v>0</v>
      </c>
      <c r="T186" s="4" t="s">
        <v>11022</v>
      </c>
      <c r="U186" s="4" t="str">
        <f t="shared" si="2"/>
        <v>姨</v>
      </c>
      <c r="V186" s="4" t="b">
        <f t="shared" si="6"/>
        <v>1</v>
      </c>
    </row>
    <row r="187" spans="1:22">
      <c r="A187" s="3">
        <v>186</v>
      </c>
      <c r="B187" s="3" t="s">
        <v>6395</v>
      </c>
      <c r="C187" s="3" t="s">
        <v>6009</v>
      </c>
      <c r="D187" s="3" t="s">
        <v>6001</v>
      </c>
      <c r="E187" s="3" t="s">
        <v>5991</v>
      </c>
      <c r="F187" s="3" t="s">
        <v>6396</v>
      </c>
      <c r="G187" s="3" t="s">
        <v>5993</v>
      </c>
      <c r="H187" s="3" t="s">
        <v>6397</v>
      </c>
      <c r="I187" s="3" t="s">
        <v>6207</v>
      </c>
      <c r="J187" s="5" t="s">
        <v>6398</v>
      </c>
      <c r="L187" s="3" t="s">
        <v>6208</v>
      </c>
      <c r="M187" s="3">
        <v>4</v>
      </c>
      <c r="N187" s="4" t="s">
        <v>6396</v>
      </c>
      <c r="O187" s="4">
        <v>7</v>
      </c>
      <c r="P187" s="11" t="s">
        <v>6207</v>
      </c>
      <c r="Q187" s="11" t="s">
        <v>9761</v>
      </c>
      <c r="S187" s="4" t="b">
        <f>ISNUMBER(MATCH(Q187,T:T,0))</f>
        <v>1</v>
      </c>
      <c r="T187" s="4" t="s">
        <v>6396</v>
      </c>
      <c r="U187" s="4" t="str">
        <f t="shared" si="2"/>
        <v>而</v>
      </c>
    </row>
    <row r="188" spans="1:22" ht="39">
      <c r="A188" s="3">
        <v>187</v>
      </c>
      <c r="B188" s="3" t="s">
        <v>6395</v>
      </c>
      <c r="C188" s="3" t="s">
        <v>6028</v>
      </c>
      <c r="D188" s="3" t="s">
        <v>6001</v>
      </c>
      <c r="E188" s="3" t="s">
        <v>5991</v>
      </c>
      <c r="F188" s="3" t="s">
        <v>6396</v>
      </c>
      <c r="G188" s="3" t="s">
        <v>5993</v>
      </c>
      <c r="H188" s="3" t="s">
        <v>6399</v>
      </c>
      <c r="I188" s="3" t="s">
        <v>6207</v>
      </c>
      <c r="J188" s="5" t="s">
        <v>8474</v>
      </c>
      <c r="L188" s="3" t="s">
        <v>6211</v>
      </c>
      <c r="M188" s="3">
        <v>27</v>
      </c>
      <c r="N188" s="4" t="s">
        <v>6396</v>
      </c>
      <c r="O188" s="4">
        <v>7</v>
      </c>
      <c r="P188" s="11" t="s">
        <v>9828</v>
      </c>
      <c r="Q188" s="11" t="s">
        <v>6396</v>
      </c>
      <c r="S188" s="4" t="b">
        <f>ISNUMBER(MATCH(Q188,T:T,0))</f>
        <v>1</v>
      </c>
      <c r="T188" s="4" t="s">
        <v>11023</v>
      </c>
      <c r="U188" s="4" t="str">
        <f t="shared" si="2"/>
        <v>之</v>
      </c>
    </row>
    <row r="189" spans="1:22">
      <c r="A189" s="3">
        <v>188</v>
      </c>
      <c r="B189" s="3" t="s">
        <v>6395</v>
      </c>
      <c r="C189" s="3" t="s">
        <v>6148</v>
      </c>
      <c r="D189" s="3" t="s">
        <v>6001</v>
      </c>
      <c r="E189" s="3" t="s">
        <v>5991</v>
      </c>
      <c r="F189" s="3" t="s">
        <v>6396</v>
      </c>
      <c r="G189" s="3" t="s">
        <v>5993</v>
      </c>
      <c r="H189" s="3" t="s">
        <v>6400</v>
      </c>
      <c r="I189" s="3" t="s">
        <v>6207</v>
      </c>
      <c r="J189" s="5" t="s">
        <v>8475</v>
      </c>
      <c r="L189" s="3" t="s">
        <v>6258</v>
      </c>
      <c r="M189" s="3">
        <v>7</v>
      </c>
      <c r="N189" s="4" t="s">
        <v>6396</v>
      </c>
      <c r="O189" s="4">
        <v>7</v>
      </c>
      <c r="P189" s="11" t="s">
        <v>9829</v>
      </c>
      <c r="Q189" s="11" t="s">
        <v>6396</v>
      </c>
      <c r="S189" s="4" t="b">
        <f>ISNUMBER(MATCH(Q189,T:T,0))</f>
        <v>1</v>
      </c>
      <c r="T189" s="4" t="s">
        <v>10190</v>
      </c>
      <c r="U189" s="4" t="str">
        <f t="shared" si="2"/>
        <v>之</v>
      </c>
    </row>
    <row r="190" spans="1:22">
      <c r="A190" s="3">
        <v>189</v>
      </c>
      <c r="B190" s="3" t="s">
        <v>6395</v>
      </c>
      <c r="C190" s="3" t="s">
        <v>6092</v>
      </c>
      <c r="D190" s="3" t="s">
        <v>6001</v>
      </c>
      <c r="E190" s="3" t="s">
        <v>5991</v>
      </c>
      <c r="F190" s="3" t="s">
        <v>6396</v>
      </c>
      <c r="G190" s="3" t="s">
        <v>5993</v>
      </c>
      <c r="H190" s="3" t="s">
        <v>6401</v>
      </c>
      <c r="I190" s="3" t="s">
        <v>6207</v>
      </c>
      <c r="J190" s="5" t="s">
        <v>6402</v>
      </c>
      <c r="L190" s="3" t="s">
        <v>6211</v>
      </c>
      <c r="M190" s="3">
        <v>3</v>
      </c>
      <c r="N190" s="4" t="s">
        <v>6396</v>
      </c>
      <c r="O190" s="4">
        <v>7</v>
      </c>
      <c r="P190" s="11" t="s">
        <v>9001</v>
      </c>
      <c r="Q190" s="11" t="s">
        <v>9830</v>
      </c>
      <c r="S190" s="4" t="b">
        <f>ISNUMBER(MATCH(Q190,T:T,0))</f>
        <v>1</v>
      </c>
      <c r="T190" s="4" t="s">
        <v>6092</v>
      </c>
      <c r="U190" s="4" t="str">
        <f t="shared" si="2"/>
        <v>其</v>
      </c>
    </row>
    <row r="191" spans="1:22">
      <c r="A191" s="3">
        <v>190</v>
      </c>
      <c r="B191" s="3" t="s">
        <v>6395</v>
      </c>
      <c r="C191" s="3" t="s">
        <v>6017</v>
      </c>
      <c r="D191" s="3" t="s">
        <v>6001</v>
      </c>
      <c r="E191" s="3" t="s">
        <v>5991</v>
      </c>
      <c r="F191" s="3" t="s">
        <v>6396</v>
      </c>
      <c r="G191" s="3" t="s">
        <v>5993</v>
      </c>
      <c r="H191" s="3" t="s">
        <v>676</v>
      </c>
      <c r="I191" s="3" t="s">
        <v>6207</v>
      </c>
      <c r="J191" s="5" t="s">
        <v>8476</v>
      </c>
      <c r="L191" s="3" t="s">
        <v>6276</v>
      </c>
      <c r="M191" s="3">
        <v>15</v>
      </c>
      <c r="N191" s="4" t="s">
        <v>6396</v>
      </c>
      <c r="O191" s="4">
        <v>7</v>
      </c>
      <c r="P191" s="11" t="s">
        <v>9714</v>
      </c>
      <c r="Q191" s="11" t="s">
        <v>9831</v>
      </c>
      <c r="S191" s="4" t="b">
        <f>ISNUMBER(MATCH(Q191,T:T,0))</f>
        <v>1</v>
      </c>
      <c r="T191" s="4" t="s">
        <v>9963</v>
      </c>
      <c r="U191" s="4" t="str">
        <f t="shared" si="2"/>
        <v>兹</v>
      </c>
    </row>
    <row r="192" spans="1:22">
      <c r="A192" s="3">
        <v>191</v>
      </c>
      <c r="B192" s="3" t="s">
        <v>6395</v>
      </c>
      <c r="C192" s="3" t="s">
        <v>6167</v>
      </c>
      <c r="D192" s="3" t="s">
        <v>6001</v>
      </c>
      <c r="E192" s="3" t="s">
        <v>5991</v>
      </c>
      <c r="F192" s="3" t="s">
        <v>6396</v>
      </c>
      <c r="G192" s="3" t="s">
        <v>5993</v>
      </c>
      <c r="H192" s="3" t="s">
        <v>6403</v>
      </c>
      <c r="I192" s="3" t="s">
        <v>6207</v>
      </c>
      <c r="J192" s="5" t="s">
        <v>6404</v>
      </c>
      <c r="L192" s="3" t="s">
        <v>6279</v>
      </c>
      <c r="M192" s="3">
        <v>2</v>
      </c>
      <c r="N192" s="4" t="s">
        <v>6396</v>
      </c>
      <c r="O192" s="4">
        <v>7</v>
      </c>
      <c r="P192" s="11" t="s">
        <v>9769</v>
      </c>
      <c r="Q192" s="11" t="s">
        <v>9832</v>
      </c>
      <c r="R192" s="4" t="s">
        <v>13003</v>
      </c>
      <c r="S192" s="4" t="b">
        <f>ISNUMBER(MATCH(Q192,T:T,0))</f>
        <v>0</v>
      </c>
      <c r="T192" s="4" t="s">
        <v>11024</v>
      </c>
      <c r="U192" s="4" t="str">
        <f t="shared" si="2"/>
        <v>治</v>
      </c>
      <c r="V192" s="4" t="b">
        <f>ISNUMBER(MATCH(R192,T:T,0))</f>
        <v>1</v>
      </c>
    </row>
    <row r="193" spans="1:22" ht="39">
      <c r="A193" s="3">
        <v>192</v>
      </c>
      <c r="B193" s="3" t="s">
        <v>6395</v>
      </c>
      <c r="C193" s="3" t="s">
        <v>6041</v>
      </c>
      <c r="D193" s="3" t="s">
        <v>6001</v>
      </c>
      <c r="E193" s="3" t="s">
        <v>5991</v>
      </c>
      <c r="F193" s="3" t="s">
        <v>6396</v>
      </c>
      <c r="G193" s="3" t="s">
        <v>5993</v>
      </c>
      <c r="H193" s="3" t="s">
        <v>6405</v>
      </c>
      <c r="I193" s="3" t="s">
        <v>6207</v>
      </c>
      <c r="J193" s="5" t="s">
        <v>8477</v>
      </c>
      <c r="L193" s="3" t="s">
        <v>6244</v>
      </c>
      <c r="M193" s="3">
        <v>30</v>
      </c>
      <c r="N193" s="4" t="s">
        <v>6396</v>
      </c>
      <c r="O193" s="4">
        <v>7</v>
      </c>
      <c r="P193" s="11" t="s">
        <v>9721</v>
      </c>
      <c r="Q193" s="11" t="s">
        <v>6396</v>
      </c>
      <c r="S193" s="4" t="b">
        <f>ISNUMBER(MATCH(Q193,T:T,0))</f>
        <v>1</v>
      </c>
      <c r="T193" s="4" t="s">
        <v>9830</v>
      </c>
      <c r="U193" s="4" t="str">
        <f t="shared" si="2"/>
        <v>之</v>
      </c>
    </row>
    <row r="194" spans="1:22">
      <c r="A194" s="3">
        <v>193</v>
      </c>
      <c r="B194" s="3" t="s">
        <v>6395</v>
      </c>
      <c r="C194" s="3" t="s">
        <v>6120</v>
      </c>
      <c r="D194" s="3" t="s">
        <v>6001</v>
      </c>
      <c r="E194" s="3" t="s">
        <v>5991</v>
      </c>
      <c r="F194" s="3" t="s">
        <v>6396</v>
      </c>
      <c r="G194" s="3" t="s">
        <v>5993</v>
      </c>
      <c r="H194" s="3" t="s">
        <v>6406</v>
      </c>
      <c r="I194" s="3" t="s">
        <v>6207</v>
      </c>
      <c r="J194" s="5" t="s">
        <v>6407</v>
      </c>
      <c r="L194" s="3" t="s">
        <v>6274</v>
      </c>
      <c r="M194" s="3">
        <v>6</v>
      </c>
      <c r="N194" s="4" t="s">
        <v>6396</v>
      </c>
      <c r="O194" s="4">
        <v>7</v>
      </c>
      <c r="P194" s="11" t="s">
        <v>6120</v>
      </c>
      <c r="Q194" s="11" t="s">
        <v>6396</v>
      </c>
      <c r="S194" s="4" t="b">
        <f>ISNUMBER(MATCH(Q194,T:T,0))</f>
        <v>1</v>
      </c>
      <c r="T194" s="4" t="s">
        <v>10232</v>
      </c>
      <c r="U194" s="4" t="str">
        <f t="shared" si="2"/>
        <v>之</v>
      </c>
    </row>
    <row r="195" spans="1:22" ht="39">
      <c r="A195" s="3">
        <v>194</v>
      </c>
      <c r="B195" s="3" t="s">
        <v>6395</v>
      </c>
      <c r="C195" s="3" t="s">
        <v>6021</v>
      </c>
      <c r="D195" s="3" t="s">
        <v>6001</v>
      </c>
      <c r="E195" s="3" t="s">
        <v>5991</v>
      </c>
      <c r="F195" s="3" t="s">
        <v>6396</v>
      </c>
      <c r="G195" s="3" t="s">
        <v>5993</v>
      </c>
      <c r="H195" s="3" t="s">
        <v>6408</v>
      </c>
      <c r="I195" s="3" t="s">
        <v>6207</v>
      </c>
      <c r="J195" s="5" t="s">
        <v>8478</v>
      </c>
      <c r="L195" s="3" t="s">
        <v>6262</v>
      </c>
      <c r="M195" s="3">
        <v>21</v>
      </c>
      <c r="N195" s="4" t="s">
        <v>6396</v>
      </c>
      <c r="O195" s="4">
        <v>7</v>
      </c>
      <c r="P195" s="11" t="s">
        <v>9715</v>
      </c>
      <c r="Q195" s="11" t="s">
        <v>6396</v>
      </c>
      <c r="S195" s="4" t="b">
        <f>ISNUMBER(MATCH(Q195,T:T,0))</f>
        <v>1</v>
      </c>
      <c r="T195" s="4" t="s">
        <v>9761</v>
      </c>
      <c r="U195" s="4" t="str">
        <f t="shared" ref="U195:U258" si="7">IF(ISBLANK(R195),Q195,R195)</f>
        <v>之</v>
      </c>
    </row>
    <row r="196" spans="1:22">
      <c r="A196" s="3">
        <v>195</v>
      </c>
      <c r="B196" s="3" t="s">
        <v>6395</v>
      </c>
      <c r="C196" s="3" t="s">
        <v>6038</v>
      </c>
      <c r="D196" s="3" t="s">
        <v>6001</v>
      </c>
      <c r="E196" s="3" t="s">
        <v>5991</v>
      </c>
      <c r="F196" s="3" t="s">
        <v>6396</v>
      </c>
      <c r="G196" s="3" t="s">
        <v>5993</v>
      </c>
      <c r="H196" s="3" t="s">
        <v>6409</v>
      </c>
      <c r="I196" s="3" t="s">
        <v>6207</v>
      </c>
      <c r="J196" s="5" t="s">
        <v>6410</v>
      </c>
      <c r="L196" s="3" t="s">
        <v>6251</v>
      </c>
      <c r="M196" s="3">
        <v>11</v>
      </c>
      <c r="N196" s="4" t="s">
        <v>6396</v>
      </c>
      <c r="O196" s="4">
        <v>7</v>
      </c>
      <c r="P196" s="11" t="s">
        <v>4210</v>
      </c>
      <c r="Q196" s="11" t="s">
        <v>9830</v>
      </c>
      <c r="S196" s="4" t="b">
        <f>ISNUMBER(MATCH(Q196,T:T,0))</f>
        <v>1</v>
      </c>
      <c r="T196" s="4" t="s">
        <v>11025</v>
      </c>
      <c r="U196" s="4" t="str">
        <f t="shared" si="7"/>
        <v>其</v>
      </c>
    </row>
    <row r="197" spans="1:22">
      <c r="A197" s="3">
        <v>196</v>
      </c>
      <c r="B197" s="3" t="s">
        <v>6395</v>
      </c>
      <c r="C197" s="3" t="s">
        <v>6025</v>
      </c>
      <c r="D197" s="3" t="s">
        <v>6001</v>
      </c>
      <c r="E197" s="3" t="s">
        <v>5991</v>
      </c>
      <c r="F197" s="3" t="s">
        <v>6396</v>
      </c>
      <c r="G197" s="3" t="s">
        <v>5993</v>
      </c>
      <c r="H197" s="3" t="s">
        <v>6411</v>
      </c>
      <c r="I197" s="3" t="s">
        <v>6207</v>
      </c>
      <c r="J197" s="5" t="s">
        <v>7510</v>
      </c>
      <c r="L197" s="3" t="s">
        <v>6270</v>
      </c>
      <c r="M197" s="3">
        <v>12</v>
      </c>
      <c r="N197" s="4" t="s">
        <v>6396</v>
      </c>
      <c r="O197" s="4">
        <v>7</v>
      </c>
      <c r="P197" s="11" t="s">
        <v>9717</v>
      </c>
      <c r="Q197" s="11" t="s">
        <v>6396</v>
      </c>
      <c r="S197" s="4" t="b">
        <f>ISNUMBER(MATCH(Q197,T:T,0))</f>
        <v>1</v>
      </c>
      <c r="T197" s="4" t="s">
        <v>11026</v>
      </c>
      <c r="U197" s="4" t="str">
        <f t="shared" si="7"/>
        <v>之</v>
      </c>
    </row>
    <row r="198" spans="1:22">
      <c r="A198" s="3">
        <v>197</v>
      </c>
      <c r="B198" s="3" t="s">
        <v>6395</v>
      </c>
      <c r="C198" s="3" t="s">
        <v>6123</v>
      </c>
      <c r="D198" s="3" t="s">
        <v>6001</v>
      </c>
      <c r="E198" s="3" t="s">
        <v>5991</v>
      </c>
      <c r="F198" s="3" t="s">
        <v>6396</v>
      </c>
      <c r="G198" s="3" t="s">
        <v>5993</v>
      </c>
      <c r="H198" s="3" t="s">
        <v>677</v>
      </c>
      <c r="I198" s="3" t="s">
        <v>6207</v>
      </c>
      <c r="J198" s="5" t="s">
        <v>7511</v>
      </c>
      <c r="K198" s="3" t="s">
        <v>6412</v>
      </c>
      <c r="L198" s="3" t="s">
        <v>6413</v>
      </c>
      <c r="M198" s="3">
        <v>7</v>
      </c>
      <c r="N198" s="4" t="s">
        <v>6396</v>
      </c>
      <c r="O198" s="4">
        <v>7</v>
      </c>
      <c r="P198" s="11" t="s">
        <v>9833</v>
      </c>
      <c r="Q198" s="11" t="s">
        <v>9831</v>
      </c>
      <c r="S198" s="4" t="b">
        <f>ISNUMBER(MATCH(Q198,T:T,0))</f>
        <v>1</v>
      </c>
      <c r="T198" s="4" t="s">
        <v>11027</v>
      </c>
      <c r="U198" s="4" t="str">
        <f t="shared" si="7"/>
        <v>兹</v>
      </c>
    </row>
    <row r="199" spans="1:22" ht="39">
      <c r="A199" s="3">
        <v>198</v>
      </c>
      <c r="B199" s="3" t="s">
        <v>6395</v>
      </c>
      <c r="C199" s="3" t="s">
        <v>6058</v>
      </c>
      <c r="D199" s="3" t="s">
        <v>6001</v>
      </c>
      <c r="E199" s="3" t="s">
        <v>5991</v>
      </c>
      <c r="F199" s="3" t="s">
        <v>6396</v>
      </c>
      <c r="G199" s="3" t="s">
        <v>5993</v>
      </c>
      <c r="H199" s="3" t="s">
        <v>6414</v>
      </c>
      <c r="I199" s="3" t="s">
        <v>6207</v>
      </c>
      <c r="J199" s="5" t="s">
        <v>7512</v>
      </c>
      <c r="L199" s="3" t="s">
        <v>6264</v>
      </c>
      <c r="M199" s="3">
        <v>20</v>
      </c>
      <c r="N199" s="4" t="s">
        <v>6396</v>
      </c>
      <c r="O199" s="4">
        <v>7</v>
      </c>
      <c r="P199" s="11" t="s">
        <v>9834</v>
      </c>
      <c r="Q199" s="11" t="s">
        <v>6396</v>
      </c>
      <c r="S199" s="4" t="b">
        <f>ISNUMBER(MATCH(Q199,T:T,0))</f>
        <v>1</v>
      </c>
      <c r="T199" s="4" t="s">
        <v>11028</v>
      </c>
      <c r="U199" s="4" t="str">
        <f t="shared" si="7"/>
        <v>之</v>
      </c>
    </row>
    <row r="200" spans="1:22" ht="39">
      <c r="A200" s="3">
        <v>199</v>
      </c>
      <c r="B200" s="3" t="s">
        <v>6395</v>
      </c>
      <c r="C200" s="3" t="s">
        <v>6318</v>
      </c>
      <c r="D200" s="3" t="s">
        <v>6001</v>
      </c>
      <c r="E200" s="3" t="s">
        <v>5991</v>
      </c>
      <c r="F200" s="3" t="s">
        <v>6396</v>
      </c>
      <c r="G200" s="3" t="s">
        <v>5993</v>
      </c>
      <c r="H200" s="3" t="s">
        <v>6415</v>
      </c>
      <c r="I200" s="3" t="s">
        <v>6207</v>
      </c>
      <c r="J200" s="8" t="s">
        <v>7513</v>
      </c>
      <c r="L200" s="3" t="s">
        <v>6208</v>
      </c>
      <c r="M200" s="3">
        <v>15</v>
      </c>
      <c r="N200" s="4" t="s">
        <v>6396</v>
      </c>
      <c r="O200" s="4">
        <v>7</v>
      </c>
      <c r="P200" s="11" t="s">
        <v>9804</v>
      </c>
      <c r="Q200" s="11" t="s">
        <v>9832</v>
      </c>
      <c r="R200" s="4" t="s">
        <v>13003</v>
      </c>
      <c r="S200" s="4" t="b">
        <f>ISNUMBER(MATCH(Q200,T:T,0))</f>
        <v>0</v>
      </c>
      <c r="T200" s="4" t="s">
        <v>11029</v>
      </c>
      <c r="U200" s="4" t="str">
        <f t="shared" si="7"/>
        <v>治</v>
      </c>
      <c r="V200" s="4" t="b">
        <f>ISNUMBER(MATCH(R200,T:T,0))</f>
        <v>1</v>
      </c>
    </row>
    <row r="201" spans="1:22">
      <c r="A201" s="3">
        <v>200</v>
      </c>
      <c r="B201" s="3" t="s">
        <v>6395</v>
      </c>
      <c r="C201" s="3" t="s">
        <v>6089</v>
      </c>
      <c r="D201" s="3" t="s">
        <v>6001</v>
      </c>
      <c r="E201" s="3" t="s">
        <v>5991</v>
      </c>
      <c r="F201" s="3" t="s">
        <v>6396</v>
      </c>
      <c r="G201" s="3" t="s">
        <v>5993</v>
      </c>
      <c r="H201" s="3" t="s">
        <v>6416</v>
      </c>
      <c r="I201" s="3" t="s">
        <v>6207</v>
      </c>
      <c r="J201" s="5" t="s">
        <v>7514</v>
      </c>
      <c r="L201" s="3" t="s">
        <v>6248</v>
      </c>
      <c r="M201" s="3">
        <v>15</v>
      </c>
      <c r="N201" s="4" t="s">
        <v>6396</v>
      </c>
      <c r="O201" s="4">
        <v>7</v>
      </c>
      <c r="P201" s="11" t="s">
        <v>9753</v>
      </c>
      <c r="Q201" s="11" t="s">
        <v>9830</v>
      </c>
      <c r="S201" s="4" t="b">
        <f>ISNUMBER(MATCH(Q201,T:T,0))</f>
        <v>1</v>
      </c>
      <c r="T201" s="4" t="s">
        <v>11030</v>
      </c>
      <c r="U201" s="4" t="str">
        <f t="shared" si="7"/>
        <v>其</v>
      </c>
    </row>
    <row r="202" spans="1:22">
      <c r="A202" s="3">
        <v>201</v>
      </c>
      <c r="B202" s="3" t="s">
        <v>6395</v>
      </c>
      <c r="C202" s="3" t="s">
        <v>6072</v>
      </c>
      <c r="D202" s="3" t="s">
        <v>6001</v>
      </c>
      <c r="E202" s="3" t="s">
        <v>5991</v>
      </c>
      <c r="F202" s="3" t="s">
        <v>6396</v>
      </c>
      <c r="G202" s="3" t="s">
        <v>5993</v>
      </c>
      <c r="H202" s="3" t="s">
        <v>6417</v>
      </c>
      <c r="I202" s="3" t="s">
        <v>6207</v>
      </c>
      <c r="J202" s="5" t="s">
        <v>7515</v>
      </c>
      <c r="L202" s="3" t="s">
        <v>6288</v>
      </c>
      <c r="M202" s="3">
        <v>5</v>
      </c>
      <c r="N202" s="4" t="s">
        <v>6396</v>
      </c>
      <c r="O202" s="4">
        <v>7</v>
      </c>
      <c r="P202" s="11" t="s">
        <v>9754</v>
      </c>
      <c r="Q202" s="11" t="s">
        <v>9830</v>
      </c>
      <c r="S202" s="4" t="b">
        <f>ISNUMBER(MATCH(Q202,T:T,0))</f>
        <v>1</v>
      </c>
      <c r="T202" s="4" t="s">
        <v>11031</v>
      </c>
      <c r="U202" s="4" t="str">
        <f t="shared" si="7"/>
        <v>其</v>
      </c>
    </row>
    <row r="203" spans="1:22">
      <c r="A203" s="3">
        <v>202</v>
      </c>
      <c r="B203" s="3" t="s">
        <v>6395</v>
      </c>
      <c r="C203" s="3" t="s">
        <v>6011</v>
      </c>
      <c r="D203" s="3" t="s">
        <v>6001</v>
      </c>
      <c r="E203" s="3" t="s">
        <v>5991</v>
      </c>
      <c r="F203" s="3" t="s">
        <v>6396</v>
      </c>
      <c r="G203" s="3" t="s">
        <v>5993</v>
      </c>
      <c r="H203" s="3" t="s">
        <v>6419</v>
      </c>
      <c r="I203" s="3" t="s">
        <v>6207</v>
      </c>
      <c r="J203" s="5" t="s">
        <v>6420</v>
      </c>
      <c r="L203" s="3" t="s">
        <v>6279</v>
      </c>
      <c r="M203" s="3">
        <v>4</v>
      </c>
      <c r="N203" s="4" t="s">
        <v>6396</v>
      </c>
      <c r="O203" s="4">
        <v>7</v>
      </c>
      <c r="P203" s="11" t="s">
        <v>9757</v>
      </c>
      <c r="Q203" s="11" t="s">
        <v>6396</v>
      </c>
      <c r="S203" s="4" t="b">
        <f>ISNUMBER(MATCH(Q203,T:T,0))</f>
        <v>1</v>
      </c>
      <c r="T203" s="4" t="s">
        <v>10281</v>
      </c>
      <c r="U203" s="4" t="str">
        <f t="shared" si="7"/>
        <v>之</v>
      </c>
    </row>
    <row r="204" spans="1:22">
      <c r="A204" s="3">
        <v>203</v>
      </c>
      <c r="B204" s="3" t="s">
        <v>6395</v>
      </c>
      <c r="C204" s="3" t="s">
        <v>6005</v>
      </c>
      <c r="D204" s="3" t="s">
        <v>6001</v>
      </c>
      <c r="E204" s="3" t="s">
        <v>5991</v>
      </c>
      <c r="F204" s="3" t="s">
        <v>6396</v>
      </c>
      <c r="G204" s="3" t="s">
        <v>5993</v>
      </c>
      <c r="H204" s="3" t="s">
        <v>6421</v>
      </c>
      <c r="I204" s="3" t="s">
        <v>6207</v>
      </c>
      <c r="J204" s="5" t="s">
        <v>6422</v>
      </c>
      <c r="L204" s="3" t="s">
        <v>6258</v>
      </c>
      <c r="M204" s="3">
        <v>3</v>
      </c>
      <c r="N204" s="4" t="s">
        <v>6396</v>
      </c>
      <c r="O204" s="4">
        <v>7</v>
      </c>
      <c r="P204" s="11" t="s">
        <v>9709</v>
      </c>
      <c r="Q204" s="11" t="s">
        <v>6396</v>
      </c>
      <c r="S204" s="4" t="b">
        <f>ISNUMBER(MATCH(Q204,T:T,0))</f>
        <v>1</v>
      </c>
      <c r="T204" s="4" t="s">
        <v>10340</v>
      </c>
      <c r="U204" s="4" t="str">
        <f t="shared" si="7"/>
        <v>之</v>
      </c>
    </row>
    <row r="205" spans="1:22">
      <c r="A205" s="3">
        <v>204</v>
      </c>
      <c r="B205" s="3" t="s">
        <v>6395</v>
      </c>
      <c r="C205" s="3" t="s">
        <v>6055</v>
      </c>
      <c r="D205" s="3" t="s">
        <v>6001</v>
      </c>
      <c r="E205" s="3" t="s">
        <v>5991</v>
      </c>
      <c r="F205" s="3" t="s">
        <v>6396</v>
      </c>
      <c r="G205" s="3" t="s">
        <v>5993</v>
      </c>
      <c r="H205" s="3" t="s">
        <v>6423</v>
      </c>
      <c r="I205" s="3" t="s">
        <v>6207</v>
      </c>
      <c r="J205" s="5" t="s">
        <v>7516</v>
      </c>
      <c r="L205" s="3" t="s">
        <v>6279</v>
      </c>
      <c r="M205" s="3">
        <v>7</v>
      </c>
      <c r="N205" s="4" t="s">
        <v>6396</v>
      </c>
      <c r="O205" s="4">
        <v>7</v>
      </c>
      <c r="P205" s="11" t="s">
        <v>9835</v>
      </c>
      <c r="Q205" s="11" t="s">
        <v>6396</v>
      </c>
      <c r="S205" s="4" t="b">
        <f>ISNUMBER(MATCH(Q205,T:T,0))</f>
        <v>1</v>
      </c>
      <c r="T205" s="4" t="s">
        <v>11032</v>
      </c>
      <c r="U205" s="4" t="str">
        <f t="shared" si="7"/>
        <v>之</v>
      </c>
    </row>
    <row r="206" spans="1:22">
      <c r="A206" s="3">
        <v>205</v>
      </c>
      <c r="B206" s="3" t="s">
        <v>6395</v>
      </c>
      <c r="C206" s="3" t="s">
        <v>6069</v>
      </c>
      <c r="D206" s="3" t="s">
        <v>6001</v>
      </c>
      <c r="E206" s="3" t="s">
        <v>5991</v>
      </c>
      <c r="F206" s="3" t="s">
        <v>6396</v>
      </c>
      <c r="G206" s="3" t="s">
        <v>5993</v>
      </c>
      <c r="H206" s="3" t="s">
        <v>6424</v>
      </c>
      <c r="I206" s="3" t="s">
        <v>6207</v>
      </c>
      <c r="J206" s="5" t="s">
        <v>7517</v>
      </c>
      <c r="L206" s="3" t="s">
        <v>6266</v>
      </c>
      <c r="M206" s="3">
        <v>5</v>
      </c>
      <c r="N206" s="4" t="s">
        <v>6396</v>
      </c>
      <c r="O206" s="4">
        <v>7</v>
      </c>
      <c r="P206" s="11" t="s">
        <v>9756</v>
      </c>
      <c r="Q206" s="11" t="s">
        <v>6396</v>
      </c>
      <c r="S206" s="4" t="b">
        <f>ISNUMBER(MATCH(Q206,T:T,0))</f>
        <v>1</v>
      </c>
      <c r="T206" s="4" t="s">
        <v>10244</v>
      </c>
      <c r="U206" s="4" t="str">
        <f t="shared" si="7"/>
        <v>之</v>
      </c>
    </row>
    <row r="207" spans="1:22">
      <c r="A207" s="3">
        <v>206</v>
      </c>
      <c r="B207" s="3" t="s">
        <v>6395</v>
      </c>
      <c r="C207" s="3" t="s">
        <v>6083</v>
      </c>
      <c r="D207" s="3" t="s">
        <v>6001</v>
      </c>
      <c r="E207" s="3" t="s">
        <v>5991</v>
      </c>
      <c r="F207" s="3" t="s">
        <v>6396</v>
      </c>
      <c r="G207" s="3" t="s">
        <v>5993</v>
      </c>
      <c r="H207" s="3" t="s">
        <v>6425</v>
      </c>
      <c r="I207" s="3" t="s">
        <v>6207</v>
      </c>
      <c r="J207" s="8" t="s">
        <v>7518</v>
      </c>
      <c r="L207" s="3" t="s">
        <v>6268</v>
      </c>
      <c r="M207" s="3">
        <v>14</v>
      </c>
      <c r="N207" s="4" t="s">
        <v>6396</v>
      </c>
      <c r="O207" s="4">
        <v>7</v>
      </c>
      <c r="P207" s="11" t="s">
        <v>9737</v>
      </c>
      <c r="Q207" s="11" t="s">
        <v>6396</v>
      </c>
      <c r="S207" s="4" t="b">
        <f>ISNUMBER(MATCH(Q207,T:T,0))</f>
        <v>1</v>
      </c>
      <c r="T207" s="4" t="s">
        <v>9831</v>
      </c>
      <c r="U207" s="4" t="str">
        <f t="shared" si="7"/>
        <v>之</v>
      </c>
    </row>
    <row r="208" spans="1:22">
      <c r="A208" s="3">
        <v>207</v>
      </c>
      <c r="B208" s="3" t="s">
        <v>6395</v>
      </c>
      <c r="C208" s="3" t="s">
        <v>6015</v>
      </c>
      <c r="D208" s="3" t="s">
        <v>6001</v>
      </c>
      <c r="E208" s="3" t="s">
        <v>5991</v>
      </c>
      <c r="F208" s="3" t="s">
        <v>6396</v>
      </c>
      <c r="G208" s="3" t="s">
        <v>5993</v>
      </c>
      <c r="H208" s="3" t="s">
        <v>6426</v>
      </c>
      <c r="I208" s="3" t="s">
        <v>6207</v>
      </c>
      <c r="J208" s="5" t="s">
        <v>6427</v>
      </c>
      <c r="L208" s="3" t="s">
        <v>6258</v>
      </c>
      <c r="M208" s="3">
        <v>1</v>
      </c>
      <c r="N208" s="4" t="s">
        <v>6396</v>
      </c>
      <c r="O208" s="4">
        <v>7</v>
      </c>
      <c r="P208" s="11" t="s">
        <v>9777</v>
      </c>
      <c r="Q208" s="11" t="s">
        <v>6396</v>
      </c>
      <c r="S208" s="4" t="b">
        <f>ISNUMBER(MATCH(Q208,T:T,0))</f>
        <v>1</v>
      </c>
      <c r="T208" s="4" t="s">
        <v>11033</v>
      </c>
      <c r="U208" s="4" t="str">
        <f t="shared" si="7"/>
        <v>之</v>
      </c>
    </row>
    <row r="209" spans="1:22">
      <c r="A209" s="3">
        <v>208</v>
      </c>
      <c r="B209" s="3" t="s">
        <v>6395</v>
      </c>
      <c r="C209" s="3" t="s">
        <v>6428</v>
      </c>
      <c r="D209" s="3" t="s">
        <v>6001</v>
      </c>
      <c r="E209" s="3" t="s">
        <v>5991</v>
      </c>
      <c r="F209" s="3" t="s">
        <v>6396</v>
      </c>
      <c r="G209" s="3" t="s">
        <v>5993</v>
      </c>
      <c r="H209" s="3" t="s">
        <v>6429</v>
      </c>
      <c r="I209" s="3" t="s">
        <v>6207</v>
      </c>
      <c r="J209" s="5" t="s">
        <v>6430</v>
      </c>
      <c r="L209" s="3" t="s">
        <v>6258</v>
      </c>
      <c r="M209" s="3">
        <v>1</v>
      </c>
      <c r="N209" s="4" t="s">
        <v>6396</v>
      </c>
      <c r="O209" s="4">
        <v>7</v>
      </c>
      <c r="P209" s="11" t="s">
        <v>6428</v>
      </c>
      <c r="Q209" s="11" t="s">
        <v>9836</v>
      </c>
      <c r="R209" s="4" t="s">
        <v>13004</v>
      </c>
      <c r="S209" s="4" t="b">
        <f>ISNUMBER(MATCH(Q209,T:T,0))</f>
        <v>0</v>
      </c>
      <c r="T209" s="4" t="s">
        <v>6430</v>
      </c>
      <c r="U209" s="4" t="str">
        <f t="shared" si="7"/>
        <v>葘</v>
      </c>
      <c r="V209" s="4" t="b">
        <f>ISNUMBER(MATCH(R209,T:T,0))</f>
        <v>1</v>
      </c>
    </row>
    <row r="210" spans="1:22">
      <c r="A210" s="3">
        <v>209</v>
      </c>
      <c r="B210" s="3" t="s">
        <v>6395</v>
      </c>
      <c r="C210" s="3" t="s">
        <v>6038</v>
      </c>
      <c r="D210" s="3" t="s">
        <v>6001</v>
      </c>
      <c r="E210" s="3" t="s">
        <v>5991</v>
      </c>
      <c r="F210" s="3" t="s">
        <v>6396</v>
      </c>
      <c r="G210" s="3" t="s">
        <v>5993</v>
      </c>
      <c r="H210" s="3" t="s">
        <v>6431</v>
      </c>
      <c r="I210" s="3" t="s">
        <v>6207</v>
      </c>
      <c r="J210" s="5" t="s">
        <v>6432</v>
      </c>
      <c r="L210" s="3" t="s">
        <v>6251</v>
      </c>
      <c r="M210" s="3">
        <v>1</v>
      </c>
      <c r="N210" s="4" t="s">
        <v>6396</v>
      </c>
      <c r="O210" s="4">
        <v>7</v>
      </c>
      <c r="P210" s="11" t="s">
        <v>9825</v>
      </c>
      <c r="Q210" s="11" t="s">
        <v>6396</v>
      </c>
      <c r="S210" s="4" t="b">
        <f>ISNUMBER(MATCH(Q210,T:T,0))</f>
        <v>1</v>
      </c>
      <c r="T210" s="4" t="s">
        <v>6432</v>
      </c>
      <c r="U210" s="4" t="str">
        <f t="shared" si="7"/>
        <v>之</v>
      </c>
    </row>
    <row r="211" spans="1:22">
      <c r="A211" s="3">
        <v>210</v>
      </c>
      <c r="B211" s="3" t="s">
        <v>6395</v>
      </c>
      <c r="C211" s="3" t="s">
        <v>6120</v>
      </c>
      <c r="D211" s="3" t="s">
        <v>6001</v>
      </c>
      <c r="E211" s="3" t="s">
        <v>5991</v>
      </c>
      <c r="F211" s="3" t="s">
        <v>6396</v>
      </c>
      <c r="G211" s="3" t="s">
        <v>5993</v>
      </c>
      <c r="H211" s="3" t="s">
        <v>6433</v>
      </c>
      <c r="I211" s="3" t="s">
        <v>6207</v>
      </c>
      <c r="J211" s="5" t="s">
        <v>6434</v>
      </c>
      <c r="L211" s="3" t="s">
        <v>6274</v>
      </c>
      <c r="M211" s="3">
        <v>1</v>
      </c>
      <c r="N211" s="4" t="s">
        <v>6396</v>
      </c>
      <c r="O211" s="4">
        <v>7</v>
      </c>
      <c r="P211" s="11" t="s">
        <v>9793</v>
      </c>
      <c r="Q211" s="11" t="s">
        <v>9830</v>
      </c>
      <c r="S211" s="4" t="b">
        <f>ISNUMBER(MATCH(Q211,T:T,0))</f>
        <v>1</v>
      </c>
      <c r="T211" s="4" t="s">
        <v>6434</v>
      </c>
      <c r="U211" s="4" t="str">
        <f t="shared" si="7"/>
        <v>其</v>
      </c>
    </row>
    <row r="212" spans="1:22">
      <c r="A212" s="3">
        <v>211</v>
      </c>
      <c r="B212" s="3" t="s">
        <v>6435</v>
      </c>
      <c r="C212" s="3" t="s">
        <v>6035</v>
      </c>
      <c r="D212" s="3" t="s">
        <v>6001</v>
      </c>
      <c r="E212" s="3" t="s">
        <v>6212</v>
      </c>
      <c r="F212" s="3" t="s">
        <v>6436</v>
      </c>
      <c r="G212" s="3" t="s">
        <v>5993</v>
      </c>
      <c r="H212" s="3" t="s">
        <v>6437</v>
      </c>
      <c r="I212" s="3" t="s">
        <v>6207</v>
      </c>
      <c r="J212" s="5" t="s">
        <v>7519</v>
      </c>
      <c r="L212" s="3" t="s">
        <v>6216</v>
      </c>
      <c r="M212" s="3">
        <v>8</v>
      </c>
      <c r="N212" s="4" t="s">
        <v>6436</v>
      </c>
      <c r="O212" s="4">
        <v>8</v>
      </c>
      <c r="P212" s="11" t="s">
        <v>9837</v>
      </c>
      <c r="Q212" s="11" t="s">
        <v>9838</v>
      </c>
      <c r="S212" s="4" t="b">
        <f>ISNUMBER(MATCH(Q212,T:T,0))</f>
        <v>1</v>
      </c>
      <c r="T212" s="4" t="s">
        <v>6436</v>
      </c>
      <c r="U212" s="4" t="str">
        <f t="shared" si="7"/>
        <v>非</v>
      </c>
    </row>
    <row r="213" spans="1:22">
      <c r="A213" s="3">
        <v>212</v>
      </c>
      <c r="B213" s="3" t="s">
        <v>6435</v>
      </c>
      <c r="C213" s="3" t="s">
        <v>6089</v>
      </c>
      <c r="D213" s="3" t="s">
        <v>6001</v>
      </c>
      <c r="E213" s="3" t="s">
        <v>6212</v>
      </c>
      <c r="F213" s="3" t="s">
        <v>6436</v>
      </c>
      <c r="G213" s="3" t="s">
        <v>5993</v>
      </c>
      <c r="H213" s="3" t="s">
        <v>6438</v>
      </c>
      <c r="I213" s="3" t="s">
        <v>6207</v>
      </c>
      <c r="J213" s="5" t="s">
        <v>7520</v>
      </c>
      <c r="L213" s="3" t="s">
        <v>6219</v>
      </c>
      <c r="M213" s="3">
        <v>13</v>
      </c>
      <c r="N213" s="4" t="s">
        <v>6436</v>
      </c>
      <c r="O213" s="4">
        <v>8</v>
      </c>
      <c r="P213" s="11" t="s">
        <v>9753</v>
      </c>
      <c r="Q213" s="11" t="s">
        <v>9839</v>
      </c>
      <c r="S213" s="4" t="b">
        <f>ISNUMBER(MATCH(Q213,T:T,0))</f>
        <v>1</v>
      </c>
      <c r="T213" s="4" t="s">
        <v>11034</v>
      </c>
      <c r="U213" s="4" t="str">
        <f t="shared" si="7"/>
        <v>歸</v>
      </c>
    </row>
    <row r="214" spans="1:22">
      <c r="A214" s="3">
        <v>213</v>
      </c>
      <c r="B214" s="3" t="s">
        <v>6435</v>
      </c>
      <c r="C214" s="3" t="s">
        <v>6032</v>
      </c>
      <c r="D214" s="3" t="s">
        <v>6001</v>
      </c>
      <c r="E214" s="3" t="s">
        <v>6212</v>
      </c>
      <c r="F214" s="3" t="s">
        <v>6436</v>
      </c>
      <c r="G214" s="3" t="s">
        <v>5993</v>
      </c>
      <c r="H214" s="3" t="s">
        <v>6439</v>
      </c>
      <c r="I214" s="3" t="s">
        <v>6207</v>
      </c>
      <c r="J214" s="5" t="s">
        <v>7521</v>
      </c>
      <c r="L214" s="3" t="s">
        <v>6216</v>
      </c>
      <c r="M214" s="3">
        <v>15</v>
      </c>
      <c r="N214" s="4" t="s">
        <v>6436</v>
      </c>
      <c r="O214" s="4">
        <v>8</v>
      </c>
      <c r="P214" s="11" t="s">
        <v>9840</v>
      </c>
      <c r="Q214" s="11" t="s">
        <v>9838</v>
      </c>
      <c r="S214" s="4" t="b">
        <f>ISNUMBER(MATCH(Q214,T:T,0))</f>
        <v>1</v>
      </c>
      <c r="T214" s="4" t="s">
        <v>11035</v>
      </c>
      <c r="U214" s="4" t="str">
        <f t="shared" si="7"/>
        <v>非</v>
      </c>
    </row>
    <row r="215" spans="1:22">
      <c r="A215" s="3">
        <v>214</v>
      </c>
      <c r="B215" s="3" t="s">
        <v>6435</v>
      </c>
      <c r="C215" s="3" t="s">
        <v>6053</v>
      </c>
      <c r="D215" s="3" t="s">
        <v>6001</v>
      </c>
      <c r="E215" s="3" t="s">
        <v>6212</v>
      </c>
      <c r="F215" s="3" t="s">
        <v>6436</v>
      </c>
      <c r="G215" s="3" t="s">
        <v>5993</v>
      </c>
      <c r="H215" s="3" t="s">
        <v>6440</v>
      </c>
      <c r="I215" s="3" t="s">
        <v>6207</v>
      </c>
      <c r="J215" s="5" t="s">
        <v>6441</v>
      </c>
      <c r="L215" s="3" t="s">
        <v>6442</v>
      </c>
      <c r="M215" s="3">
        <v>9</v>
      </c>
      <c r="N215" s="4" t="s">
        <v>6436</v>
      </c>
      <c r="O215" s="4">
        <v>8</v>
      </c>
      <c r="P215" s="11" t="s">
        <v>9841</v>
      </c>
      <c r="Q215" s="11" t="s">
        <v>9838</v>
      </c>
      <c r="S215" s="4" t="b">
        <f>ISNUMBER(MATCH(Q215,T:T,0))</f>
        <v>1</v>
      </c>
      <c r="T215" s="4" t="s">
        <v>11036</v>
      </c>
      <c r="U215" s="4" t="str">
        <f t="shared" si="7"/>
        <v>非</v>
      </c>
    </row>
    <row r="216" spans="1:22">
      <c r="A216" s="3">
        <v>215</v>
      </c>
      <c r="B216" s="3" t="s">
        <v>6435</v>
      </c>
      <c r="C216" s="3" t="s">
        <v>6049</v>
      </c>
      <c r="D216" s="3" t="s">
        <v>6001</v>
      </c>
      <c r="E216" s="3" t="s">
        <v>6212</v>
      </c>
      <c r="F216" s="3" t="s">
        <v>6436</v>
      </c>
      <c r="G216" s="3" t="s">
        <v>5993</v>
      </c>
      <c r="H216" s="3" t="s">
        <v>6443</v>
      </c>
      <c r="I216" s="3" t="s">
        <v>6207</v>
      </c>
      <c r="J216" s="5" t="s">
        <v>7522</v>
      </c>
      <c r="L216" s="3" t="s">
        <v>6442</v>
      </c>
      <c r="M216" s="3">
        <v>12</v>
      </c>
      <c r="N216" s="4" t="s">
        <v>6436</v>
      </c>
      <c r="O216" s="4">
        <v>8</v>
      </c>
      <c r="P216" s="11" t="s">
        <v>9842</v>
      </c>
      <c r="Q216" s="11" t="s">
        <v>6436</v>
      </c>
      <c r="S216" s="4" t="b">
        <f>ISNUMBER(MATCH(Q216,T:T,0))</f>
        <v>1</v>
      </c>
      <c r="T216" s="4" t="s">
        <v>9838</v>
      </c>
      <c r="U216" s="4" t="str">
        <f t="shared" si="7"/>
        <v>微</v>
      </c>
    </row>
    <row r="217" spans="1:22">
      <c r="A217" s="3">
        <v>216</v>
      </c>
      <c r="B217" s="3" t="s">
        <v>6435</v>
      </c>
      <c r="C217" s="3" t="s">
        <v>6045</v>
      </c>
      <c r="D217" s="3" t="s">
        <v>6001</v>
      </c>
      <c r="E217" s="3" t="s">
        <v>6212</v>
      </c>
      <c r="F217" s="3" t="s">
        <v>6436</v>
      </c>
      <c r="G217" s="3" t="s">
        <v>5993</v>
      </c>
      <c r="H217" s="3" t="s">
        <v>6444</v>
      </c>
      <c r="I217" s="3" t="s">
        <v>6207</v>
      </c>
      <c r="J217" s="5" t="s">
        <v>6445</v>
      </c>
      <c r="L217" s="3" t="s">
        <v>6446</v>
      </c>
      <c r="M217" s="3">
        <v>11</v>
      </c>
      <c r="N217" s="4" t="s">
        <v>6436</v>
      </c>
      <c r="O217" s="4">
        <v>8</v>
      </c>
      <c r="P217" s="11" t="s">
        <v>9759</v>
      </c>
      <c r="Q217" s="11" t="s">
        <v>9838</v>
      </c>
      <c r="S217" s="4" t="b">
        <f>ISNUMBER(MATCH(Q217,T:T,0))</f>
        <v>1</v>
      </c>
      <c r="T217" s="4" t="s">
        <v>11037</v>
      </c>
      <c r="U217" s="4" t="str">
        <f t="shared" si="7"/>
        <v>非</v>
      </c>
    </row>
    <row r="218" spans="1:22">
      <c r="A218" s="3">
        <v>217</v>
      </c>
      <c r="B218" s="3" t="s">
        <v>6435</v>
      </c>
      <c r="C218" s="3" t="s">
        <v>6072</v>
      </c>
      <c r="D218" s="3" t="s">
        <v>6001</v>
      </c>
      <c r="E218" s="3" t="s">
        <v>6212</v>
      </c>
      <c r="F218" s="3" t="s">
        <v>6436</v>
      </c>
      <c r="G218" s="3" t="s">
        <v>5993</v>
      </c>
      <c r="H218" s="3" t="s">
        <v>6447</v>
      </c>
      <c r="I218" s="3" t="s">
        <v>6207</v>
      </c>
      <c r="J218" s="5" t="s">
        <v>7523</v>
      </c>
      <c r="L218" s="3" t="s">
        <v>6221</v>
      </c>
      <c r="M218" s="3">
        <v>8</v>
      </c>
      <c r="N218" s="4" t="s">
        <v>6436</v>
      </c>
      <c r="O218" s="4">
        <v>8</v>
      </c>
      <c r="P218" s="11" t="s">
        <v>9754</v>
      </c>
      <c r="Q218" s="11" t="s">
        <v>9838</v>
      </c>
      <c r="S218" s="4" t="b">
        <f>ISNUMBER(MATCH(Q218,T:T,0))</f>
        <v>1</v>
      </c>
      <c r="T218" s="4" t="s">
        <v>11038</v>
      </c>
      <c r="U218" s="4" t="str">
        <f t="shared" si="7"/>
        <v>非</v>
      </c>
    </row>
    <row r="219" spans="1:22" ht="39">
      <c r="A219" s="3">
        <v>218</v>
      </c>
      <c r="B219" s="3" t="s">
        <v>6435</v>
      </c>
      <c r="C219" s="3" t="s">
        <v>6041</v>
      </c>
      <c r="D219" s="3" t="s">
        <v>6001</v>
      </c>
      <c r="E219" s="3" t="s">
        <v>5991</v>
      </c>
      <c r="F219" s="3" t="s">
        <v>6436</v>
      </c>
      <c r="G219" s="3" t="s">
        <v>5993</v>
      </c>
      <c r="H219" s="3" t="s">
        <v>6448</v>
      </c>
      <c r="I219" s="3" t="s">
        <v>6207</v>
      </c>
      <c r="J219" s="5" t="s">
        <v>7524</v>
      </c>
      <c r="L219" s="3" t="s">
        <v>6244</v>
      </c>
      <c r="M219" s="3">
        <v>19</v>
      </c>
      <c r="N219" s="4" t="s">
        <v>6436</v>
      </c>
      <c r="O219" s="4">
        <v>8</v>
      </c>
      <c r="P219" s="11" t="s">
        <v>9721</v>
      </c>
      <c r="Q219" s="11" t="s">
        <v>9843</v>
      </c>
      <c r="S219" s="4" t="b">
        <f>ISNUMBER(MATCH(Q219,T:T,0))</f>
        <v>1</v>
      </c>
      <c r="T219" s="4" t="s">
        <v>11039</v>
      </c>
      <c r="U219" s="4" t="str">
        <f t="shared" si="7"/>
        <v>希</v>
      </c>
    </row>
    <row r="220" spans="1:22">
      <c r="A220" s="3">
        <v>219</v>
      </c>
      <c r="B220" s="3" t="s">
        <v>6435</v>
      </c>
      <c r="C220" s="3" t="s">
        <v>6025</v>
      </c>
      <c r="D220" s="3" t="s">
        <v>6001</v>
      </c>
      <c r="E220" s="3" t="s">
        <v>5991</v>
      </c>
      <c r="F220" s="3" t="s">
        <v>6436</v>
      </c>
      <c r="G220" s="3" t="s">
        <v>5993</v>
      </c>
      <c r="H220" s="3" t="s">
        <v>6449</v>
      </c>
      <c r="I220" s="3" t="s">
        <v>6207</v>
      </c>
      <c r="J220" s="5" t="s">
        <v>7525</v>
      </c>
      <c r="L220" s="3" t="s">
        <v>6270</v>
      </c>
      <c r="M220" s="3">
        <v>16</v>
      </c>
      <c r="N220" s="4" t="s">
        <v>6436</v>
      </c>
      <c r="O220" s="4">
        <v>8</v>
      </c>
      <c r="P220" s="11" t="s">
        <v>9717</v>
      </c>
      <c r="Q220" s="11" t="s">
        <v>9844</v>
      </c>
      <c r="S220" s="4" t="b">
        <f>ISNUMBER(MATCH(Q220,T:T,0))</f>
        <v>1</v>
      </c>
      <c r="T220" s="4" t="s">
        <v>11040</v>
      </c>
      <c r="U220" s="4" t="str">
        <f t="shared" si="7"/>
        <v>依</v>
      </c>
    </row>
    <row r="221" spans="1:22">
      <c r="A221" s="3">
        <v>220</v>
      </c>
      <c r="B221" s="3" t="s">
        <v>6435</v>
      </c>
      <c r="C221" s="3" t="s">
        <v>6089</v>
      </c>
      <c r="D221" s="3" t="s">
        <v>6001</v>
      </c>
      <c r="E221" s="3" t="s">
        <v>5991</v>
      </c>
      <c r="F221" s="3" t="s">
        <v>6436</v>
      </c>
      <c r="G221" s="3" t="s">
        <v>5993</v>
      </c>
      <c r="H221" s="3" t="s">
        <v>6450</v>
      </c>
      <c r="I221" s="3" t="s">
        <v>6207</v>
      </c>
      <c r="J221" s="5" t="s">
        <v>6451</v>
      </c>
      <c r="L221" s="3" t="s">
        <v>6248</v>
      </c>
      <c r="M221" s="3">
        <v>12</v>
      </c>
      <c r="N221" s="4" t="s">
        <v>6436</v>
      </c>
      <c r="O221" s="4">
        <v>8</v>
      </c>
      <c r="P221" s="11" t="s">
        <v>9797</v>
      </c>
      <c r="Q221" s="11" t="s">
        <v>1378</v>
      </c>
      <c r="S221" s="4" t="b">
        <f>ISNUMBER(MATCH(Q221,T:T,0))</f>
        <v>1</v>
      </c>
      <c r="T221" s="4" t="s">
        <v>9843</v>
      </c>
      <c r="U221" s="4" t="str">
        <f t="shared" si="7"/>
        <v>衣</v>
      </c>
    </row>
    <row r="222" spans="1:22">
      <c r="A222" s="3">
        <v>221</v>
      </c>
      <c r="B222" s="3" t="s">
        <v>6435</v>
      </c>
      <c r="C222" s="3" t="s">
        <v>6072</v>
      </c>
      <c r="D222" s="3" t="s">
        <v>6001</v>
      </c>
      <c r="E222" s="3" t="s">
        <v>5991</v>
      </c>
      <c r="F222" s="3" t="s">
        <v>6436</v>
      </c>
      <c r="G222" s="3" t="s">
        <v>5993</v>
      </c>
      <c r="H222" s="3" t="s">
        <v>6452</v>
      </c>
      <c r="I222" s="3" t="s">
        <v>6207</v>
      </c>
      <c r="J222" s="5" t="s">
        <v>7526</v>
      </c>
      <c r="L222" s="3" t="s">
        <v>6288</v>
      </c>
      <c r="M222" s="3">
        <v>8</v>
      </c>
      <c r="N222" s="4" t="s">
        <v>6436</v>
      </c>
      <c r="O222" s="4">
        <v>8</v>
      </c>
      <c r="P222" s="11" t="s">
        <v>9754</v>
      </c>
      <c r="Q222" s="11" t="s">
        <v>9843</v>
      </c>
      <c r="S222" s="4" t="b">
        <f>ISNUMBER(MATCH(Q222,T:T,0))</f>
        <v>1</v>
      </c>
      <c r="T222" s="4" t="s">
        <v>9844</v>
      </c>
      <c r="U222" s="4" t="str">
        <f t="shared" si="7"/>
        <v>希</v>
      </c>
    </row>
    <row r="223" spans="1:22">
      <c r="A223" s="3">
        <v>222</v>
      </c>
      <c r="B223" s="3" t="s">
        <v>6435</v>
      </c>
      <c r="C223" s="3" t="s">
        <v>6092</v>
      </c>
      <c r="D223" s="3" t="s">
        <v>6001</v>
      </c>
      <c r="E223" s="3" t="s">
        <v>5991</v>
      </c>
      <c r="F223" s="3" t="s">
        <v>6436</v>
      </c>
      <c r="G223" s="3" t="s">
        <v>5993</v>
      </c>
      <c r="H223" s="3" t="s">
        <v>6453</v>
      </c>
      <c r="I223" s="3" t="s">
        <v>6207</v>
      </c>
      <c r="J223" s="5" t="s">
        <v>6454</v>
      </c>
      <c r="L223" s="3" t="s">
        <v>6211</v>
      </c>
      <c r="M223" s="3">
        <v>2</v>
      </c>
      <c r="N223" s="4" t="s">
        <v>6436</v>
      </c>
      <c r="O223" s="4">
        <v>8</v>
      </c>
      <c r="P223" s="11" t="s">
        <v>6462</v>
      </c>
      <c r="Q223" s="11" t="s">
        <v>1378</v>
      </c>
      <c r="S223" s="4" t="b">
        <f>ISNUMBER(MATCH(Q223,T:T,0))</f>
        <v>1</v>
      </c>
      <c r="T223" s="4" t="s">
        <v>11041</v>
      </c>
      <c r="U223" s="4" t="str">
        <f t="shared" si="7"/>
        <v>衣</v>
      </c>
    </row>
    <row r="224" spans="1:22">
      <c r="A224" s="3">
        <v>223</v>
      </c>
      <c r="B224" s="3" t="s">
        <v>6435</v>
      </c>
      <c r="C224" s="3" t="s">
        <v>6092</v>
      </c>
      <c r="D224" s="3" t="s">
        <v>6001</v>
      </c>
      <c r="E224" s="3" t="s">
        <v>6212</v>
      </c>
      <c r="F224" s="3" t="s">
        <v>6436</v>
      </c>
      <c r="G224" s="3" t="s">
        <v>5993</v>
      </c>
      <c r="H224" s="3" t="s">
        <v>6455</v>
      </c>
      <c r="I224" s="3" t="s">
        <v>6207</v>
      </c>
      <c r="J224" s="5" t="s">
        <v>6456</v>
      </c>
      <c r="L224" s="3" t="s">
        <v>6216</v>
      </c>
      <c r="M224" s="3">
        <v>2</v>
      </c>
      <c r="N224" s="4" t="s">
        <v>6436</v>
      </c>
      <c r="O224" s="4">
        <v>8</v>
      </c>
      <c r="P224" s="11" t="s">
        <v>9001</v>
      </c>
      <c r="Q224" s="11" t="s">
        <v>9845</v>
      </c>
      <c r="R224" s="4" t="s">
        <v>13005</v>
      </c>
      <c r="S224" s="4" t="b">
        <f>ISNUMBER(MATCH(Q224,T:T,0))</f>
        <v>0</v>
      </c>
      <c r="T224" s="4" t="s">
        <v>11042</v>
      </c>
      <c r="U224" s="4" t="str">
        <f t="shared" si="7"/>
        <v>圍</v>
      </c>
      <c r="V224" s="4" t="b">
        <f t="shared" ref="V224:V226" si="8">ISNUMBER(MATCH(R224,T:T,0))</f>
        <v>1</v>
      </c>
    </row>
    <row r="225" spans="1:22">
      <c r="A225" s="3">
        <v>224</v>
      </c>
      <c r="B225" s="3" t="s">
        <v>6435</v>
      </c>
      <c r="C225" s="3" t="s">
        <v>6025</v>
      </c>
      <c r="D225" s="3" t="s">
        <v>6001</v>
      </c>
      <c r="E225" s="3" t="s">
        <v>6212</v>
      </c>
      <c r="F225" s="3" t="s">
        <v>6436</v>
      </c>
      <c r="G225" s="3" t="s">
        <v>5993</v>
      </c>
      <c r="H225" s="3" t="s">
        <v>6457</v>
      </c>
      <c r="I225" s="3" t="s">
        <v>6207</v>
      </c>
      <c r="J225" s="5" t="s">
        <v>6458</v>
      </c>
      <c r="L225" s="3" t="s">
        <v>6217</v>
      </c>
      <c r="M225" s="3">
        <v>3</v>
      </c>
      <c r="N225" s="4" t="s">
        <v>6436</v>
      </c>
      <c r="O225" s="4">
        <v>8</v>
      </c>
      <c r="P225" s="11" t="s">
        <v>9846</v>
      </c>
      <c r="Q225" s="11" t="s">
        <v>9845</v>
      </c>
      <c r="R225" s="4" t="s">
        <v>13005</v>
      </c>
      <c r="S225" s="4" t="b">
        <f>ISNUMBER(MATCH(Q225,T:T,0))</f>
        <v>0</v>
      </c>
      <c r="T225" s="4" t="s">
        <v>9839</v>
      </c>
      <c r="U225" s="4" t="str">
        <f t="shared" si="7"/>
        <v>圍</v>
      </c>
      <c r="V225" s="4" t="b">
        <f t="shared" si="8"/>
        <v>1</v>
      </c>
    </row>
    <row r="226" spans="1:22">
      <c r="A226" s="3">
        <v>225</v>
      </c>
      <c r="B226" s="3" t="s">
        <v>6435</v>
      </c>
      <c r="C226" s="3" t="s">
        <v>6038</v>
      </c>
      <c r="D226" s="3" t="s">
        <v>6001</v>
      </c>
      <c r="E226" s="3" t="s">
        <v>6212</v>
      </c>
      <c r="F226" s="3" t="s">
        <v>6436</v>
      </c>
      <c r="G226" s="3" t="s">
        <v>5993</v>
      </c>
      <c r="H226" s="3" t="s">
        <v>6459</v>
      </c>
      <c r="I226" s="3" t="s">
        <v>6207</v>
      </c>
      <c r="J226" s="5" t="s">
        <v>6460</v>
      </c>
      <c r="L226" s="3" t="s">
        <v>6240</v>
      </c>
      <c r="M226" s="3">
        <v>2</v>
      </c>
      <c r="N226" s="4" t="s">
        <v>6436</v>
      </c>
      <c r="O226" s="4">
        <v>8</v>
      </c>
      <c r="P226" s="11" t="s">
        <v>9825</v>
      </c>
      <c r="Q226" s="11" t="s">
        <v>9845</v>
      </c>
      <c r="R226" s="4" t="s">
        <v>13005</v>
      </c>
      <c r="S226" s="4" t="b">
        <f>ISNUMBER(MATCH(Q226,T:T,0))</f>
        <v>0</v>
      </c>
      <c r="T226" s="4" t="s">
        <v>11043</v>
      </c>
      <c r="U226" s="4" t="str">
        <f t="shared" si="7"/>
        <v>圍</v>
      </c>
      <c r="V226" s="4" t="b">
        <f t="shared" si="8"/>
        <v>1</v>
      </c>
    </row>
    <row r="227" spans="1:22">
      <c r="A227" s="3">
        <v>226</v>
      </c>
      <c r="B227" s="3" t="s">
        <v>6461</v>
      </c>
      <c r="C227" s="3" t="s">
        <v>6092</v>
      </c>
      <c r="D227" s="3" t="s">
        <v>6001</v>
      </c>
      <c r="E227" s="3" t="s">
        <v>5991</v>
      </c>
      <c r="F227" s="3" t="s">
        <v>6462</v>
      </c>
      <c r="G227" s="3" t="s">
        <v>5993</v>
      </c>
      <c r="H227" s="3" t="s">
        <v>6463</v>
      </c>
      <c r="I227" s="3" t="s">
        <v>6464</v>
      </c>
      <c r="J227" s="5" t="s">
        <v>6465</v>
      </c>
      <c r="K227" s="3" t="s">
        <v>6466</v>
      </c>
      <c r="L227" s="3" t="s">
        <v>6467</v>
      </c>
      <c r="M227" s="3">
        <v>10</v>
      </c>
      <c r="N227" s="4" t="s">
        <v>6462</v>
      </c>
      <c r="O227" s="4">
        <v>9</v>
      </c>
      <c r="P227" s="11" t="s">
        <v>9001</v>
      </c>
      <c r="Q227" s="11" t="s">
        <v>9717</v>
      </c>
      <c r="S227" s="4" t="b">
        <f>ISNUMBER(MATCH(Q227,T:T,0))</f>
        <v>1</v>
      </c>
      <c r="T227" s="4" t="s">
        <v>6462</v>
      </c>
      <c r="U227" s="4" t="str">
        <f t="shared" si="7"/>
        <v>居</v>
      </c>
    </row>
    <row r="228" spans="1:22">
      <c r="A228" s="3">
        <v>227</v>
      </c>
      <c r="B228" s="3" t="s">
        <v>6461</v>
      </c>
      <c r="C228" s="3" t="s">
        <v>6167</v>
      </c>
      <c r="D228" s="3" t="s">
        <v>6001</v>
      </c>
      <c r="E228" s="3" t="s">
        <v>5991</v>
      </c>
      <c r="F228" s="3" t="s">
        <v>6462</v>
      </c>
      <c r="G228" s="3" t="s">
        <v>5993</v>
      </c>
      <c r="H228" s="3" t="s">
        <v>6468</v>
      </c>
      <c r="I228" s="3" t="s">
        <v>6464</v>
      </c>
      <c r="J228" s="5" t="s">
        <v>6469</v>
      </c>
      <c r="L228" s="3" t="s">
        <v>6470</v>
      </c>
      <c r="M228" s="3">
        <v>2</v>
      </c>
      <c r="N228" s="4" t="s">
        <v>6462</v>
      </c>
      <c r="O228" s="4">
        <v>9</v>
      </c>
      <c r="P228" s="11" t="s">
        <v>9769</v>
      </c>
      <c r="Q228" s="11" t="s">
        <v>9717</v>
      </c>
      <c r="S228" s="4" t="b">
        <f>ISNUMBER(MATCH(Q228,T:T,0))</f>
        <v>1</v>
      </c>
      <c r="T228" s="4" t="s">
        <v>6167</v>
      </c>
      <c r="U228" s="4" t="str">
        <f t="shared" si="7"/>
        <v>居</v>
      </c>
    </row>
    <row r="229" spans="1:22">
      <c r="A229" s="3">
        <v>228</v>
      </c>
      <c r="B229" s="3" t="s">
        <v>6461</v>
      </c>
      <c r="C229" s="3" t="s">
        <v>6120</v>
      </c>
      <c r="D229" s="3" t="s">
        <v>6001</v>
      </c>
      <c r="E229" s="3" t="s">
        <v>5991</v>
      </c>
      <c r="F229" s="3" t="s">
        <v>6462</v>
      </c>
      <c r="G229" s="3" t="s">
        <v>5993</v>
      </c>
      <c r="H229" s="3" t="s">
        <v>6471</v>
      </c>
      <c r="I229" s="3" t="s">
        <v>6464</v>
      </c>
      <c r="J229" s="5" t="s">
        <v>6472</v>
      </c>
      <c r="L229" s="3" t="s">
        <v>6473</v>
      </c>
      <c r="M229" s="3">
        <v>7</v>
      </c>
      <c r="N229" s="4" t="s">
        <v>6462</v>
      </c>
      <c r="O229" s="4">
        <v>9</v>
      </c>
      <c r="P229" s="11" t="s">
        <v>9847</v>
      </c>
      <c r="Q229" s="11" t="s">
        <v>6462</v>
      </c>
      <c r="S229" s="4" t="b">
        <f>ISNUMBER(MATCH(Q229,T:T,0))</f>
        <v>1</v>
      </c>
      <c r="T229" s="4" t="s">
        <v>6120</v>
      </c>
      <c r="U229" s="4" t="str">
        <f t="shared" si="7"/>
        <v>魚</v>
      </c>
    </row>
    <row r="230" spans="1:22">
      <c r="A230" s="3">
        <v>229</v>
      </c>
      <c r="B230" s="3" t="s">
        <v>6461</v>
      </c>
      <c r="C230" s="3" t="s">
        <v>6025</v>
      </c>
      <c r="D230" s="3" t="s">
        <v>6001</v>
      </c>
      <c r="E230" s="3" t="s">
        <v>5991</v>
      </c>
      <c r="F230" s="3" t="s">
        <v>6462</v>
      </c>
      <c r="G230" s="3" t="s">
        <v>5993</v>
      </c>
      <c r="H230" s="3" t="s">
        <v>6474</v>
      </c>
      <c r="I230" s="3" t="s">
        <v>6464</v>
      </c>
      <c r="J230" s="5" t="s">
        <v>6475</v>
      </c>
      <c r="L230" s="3" t="s">
        <v>6476</v>
      </c>
      <c r="M230" s="3">
        <v>14</v>
      </c>
      <c r="N230" s="4" t="s">
        <v>6462</v>
      </c>
      <c r="O230" s="4">
        <v>9</v>
      </c>
      <c r="P230" s="11" t="s">
        <v>9764</v>
      </c>
      <c r="Q230" s="11" t="s">
        <v>6462</v>
      </c>
      <c r="S230" s="4" t="b">
        <f>ISNUMBER(MATCH(Q230,T:T,0))</f>
        <v>1</v>
      </c>
      <c r="T230" s="4" t="s">
        <v>9717</v>
      </c>
      <c r="U230" s="4" t="str">
        <f t="shared" si="7"/>
        <v>魚</v>
      </c>
    </row>
    <row r="231" spans="1:22" ht="39">
      <c r="A231" s="3">
        <v>230</v>
      </c>
      <c r="B231" s="3" t="s">
        <v>6461</v>
      </c>
      <c r="C231" s="3" t="s">
        <v>6041</v>
      </c>
      <c r="D231" s="3" t="s">
        <v>6001</v>
      </c>
      <c r="E231" s="3" t="s">
        <v>5991</v>
      </c>
      <c r="F231" s="3" t="s">
        <v>6462</v>
      </c>
      <c r="G231" s="3" t="s">
        <v>5993</v>
      </c>
      <c r="H231" s="3" t="s">
        <v>6477</v>
      </c>
      <c r="I231" s="3" t="s">
        <v>6464</v>
      </c>
      <c r="J231" s="5" t="s">
        <v>7527</v>
      </c>
      <c r="L231" s="3" t="s">
        <v>6478</v>
      </c>
      <c r="M231" s="3">
        <v>26</v>
      </c>
      <c r="N231" s="4" t="s">
        <v>6462</v>
      </c>
      <c r="O231" s="4">
        <v>9</v>
      </c>
      <c r="P231" s="11" t="s">
        <v>9848</v>
      </c>
      <c r="Q231" s="11" t="s">
        <v>6462</v>
      </c>
      <c r="S231" s="4" t="b">
        <f>ISNUMBER(MATCH(Q231,T:T,0))</f>
        <v>1</v>
      </c>
      <c r="T231" s="4" t="s">
        <v>9721</v>
      </c>
      <c r="U231" s="4" t="str">
        <f t="shared" si="7"/>
        <v>魚</v>
      </c>
    </row>
    <row r="232" spans="1:22" ht="39">
      <c r="A232" s="3">
        <v>231</v>
      </c>
      <c r="B232" s="3" t="s">
        <v>6461</v>
      </c>
      <c r="C232" s="3" t="s">
        <v>6028</v>
      </c>
      <c r="D232" s="3" t="s">
        <v>6001</v>
      </c>
      <c r="E232" s="3" t="s">
        <v>5991</v>
      </c>
      <c r="F232" s="3" t="s">
        <v>6462</v>
      </c>
      <c r="G232" s="3" t="s">
        <v>5993</v>
      </c>
      <c r="H232" s="3" t="s">
        <v>6479</v>
      </c>
      <c r="I232" s="3" t="s">
        <v>6464</v>
      </c>
      <c r="J232" s="5" t="s">
        <v>7528</v>
      </c>
      <c r="L232" s="3" t="s">
        <v>6467</v>
      </c>
      <c r="M232" s="3">
        <v>30</v>
      </c>
      <c r="N232" s="4" t="s">
        <v>6462</v>
      </c>
      <c r="O232" s="4">
        <v>9</v>
      </c>
      <c r="P232" s="11" t="s">
        <v>6028</v>
      </c>
      <c r="Q232" s="11" t="s">
        <v>9849</v>
      </c>
      <c r="S232" s="4" t="b">
        <f>ISNUMBER(MATCH(Q232,T:T,0))</f>
        <v>1</v>
      </c>
      <c r="T232" s="4" t="s">
        <v>9850</v>
      </c>
      <c r="U232" s="4" t="str">
        <f t="shared" si="7"/>
        <v>諸</v>
      </c>
    </row>
    <row r="233" spans="1:22">
      <c r="A233" s="3">
        <v>232</v>
      </c>
      <c r="B233" s="3" t="s">
        <v>6461</v>
      </c>
      <c r="C233" s="3" t="s">
        <v>6017</v>
      </c>
      <c r="D233" s="3" t="s">
        <v>6001</v>
      </c>
      <c r="E233" s="3" t="s">
        <v>5991</v>
      </c>
      <c r="F233" s="3" t="s">
        <v>6462</v>
      </c>
      <c r="G233" s="3" t="s">
        <v>5993</v>
      </c>
      <c r="H233" s="3" t="s">
        <v>6480</v>
      </c>
      <c r="I233" s="3" t="s">
        <v>6464</v>
      </c>
      <c r="J233" s="5" t="s">
        <v>6481</v>
      </c>
      <c r="L233" s="3" t="s">
        <v>6482</v>
      </c>
      <c r="M233" s="3">
        <v>11</v>
      </c>
      <c r="N233" s="4" t="s">
        <v>6462</v>
      </c>
      <c r="O233" s="4">
        <v>9</v>
      </c>
      <c r="P233" s="11" t="s">
        <v>2555</v>
      </c>
      <c r="Q233" s="11" t="s">
        <v>9717</v>
      </c>
      <c r="S233" s="4" t="b">
        <f>ISNUMBER(MATCH(Q233,T:T,0))</f>
        <v>1</v>
      </c>
      <c r="T233" s="4" t="s">
        <v>10231</v>
      </c>
      <c r="U233" s="4" t="str">
        <f t="shared" si="7"/>
        <v>居</v>
      </c>
    </row>
    <row r="234" spans="1:22">
      <c r="A234" s="3">
        <v>233</v>
      </c>
      <c r="B234" s="3" t="s">
        <v>6461</v>
      </c>
      <c r="C234" s="3" t="s">
        <v>6076</v>
      </c>
      <c r="D234" s="3" t="s">
        <v>6001</v>
      </c>
      <c r="E234" s="3" t="s">
        <v>5991</v>
      </c>
      <c r="F234" s="3" t="s">
        <v>6462</v>
      </c>
      <c r="G234" s="3" t="s">
        <v>5993</v>
      </c>
      <c r="H234" s="3" t="s">
        <v>6483</v>
      </c>
      <c r="I234" s="3" t="s">
        <v>6464</v>
      </c>
      <c r="J234" s="5" t="s">
        <v>7529</v>
      </c>
      <c r="L234" s="3" t="s">
        <v>6484</v>
      </c>
      <c r="M234" s="3">
        <v>16</v>
      </c>
      <c r="N234" s="4" t="s">
        <v>6462</v>
      </c>
      <c r="O234" s="4">
        <v>9</v>
      </c>
      <c r="P234" s="11" t="s">
        <v>9766</v>
      </c>
      <c r="Q234" s="11" t="s">
        <v>9850</v>
      </c>
      <c r="S234" s="4" t="b">
        <f>ISNUMBER(MATCH(Q234,T:T,0))</f>
        <v>1</v>
      </c>
      <c r="T234" s="4" t="s">
        <v>11044</v>
      </c>
      <c r="U234" s="4" t="str">
        <f t="shared" si="7"/>
        <v>余</v>
      </c>
    </row>
    <row r="235" spans="1:22">
      <c r="A235" s="3">
        <v>234</v>
      </c>
      <c r="B235" s="3" t="s">
        <v>6461</v>
      </c>
      <c r="C235" s="3" t="s">
        <v>6015</v>
      </c>
      <c r="D235" s="3" t="s">
        <v>6001</v>
      </c>
      <c r="E235" s="3" t="s">
        <v>5991</v>
      </c>
      <c r="F235" s="3" t="s">
        <v>6462</v>
      </c>
      <c r="G235" s="3" t="s">
        <v>5993</v>
      </c>
      <c r="H235" s="3" t="s">
        <v>6485</v>
      </c>
      <c r="I235" s="3" t="s">
        <v>6464</v>
      </c>
      <c r="J235" s="5" t="s">
        <v>7530</v>
      </c>
      <c r="L235" s="3" t="s">
        <v>6486</v>
      </c>
      <c r="M235" s="3">
        <v>6</v>
      </c>
      <c r="N235" s="4" t="s">
        <v>6462</v>
      </c>
      <c r="O235" s="4">
        <v>9</v>
      </c>
      <c r="P235" s="11" t="s">
        <v>9777</v>
      </c>
      <c r="Q235" s="11" t="s">
        <v>6462</v>
      </c>
      <c r="S235" s="4" t="b">
        <f>ISNUMBER(MATCH(Q235,T:T,0))</f>
        <v>1</v>
      </c>
      <c r="T235" s="4" t="s">
        <v>10041</v>
      </c>
      <c r="U235" s="4" t="str">
        <f t="shared" si="7"/>
        <v>魚</v>
      </c>
    </row>
    <row r="236" spans="1:22">
      <c r="A236" s="3">
        <v>235</v>
      </c>
      <c r="B236" s="3" t="s">
        <v>6461</v>
      </c>
      <c r="C236" s="3" t="s">
        <v>6011</v>
      </c>
      <c r="D236" s="3" t="s">
        <v>6001</v>
      </c>
      <c r="E236" s="3" t="s">
        <v>5991</v>
      </c>
      <c r="F236" s="3" t="s">
        <v>6462</v>
      </c>
      <c r="G236" s="3" t="s">
        <v>5993</v>
      </c>
      <c r="H236" s="3" t="s">
        <v>6487</v>
      </c>
      <c r="I236" s="3" t="s">
        <v>6464</v>
      </c>
      <c r="J236" s="5" t="s">
        <v>6488</v>
      </c>
      <c r="L236" s="3" t="s">
        <v>6470</v>
      </c>
      <c r="M236" s="3">
        <v>4</v>
      </c>
      <c r="N236" s="4" t="s">
        <v>6462</v>
      </c>
      <c r="O236" s="4">
        <v>9</v>
      </c>
      <c r="P236" s="11" t="s">
        <v>9757</v>
      </c>
      <c r="Q236" s="11" t="s">
        <v>9717</v>
      </c>
      <c r="S236" s="4" t="b">
        <f>ISNUMBER(MATCH(Q236,T:T,0))</f>
        <v>1</v>
      </c>
      <c r="T236" s="4" t="s">
        <v>11045</v>
      </c>
      <c r="U236" s="4" t="str">
        <f t="shared" si="7"/>
        <v>居</v>
      </c>
    </row>
    <row r="237" spans="1:22">
      <c r="A237" s="3">
        <v>236</v>
      </c>
      <c r="B237" s="3" t="s">
        <v>6461</v>
      </c>
      <c r="C237" s="3" t="s">
        <v>6180</v>
      </c>
      <c r="D237" s="3" t="s">
        <v>6001</v>
      </c>
      <c r="E237" s="3" t="s">
        <v>5991</v>
      </c>
      <c r="F237" s="3" t="s">
        <v>6462</v>
      </c>
      <c r="G237" s="3" t="s">
        <v>5993</v>
      </c>
      <c r="H237" s="3" t="s">
        <v>6489</v>
      </c>
      <c r="I237" s="3" t="s">
        <v>6464</v>
      </c>
      <c r="J237" s="5" t="s">
        <v>7531</v>
      </c>
      <c r="L237" s="3" t="s">
        <v>6473</v>
      </c>
      <c r="M237" s="3">
        <v>11</v>
      </c>
      <c r="N237" s="4" t="s">
        <v>6462</v>
      </c>
      <c r="O237" s="4">
        <v>9</v>
      </c>
      <c r="P237" s="11" t="s">
        <v>9774</v>
      </c>
      <c r="Q237" s="11" t="s">
        <v>12993</v>
      </c>
      <c r="S237" s="4" t="b">
        <f>ISNUMBER(MATCH(Q237,T:T,0))</f>
        <v>0</v>
      </c>
      <c r="T237" s="4" t="s">
        <v>9808</v>
      </c>
      <c r="U237" s="4" t="str">
        <f t="shared" si="7"/>
        <v>葅</v>
      </c>
      <c r="V237" s="4" t="b">
        <f>ISNUMBER(MATCH(R237,T:T,0))</f>
        <v>0</v>
      </c>
    </row>
    <row r="238" spans="1:22">
      <c r="A238" s="3">
        <v>237</v>
      </c>
      <c r="B238" s="3" t="s">
        <v>6461</v>
      </c>
      <c r="C238" s="3" t="s">
        <v>6089</v>
      </c>
      <c r="D238" s="3" t="s">
        <v>6001</v>
      </c>
      <c r="E238" s="3" t="s">
        <v>5991</v>
      </c>
      <c r="F238" s="3" t="s">
        <v>6462</v>
      </c>
      <c r="G238" s="3" t="s">
        <v>5993</v>
      </c>
      <c r="H238" s="3" t="s">
        <v>6490</v>
      </c>
      <c r="I238" s="3" t="s">
        <v>6464</v>
      </c>
      <c r="J238" s="5" t="s">
        <v>7532</v>
      </c>
      <c r="L238" s="3" t="s">
        <v>6482</v>
      </c>
      <c r="M238" s="3">
        <v>6</v>
      </c>
      <c r="N238" s="4" t="s">
        <v>6462</v>
      </c>
      <c r="O238" s="4">
        <v>9</v>
      </c>
      <c r="P238" s="11" t="s">
        <v>9851</v>
      </c>
      <c r="Q238" s="11" t="s">
        <v>9717</v>
      </c>
      <c r="S238" s="4" t="b">
        <f>ISNUMBER(MATCH(Q238,T:T,0))</f>
        <v>1</v>
      </c>
      <c r="T238" s="4" t="s">
        <v>11046</v>
      </c>
      <c r="U238" s="4" t="str">
        <f t="shared" si="7"/>
        <v>居</v>
      </c>
    </row>
    <row r="239" spans="1:22">
      <c r="A239" s="3">
        <v>238</v>
      </c>
      <c r="B239" s="3" t="s">
        <v>6461</v>
      </c>
      <c r="C239" s="3" t="s">
        <v>6123</v>
      </c>
      <c r="D239" s="3" t="s">
        <v>6001</v>
      </c>
      <c r="E239" s="3" t="s">
        <v>5991</v>
      </c>
      <c r="F239" s="3" t="s">
        <v>6462</v>
      </c>
      <c r="G239" s="3" t="s">
        <v>5993</v>
      </c>
      <c r="H239" s="3" t="s">
        <v>6491</v>
      </c>
      <c r="I239" s="3" t="s">
        <v>6464</v>
      </c>
      <c r="J239" s="5" t="s">
        <v>7533</v>
      </c>
      <c r="L239" s="3" t="s">
        <v>6492</v>
      </c>
      <c r="M239" s="3">
        <v>4</v>
      </c>
      <c r="N239" s="4" t="s">
        <v>6462</v>
      </c>
      <c r="O239" s="4">
        <v>9</v>
      </c>
      <c r="P239" s="11" t="s">
        <v>9833</v>
      </c>
      <c r="Q239" s="11" t="s">
        <v>6462</v>
      </c>
      <c r="S239" s="4" t="b">
        <f>ISNUMBER(MATCH(Q239,T:T,0))</f>
        <v>1</v>
      </c>
      <c r="T239" s="4" t="s">
        <v>10110</v>
      </c>
      <c r="U239" s="4" t="str">
        <f t="shared" si="7"/>
        <v>魚</v>
      </c>
    </row>
    <row r="240" spans="1:22">
      <c r="A240" s="3">
        <v>239</v>
      </c>
      <c r="B240" s="3" t="s">
        <v>6461</v>
      </c>
      <c r="C240" s="3" t="s">
        <v>6072</v>
      </c>
      <c r="D240" s="3" t="s">
        <v>6001</v>
      </c>
      <c r="E240" s="3" t="s">
        <v>5991</v>
      </c>
      <c r="F240" s="3" t="s">
        <v>6462</v>
      </c>
      <c r="G240" s="3" t="s">
        <v>5993</v>
      </c>
      <c r="H240" s="3" t="s">
        <v>6493</v>
      </c>
      <c r="I240" s="3" t="s">
        <v>6464</v>
      </c>
      <c r="J240" s="5" t="s">
        <v>7534</v>
      </c>
      <c r="L240" s="3" t="s">
        <v>6494</v>
      </c>
      <c r="M240" s="3">
        <v>5</v>
      </c>
      <c r="N240" s="4" t="s">
        <v>6462</v>
      </c>
      <c r="O240" s="4">
        <v>9</v>
      </c>
      <c r="P240" s="11" t="s">
        <v>9852</v>
      </c>
      <c r="Q240" s="11" t="s">
        <v>9717</v>
      </c>
      <c r="S240" s="4" t="b">
        <f>ISNUMBER(MATCH(Q240,T:T,0))</f>
        <v>1</v>
      </c>
      <c r="T240" s="4" t="s">
        <v>9754</v>
      </c>
      <c r="U240" s="4" t="str">
        <f t="shared" si="7"/>
        <v>居</v>
      </c>
    </row>
    <row r="241" spans="1:22">
      <c r="A241" s="3">
        <v>240</v>
      </c>
      <c r="B241" s="3" t="s">
        <v>6461</v>
      </c>
      <c r="C241" s="3" t="s">
        <v>6000</v>
      </c>
      <c r="D241" s="3" t="s">
        <v>6001</v>
      </c>
      <c r="E241" s="3" t="s">
        <v>5991</v>
      </c>
      <c r="F241" s="3" t="s">
        <v>6462</v>
      </c>
      <c r="G241" s="3" t="s">
        <v>5993</v>
      </c>
      <c r="H241" s="3" t="s">
        <v>6495</v>
      </c>
      <c r="I241" s="3" t="s">
        <v>6464</v>
      </c>
      <c r="J241" s="5" t="s">
        <v>7535</v>
      </c>
      <c r="L241" s="3" t="s">
        <v>6496</v>
      </c>
      <c r="M241" s="3">
        <v>6</v>
      </c>
      <c r="N241" s="4" t="s">
        <v>6462</v>
      </c>
      <c r="O241" s="4">
        <v>9</v>
      </c>
      <c r="P241" s="11" t="s">
        <v>9707</v>
      </c>
      <c r="Q241" s="11" t="s">
        <v>6462</v>
      </c>
      <c r="S241" s="4" t="b">
        <f>ISNUMBER(MATCH(Q241,T:T,0))</f>
        <v>1</v>
      </c>
      <c r="T241" s="4" t="s">
        <v>10227</v>
      </c>
      <c r="U241" s="4" t="str">
        <f t="shared" si="7"/>
        <v>魚</v>
      </c>
    </row>
    <row r="242" spans="1:22">
      <c r="A242" s="3">
        <v>241</v>
      </c>
      <c r="B242" s="3" t="s">
        <v>6461</v>
      </c>
      <c r="C242" s="3" t="s">
        <v>6058</v>
      </c>
      <c r="D242" s="3" t="s">
        <v>6001</v>
      </c>
      <c r="E242" s="3" t="s">
        <v>5991</v>
      </c>
      <c r="F242" s="3" t="s">
        <v>6462</v>
      </c>
      <c r="G242" s="3" t="s">
        <v>5993</v>
      </c>
      <c r="H242" s="3" t="s">
        <v>6497</v>
      </c>
      <c r="I242" s="3" t="s">
        <v>6464</v>
      </c>
      <c r="J242" s="5" t="s">
        <v>7536</v>
      </c>
      <c r="L242" s="3" t="s">
        <v>6498</v>
      </c>
      <c r="M242" s="3">
        <v>17</v>
      </c>
      <c r="N242" s="4" t="s">
        <v>6462</v>
      </c>
      <c r="O242" s="4">
        <v>9</v>
      </c>
      <c r="P242" s="11" t="s">
        <v>9727</v>
      </c>
      <c r="Q242" s="11" t="s">
        <v>9717</v>
      </c>
      <c r="S242" s="4" t="b">
        <f>ISNUMBER(MATCH(Q242,T:T,0))</f>
        <v>1</v>
      </c>
      <c r="T242" s="4" t="s">
        <v>11047</v>
      </c>
      <c r="U242" s="4" t="str">
        <f t="shared" si="7"/>
        <v>居</v>
      </c>
    </row>
    <row r="243" spans="1:22">
      <c r="A243" s="3">
        <v>242</v>
      </c>
      <c r="B243" s="3" t="s">
        <v>6461</v>
      </c>
      <c r="C243" s="3" t="s">
        <v>6009</v>
      </c>
      <c r="D243" s="3" t="s">
        <v>6001</v>
      </c>
      <c r="E243" s="3" t="s">
        <v>5991</v>
      </c>
      <c r="F243" s="3" t="s">
        <v>6462</v>
      </c>
      <c r="G243" s="3" t="s">
        <v>5993</v>
      </c>
      <c r="H243" s="3" t="s">
        <v>6499</v>
      </c>
      <c r="I243" s="3" t="s">
        <v>6464</v>
      </c>
      <c r="J243" s="5" t="s">
        <v>6500</v>
      </c>
      <c r="L243" s="3" t="s">
        <v>6496</v>
      </c>
      <c r="M243" s="3">
        <v>7</v>
      </c>
      <c r="N243" s="4" t="s">
        <v>6462</v>
      </c>
      <c r="O243" s="4">
        <v>9</v>
      </c>
      <c r="P243" s="11" t="s">
        <v>6009</v>
      </c>
      <c r="Q243" s="11" t="s">
        <v>6462</v>
      </c>
      <c r="S243" s="4" t="b">
        <f>ISNUMBER(MATCH(Q243,T:T,0))</f>
        <v>1</v>
      </c>
      <c r="T243" s="4" t="s">
        <v>9849</v>
      </c>
      <c r="U243" s="4" t="str">
        <f t="shared" si="7"/>
        <v>魚</v>
      </c>
    </row>
    <row r="244" spans="1:22">
      <c r="A244" s="3">
        <v>243</v>
      </c>
      <c r="B244" s="3" t="s">
        <v>6461</v>
      </c>
      <c r="C244" s="3" t="s">
        <v>6005</v>
      </c>
      <c r="D244" s="3" t="s">
        <v>6001</v>
      </c>
      <c r="E244" s="3" t="s">
        <v>5991</v>
      </c>
      <c r="F244" s="3" t="s">
        <v>6462</v>
      </c>
      <c r="G244" s="3" t="s">
        <v>5993</v>
      </c>
      <c r="H244" s="3" t="s">
        <v>6501</v>
      </c>
      <c r="I244" s="3" t="s">
        <v>6464</v>
      </c>
      <c r="J244" s="5" t="s">
        <v>6502</v>
      </c>
      <c r="L244" s="3" t="s">
        <v>6486</v>
      </c>
      <c r="M244" s="3">
        <v>13</v>
      </c>
      <c r="N244" s="4" t="s">
        <v>6462</v>
      </c>
      <c r="O244" s="4">
        <v>9</v>
      </c>
      <c r="P244" s="11" t="s">
        <v>9709</v>
      </c>
      <c r="Q244" s="11" t="s">
        <v>6462</v>
      </c>
      <c r="S244" s="4" t="b">
        <f>ISNUMBER(MATCH(Q244,T:T,0))</f>
        <v>1</v>
      </c>
      <c r="T244" s="4" t="s">
        <v>10333</v>
      </c>
      <c r="U244" s="4" t="str">
        <f t="shared" si="7"/>
        <v>魚</v>
      </c>
    </row>
    <row r="245" spans="1:22">
      <c r="A245" s="3">
        <v>244</v>
      </c>
      <c r="B245" s="3" t="s">
        <v>6461</v>
      </c>
      <c r="C245" s="3" t="s">
        <v>6021</v>
      </c>
      <c r="D245" s="3" t="s">
        <v>6001</v>
      </c>
      <c r="E245" s="3" t="s">
        <v>5991</v>
      </c>
      <c r="F245" s="3" t="s">
        <v>6462</v>
      </c>
      <c r="G245" s="3" t="s">
        <v>5993</v>
      </c>
      <c r="H245" s="3" t="s">
        <v>6503</v>
      </c>
      <c r="I245" s="3" t="s">
        <v>6464</v>
      </c>
      <c r="J245" s="5" t="s">
        <v>6504</v>
      </c>
      <c r="L245" s="3" t="s">
        <v>6505</v>
      </c>
      <c r="M245" s="3">
        <v>8</v>
      </c>
      <c r="N245" s="4" t="s">
        <v>6462</v>
      </c>
      <c r="O245" s="4">
        <v>9</v>
      </c>
      <c r="P245" s="11" t="s">
        <v>9798</v>
      </c>
      <c r="Q245" s="11" t="s">
        <v>9849</v>
      </c>
      <c r="S245" s="4" t="b">
        <f>ISNUMBER(MATCH(Q245,T:T,0))</f>
        <v>1</v>
      </c>
      <c r="T245" s="4" t="s">
        <v>9715</v>
      </c>
      <c r="U245" s="4" t="str">
        <f t="shared" si="7"/>
        <v>諸</v>
      </c>
    </row>
    <row r="246" spans="1:22">
      <c r="A246" s="3">
        <v>245</v>
      </c>
      <c r="B246" s="3" t="s">
        <v>6461</v>
      </c>
      <c r="C246" s="3" t="s">
        <v>6083</v>
      </c>
      <c r="D246" s="3" t="s">
        <v>6001</v>
      </c>
      <c r="E246" s="3" t="s">
        <v>5991</v>
      </c>
      <c r="F246" s="3" t="s">
        <v>6462</v>
      </c>
      <c r="G246" s="3" t="s">
        <v>5993</v>
      </c>
      <c r="H246" s="3" t="s">
        <v>6506</v>
      </c>
      <c r="I246" s="3" t="s">
        <v>6464</v>
      </c>
      <c r="J246" s="5" t="s">
        <v>6507</v>
      </c>
      <c r="L246" s="3" t="s">
        <v>6476</v>
      </c>
      <c r="M246" s="3">
        <v>4</v>
      </c>
      <c r="N246" s="4" t="s">
        <v>6462</v>
      </c>
      <c r="O246" s="4">
        <v>9</v>
      </c>
      <c r="P246" s="11" t="s">
        <v>9737</v>
      </c>
      <c r="Q246" s="11" t="s">
        <v>6462</v>
      </c>
      <c r="S246" s="4" t="b">
        <f>ISNUMBER(MATCH(Q246,T:T,0))</f>
        <v>1</v>
      </c>
      <c r="T246" s="4" t="s">
        <v>7213</v>
      </c>
      <c r="U246" s="4" t="str">
        <f t="shared" si="7"/>
        <v>魚</v>
      </c>
    </row>
    <row r="247" spans="1:22">
      <c r="A247" s="3">
        <v>246</v>
      </c>
      <c r="B247" s="3" t="s">
        <v>6461</v>
      </c>
      <c r="C247" s="3" t="s">
        <v>6038</v>
      </c>
      <c r="D247" s="3" t="s">
        <v>6001</v>
      </c>
      <c r="E247" s="3" t="s">
        <v>5991</v>
      </c>
      <c r="F247" s="3" t="s">
        <v>6462</v>
      </c>
      <c r="G247" s="3" t="s">
        <v>5993</v>
      </c>
      <c r="H247" s="3" t="s">
        <v>6508</v>
      </c>
      <c r="I247" s="3" t="s">
        <v>6464</v>
      </c>
      <c r="J247" s="5" t="s">
        <v>7537</v>
      </c>
      <c r="L247" s="3" t="s">
        <v>6484</v>
      </c>
      <c r="M247" s="3">
        <v>12</v>
      </c>
      <c r="N247" s="4" t="s">
        <v>6462</v>
      </c>
      <c r="O247" s="4">
        <v>9</v>
      </c>
      <c r="P247" s="11" t="s">
        <v>4210</v>
      </c>
      <c r="Q247" s="11" t="s">
        <v>6462</v>
      </c>
      <c r="S247" s="4" t="b">
        <f>ISNUMBER(MATCH(Q247,T:T,0))</f>
        <v>1</v>
      </c>
      <c r="T247" s="4" t="s">
        <v>10200</v>
      </c>
      <c r="U247" s="4" t="str">
        <f t="shared" si="7"/>
        <v>魚</v>
      </c>
    </row>
    <row r="248" spans="1:22">
      <c r="A248" s="3">
        <v>247</v>
      </c>
      <c r="B248" s="3" t="s">
        <v>6461</v>
      </c>
      <c r="C248" s="3" t="s">
        <v>6318</v>
      </c>
      <c r="D248" s="3" t="s">
        <v>6001</v>
      </c>
      <c r="E248" s="3" t="s">
        <v>5991</v>
      </c>
      <c r="F248" s="3" t="s">
        <v>6462</v>
      </c>
      <c r="G248" s="3" t="s">
        <v>5993</v>
      </c>
      <c r="H248" s="3" t="s">
        <v>6509</v>
      </c>
      <c r="I248" s="3" t="s">
        <v>6464</v>
      </c>
      <c r="J248" s="5" t="s">
        <v>6510</v>
      </c>
      <c r="L248" s="3" t="s">
        <v>6496</v>
      </c>
      <c r="M248" s="3">
        <v>4</v>
      </c>
      <c r="N248" s="4" t="s">
        <v>6462</v>
      </c>
      <c r="O248" s="4">
        <v>9</v>
      </c>
      <c r="P248" s="11" t="s">
        <v>9804</v>
      </c>
      <c r="Q248" s="11" t="s">
        <v>6462</v>
      </c>
      <c r="S248" s="4" t="b">
        <f>ISNUMBER(MATCH(Q248,T:T,0))</f>
        <v>1</v>
      </c>
      <c r="T248" s="4" t="s">
        <v>11048</v>
      </c>
      <c r="U248" s="4" t="str">
        <f t="shared" si="7"/>
        <v>魚</v>
      </c>
    </row>
    <row r="249" spans="1:22">
      <c r="A249" s="3">
        <v>248</v>
      </c>
      <c r="B249" s="3" t="s">
        <v>6461</v>
      </c>
      <c r="C249" s="3" t="s">
        <v>6148</v>
      </c>
      <c r="D249" s="3" t="s">
        <v>6001</v>
      </c>
      <c r="E249" s="3" t="s">
        <v>5991</v>
      </c>
      <c r="F249" s="3" t="s">
        <v>6462</v>
      </c>
      <c r="G249" s="3" t="s">
        <v>5993</v>
      </c>
      <c r="H249" s="3" t="s">
        <v>6511</v>
      </c>
      <c r="I249" s="3" t="s">
        <v>6464</v>
      </c>
      <c r="J249" s="5" t="s">
        <v>6512</v>
      </c>
      <c r="L249" s="3" t="s">
        <v>6486</v>
      </c>
      <c r="M249" s="3">
        <v>2</v>
      </c>
      <c r="N249" s="4" t="s">
        <v>6462</v>
      </c>
      <c r="O249" s="4">
        <v>9</v>
      </c>
      <c r="P249" s="11" t="s">
        <v>9853</v>
      </c>
      <c r="Q249" s="11" t="s">
        <v>6462</v>
      </c>
      <c r="S249" s="4" t="b">
        <f>ISNUMBER(MATCH(Q249,T:T,0))</f>
        <v>1</v>
      </c>
      <c r="T249" s="4" t="s">
        <v>11049</v>
      </c>
      <c r="U249" s="4" t="str">
        <f t="shared" si="7"/>
        <v>魚</v>
      </c>
    </row>
    <row r="250" spans="1:22">
      <c r="A250" s="3">
        <v>249</v>
      </c>
      <c r="B250" s="3" t="s">
        <v>6461</v>
      </c>
      <c r="C250" s="3" t="s">
        <v>6137</v>
      </c>
      <c r="D250" s="3" t="s">
        <v>6001</v>
      </c>
      <c r="E250" s="3" t="s">
        <v>5991</v>
      </c>
      <c r="F250" s="3" t="s">
        <v>6462</v>
      </c>
      <c r="G250" s="3" t="s">
        <v>5993</v>
      </c>
      <c r="H250" s="3" t="s">
        <v>2737</v>
      </c>
      <c r="I250" s="3" t="s">
        <v>6464</v>
      </c>
      <c r="J250" s="5" t="s">
        <v>2738</v>
      </c>
      <c r="L250" s="3" t="s">
        <v>2739</v>
      </c>
      <c r="M250" s="3">
        <v>6</v>
      </c>
      <c r="N250" s="4" t="s">
        <v>6462</v>
      </c>
      <c r="O250" s="4">
        <v>9</v>
      </c>
      <c r="P250" s="11" t="s">
        <v>9755</v>
      </c>
      <c r="Q250" s="11" t="s">
        <v>9850</v>
      </c>
      <c r="S250" s="4" t="b">
        <f>ISNUMBER(MATCH(Q250,T:T,0))</f>
        <v>1</v>
      </c>
      <c r="T250" s="4" t="s">
        <v>11050</v>
      </c>
      <c r="U250" s="4" t="str">
        <f t="shared" si="7"/>
        <v>余</v>
      </c>
    </row>
    <row r="251" spans="1:22" ht="39">
      <c r="A251" s="3">
        <v>250</v>
      </c>
      <c r="B251" s="3" t="s">
        <v>2740</v>
      </c>
      <c r="C251" s="3" t="s">
        <v>6092</v>
      </c>
      <c r="D251" s="3" t="s">
        <v>6001</v>
      </c>
      <c r="E251" s="3" t="s">
        <v>6212</v>
      </c>
      <c r="F251" s="3" t="s">
        <v>2741</v>
      </c>
      <c r="G251" s="3" t="s">
        <v>5993</v>
      </c>
      <c r="H251" s="3" t="s">
        <v>2742</v>
      </c>
      <c r="I251" s="3" t="s">
        <v>6464</v>
      </c>
      <c r="J251" s="5" t="s">
        <v>7538</v>
      </c>
      <c r="L251" s="3" t="s">
        <v>6467</v>
      </c>
      <c r="M251" s="3">
        <v>20</v>
      </c>
      <c r="N251" s="4" t="s">
        <v>2741</v>
      </c>
      <c r="O251" s="4">
        <v>10</v>
      </c>
      <c r="P251" s="11" t="s">
        <v>2741</v>
      </c>
      <c r="Q251" s="11" t="s">
        <v>9854</v>
      </c>
      <c r="R251" s="4" t="s">
        <v>13006</v>
      </c>
      <c r="S251" s="4" t="b">
        <f>ISNUMBER(MATCH(Q251,T:T,0))</f>
        <v>0</v>
      </c>
      <c r="T251" s="4" t="s">
        <v>9952</v>
      </c>
      <c r="U251" s="4" t="str">
        <f t="shared" si="7"/>
        <v>拘</v>
      </c>
      <c r="V251" s="4" t="b">
        <f t="shared" ref="V251:V252" si="9">ISNUMBER(MATCH(R251,T:T,0))</f>
        <v>1</v>
      </c>
    </row>
    <row r="252" spans="1:22">
      <c r="A252" s="3">
        <v>251</v>
      </c>
      <c r="B252" s="3" t="s">
        <v>2740</v>
      </c>
      <c r="C252" s="3" t="s">
        <v>6167</v>
      </c>
      <c r="D252" s="3" t="s">
        <v>6001</v>
      </c>
      <c r="E252" s="3" t="s">
        <v>6212</v>
      </c>
      <c r="F252" s="3" t="s">
        <v>2741</v>
      </c>
      <c r="G252" s="3" t="s">
        <v>5993</v>
      </c>
      <c r="H252" s="3" t="s">
        <v>2743</v>
      </c>
      <c r="I252" s="3" t="s">
        <v>6464</v>
      </c>
      <c r="J252" s="5" t="s">
        <v>2744</v>
      </c>
      <c r="L252" s="3" t="s">
        <v>6470</v>
      </c>
      <c r="M252" s="3">
        <v>2</v>
      </c>
      <c r="N252" s="4" t="s">
        <v>2741</v>
      </c>
      <c r="O252" s="4">
        <v>10</v>
      </c>
      <c r="P252" s="11" t="s">
        <v>9855</v>
      </c>
      <c r="Q252" s="11" t="s">
        <v>9856</v>
      </c>
      <c r="R252" s="4" t="s">
        <v>13007</v>
      </c>
      <c r="S252" s="4" t="b">
        <f>ISNUMBER(MATCH(Q252,T:T,0))</f>
        <v>0</v>
      </c>
      <c r="T252" s="4" t="s">
        <v>9869</v>
      </c>
      <c r="U252" s="4" t="str">
        <f t="shared" si="7"/>
        <v>愚</v>
      </c>
      <c r="V252" s="4" t="b">
        <f t="shared" si="9"/>
        <v>1</v>
      </c>
    </row>
    <row r="253" spans="1:22" ht="39">
      <c r="A253" s="3">
        <v>252</v>
      </c>
      <c r="B253" s="3" t="s">
        <v>2740</v>
      </c>
      <c r="C253" s="3" t="s">
        <v>6035</v>
      </c>
      <c r="D253" s="3" t="s">
        <v>6001</v>
      </c>
      <c r="E253" s="3" t="s">
        <v>6212</v>
      </c>
      <c r="F253" s="3" t="s">
        <v>2741</v>
      </c>
      <c r="G253" s="3" t="s">
        <v>5993</v>
      </c>
      <c r="H253" s="3" t="s">
        <v>2746</v>
      </c>
      <c r="I253" s="3" t="s">
        <v>6464</v>
      </c>
      <c r="J253" s="5" t="s">
        <v>7539</v>
      </c>
      <c r="L253" s="3" t="s">
        <v>2747</v>
      </c>
      <c r="M253" s="3">
        <v>22</v>
      </c>
      <c r="N253" s="4" t="s">
        <v>2741</v>
      </c>
      <c r="O253" s="4">
        <v>10</v>
      </c>
      <c r="P253" s="11" t="s">
        <v>9794</v>
      </c>
      <c r="Q253" s="11" t="s">
        <v>9857</v>
      </c>
      <c r="S253" s="4" t="b">
        <f>ISNUMBER(MATCH(Q253,T:T,0))</f>
        <v>1</v>
      </c>
      <c r="T253" s="4" t="s">
        <v>9837</v>
      </c>
      <c r="U253" s="4" t="str">
        <f t="shared" si="7"/>
        <v>夫</v>
      </c>
    </row>
    <row r="254" spans="1:22" ht="39">
      <c r="A254" s="3">
        <v>253</v>
      </c>
      <c r="B254" s="3" t="s">
        <v>2740</v>
      </c>
      <c r="C254" s="3" t="s">
        <v>6032</v>
      </c>
      <c r="D254" s="3" t="s">
        <v>6001</v>
      </c>
      <c r="E254" s="3" t="s">
        <v>6212</v>
      </c>
      <c r="F254" s="3" t="s">
        <v>2741</v>
      </c>
      <c r="G254" s="3" t="s">
        <v>5993</v>
      </c>
      <c r="H254" s="3" t="s">
        <v>2748</v>
      </c>
      <c r="I254" s="3" t="s">
        <v>6464</v>
      </c>
      <c r="J254" s="5" t="s">
        <v>7540</v>
      </c>
      <c r="L254" s="3" t="s">
        <v>6467</v>
      </c>
      <c r="M254" s="3">
        <v>20</v>
      </c>
      <c r="N254" s="4" t="s">
        <v>2741</v>
      </c>
      <c r="O254" s="4">
        <v>10</v>
      </c>
      <c r="P254" s="11" t="s">
        <v>9718</v>
      </c>
      <c r="Q254" s="11" t="s">
        <v>9854</v>
      </c>
      <c r="R254" s="4" t="s">
        <v>13006</v>
      </c>
      <c r="S254" s="4" t="b">
        <f>ISNUMBER(MATCH(Q254,T:T,0))</f>
        <v>0</v>
      </c>
      <c r="T254" s="4" t="s">
        <v>9859</v>
      </c>
      <c r="U254" s="4" t="str">
        <f t="shared" si="7"/>
        <v>拘</v>
      </c>
      <c r="V254" s="4" t="b">
        <f>ISNUMBER(MATCH(R254,T:T,0))</f>
        <v>1</v>
      </c>
    </row>
    <row r="255" spans="1:22" ht="39">
      <c r="A255" s="3">
        <v>254</v>
      </c>
      <c r="B255" s="3" t="s">
        <v>2740</v>
      </c>
      <c r="C255" s="3" t="s">
        <v>6089</v>
      </c>
      <c r="D255" s="3" t="s">
        <v>6001</v>
      </c>
      <c r="E255" s="3" t="s">
        <v>6212</v>
      </c>
      <c r="F255" s="3" t="s">
        <v>2741</v>
      </c>
      <c r="G255" s="3" t="s">
        <v>5993</v>
      </c>
      <c r="H255" s="3" t="s">
        <v>2749</v>
      </c>
      <c r="I255" s="3" t="s">
        <v>6464</v>
      </c>
      <c r="J255" s="5" t="s">
        <v>2750</v>
      </c>
      <c r="L255" s="3" t="s">
        <v>6482</v>
      </c>
      <c r="M255" s="3">
        <v>20</v>
      </c>
      <c r="N255" s="4" t="s">
        <v>2741</v>
      </c>
      <c r="O255" s="4">
        <v>10</v>
      </c>
      <c r="P255" s="11" t="s">
        <v>9858</v>
      </c>
      <c r="Q255" s="11" t="s">
        <v>9859</v>
      </c>
      <c r="S255" s="4" t="b">
        <f>ISNUMBER(MATCH(Q255,T:T,0))</f>
        <v>1</v>
      </c>
      <c r="T255" s="4" t="s">
        <v>11051</v>
      </c>
      <c r="U255" s="4" t="str">
        <f t="shared" si="7"/>
        <v>于</v>
      </c>
    </row>
    <row r="256" spans="1:22" ht="58.5">
      <c r="A256" s="3">
        <v>255</v>
      </c>
      <c r="B256" s="3" t="s">
        <v>2740</v>
      </c>
      <c r="C256" s="3" t="s">
        <v>6041</v>
      </c>
      <c r="D256" s="3" t="s">
        <v>6001</v>
      </c>
      <c r="E256" s="3" t="s">
        <v>6212</v>
      </c>
      <c r="F256" s="3" t="s">
        <v>2741</v>
      </c>
      <c r="G256" s="3" t="s">
        <v>5993</v>
      </c>
      <c r="H256" s="3" t="s">
        <v>2751</v>
      </c>
      <c r="I256" s="3" t="s">
        <v>6464</v>
      </c>
      <c r="J256" s="5" t="s">
        <v>7541</v>
      </c>
      <c r="L256" s="3" t="s">
        <v>6478</v>
      </c>
      <c r="M256" s="3">
        <v>36</v>
      </c>
      <c r="N256" s="4" t="s">
        <v>2741</v>
      </c>
      <c r="O256" s="4">
        <v>10</v>
      </c>
      <c r="P256" s="11" t="s">
        <v>9830</v>
      </c>
      <c r="Q256" s="11" t="s">
        <v>9854</v>
      </c>
      <c r="R256" s="4" t="s">
        <v>13006</v>
      </c>
      <c r="S256" s="4" t="b">
        <f>ISNUMBER(MATCH(Q256,T:T,0))</f>
        <v>0</v>
      </c>
      <c r="T256" s="4" t="s">
        <v>10777</v>
      </c>
      <c r="U256" s="4" t="str">
        <f t="shared" si="7"/>
        <v>拘</v>
      </c>
      <c r="V256" s="4" t="b">
        <f>ISNUMBER(MATCH(R256,T:T,0))</f>
        <v>1</v>
      </c>
    </row>
    <row r="257" spans="1:22" ht="39">
      <c r="A257" s="3">
        <v>256</v>
      </c>
      <c r="B257" s="3" t="s">
        <v>2740</v>
      </c>
      <c r="C257" s="3" t="s">
        <v>6021</v>
      </c>
      <c r="D257" s="3" t="s">
        <v>6001</v>
      </c>
      <c r="E257" s="3" t="s">
        <v>6212</v>
      </c>
      <c r="F257" s="3" t="s">
        <v>2741</v>
      </c>
      <c r="G257" s="3" t="s">
        <v>5993</v>
      </c>
      <c r="H257" s="3" t="s">
        <v>2752</v>
      </c>
      <c r="I257" s="3" t="s">
        <v>6464</v>
      </c>
      <c r="J257" s="5" t="s">
        <v>7542</v>
      </c>
      <c r="L257" s="3" t="s">
        <v>6505</v>
      </c>
      <c r="M257" s="3">
        <v>16</v>
      </c>
      <c r="N257" s="4" t="s">
        <v>2741</v>
      </c>
      <c r="O257" s="4">
        <v>10</v>
      </c>
      <c r="P257" s="11" t="s">
        <v>9798</v>
      </c>
      <c r="Q257" s="11" t="s">
        <v>9860</v>
      </c>
      <c r="S257" s="4" t="b">
        <f>ISNUMBER(MATCH(Q257,T:T,0))</f>
        <v>1</v>
      </c>
      <c r="T257" s="4" t="s">
        <v>9815</v>
      </c>
      <c r="U257" s="4" t="str">
        <f t="shared" si="7"/>
        <v>朱</v>
      </c>
    </row>
    <row r="258" spans="1:22">
      <c r="A258" s="3">
        <v>257</v>
      </c>
      <c r="B258" s="3" t="s">
        <v>2740</v>
      </c>
      <c r="C258" s="3" t="s">
        <v>6017</v>
      </c>
      <c r="D258" s="3" t="s">
        <v>6001</v>
      </c>
      <c r="E258" s="3" t="s">
        <v>6212</v>
      </c>
      <c r="F258" s="3" t="s">
        <v>2741</v>
      </c>
      <c r="G258" s="3" t="s">
        <v>5993</v>
      </c>
      <c r="H258" s="3" t="s">
        <v>2753</v>
      </c>
      <c r="I258" s="3" t="s">
        <v>6464</v>
      </c>
      <c r="J258" s="5" t="s">
        <v>2754</v>
      </c>
      <c r="L258" s="3" t="s">
        <v>6482</v>
      </c>
      <c r="M258" s="3">
        <v>14</v>
      </c>
      <c r="N258" s="4" t="s">
        <v>2741</v>
      </c>
      <c r="O258" s="4">
        <v>10</v>
      </c>
      <c r="P258" s="11" t="s">
        <v>2555</v>
      </c>
      <c r="Q258" s="11" t="s">
        <v>9861</v>
      </c>
      <c r="R258" s="4" t="s">
        <v>13008</v>
      </c>
      <c r="S258" s="4" t="b">
        <f>ISNUMBER(MATCH(Q258,T:T,0))</f>
        <v>0</v>
      </c>
      <c r="T258" s="4" t="s">
        <v>10010</v>
      </c>
      <c r="U258" s="4" t="str">
        <f t="shared" si="7"/>
        <v>逾</v>
      </c>
      <c r="V258" s="4" t="b">
        <f>ISNUMBER(MATCH(R258,T:T,0))</f>
        <v>1</v>
      </c>
    </row>
    <row r="259" spans="1:22">
      <c r="A259" s="3">
        <v>258</v>
      </c>
      <c r="B259" s="3" t="s">
        <v>2740</v>
      </c>
      <c r="C259" s="3" t="s">
        <v>6000</v>
      </c>
      <c r="D259" s="3" t="s">
        <v>6001</v>
      </c>
      <c r="E259" s="3" t="s">
        <v>6212</v>
      </c>
      <c r="F259" s="3" t="s">
        <v>2741</v>
      </c>
      <c r="G259" s="3" t="s">
        <v>5993</v>
      </c>
      <c r="H259" s="3" t="s">
        <v>2755</v>
      </c>
      <c r="I259" s="3" t="s">
        <v>6464</v>
      </c>
      <c r="J259" s="5" t="s">
        <v>7543</v>
      </c>
      <c r="L259" s="3" t="s">
        <v>6496</v>
      </c>
      <c r="M259" s="3">
        <v>11</v>
      </c>
      <c r="N259" s="4" t="s">
        <v>2741</v>
      </c>
      <c r="O259" s="4">
        <v>10</v>
      </c>
      <c r="P259" s="11" t="s">
        <v>9707</v>
      </c>
      <c r="Q259" s="11" t="s">
        <v>9862</v>
      </c>
      <c r="S259" s="4" t="b">
        <f>ISNUMBER(MATCH(Q259,T:T,0))</f>
        <v>1</v>
      </c>
      <c r="T259" s="4" t="s">
        <v>11052</v>
      </c>
      <c r="U259" s="4" t="str">
        <f t="shared" ref="U259:U322" si="10">IF(ISBLANK(R259),Q259,R259)</f>
        <v>輸</v>
      </c>
    </row>
    <row r="260" spans="1:22">
      <c r="A260" s="3">
        <v>259</v>
      </c>
      <c r="B260" s="3" t="s">
        <v>2740</v>
      </c>
      <c r="C260" s="3" t="s">
        <v>6011</v>
      </c>
      <c r="D260" s="3" t="s">
        <v>6001</v>
      </c>
      <c r="E260" s="3" t="s">
        <v>6212</v>
      </c>
      <c r="F260" s="3" t="s">
        <v>2741</v>
      </c>
      <c r="G260" s="3" t="s">
        <v>5993</v>
      </c>
      <c r="H260" s="3" t="s">
        <v>2756</v>
      </c>
      <c r="I260" s="3" t="s">
        <v>6464</v>
      </c>
      <c r="J260" s="5" t="s">
        <v>2757</v>
      </c>
      <c r="L260" s="3" t="s">
        <v>6470</v>
      </c>
      <c r="M260" s="3">
        <v>2</v>
      </c>
      <c r="N260" s="4" t="s">
        <v>2741</v>
      </c>
      <c r="O260" s="4">
        <v>10</v>
      </c>
      <c r="P260" s="11" t="s">
        <v>9711</v>
      </c>
      <c r="Q260" s="11" t="s">
        <v>9854</v>
      </c>
      <c r="R260" s="4" t="s">
        <v>13006</v>
      </c>
      <c r="S260" s="4" t="b">
        <f>ISNUMBER(MATCH(Q260,T:T,0))</f>
        <v>0</v>
      </c>
      <c r="T260" s="4" t="s">
        <v>11053</v>
      </c>
      <c r="U260" s="4" t="str">
        <f t="shared" si="10"/>
        <v>拘</v>
      </c>
      <c r="V260" s="4" t="b">
        <f>ISNUMBER(MATCH(R260,T:T,0))</f>
        <v>1</v>
      </c>
    </row>
    <row r="261" spans="1:22">
      <c r="A261" s="3">
        <v>260</v>
      </c>
      <c r="B261" s="3" t="s">
        <v>2740</v>
      </c>
      <c r="C261" s="3" t="s">
        <v>6148</v>
      </c>
      <c r="D261" s="3" t="s">
        <v>6001</v>
      </c>
      <c r="E261" s="3" t="s">
        <v>6212</v>
      </c>
      <c r="F261" s="3" t="s">
        <v>2741</v>
      </c>
      <c r="G261" s="3" t="s">
        <v>5993</v>
      </c>
      <c r="H261" s="3" t="s">
        <v>2758</v>
      </c>
      <c r="I261" s="3" t="s">
        <v>6464</v>
      </c>
      <c r="J261" s="5" t="s">
        <v>2759</v>
      </c>
      <c r="L261" s="3" t="s">
        <v>6486</v>
      </c>
      <c r="M261" s="3">
        <v>12</v>
      </c>
      <c r="N261" s="4" t="s">
        <v>2741</v>
      </c>
      <c r="O261" s="4">
        <v>10</v>
      </c>
      <c r="P261" s="11" t="s">
        <v>9829</v>
      </c>
      <c r="Q261" s="11" t="s">
        <v>9860</v>
      </c>
      <c r="S261" s="4" t="b">
        <f>ISNUMBER(MATCH(Q261,T:T,0))</f>
        <v>1</v>
      </c>
      <c r="T261" s="4" t="s">
        <v>10750</v>
      </c>
      <c r="U261" s="4" t="str">
        <f t="shared" si="10"/>
        <v>朱</v>
      </c>
    </row>
    <row r="262" spans="1:22" ht="58.5">
      <c r="A262" s="3">
        <v>261</v>
      </c>
      <c r="B262" s="3" t="s">
        <v>2740</v>
      </c>
      <c r="C262" s="3" t="s">
        <v>6028</v>
      </c>
      <c r="D262" s="3" t="s">
        <v>6001</v>
      </c>
      <c r="E262" s="3" t="s">
        <v>6212</v>
      </c>
      <c r="F262" s="3" t="s">
        <v>2741</v>
      </c>
      <c r="G262" s="3" t="s">
        <v>5993</v>
      </c>
      <c r="H262" s="3" t="s">
        <v>2760</v>
      </c>
      <c r="I262" s="3" t="s">
        <v>6464</v>
      </c>
      <c r="J262" s="5" t="s">
        <v>7544</v>
      </c>
      <c r="L262" s="3" t="s">
        <v>6467</v>
      </c>
      <c r="M262" s="3">
        <v>45</v>
      </c>
      <c r="N262" s="4" t="s">
        <v>2741</v>
      </c>
      <c r="O262" s="4">
        <v>10</v>
      </c>
      <c r="P262" s="11" t="s">
        <v>9863</v>
      </c>
      <c r="Q262" s="11" t="s">
        <v>9860</v>
      </c>
      <c r="S262" s="4" t="b">
        <f>ISNUMBER(MATCH(Q262,T:T,0))</f>
        <v>1</v>
      </c>
      <c r="T262" s="4" t="s">
        <v>9865</v>
      </c>
      <c r="U262" s="4" t="str">
        <f t="shared" si="10"/>
        <v>朱</v>
      </c>
    </row>
    <row r="263" spans="1:22">
      <c r="A263" s="3">
        <v>262</v>
      </c>
      <c r="B263" s="3" t="s">
        <v>2740</v>
      </c>
      <c r="C263" s="3" t="s">
        <v>6038</v>
      </c>
      <c r="D263" s="3" t="s">
        <v>6001</v>
      </c>
      <c r="E263" s="3" t="s">
        <v>6212</v>
      </c>
      <c r="F263" s="3" t="s">
        <v>2741</v>
      </c>
      <c r="G263" s="3" t="s">
        <v>5993</v>
      </c>
      <c r="H263" s="3" t="s">
        <v>2762</v>
      </c>
      <c r="I263" s="3" t="s">
        <v>6464</v>
      </c>
      <c r="J263" s="5" t="s">
        <v>7545</v>
      </c>
      <c r="L263" s="3" t="s">
        <v>6484</v>
      </c>
      <c r="M263" s="3">
        <v>8</v>
      </c>
      <c r="N263" s="4" t="s">
        <v>2741</v>
      </c>
      <c r="O263" s="4">
        <v>10</v>
      </c>
      <c r="P263" s="11" t="s">
        <v>9864</v>
      </c>
      <c r="Q263" s="11" t="s">
        <v>9854</v>
      </c>
      <c r="R263" s="4" t="s">
        <v>13006</v>
      </c>
      <c r="S263" s="4" t="b">
        <f>ISNUMBER(MATCH(Q263,T:T,0))</f>
        <v>0</v>
      </c>
      <c r="T263" s="4" t="s">
        <v>10461</v>
      </c>
      <c r="U263" s="4" t="str">
        <f t="shared" si="10"/>
        <v>拘</v>
      </c>
      <c r="V263" s="4" t="b">
        <f t="shared" ref="V263:V264" si="11">ISNUMBER(MATCH(R263,T:T,0))</f>
        <v>1</v>
      </c>
    </row>
    <row r="264" spans="1:22">
      <c r="A264" s="3">
        <v>263</v>
      </c>
      <c r="B264" s="3" t="s">
        <v>2740</v>
      </c>
      <c r="C264" s="3" t="s">
        <v>6009</v>
      </c>
      <c r="D264" s="3" t="s">
        <v>6001</v>
      </c>
      <c r="E264" s="3" t="s">
        <v>6212</v>
      </c>
      <c r="F264" s="3" t="s">
        <v>2741</v>
      </c>
      <c r="G264" s="3" t="s">
        <v>5993</v>
      </c>
      <c r="H264" s="3" t="s">
        <v>2763</v>
      </c>
      <c r="I264" s="3" t="s">
        <v>6464</v>
      </c>
      <c r="J264" s="5" t="s">
        <v>7546</v>
      </c>
      <c r="L264" s="3" t="s">
        <v>6496</v>
      </c>
      <c r="M264" s="3">
        <v>10</v>
      </c>
      <c r="N264" s="4" t="s">
        <v>2741</v>
      </c>
      <c r="O264" s="4">
        <v>10</v>
      </c>
      <c r="P264" s="11" t="s">
        <v>6009</v>
      </c>
      <c r="Q264" s="11" t="s">
        <v>9854</v>
      </c>
      <c r="R264" s="4" t="s">
        <v>13006</v>
      </c>
      <c r="S264" s="4" t="b">
        <f>ISNUMBER(MATCH(Q264,T:T,0))</f>
        <v>0</v>
      </c>
      <c r="T264" s="4" t="s">
        <v>9860</v>
      </c>
      <c r="U264" s="4" t="str">
        <f t="shared" si="10"/>
        <v>拘</v>
      </c>
      <c r="V264" s="4" t="b">
        <f t="shared" si="11"/>
        <v>1</v>
      </c>
    </row>
    <row r="265" spans="1:22">
      <c r="A265" s="3">
        <v>264</v>
      </c>
      <c r="B265" s="3" t="s">
        <v>2740</v>
      </c>
      <c r="C265" s="3" t="s">
        <v>6076</v>
      </c>
      <c r="D265" s="3" t="s">
        <v>6001</v>
      </c>
      <c r="E265" s="3" t="s">
        <v>6212</v>
      </c>
      <c r="F265" s="3" t="s">
        <v>2741</v>
      </c>
      <c r="G265" s="3" t="s">
        <v>5993</v>
      </c>
      <c r="H265" s="3" t="s">
        <v>2764</v>
      </c>
      <c r="I265" s="3" t="s">
        <v>6464</v>
      </c>
      <c r="J265" s="5" t="s">
        <v>2765</v>
      </c>
      <c r="L265" s="3" t="s">
        <v>6484</v>
      </c>
      <c r="M265" s="3">
        <v>3</v>
      </c>
      <c r="N265" s="4" t="s">
        <v>2741</v>
      </c>
      <c r="O265" s="4">
        <v>10</v>
      </c>
      <c r="P265" s="11" t="s">
        <v>9766</v>
      </c>
      <c r="Q265" s="11" t="s">
        <v>9865</v>
      </c>
      <c r="S265" s="4" t="b">
        <f>ISNUMBER(MATCH(Q265,T:T,0))</f>
        <v>1</v>
      </c>
      <c r="T265" s="4" t="s">
        <v>11054</v>
      </c>
      <c r="U265" s="4" t="str">
        <f t="shared" si="10"/>
        <v>逾</v>
      </c>
    </row>
    <row r="266" spans="1:22">
      <c r="A266" s="3">
        <v>265</v>
      </c>
      <c r="B266" s="3" t="s">
        <v>2740</v>
      </c>
      <c r="C266" s="3" t="s">
        <v>6058</v>
      </c>
      <c r="D266" s="3" t="s">
        <v>6001</v>
      </c>
      <c r="E266" s="3" t="s">
        <v>6212</v>
      </c>
      <c r="F266" s="3" t="s">
        <v>2741</v>
      </c>
      <c r="G266" s="3" t="s">
        <v>5993</v>
      </c>
      <c r="H266" s="3" t="s">
        <v>2766</v>
      </c>
      <c r="I266" s="3" t="s">
        <v>6464</v>
      </c>
      <c r="J266" s="5" t="s">
        <v>7547</v>
      </c>
      <c r="L266" s="3" t="s">
        <v>6498</v>
      </c>
      <c r="M266" s="3">
        <v>16</v>
      </c>
      <c r="N266" s="4" t="s">
        <v>2741</v>
      </c>
      <c r="O266" s="4">
        <v>10</v>
      </c>
      <c r="P266" s="11" t="s">
        <v>9727</v>
      </c>
      <c r="Q266" s="11" t="s">
        <v>9860</v>
      </c>
      <c r="S266" s="4" t="b">
        <f>ISNUMBER(MATCH(Q266,T:T,0))</f>
        <v>1</v>
      </c>
      <c r="T266" s="4" t="s">
        <v>11055</v>
      </c>
      <c r="U266" s="4" t="str">
        <f t="shared" si="10"/>
        <v>朱</v>
      </c>
    </row>
    <row r="267" spans="1:22" ht="39">
      <c r="A267" s="3">
        <v>266</v>
      </c>
      <c r="B267" s="3" t="s">
        <v>2740</v>
      </c>
      <c r="C267" s="3" t="s">
        <v>6045</v>
      </c>
      <c r="D267" s="3" t="s">
        <v>6001</v>
      </c>
      <c r="E267" s="3" t="s">
        <v>6212</v>
      </c>
      <c r="F267" s="3" t="s">
        <v>2741</v>
      </c>
      <c r="G267" s="3" t="s">
        <v>5993</v>
      </c>
      <c r="H267" s="3" t="s">
        <v>2767</v>
      </c>
      <c r="I267" s="3" t="s">
        <v>6464</v>
      </c>
      <c r="J267" s="5" t="s">
        <v>7548</v>
      </c>
      <c r="K267" s="3" t="s">
        <v>2768</v>
      </c>
      <c r="L267" s="3" t="s">
        <v>2769</v>
      </c>
      <c r="M267" s="3">
        <v>26</v>
      </c>
      <c r="N267" s="4" t="s">
        <v>2741</v>
      </c>
      <c r="O267" s="4">
        <v>10</v>
      </c>
      <c r="P267" s="11" t="s">
        <v>2566</v>
      </c>
      <c r="Q267" s="11" t="s">
        <v>9837</v>
      </c>
      <c r="S267" s="4" t="b">
        <f>ISNUMBER(MATCH(Q267,T:T,0))</f>
        <v>1</v>
      </c>
      <c r="T267" s="4" t="s">
        <v>9926</v>
      </c>
      <c r="U267" s="4" t="str">
        <f t="shared" si="10"/>
        <v>無</v>
      </c>
    </row>
    <row r="268" spans="1:22">
      <c r="A268" s="3">
        <v>267</v>
      </c>
      <c r="B268" s="3" t="s">
        <v>2740</v>
      </c>
      <c r="C268" s="3" t="s">
        <v>6015</v>
      </c>
      <c r="D268" s="3" t="s">
        <v>6001</v>
      </c>
      <c r="E268" s="3" t="s">
        <v>6212</v>
      </c>
      <c r="F268" s="3" t="s">
        <v>2741</v>
      </c>
      <c r="G268" s="3" t="s">
        <v>5993</v>
      </c>
      <c r="H268" s="3" t="s">
        <v>2770</v>
      </c>
      <c r="I268" s="3" t="s">
        <v>6464</v>
      </c>
      <c r="J268" s="5" t="s">
        <v>2771</v>
      </c>
      <c r="L268" s="3" t="s">
        <v>6486</v>
      </c>
      <c r="M268" s="3">
        <v>4</v>
      </c>
      <c r="N268" s="4" t="s">
        <v>2741</v>
      </c>
      <c r="O268" s="4">
        <v>10</v>
      </c>
      <c r="P268" s="11" t="s">
        <v>9866</v>
      </c>
      <c r="Q268" s="11" t="s">
        <v>9859</v>
      </c>
      <c r="S268" s="4" t="b">
        <f>ISNUMBER(MATCH(Q268,T:T,0))</f>
        <v>1</v>
      </c>
      <c r="T268" s="4" t="s">
        <v>11056</v>
      </c>
      <c r="U268" s="4" t="str">
        <f t="shared" si="10"/>
        <v>于</v>
      </c>
    </row>
    <row r="269" spans="1:22">
      <c r="A269" s="3">
        <v>268</v>
      </c>
      <c r="B269" s="3" t="s">
        <v>2740</v>
      </c>
      <c r="C269" s="3" t="s">
        <v>6318</v>
      </c>
      <c r="D269" s="3" t="s">
        <v>6001</v>
      </c>
      <c r="E269" s="3" t="s">
        <v>6212</v>
      </c>
      <c r="F269" s="3" t="s">
        <v>2741</v>
      </c>
      <c r="G269" s="3" t="s">
        <v>5993</v>
      </c>
      <c r="H269" s="3" t="s">
        <v>2772</v>
      </c>
      <c r="I269" s="3" t="s">
        <v>6464</v>
      </c>
      <c r="J269" s="8" t="s">
        <v>7549</v>
      </c>
      <c r="L269" s="3" t="s">
        <v>6496</v>
      </c>
      <c r="M269" s="3">
        <v>2</v>
      </c>
      <c r="N269" s="4" t="s">
        <v>2741</v>
      </c>
      <c r="O269" s="4">
        <v>10</v>
      </c>
      <c r="P269" s="11" t="s">
        <v>6318</v>
      </c>
      <c r="Q269" s="11" t="s">
        <v>9854</v>
      </c>
      <c r="R269" s="4" t="s">
        <v>13006</v>
      </c>
      <c r="S269" s="4" t="b">
        <f>ISNUMBER(MATCH(Q269,T:T,0))</f>
        <v>0</v>
      </c>
      <c r="T269" s="4" t="s">
        <v>11057</v>
      </c>
      <c r="U269" s="4" t="str">
        <f t="shared" si="10"/>
        <v>拘</v>
      </c>
      <c r="V269" s="4" t="b">
        <f>ISNUMBER(MATCH(R269,T:T,0))</f>
        <v>1</v>
      </c>
    </row>
    <row r="270" spans="1:22" ht="39">
      <c r="A270" s="3">
        <v>269</v>
      </c>
      <c r="B270" s="3" t="s">
        <v>2740</v>
      </c>
      <c r="C270" s="3" t="s">
        <v>6053</v>
      </c>
      <c r="D270" s="3" t="s">
        <v>6001</v>
      </c>
      <c r="E270" s="3" t="s">
        <v>6212</v>
      </c>
      <c r="F270" s="3" t="s">
        <v>2741</v>
      </c>
      <c r="G270" s="3" t="s">
        <v>5993</v>
      </c>
      <c r="H270" s="3" t="s">
        <v>2773</v>
      </c>
      <c r="I270" s="3" t="s">
        <v>6464</v>
      </c>
      <c r="J270" s="5" t="s">
        <v>7550</v>
      </c>
      <c r="L270" s="3" t="s">
        <v>2774</v>
      </c>
      <c r="M270" s="3">
        <v>36</v>
      </c>
      <c r="N270" s="4" t="s">
        <v>2741</v>
      </c>
      <c r="O270" s="4">
        <v>10</v>
      </c>
      <c r="P270" s="11" t="s">
        <v>9841</v>
      </c>
      <c r="Q270" s="11" t="s">
        <v>9837</v>
      </c>
      <c r="S270" s="4" t="b">
        <f>ISNUMBER(MATCH(Q270,T:T,0))</f>
        <v>1</v>
      </c>
      <c r="T270" s="4" t="s">
        <v>9724</v>
      </c>
      <c r="U270" s="4" t="str">
        <f t="shared" si="10"/>
        <v>無</v>
      </c>
    </row>
    <row r="271" spans="1:22">
      <c r="A271" s="3">
        <v>270</v>
      </c>
      <c r="B271" s="3" t="s">
        <v>2740</v>
      </c>
      <c r="C271" s="3" t="s">
        <v>6083</v>
      </c>
      <c r="D271" s="3" t="s">
        <v>6001</v>
      </c>
      <c r="E271" s="3" t="s">
        <v>6212</v>
      </c>
      <c r="F271" s="3" t="s">
        <v>2741</v>
      </c>
      <c r="G271" s="3" t="s">
        <v>5993</v>
      </c>
      <c r="H271" s="3" t="s">
        <v>2775</v>
      </c>
      <c r="I271" s="3" t="s">
        <v>6464</v>
      </c>
      <c r="J271" s="5" t="s">
        <v>2776</v>
      </c>
      <c r="L271" s="3" t="s">
        <v>6476</v>
      </c>
      <c r="M271" s="3">
        <v>7</v>
      </c>
      <c r="N271" s="4" t="s">
        <v>2741</v>
      </c>
      <c r="O271" s="4">
        <v>10</v>
      </c>
      <c r="P271" s="11" t="s">
        <v>9737</v>
      </c>
      <c r="Q271" s="11" t="s">
        <v>9859</v>
      </c>
      <c r="S271" s="4" t="b">
        <f>ISNUMBER(MATCH(Q271,T:T,0))</f>
        <v>1</v>
      </c>
      <c r="T271" s="4" t="s">
        <v>11058</v>
      </c>
      <c r="U271" s="4" t="str">
        <f t="shared" si="10"/>
        <v>于</v>
      </c>
    </row>
    <row r="272" spans="1:22" ht="39">
      <c r="A272" s="3">
        <v>271</v>
      </c>
      <c r="B272" s="3" t="s">
        <v>2740</v>
      </c>
      <c r="C272" s="3" t="s">
        <v>6049</v>
      </c>
      <c r="D272" s="3" t="s">
        <v>6001</v>
      </c>
      <c r="E272" s="3" t="s">
        <v>6212</v>
      </c>
      <c r="F272" s="3" t="s">
        <v>2741</v>
      </c>
      <c r="G272" s="3" t="s">
        <v>5993</v>
      </c>
      <c r="H272" s="3" t="s">
        <v>2777</v>
      </c>
      <c r="I272" s="3" t="s">
        <v>6464</v>
      </c>
      <c r="J272" s="5" t="s">
        <v>7551</v>
      </c>
      <c r="L272" s="3" t="s">
        <v>2774</v>
      </c>
      <c r="M272" s="3">
        <v>21</v>
      </c>
      <c r="N272" s="4" t="s">
        <v>2741</v>
      </c>
      <c r="O272" s="4">
        <v>10</v>
      </c>
      <c r="P272" s="11" t="s">
        <v>9842</v>
      </c>
      <c r="Q272" s="11" t="s">
        <v>9837</v>
      </c>
      <c r="S272" s="4" t="b">
        <f>ISNUMBER(MATCH(Q272,T:T,0))</f>
        <v>1</v>
      </c>
      <c r="T272" s="4" t="s">
        <v>9857</v>
      </c>
      <c r="U272" s="4" t="str">
        <f t="shared" si="10"/>
        <v>無</v>
      </c>
    </row>
    <row r="273" spans="1:22">
      <c r="A273" s="3">
        <v>272</v>
      </c>
      <c r="B273" s="3" t="s">
        <v>2740</v>
      </c>
      <c r="C273" s="3" t="s">
        <v>6072</v>
      </c>
      <c r="D273" s="3" t="s">
        <v>6001</v>
      </c>
      <c r="E273" s="3" t="s">
        <v>6212</v>
      </c>
      <c r="F273" s="3" t="s">
        <v>2741</v>
      </c>
      <c r="G273" s="3" t="s">
        <v>5993</v>
      </c>
      <c r="H273" s="3" t="s">
        <v>2778</v>
      </c>
      <c r="I273" s="3" t="s">
        <v>6464</v>
      </c>
      <c r="J273" s="5" t="s">
        <v>7552</v>
      </c>
      <c r="L273" s="3" t="s">
        <v>6494</v>
      </c>
      <c r="M273" s="3">
        <v>12</v>
      </c>
      <c r="N273" s="4" t="s">
        <v>2741</v>
      </c>
      <c r="O273" s="4">
        <v>10</v>
      </c>
      <c r="P273" s="11" t="s">
        <v>9867</v>
      </c>
      <c r="Q273" s="11" t="s">
        <v>9854</v>
      </c>
      <c r="R273" s="4" t="s">
        <v>13006</v>
      </c>
      <c r="S273" s="4" t="b">
        <f>ISNUMBER(MATCH(Q273,T:T,0))</f>
        <v>0</v>
      </c>
      <c r="T273" s="4" t="s">
        <v>11059</v>
      </c>
      <c r="U273" s="4" t="str">
        <f t="shared" si="10"/>
        <v>拘</v>
      </c>
      <c r="V273" s="4" t="b">
        <f>ISNUMBER(MATCH(R273,T:T,0))</f>
        <v>1</v>
      </c>
    </row>
    <row r="274" spans="1:22">
      <c r="A274" s="3">
        <v>273</v>
      </c>
      <c r="B274" s="3" t="s">
        <v>2740</v>
      </c>
      <c r="C274" s="3" t="s">
        <v>6120</v>
      </c>
      <c r="D274" s="3" t="s">
        <v>6001</v>
      </c>
      <c r="E274" s="3" t="s">
        <v>6212</v>
      </c>
      <c r="F274" s="3" t="s">
        <v>2741</v>
      </c>
      <c r="G274" s="3" t="s">
        <v>5993</v>
      </c>
      <c r="H274" s="3" t="s">
        <v>2779</v>
      </c>
      <c r="I274" s="3" t="s">
        <v>6464</v>
      </c>
      <c r="J274" s="5" t="s">
        <v>2780</v>
      </c>
      <c r="L274" s="3" t="s">
        <v>6473</v>
      </c>
      <c r="M274" s="3">
        <v>3</v>
      </c>
      <c r="N274" s="4" t="s">
        <v>2741</v>
      </c>
      <c r="O274" s="4">
        <v>10</v>
      </c>
      <c r="P274" s="11" t="s">
        <v>9793</v>
      </c>
      <c r="Q274" s="11" t="s">
        <v>9860</v>
      </c>
      <c r="S274" s="4" t="b">
        <f>ISNUMBER(MATCH(Q274,T:T,0))</f>
        <v>1</v>
      </c>
      <c r="T274" s="4" t="s">
        <v>9862</v>
      </c>
      <c r="U274" s="4" t="str">
        <f t="shared" si="10"/>
        <v>朱</v>
      </c>
    </row>
    <row r="275" spans="1:22">
      <c r="A275" s="3">
        <v>274</v>
      </c>
      <c r="B275" s="3" t="s">
        <v>2740</v>
      </c>
      <c r="C275" s="3" t="s">
        <v>6055</v>
      </c>
      <c r="D275" s="3" t="s">
        <v>6001</v>
      </c>
      <c r="E275" s="3" t="s">
        <v>6212</v>
      </c>
      <c r="F275" s="3" t="s">
        <v>2741</v>
      </c>
      <c r="G275" s="3" t="s">
        <v>5993</v>
      </c>
      <c r="H275" s="3" t="s">
        <v>2781</v>
      </c>
      <c r="I275" s="3" t="s">
        <v>6464</v>
      </c>
      <c r="J275" s="5" t="s">
        <v>2782</v>
      </c>
      <c r="L275" s="3" t="s">
        <v>6470</v>
      </c>
      <c r="M275" s="3">
        <v>5</v>
      </c>
      <c r="N275" s="4" t="s">
        <v>2741</v>
      </c>
      <c r="O275" s="4">
        <v>10</v>
      </c>
      <c r="P275" s="11" t="s">
        <v>6055</v>
      </c>
      <c r="Q275" s="11" t="s">
        <v>9860</v>
      </c>
      <c r="S275" s="4" t="b">
        <f>ISNUMBER(MATCH(Q275,T:T,0))</f>
        <v>1</v>
      </c>
      <c r="T275" s="4" t="s">
        <v>11060</v>
      </c>
      <c r="U275" s="4" t="str">
        <f t="shared" si="10"/>
        <v>朱</v>
      </c>
    </row>
    <row r="276" spans="1:22">
      <c r="A276" s="3">
        <v>275</v>
      </c>
      <c r="B276" s="3" t="s">
        <v>2740</v>
      </c>
      <c r="C276" s="3" t="s">
        <v>6005</v>
      </c>
      <c r="D276" s="3" t="s">
        <v>6001</v>
      </c>
      <c r="E276" s="3" t="s">
        <v>6212</v>
      </c>
      <c r="F276" s="3" t="s">
        <v>2741</v>
      </c>
      <c r="G276" s="3" t="s">
        <v>5993</v>
      </c>
      <c r="H276" s="3" t="s">
        <v>2783</v>
      </c>
      <c r="I276" s="3" t="s">
        <v>6464</v>
      </c>
      <c r="J276" s="5" t="s">
        <v>7553</v>
      </c>
      <c r="L276" s="3" t="s">
        <v>6486</v>
      </c>
      <c r="M276" s="3">
        <v>5</v>
      </c>
      <c r="N276" s="4" t="s">
        <v>2741</v>
      </c>
      <c r="O276" s="4">
        <v>10</v>
      </c>
      <c r="P276" s="11" t="s">
        <v>9709</v>
      </c>
      <c r="Q276" s="11" t="s">
        <v>9868</v>
      </c>
      <c r="R276" s="4" t="s">
        <v>13009</v>
      </c>
      <c r="S276" s="4" t="b">
        <f>ISNUMBER(MATCH(Q276,T:T,0))</f>
        <v>0</v>
      </c>
      <c r="T276" s="4" t="s">
        <v>11061</v>
      </c>
      <c r="U276" s="4" t="str">
        <f t="shared" si="10"/>
        <v>株</v>
      </c>
      <c r="V276" s="4" t="b">
        <f>ISNUMBER(MATCH(R276,T:T,0))</f>
        <v>1</v>
      </c>
    </row>
    <row r="277" spans="1:22">
      <c r="A277" s="3">
        <v>276</v>
      </c>
      <c r="B277" s="3" t="s">
        <v>2740</v>
      </c>
      <c r="C277" s="3" t="s">
        <v>6025</v>
      </c>
      <c r="D277" s="3" t="s">
        <v>6001</v>
      </c>
      <c r="E277" s="3" t="s">
        <v>6212</v>
      </c>
      <c r="F277" s="3" t="s">
        <v>2741</v>
      </c>
      <c r="G277" s="3" t="s">
        <v>5993</v>
      </c>
      <c r="H277" s="3" t="s">
        <v>2784</v>
      </c>
      <c r="I277" s="3" t="s">
        <v>6464</v>
      </c>
      <c r="J277" s="5" t="s">
        <v>7554</v>
      </c>
      <c r="L277" s="3" t="s">
        <v>6476</v>
      </c>
      <c r="M277" s="3">
        <v>14</v>
      </c>
      <c r="N277" s="4" t="s">
        <v>2741</v>
      </c>
      <c r="O277" s="4">
        <v>10</v>
      </c>
      <c r="P277" s="11" t="s">
        <v>9846</v>
      </c>
      <c r="Q277" s="11" t="s">
        <v>9860</v>
      </c>
      <c r="S277" s="4" t="b">
        <f>ISNUMBER(MATCH(Q277,T:T,0))</f>
        <v>1</v>
      </c>
      <c r="T277" s="4" t="s">
        <v>11062</v>
      </c>
      <c r="U277" s="4" t="str">
        <f t="shared" si="10"/>
        <v>朱</v>
      </c>
    </row>
    <row r="278" spans="1:22">
      <c r="A278" s="3">
        <v>277</v>
      </c>
      <c r="B278" s="3" t="s">
        <v>2740</v>
      </c>
      <c r="C278" s="3" t="s">
        <v>6180</v>
      </c>
      <c r="D278" s="3" t="s">
        <v>6001</v>
      </c>
      <c r="E278" s="3" t="s">
        <v>6212</v>
      </c>
      <c r="F278" s="3" t="s">
        <v>2741</v>
      </c>
      <c r="G278" s="3" t="s">
        <v>5993</v>
      </c>
      <c r="H278" s="3" t="s">
        <v>2785</v>
      </c>
      <c r="I278" s="3" t="s">
        <v>6464</v>
      </c>
      <c r="J278" s="5" t="s">
        <v>7555</v>
      </c>
      <c r="L278" s="3" t="s">
        <v>6473</v>
      </c>
      <c r="M278" s="3">
        <v>4</v>
      </c>
      <c r="N278" s="4" t="s">
        <v>2741</v>
      </c>
      <c r="O278" s="4">
        <v>10</v>
      </c>
      <c r="P278" s="11" t="s">
        <v>6836</v>
      </c>
      <c r="Q278" s="11" t="s">
        <v>9869</v>
      </c>
      <c r="S278" s="4" t="b">
        <f>ISNUMBER(MATCH(Q278,T:T,0))</f>
        <v>1</v>
      </c>
      <c r="T278" s="4" t="s">
        <v>11063</v>
      </c>
      <c r="U278" s="4" t="str">
        <f t="shared" si="10"/>
        <v>芻</v>
      </c>
    </row>
    <row r="279" spans="1:22">
      <c r="A279" s="3">
        <v>278</v>
      </c>
      <c r="B279" s="3" t="s">
        <v>2787</v>
      </c>
      <c r="C279" s="3" t="s">
        <v>6035</v>
      </c>
      <c r="D279" s="3" t="s">
        <v>5990</v>
      </c>
      <c r="E279" s="3" t="s">
        <v>5991</v>
      </c>
      <c r="F279" s="3" t="s">
        <v>2788</v>
      </c>
      <c r="G279" s="3" t="s">
        <v>5993</v>
      </c>
      <c r="H279" s="3" t="s">
        <v>2789</v>
      </c>
      <c r="I279" s="3" t="s">
        <v>6464</v>
      </c>
      <c r="J279" s="5" t="s">
        <v>7556</v>
      </c>
      <c r="L279" s="3" t="s">
        <v>2790</v>
      </c>
      <c r="M279" s="3">
        <v>12</v>
      </c>
      <c r="N279" s="4" t="s">
        <v>2788</v>
      </c>
      <c r="O279" s="4">
        <v>11</v>
      </c>
      <c r="P279" s="11" t="s">
        <v>9719</v>
      </c>
      <c r="Q279" s="11" t="s">
        <v>9870</v>
      </c>
      <c r="S279" s="4" t="b">
        <f>ISNUMBER(MATCH(Q279,T:T,0))</f>
        <v>1</v>
      </c>
      <c r="T279" s="4" t="s">
        <v>2788</v>
      </c>
      <c r="U279" s="4" t="str">
        <f t="shared" si="10"/>
        <v>胡</v>
      </c>
    </row>
    <row r="280" spans="1:22">
      <c r="A280" s="3">
        <v>279</v>
      </c>
      <c r="B280" s="3" t="s">
        <v>2787</v>
      </c>
      <c r="C280" s="3" t="s">
        <v>6045</v>
      </c>
      <c r="D280" s="3" t="s">
        <v>5990</v>
      </c>
      <c r="E280" s="3" t="s">
        <v>5991</v>
      </c>
      <c r="F280" s="3" t="s">
        <v>2788</v>
      </c>
      <c r="G280" s="3" t="s">
        <v>5993</v>
      </c>
      <c r="H280" s="3" t="s">
        <v>2791</v>
      </c>
      <c r="I280" s="3" t="s">
        <v>6464</v>
      </c>
      <c r="J280" s="5" t="s">
        <v>7557</v>
      </c>
      <c r="L280" s="3" t="s">
        <v>2794</v>
      </c>
      <c r="M280" s="3">
        <v>10</v>
      </c>
      <c r="N280" s="4" t="s">
        <v>2788</v>
      </c>
      <c r="O280" s="4">
        <v>11</v>
      </c>
      <c r="P280" s="11" t="s">
        <v>9738</v>
      </c>
      <c r="Q280" s="11" t="s">
        <v>9870</v>
      </c>
      <c r="S280" s="4" t="b">
        <f>ISNUMBER(MATCH(Q280,T:T,0))</f>
        <v>1</v>
      </c>
      <c r="T280" s="4" t="s">
        <v>11064</v>
      </c>
      <c r="U280" s="4" t="str">
        <f t="shared" si="10"/>
        <v>胡</v>
      </c>
    </row>
    <row r="281" spans="1:22" ht="39">
      <c r="A281" s="3">
        <v>280</v>
      </c>
      <c r="B281" s="3" t="s">
        <v>2787</v>
      </c>
      <c r="C281" s="3" t="s">
        <v>6067</v>
      </c>
      <c r="D281" s="3" t="s">
        <v>5990</v>
      </c>
      <c r="E281" s="3" t="s">
        <v>5991</v>
      </c>
      <c r="F281" s="3" t="s">
        <v>2788</v>
      </c>
      <c r="G281" s="3" t="s">
        <v>5993</v>
      </c>
      <c r="H281" s="7" t="s">
        <v>678</v>
      </c>
      <c r="I281" s="3" t="s">
        <v>6464</v>
      </c>
      <c r="J281" s="5" t="s">
        <v>7558</v>
      </c>
      <c r="L281" s="3" t="s">
        <v>2796</v>
      </c>
      <c r="M281" s="3">
        <v>30</v>
      </c>
      <c r="N281" s="4" t="s">
        <v>2788</v>
      </c>
      <c r="O281" s="4">
        <v>11</v>
      </c>
      <c r="P281" s="11" t="s">
        <v>9731</v>
      </c>
      <c r="Q281" s="11" t="s">
        <v>9871</v>
      </c>
      <c r="R281" s="4" t="s">
        <v>13010</v>
      </c>
      <c r="S281" s="4" t="b">
        <f>ISNUMBER(MATCH(Q281,T:T,0))</f>
        <v>0</v>
      </c>
      <c r="T281" s="4" t="s">
        <v>9870</v>
      </c>
      <c r="U281" s="4" t="str">
        <f t="shared" si="10"/>
        <v>吾</v>
      </c>
      <c r="V281" s="4" t="b">
        <f>ISNUMBER(MATCH(R281,T:T,0))</f>
        <v>1</v>
      </c>
    </row>
    <row r="282" spans="1:22" ht="39">
      <c r="A282" s="3">
        <v>281</v>
      </c>
      <c r="B282" s="3" t="s">
        <v>2787</v>
      </c>
      <c r="C282" s="3" t="s">
        <v>6025</v>
      </c>
      <c r="D282" s="3" t="s">
        <v>5990</v>
      </c>
      <c r="E282" s="3" t="s">
        <v>5991</v>
      </c>
      <c r="F282" s="3" t="s">
        <v>2788</v>
      </c>
      <c r="G282" s="3" t="s">
        <v>5993</v>
      </c>
      <c r="H282" s="3" t="s">
        <v>2797</v>
      </c>
      <c r="I282" s="3" t="s">
        <v>6464</v>
      </c>
      <c r="J282" s="5" t="s">
        <v>7559</v>
      </c>
      <c r="L282" s="3" t="s">
        <v>2799</v>
      </c>
      <c r="M282" s="3">
        <v>28</v>
      </c>
      <c r="N282" s="4" t="s">
        <v>2788</v>
      </c>
      <c r="O282" s="4">
        <v>11</v>
      </c>
      <c r="P282" s="11" t="s">
        <v>9729</v>
      </c>
      <c r="Q282" s="11" t="s">
        <v>9870</v>
      </c>
      <c r="S282" s="4" t="b">
        <f>ISNUMBER(MATCH(Q282,T:T,0))</f>
        <v>1</v>
      </c>
      <c r="T282" s="4" t="s">
        <v>9882</v>
      </c>
      <c r="U282" s="4" t="str">
        <f t="shared" si="10"/>
        <v>胡</v>
      </c>
    </row>
    <row r="283" spans="1:22" ht="39">
      <c r="A283" s="3">
        <v>282</v>
      </c>
      <c r="B283" s="3" t="s">
        <v>2787</v>
      </c>
      <c r="C283" s="3" t="s">
        <v>5997</v>
      </c>
      <c r="D283" s="3" t="s">
        <v>5990</v>
      </c>
      <c r="E283" s="3" t="s">
        <v>5991</v>
      </c>
      <c r="F283" s="3" t="s">
        <v>2788</v>
      </c>
      <c r="G283" s="3" t="s">
        <v>5993</v>
      </c>
      <c r="H283" s="3" t="s">
        <v>2800</v>
      </c>
      <c r="I283" s="3" t="s">
        <v>6464</v>
      </c>
      <c r="J283" s="5" t="s">
        <v>7560</v>
      </c>
      <c r="K283" s="3" t="s">
        <v>570</v>
      </c>
      <c r="L283" s="3" t="s">
        <v>2802</v>
      </c>
      <c r="M283" s="3">
        <v>31</v>
      </c>
      <c r="N283" s="4" t="s">
        <v>2788</v>
      </c>
      <c r="O283" s="4">
        <v>11</v>
      </c>
      <c r="P283" s="11" t="s">
        <v>9872</v>
      </c>
      <c r="Q283" s="11" t="s">
        <v>9742</v>
      </c>
      <c r="S283" s="4" t="b">
        <f>ISNUMBER(MATCH(Q283,T:T,0))</f>
        <v>1</v>
      </c>
      <c r="T283" s="4" t="s">
        <v>9706</v>
      </c>
      <c r="U283" s="4" t="str">
        <f t="shared" si="10"/>
        <v>都</v>
      </c>
    </row>
    <row r="284" spans="1:22">
      <c r="A284" s="3">
        <v>283</v>
      </c>
      <c r="B284" s="3" t="s">
        <v>2787</v>
      </c>
      <c r="C284" s="3" t="s">
        <v>6102</v>
      </c>
      <c r="D284" s="3" t="s">
        <v>5990</v>
      </c>
      <c r="E284" s="3" t="s">
        <v>5991</v>
      </c>
      <c r="F284" s="3" t="s">
        <v>2788</v>
      </c>
      <c r="G284" s="3" t="s">
        <v>5993</v>
      </c>
      <c r="H284" s="3" t="s">
        <v>2803</v>
      </c>
      <c r="I284" s="3" t="s">
        <v>6464</v>
      </c>
      <c r="J284" s="5" t="s">
        <v>2804</v>
      </c>
      <c r="L284" s="3" t="s">
        <v>2805</v>
      </c>
      <c r="M284" s="3">
        <v>7</v>
      </c>
      <c r="N284" s="4" t="s">
        <v>2788</v>
      </c>
      <c r="O284" s="4">
        <v>11</v>
      </c>
      <c r="P284" s="11" t="s">
        <v>9873</v>
      </c>
      <c r="Q284" s="11" t="s">
        <v>9742</v>
      </c>
      <c r="S284" s="4" t="b">
        <f>ISNUMBER(MATCH(Q284,T:T,0))</f>
        <v>1</v>
      </c>
      <c r="T284" s="4" t="s">
        <v>9744</v>
      </c>
      <c r="U284" s="4" t="str">
        <f t="shared" si="10"/>
        <v>都</v>
      </c>
    </row>
    <row r="285" spans="1:22">
      <c r="A285" s="3">
        <v>284</v>
      </c>
      <c r="B285" s="3" t="s">
        <v>2787</v>
      </c>
      <c r="C285" s="3" t="s">
        <v>6089</v>
      </c>
      <c r="D285" s="3" t="s">
        <v>5990</v>
      </c>
      <c r="E285" s="3" t="s">
        <v>5991</v>
      </c>
      <c r="F285" s="3" t="s">
        <v>2788</v>
      </c>
      <c r="G285" s="3" t="s">
        <v>5993</v>
      </c>
      <c r="H285" s="3" t="s">
        <v>2806</v>
      </c>
      <c r="I285" s="3" t="s">
        <v>6464</v>
      </c>
      <c r="J285" s="5" t="s">
        <v>7561</v>
      </c>
      <c r="L285" s="3" t="s">
        <v>2807</v>
      </c>
      <c r="M285" s="3">
        <v>17</v>
      </c>
      <c r="N285" s="4" t="s">
        <v>2788</v>
      </c>
      <c r="O285" s="4">
        <v>11</v>
      </c>
      <c r="P285" s="11" t="s">
        <v>2607</v>
      </c>
      <c r="Q285" s="11" t="s">
        <v>9734</v>
      </c>
      <c r="S285" s="4" t="b">
        <f>ISNUMBER(MATCH(Q285,T:T,0))</f>
        <v>1</v>
      </c>
      <c r="T285" s="4" t="s">
        <v>9739</v>
      </c>
      <c r="U285" s="4" t="str">
        <f t="shared" si="10"/>
        <v>烏</v>
      </c>
    </row>
    <row r="286" spans="1:22" ht="39">
      <c r="A286" s="3">
        <v>285</v>
      </c>
      <c r="B286" s="3" t="s">
        <v>2787</v>
      </c>
      <c r="C286" s="3" t="s">
        <v>6092</v>
      </c>
      <c r="D286" s="3" t="s">
        <v>5990</v>
      </c>
      <c r="E286" s="3" t="s">
        <v>5991</v>
      </c>
      <c r="F286" s="3" t="s">
        <v>2788</v>
      </c>
      <c r="G286" s="3" t="s">
        <v>5993</v>
      </c>
      <c r="H286" s="3" t="s">
        <v>2808</v>
      </c>
      <c r="I286" s="3" t="s">
        <v>6464</v>
      </c>
      <c r="J286" s="5" t="s">
        <v>7562</v>
      </c>
      <c r="L286" s="3" t="s">
        <v>2747</v>
      </c>
      <c r="M286" s="3">
        <v>21</v>
      </c>
      <c r="N286" s="4" t="s">
        <v>2788</v>
      </c>
      <c r="O286" s="4">
        <v>11</v>
      </c>
      <c r="P286" s="11" t="s">
        <v>9740</v>
      </c>
      <c r="Q286" s="11" t="s">
        <v>9874</v>
      </c>
      <c r="R286" s="4" t="s">
        <v>13011</v>
      </c>
      <c r="S286" s="4" t="b">
        <f>ISNUMBER(MATCH(Q286,T:T,0))</f>
        <v>0</v>
      </c>
      <c r="T286" s="4" t="s">
        <v>9876</v>
      </c>
      <c r="U286" s="4" t="str">
        <f t="shared" si="10"/>
        <v>胡</v>
      </c>
      <c r="V286" s="4" t="b">
        <f>ISNUMBER(MATCH(R286,T:T,0))</f>
        <v>1</v>
      </c>
    </row>
    <row r="287" spans="1:22">
      <c r="A287" s="3">
        <v>286</v>
      </c>
      <c r="B287" s="3" t="s">
        <v>2787</v>
      </c>
      <c r="C287" s="3" t="s">
        <v>6083</v>
      </c>
      <c r="D287" s="3" t="s">
        <v>5990</v>
      </c>
      <c r="E287" s="3" t="s">
        <v>5991</v>
      </c>
      <c r="F287" s="3" t="s">
        <v>2788</v>
      </c>
      <c r="G287" s="3" t="s">
        <v>5993</v>
      </c>
      <c r="H287" s="3" t="s">
        <v>2809</v>
      </c>
      <c r="I287" s="3" t="s">
        <v>6464</v>
      </c>
      <c r="J287" s="5" t="s">
        <v>2810</v>
      </c>
      <c r="L287" s="3" t="s">
        <v>2812</v>
      </c>
      <c r="M287" s="3">
        <v>2</v>
      </c>
      <c r="N287" s="4" t="s">
        <v>2788</v>
      </c>
      <c r="O287" s="4">
        <v>11</v>
      </c>
      <c r="P287" s="11" t="s">
        <v>9875</v>
      </c>
      <c r="Q287" s="11" t="s">
        <v>9876</v>
      </c>
      <c r="S287" s="4" t="b">
        <f>ISNUMBER(MATCH(Q287,T:T,0))</f>
        <v>1</v>
      </c>
      <c r="T287" s="4" t="s">
        <v>11065</v>
      </c>
      <c r="U287" s="4" t="str">
        <f t="shared" si="10"/>
        <v>吾</v>
      </c>
    </row>
    <row r="288" spans="1:22" ht="39">
      <c r="A288" s="3">
        <v>287</v>
      </c>
      <c r="B288" s="3" t="s">
        <v>2787</v>
      </c>
      <c r="C288" s="3" t="s">
        <v>6058</v>
      </c>
      <c r="D288" s="3" t="s">
        <v>5990</v>
      </c>
      <c r="E288" s="3" t="s">
        <v>5991</v>
      </c>
      <c r="F288" s="3" t="s">
        <v>2788</v>
      </c>
      <c r="G288" s="3" t="s">
        <v>5993</v>
      </c>
      <c r="H288" s="3" t="s">
        <v>2813</v>
      </c>
      <c r="I288" s="3" t="s">
        <v>6464</v>
      </c>
      <c r="J288" s="5" t="s">
        <v>7563</v>
      </c>
      <c r="L288" s="3" t="s">
        <v>2814</v>
      </c>
      <c r="M288" s="3">
        <v>34</v>
      </c>
      <c r="N288" s="4" t="s">
        <v>2788</v>
      </c>
      <c r="O288" s="4">
        <v>11</v>
      </c>
      <c r="P288" s="11" t="s">
        <v>9877</v>
      </c>
      <c r="Q288" s="11" t="s">
        <v>9870</v>
      </c>
      <c r="S288" s="4" t="b">
        <f>ISNUMBER(MATCH(Q288,T:T,0))</f>
        <v>1</v>
      </c>
      <c r="T288" s="4" t="s">
        <v>9730</v>
      </c>
      <c r="U288" s="4" t="str">
        <f t="shared" si="10"/>
        <v>胡</v>
      </c>
    </row>
    <row r="289" spans="1:22">
      <c r="A289" s="3">
        <v>288</v>
      </c>
      <c r="B289" s="3" t="s">
        <v>2787</v>
      </c>
      <c r="C289" s="3" t="s">
        <v>6017</v>
      </c>
      <c r="D289" s="3" t="s">
        <v>5990</v>
      </c>
      <c r="E289" s="3" t="s">
        <v>5991</v>
      </c>
      <c r="F289" s="3" t="s">
        <v>2788</v>
      </c>
      <c r="G289" s="3" t="s">
        <v>5993</v>
      </c>
      <c r="H289" s="3" t="s">
        <v>2815</v>
      </c>
      <c r="I289" s="3" t="s">
        <v>6464</v>
      </c>
      <c r="J289" s="5" t="s">
        <v>2816</v>
      </c>
      <c r="L289" s="3" t="s">
        <v>2818</v>
      </c>
      <c r="M289" s="3">
        <v>4</v>
      </c>
      <c r="N289" s="4" t="s">
        <v>2788</v>
      </c>
      <c r="O289" s="4">
        <v>11</v>
      </c>
      <c r="P289" s="11" t="s">
        <v>9878</v>
      </c>
      <c r="Q289" s="11" t="s">
        <v>9879</v>
      </c>
      <c r="R289" s="4" t="s">
        <v>13012</v>
      </c>
      <c r="S289" s="4" t="b">
        <f>ISNUMBER(MATCH(Q289,T:T,0))</f>
        <v>0</v>
      </c>
      <c r="T289" s="4" t="s">
        <v>9741</v>
      </c>
      <c r="U289" s="4" t="str">
        <f t="shared" si="10"/>
        <v>孤</v>
      </c>
      <c r="V289" s="4" t="b">
        <f>ISNUMBER(MATCH(R289,T:T,0))</f>
        <v>1</v>
      </c>
    </row>
    <row r="290" spans="1:22">
      <c r="A290" s="3">
        <v>289</v>
      </c>
      <c r="B290" s="3" t="s">
        <v>2787</v>
      </c>
      <c r="C290" s="3" t="s">
        <v>6069</v>
      </c>
      <c r="D290" s="3" t="s">
        <v>5990</v>
      </c>
      <c r="E290" s="3" t="s">
        <v>5991</v>
      </c>
      <c r="F290" s="3" t="s">
        <v>2788</v>
      </c>
      <c r="G290" s="3" t="s">
        <v>5993</v>
      </c>
      <c r="H290" s="3" t="s">
        <v>2819</v>
      </c>
      <c r="I290" s="3" t="s">
        <v>6464</v>
      </c>
      <c r="J290" s="5" t="s">
        <v>2820</v>
      </c>
      <c r="L290" s="3" t="s">
        <v>2821</v>
      </c>
      <c r="M290" s="3">
        <v>4</v>
      </c>
      <c r="N290" s="4" t="s">
        <v>2788</v>
      </c>
      <c r="O290" s="4">
        <v>11</v>
      </c>
      <c r="P290" s="11" t="s">
        <v>9880</v>
      </c>
      <c r="Q290" s="11" t="s">
        <v>9870</v>
      </c>
      <c r="S290" s="4" t="b">
        <f>ISNUMBER(MATCH(Q290,T:T,0))</f>
        <v>1</v>
      </c>
      <c r="T290" s="4" t="s">
        <v>9733</v>
      </c>
      <c r="U290" s="4" t="str">
        <f t="shared" si="10"/>
        <v>胡</v>
      </c>
    </row>
    <row r="291" spans="1:22" ht="39">
      <c r="A291" s="3">
        <v>290</v>
      </c>
      <c r="B291" s="3" t="s">
        <v>2787</v>
      </c>
      <c r="C291" s="3" t="s">
        <v>6072</v>
      </c>
      <c r="D291" s="3" t="s">
        <v>5990</v>
      </c>
      <c r="E291" s="3" t="s">
        <v>5991</v>
      </c>
      <c r="F291" s="3" t="s">
        <v>2788</v>
      </c>
      <c r="G291" s="3" t="s">
        <v>5993</v>
      </c>
      <c r="H291" s="3" t="s">
        <v>2822</v>
      </c>
      <c r="I291" s="3" t="s">
        <v>6464</v>
      </c>
      <c r="J291" s="5" t="s">
        <v>7564</v>
      </c>
      <c r="L291" s="3" t="s">
        <v>2823</v>
      </c>
      <c r="M291" s="3">
        <v>21</v>
      </c>
      <c r="N291" s="4" t="s">
        <v>2788</v>
      </c>
      <c r="O291" s="4">
        <v>11</v>
      </c>
      <c r="P291" s="11" t="s">
        <v>9881</v>
      </c>
      <c r="Q291" s="11" t="s">
        <v>9742</v>
      </c>
      <c r="S291" s="4" t="b">
        <f>ISNUMBER(MATCH(Q291,T:T,0))</f>
        <v>1</v>
      </c>
      <c r="T291" s="4" t="s">
        <v>9734</v>
      </c>
      <c r="U291" s="4" t="str">
        <f t="shared" si="10"/>
        <v>都</v>
      </c>
    </row>
    <row r="292" spans="1:22">
      <c r="A292" s="3">
        <v>291</v>
      </c>
      <c r="B292" s="3" t="s">
        <v>2787</v>
      </c>
      <c r="C292" s="3" t="s">
        <v>6049</v>
      </c>
      <c r="D292" s="3" t="s">
        <v>5990</v>
      </c>
      <c r="E292" s="3" t="s">
        <v>5991</v>
      </c>
      <c r="F292" s="3" t="s">
        <v>2788</v>
      </c>
      <c r="G292" s="3" t="s">
        <v>5993</v>
      </c>
      <c r="H292" s="3" t="s">
        <v>2824</v>
      </c>
      <c r="I292" s="3" t="s">
        <v>6464</v>
      </c>
      <c r="J292" s="5" t="s">
        <v>7565</v>
      </c>
      <c r="L292" s="3" t="s">
        <v>2827</v>
      </c>
      <c r="M292" s="3">
        <v>13</v>
      </c>
      <c r="N292" s="4" t="s">
        <v>2788</v>
      </c>
      <c r="O292" s="4">
        <v>11</v>
      </c>
      <c r="P292" s="11" t="s">
        <v>9770</v>
      </c>
      <c r="Q292" s="11" t="s">
        <v>9882</v>
      </c>
      <c r="S292" s="4" t="b">
        <f>ISNUMBER(MATCH(Q292,T:T,0))</f>
        <v>1</v>
      </c>
      <c r="T292" s="4" t="s">
        <v>11066</v>
      </c>
      <c r="U292" s="4" t="str">
        <f t="shared" si="10"/>
        <v>孤</v>
      </c>
    </row>
    <row r="293" spans="1:22">
      <c r="A293" s="3">
        <v>292</v>
      </c>
      <c r="B293" s="3" t="s">
        <v>2787</v>
      </c>
      <c r="C293" s="3" t="s">
        <v>6038</v>
      </c>
      <c r="D293" s="3" t="s">
        <v>5990</v>
      </c>
      <c r="E293" s="3" t="s">
        <v>5991</v>
      </c>
      <c r="F293" s="3" t="s">
        <v>2788</v>
      </c>
      <c r="G293" s="3" t="s">
        <v>5993</v>
      </c>
      <c r="H293" s="3" t="s">
        <v>2828</v>
      </c>
      <c r="I293" s="3" t="s">
        <v>6464</v>
      </c>
      <c r="J293" s="5" t="s">
        <v>7566</v>
      </c>
      <c r="L293" s="3" t="s">
        <v>2830</v>
      </c>
      <c r="M293" s="3">
        <v>11</v>
      </c>
      <c r="N293" s="4" t="s">
        <v>2788</v>
      </c>
      <c r="O293" s="4">
        <v>11</v>
      </c>
      <c r="P293" s="11" t="s">
        <v>9728</v>
      </c>
      <c r="Q293" s="11" t="s">
        <v>9870</v>
      </c>
      <c r="S293" s="4" t="b">
        <f>ISNUMBER(MATCH(Q293,T:T,0))</f>
        <v>1</v>
      </c>
      <c r="T293" s="4" t="s">
        <v>10356</v>
      </c>
      <c r="U293" s="4" t="str">
        <f t="shared" si="10"/>
        <v>胡</v>
      </c>
    </row>
    <row r="294" spans="1:22">
      <c r="A294" s="3">
        <v>293</v>
      </c>
      <c r="B294" s="3" t="s">
        <v>2787</v>
      </c>
      <c r="C294" s="3" t="s">
        <v>6076</v>
      </c>
      <c r="D294" s="3" t="s">
        <v>5990</v>
      </c>
      <c r="E294" s="3" t="s">
        <v>5991</v>
      </c>
      <c r="F294" s="3" t="s">
        <v>2788</v>
      </c>
      <c r="G294" s="3" t="s">
        <v>5993</v>
      </c>
      <c r="H294" s="3" t="s">
        <v>2831</v>
      </c>
      <c r="I294" s="3" t="s">
        <v>6464</v>
      </c>
      <c r="J294" s="5" t="s">
        <v>7567</v>
      </c>
      <c r="L294" s="3" t="s">
        <v>2833</v>
      </c>
      <c r="M294" s="3">
        <v>6</v>
      </c>
      <c r="N294" s="4" t="s">
        <v>2788</v>
      </c>
      <c r="O294" s="4">
        <v>11</v>
      </c>
      <c r="P294" s="11" t="s">
        <v>9735</v>
      </c>
      <c r="Q294" s="11" t="s">
        <v>9870</v>
      </c>
      <c r="S294" s="4" t="b">
        <f>ISNUMBER(MATCH(Q294,T:T,0))</f>
        <v>1</v>
      </c>
      <c r="T294" s="4" t="s">
        <v>10544</v>
      </c>
      <c r="U294" s="4" t="str">
        <f t="shared" si="10"/>
        <v>胡</v>
      </c>
    </row>
    <row r="295" spans="1:22">
      <c r="A295" s="3">
        <v>294</v>
      </c>
      <c r="B295" s="3" t="s">
        <v>2787</v>
      </c>
      <c r="C295" s="3" t="s">
        <v>6079</v>
      </c>
      <c r="D295" s="3" t="s">
        <v>5990</v>
      </c>
      <c r="E295" s="3" t="s">
        <v>5991</v>
      </c>
      <c r="F295" s="3" t="s">
        <v>2788</v>
      </c>
      <c r="G295" s="3" t="s">
        <v>5993</v>
      </c>
      <c r="H295" s="3" t="s">
        <v>2834</v>
      </c>
      <c r="I295" s="3" t="s">
        <v>6464</v>
      </c>
      <c r="J295" s="5" t="s">
        <v>7568</v>
      </c>
      <c r="L295" s="3" t="s">
        <v>2835</v>
      </c>
      <c r="M295" s="3">
        <v>12</v>
      </c>
      <c r="N295" s="4" t="s">
        <v>2788</v>
      </c>
      <c r="O295" s="4">
        <v>11</v>
      </c>
      <c r="P295" s="11" t="s">
        <v>9736</v>
      </c>
      <c r="Q295" s="11" t="s">
        <v>9870</v>
      </c>
      <c r="S295" s="4" t="b">
        <f>ISNUMBER(MATCH(Q295,T:T,0))</f>
        <v>1</v>
      </c>
      <c r="T295" s="4" t="s">
        <v>11067</v>
      </c>
      <c r="U295" s="4" t="str">
        <f t="shared" si="10"/>
        <v>胡</v>
      </c>
    </row>
    <row r="296" spans="1:22">
      <c r="A296" s="3">
        <v>295</v>
      </c>
      <c r="B296" s="3" t="s">
        <v>2787</v>
      </c>
      <c r="C296" s="3" t="s">
        <v>5989</v>
      </c>
      <c r="D296" s="3" t="s">
        <v>5990</v>
      </c>
      <c r="E296" s="3" t="s">
        <v>5991</v>
      </c>
      <c r="F296" s="3" t="s">
        <v>2788</v>
      </c>
      <c r="G296" s="3" t="s">
        <v>5993</v>
      </c>
      <c r="H296" s="3" t="s">
        <v>2836</v>
      </c>
      <c r="I296" s="3" t="s">
        <v>6464</v>
      </c>
      <c r="J296" s="5" t="s">
        <v>2837</v>
      </c>
      <c r="L296" s="3" t="s">
        <v>2839</v>
      </c>
      <c r="M296" s="3">
        <v>7</v>
      </c>
      <c r="N296" s="4" t="s">
        <v>2788</v>
      </c>
      <c r="O296" s="4">
        <v>11</v>
      </c>
      <c r="P296" s="11" t="s">
        <v>9883</v>
      </c>
      <c r="Q296" s="11" t="s">
        <v>9882</v>
      </c>
      <c r="S296" s="4" t="b">
        <f>ISNUMBER(MATCH(Q296,T:T,0))</f>
        <v>1</v>
      </c>
      <c r="T296" s="4" t="s">
        <v>9742</v>
      </c>
      <c r="U296" s="4" t="str">
        <f t="shared" si="10"/>
        <v>孤</v>
      </c>
    </row>
    <row r="297" spans="1:22">
      <c r="A297" s="3">
        <v>296</v>
      </c>
      <c r="B297" s="3" t="s">
        <v>2787</v>
      </c>
      <c r="C297" s="3" t="s">
        <v>6053</v>
      </c>
      <c r="D297" s="3" t="s">
        <v>5990</v>
      </c>
      <c r="E297" s="3" t="s">
        <v>5991</v>
      </c>
      <c r="F297" s="3" t="s">
        <v>2788</v>
      </c>
      <c r="G297" s="3" t="s">
        <v>5993</v>
      </c>
      <c r="H297" s="3" t="s">
        <v>2840</v>
      </c>
      <c r="I297" s="3" t="s">
        <v>6464</v>
      </c>
      <c r="J297" s="5" t="s">
        <v>7569</v>
      </c>
      <c r="L297" s="3" t="s">
        <v>2841</v>
      </c>
      <c r="M297" s="3">
        <v>12</v>
      </c>
      <c r="N297" s="4" t="s">
        <v>2788</v>
      </c>
      <c r="O297" s="4">
        <v>11</v>
      </c>
      <c r="P297" s="11" t="s">
        <v>9884</v>
      </c>
      <c r="Q297" s="11" t="s">
        <v>9870</v>
      </c>
      <c r="S297" s="4" t="b">
        <f>ISNUMBER(MATCH(Q297,T:T,0))</f>
        <v>1</v>
      </c>
      <c r="T297" s="4" t="s">
        <v>11068</v>
      </c>
      <c r="U297" s="4" t="str">
        <f t="shared" si="10"/>
        <v>胡</v>
      </c>
    </row>
    <row r="298" spans="1:22">
      <c r="A298" s="3">
        <v>297</v>
      </c>
      <c r="B298" s="3" t="s">
        <v>2842</v>
      </c>
      <c r="C298" s="3" t="s">
        <v>6069</v>
      </c>
      <c r="D298" s="3" t="s">
        <v>2843</v>
      </c>
      <c r="E298" s="3" t="s">
        <v>5991</v>
      </c>
      <c r="F298" s="3" t="s">
        <v>2844</v>
      </c>
      <c r="G298" s="3" t="s">
        <v>5993</v>
      </c>
      <c r="H298" s="3" t="s">
        <v>2845</v>
      </c>
      <c r="I298" s="3" t="s">
        <v>2846</v>
      </c>
      <c r="J298" s="5" t="s">
        <v>2847</v>
      </c>
      <c r="L298" s="3" t="s">
        <v>6244</v>
      </c>
      <c r="M298" s="3">
        <v>9</v>
      </c>
      <c r="N298" s="4" t="s">
        <v>2844</v>
      </c>
      <c r="O298" s="4">
        <v>12</v>
      </c>
      <c r="P298" s="11" t="s">
        <v>9733</v>
      </c>
      <c r="Q298" s="11" t="s">
        <v>9885</v>
      </c>
      <c r="S298" s="4" t="b">
        <f>ISNUMBER(MATCH(Q298,T:T,0))</f>
        <v>1</v>
      </c>
      <c r="T298" s="4" t="s">
        <v>2844</v>
      </c>
      <c r="U298" s="4" t="str">
        <f t="shared" si="10"/>
        <v>奚</v>
      </c>
    </row>
    <row r="299" spans="1:22" ht="39">
      <c r="A299" s="3">
        <v>298</v>
      </c>
      <c r="B299" s="3" t="s">
        <v>2842</v>
      </c>
      <c r="C299" s="3" t="s">
        <v>6058</v>
      </c>
      <c r="D299" s="3" t="s">
        <v>2843</v>
      </c>
      <c r="E299" s="3" t="s">
        <v>5991</v>
      </c>
      <c r="F299" s="3" t="s">
        <v>2844</v>
      </c>
      <c r="G299" s="3" t="s">
        <v>5993</v>
      </c>
      <c r="H299" s="3" t="s">
        <v>2849</v>
      </c>
      <c r="I299" s="3" t="s">
        <v>2846</v>
      </c>
      <c r="J299" s="5" t="s">
        <v>7570</v>
      </c>
      <c r="L299" s="3" t="s">
        <v>6264</v>
      </c>
      <c r="M299" s="3">
        <v>21</v>
      </c>
      <c r="N299" s="4" t="s">
        <v>2844</v>
      </c>
      <c r="O299" s="4">
        <v>12</v>
      </c>
      <c r="P299" s="11" t="s">
        <v>9886</v>
      </c>
      <c r="Q299" s="11" t="s">
        <v>9885</v>
      </c>
      <c r="S299" s="4" t="b">
        <f>ISNUMBER(MATCH(Q299,T:T,0))</f>
        <v>1</v>
      </c>
      <c r="T299" s="4" t="s">
        <v>11069</v>
      </c>
      <c r="U299" s="4" t="str">
        <f t="shared" si="10"/>
        <v>奚</v>
      </c>
    </row>
    <row r="300" spans="1:22">
      <c r="A300" s="3">
        <v>299</v>
      </c>
      <c r="B300" s="3" t="s">
        <v>2842</v>
      </c>
      <c r="C300" s="3" t="s">
        <v>6076</v>
      </c>
      <c r="D300" s="3" t="s">
        <v>2843</v>
      </c>
      <c r="E300" s="3" t="s">
        <v>5991</v>
      </c>
      <c r="F300" s="3" t="s">
        <v>2844</v>
      </c>
      <c r="G300" s="3" t="s">
        <v>5993</v>
      </c>
      <c r="H300" s="3" t="s">
        <v>2850</v>
      </c>
      <c r="I300" s="3" t="s">
        <v>2846</v>
      </c>
      <c r="J300" s="5" t="s">
        <v>2851</v>
      </c>
      <c r="L300" s="3" t="s">
        <v>6251</v>
      </c>
      <c r="M300" s="3">
        <v>10</v>
      </c>
      <c r="N300" s="4" t="s">
        <v>2844</v>
      </c>
      <c r="O300" s="4">
        <v>12</v>
      </c>
      <c r="P300" s="11" t="s">
        <v>9766</v>
      </c>
      <c r="Q300" s="11" t="s">
        <v>9887</v>
      </c>
      <c r="R300" s="4" t="s">
        <v>13013</v>
      </c>
      <c r="S300" s="4" t="b">
        <f>ISNUMBER(MATCH(Q300,T:T,0))</f>
        <v>0</v>
      </c>
      <c r="T300" s="4" t="s">
        <v>11070</v>
      </c>
      <c r="U300" s="4" t="str">
        <f t="shared" si="10"/>
        <v>雞</v>
      </c>
      <c r="V300" s="4" t="b">
        <f>ISNUMBER(MATCH(R300,T:T,0))</f>
        <v>1</v>
      </c>
    </row>
    <row r="301" spans="1:22" ht="39">
      <c r="A301" s="3">
        <v>300</v>
      </c>
      <c r="B301" s="3" t="s">
        <v>2842</v>
      </c>
      <c r="C301" s="3" t="s">
        <v>5989</v>
      </c>
      <c r="D301" s="3" t="s">
        <v>2843</v>
      </c>
      <c r="E301" s="3" t="s">
        <v>5991</v>
      </c>
      <c r="F301" s="3" t="s">
        <v>2844</v>
      </c>
      <c r="G301" s="3" t="s">
        <v>5993</v>
      </c>
      <c r="H301" s="3" t="s">
        <v>2853</v>
      </c>
      <c r="I301" s="3" t="s">
        <v>2846</v>
      </c>
      <c r="J301" s="5" t="s">
        <v>7571</v>
      </c>
      <c r="K301" s="3" t="s">
        <v>2854</v>
      </c>
      <c r="L301" s="3" t="s">
        <v>2855</v>
      </c>
      <c r="M301" s="3">
        <v>22</v>
      </c>
      <c r="N301" s="4" t="s">
        <v>2844</v>
      </c>
      <c r="O301" s="4">
        <v>12</v>
      </c>
      <c r="P301" s="11" t="s">
        <v>9742</v>
      </c>
      <c r="Q301" s="11" t="s">
        <v>9885</v>
      </c>
      <c r="S301" s="4" t="b">
        <f>ISNUMBER(MATCH(Q301,T:T,0))</f>
        <v>1</v>
      </c>
      <c r="T301" s="4" t="s">
        <v>9896</v>
      </c>
      <c r="U301" s="4" t="str">
        <f t="shared" si="10"/>
        <v>奚</v>
      </c>
    </row>
    <row r="302" spans="1:22" ht="78">
      <c r="A302" s="3">
        <v>301</v>
      </c>
      <c r="B302" s="3" t="s">
        <v>2842</v>
      </c>
      <c r="C302" s="3" t="s">
        <v>5997</v>
      </c>
      <c r="D302" s="3" t="s">
        <v>2843</v>
      </c>
      <c r="E302" s="3" t="s">
        <v>5991</v>
      </c>
      <c r="F302" s="3" t="s">
        <v>2844</v>
      </c>
      <c r="G302" s="3" t="s">
        <v>5993</v>
      </c>
      <c r="H302" s="3" t="s">
        <v>2856</v>
      </c>
      <c r="I302" s="3" t="s">
        <v>2846</v>
      </c>
      <c r="J302" s="5" t="s">
        <v>7572</v>
      </c>
      <c r="K302" s="3" t="s">
        <v>2858</v>
      </c>
      <c r="L302" s="3" t="s">
        <v>2859</v>
      </c>
      <c r="M302" s="3">
        <v>60</v>
      </c>
      <c r="N302" s="4" t="s">
        <v>2844</v>
      </c>
      <c r="O302" s="4">
        <v>12</v>
      </c>
      <c r="P302" s="11" t="s">
        <v>9888</v>
      </c>
      <c r="Q302" s="11" t="s">
        <v>9885</v>
      </c>
      <c r="S302" s="4" t="b">
        <f>ISNUMBER(MATCH(Q302,T:T,0))</f>
        <v>1</v>
      </c>
      <c r="T302" s="4" t="s">
        <v>11071</v>
      </c>
      <c r="U302" s="4" t="str">
        <f t="shared" si="10"/>
        <v>奚</v>
      </c>
    </row>
    <row r="303" spans="1:22">
      <c r="A303" s="3">
        <v>302</v>
      </c>
      <c r="B303" s="3" t="s">
        <v>2842</v>
      </c>
      <c r="C303" s="3" t="s">
        <v>6049</v>
      </c>
      <c r="D303" s="3" t="s">
        <v>2843</v>
      </c>
      <c r="E303" s="3" t="s">
        <v>5991</v>
      </c>
      <c r="F303" s="3" t="s">
        <v>2844</v>
      </c>
      <c r="G303" s="3" t="s">
        <v>5993</v>
      </c>
      <c r="H303" s="3" t="s">
        <v>2860</v>
      </c>
      <c r="I303" s="3" t="s">
        <v>2846</v>
      </c>
      <c r="J303" s="5" t="s">
        <v>7573</v>
      </c>
      <c r="L303" s="3" t="s">
        <v>6236</v>
      </c>
      <c r="M303" s="3">
        <v>16</v>
      </c>
      <c r="N303" s="4" t="s">
        <v>2844</v>
      </c>
      <c r="O303" s="4">
        <v>12</v>
      </c>
      <c r="P303" s="11" t="s">
        <v>9889</v>
      </c>
      <c r="Q303" s="11" t="s">
        <v>9890</v>
      </c>
      <c r="R303" s="4" t="s">
        <v>13014</v>
      </c>
      <c r="S303" s="4" t="b">
        <f>ISNUMBER(MATCH(Q303,T:T,0))</f>
        <v>0</v>
      </c>
      <c r="T303" s="4" t="s">
        <v>11072</v>
      </c>
      <c r="U303" s="4" t="str">
        <f t="shared" si="10"/>
        <v>奚</v>
      </c>
      <c r="V303" s="4" t="b">
        <f>ISNUMBER(MATCH(R303,T:T,0))</f>
        <v>1</v>
      </c>
    </row>
    <row r="304" spans="1:22">
      <c r="A304" s="3">
        <v>303</v>
      </c>
      <c r="B304" s="3" t="s">
        <v>2842</v>
      </c>
      <c r="C304" s="3" t="s">
        <v>6025</v>
      </c>
      <c r="D304" s="3" t="s">
        <v>2843</v>
      </c>
      <c r="E304" s="3" t="s">
        <v>5991</v>
      </c>
      <c r="F304" s="3" t="s">
        <v>2844</v>
      </c>
      <c r="G304" s="3" t="s">
        <v>5993</v>
      </c>
      <c r="H304" s="3" t="s">
        <v>2861</v>
      </c>
      <c r="I304" s="3" t="s">
        <v>2846</v>
      </c>
      <c r="J304" s="5" t="s">
        <v>7574</v>
      </c>
      <c r="L304" s="3" t="s">
        <v>6270</v>
      </c>
      <c r="M304" s="3">
        <v>10</v>
      </c>
      <c r="N304" s="4" t="s">
        <v>2844</v>
      </c>
      <c r="O304" s="4">
        <v>12</v>
      </c>
      <c r="P304" s="11" t="s">
        <v>9729</v>
      </c>
      <c r="Q304" s="11" t="s">
        <v>9885</v>
      </c>
      <c r="S304" s="4" t="b">
        <f>ISNUMBER(MATCH(Q304,T:T,0))</f>
        <v>1</v>
      </c>
      <c r="T304" s="4" t="s">
        <v>9891</v>
      </c>
      <c r="U304" s="4" t="str">
        <f t="shared" si="10"/>
        <v>奚</v>
      </c>
    </row>
    <row r="305" spans="1:22">
      <c r="A305" s="3">
        <v>304</v>
      </c>
      <c r="B305" s="3" t="s">
        <v>2842</v>
      </c>
      <c r="C305" s="3" t="s">
        <v>6067</v>
      </c>
      <c r="D305" s="3" t="s">
        <v>2843</v>
      </c>
      <c r="E305" s="3" t="s">
        <v>5991</v>
      </c>
      <c r="F305" s="3" t="s">
        <v>2844</v>
      </c>
      <c r="G305" s="3" t="s">
        <v>5993</v>
      </c>
      <c r="H305" s="3" t="s">
        <v>2863</v>
      </c>
      <c r="I305" s="3" t="s">
        <v>2846</v>
      </c>
      <c r="J305" s="5" t="s">
        <v>7575</v>
      </c>
      <c r="L305" s="3" t="s">
        <v>2864</v>
      </c>
      <c r="M305" s="3">
        <v>18</v>
      </c>
      <c r="N305" s="4" t="s">
        <v>2844</v>
      </c>
      <c r="O305" s="4">
        <v>12</v>
      </c>
      <c r="P305" s="11" t="s">
        <v>9870</v>
      </c>
      <c r="Q305" s="11" t="s">
        <v>9891</v>
      </c>
      <c r="S305" s="4" t="b">
        <f>ISNUMBER(MATCH(Q305,T:T,0))</f>
        <v>1</v>
      </c>
      <c r="T305" s="4" t="s">
        <v>9885</v>
      </c>
      <c r="U305" s="4" t="str">
        <f t="shared" si="10"/>
        <v>雞</v>
      </c>
    </row>
    <row r="306" spans="1:22">
      <c r="A306" s="3">
        <v>305</v>
      </c>
      <c r="B306" s="3" t="s">
        <v>2842</v>
      </c>
      <c r="C306" s="3" t="s">
        <v>6072</v>
      </c>
      <c r="D306" s="3" t="s">
        <v>2843</v>
      </c>
      <c r="E306" s="3" t="s">
        <v>5991</v>
      </c>
      <c r="F306" s="3" t="s">
        <v>2844</v>
      </c>
      <c r="G306" s="3" t="s">
        <v>5993</v>
      </c>
      <c r="H306" s="3" t="s">
        <v>2865</v>
      </c>
      <c r="I306" s="3" t="s">
        <v>2846</v>
      </c>
      <c r="J306" s="5" t="s">
        <v>2866</v>
      </c>
      <c r="L306" s="3" t="s">
        <v>6288</v>
      </c>
      <c r="M306" s="3">
        <v>12</v>
      </c>
      <c r="N306" s="4" t="s">
        <v>2844</v>
      </c>
      <c r="O306" s="4">
        <v>12</v>
      </c>
      <c r="P306" s="11" t="s">
        <v>9734</v>
      </c>
      <c r="Q306" s="11" t="s">
        <v>9885</v>
      </c>
      <c r="S306" s="4" t="b">
        <f>ISNUMBER(MATCH(Q306,T:T,0))</f>
        <v>1</v>
      </c>
      <c r="T306" s="4" t="s">
        <v>10689</v>
      </c>
      <c r="U306" s="4" t="str">
        <f t="shared" si="10"/>
        <v>奚</v>
      </c>
    </row>
    <row r="307" spans="1:22">
      <c r="A307" s="3">
        <v>306</v>
      </c>
      <c r="B307" s="3" t="s">
        <v>2842</v>
      </c>
      <c r="C307" s="3" t="s">
        <v>6092</v>
      </c>
      <c r="D307" s="3" t="s">
        <v>2843</v>
      </c>
      <c r="E307" s="3" t="s">
        <v>5991</v>
      </c>
      <c r="F307" s="3" t="s">
        <v>2844</v>
      </c>
      <c r="G307" s="3" t="s">
        <v>5993</v>
      </c>
      <c r="H307" s="3" t="s">
        <v>2867</v>
      </c>
      <c r="I307" s="3" t="s">
        <v>2846</v>
      </c>
      <c r="J307" s="5" t="s">
        <v>7576</v>
      </c>
      <c r="L307" s="3" t="s">
        <v>6211</v>
      </c>
      <c r="M307" s="3">
        <v>18</v>
      </c>
      <c r="N307" s="4" t="s">
        <v>2844</v>
      </c>
      <c r="O307" s="4">
        <v>12</v>
      </c>
      <c r="P307" s="11" t="s">
        <v>9740</v>
      </c>
      <c r="Q307" s="11" t="s">
        <v>9887</v>
      </c>
      <c r="R307" s="4" t="s">
        <v>13013</v>
      </c>
      <c r="S307" s="4" t="b">
        <f>ISNUMBER(MATCH(Q307,T:T,0))</f>
        <v>0</v>
      </c>
      <c r="T307" s="4" t="s">
        <v>11073</v>
      </c>
      <c r="U307" s="4" t="str">
        <f t="shared" si="10"/>
        <v>雞</v>
      </c>
      <c r="V307" s="4" t="b">
        <f>ISNUMBER(MATCH(R307,T:T,0))</f>
        <v>1</v>
      </c>
    </row>
    <row r="308" spans="1:22">
      <c r="A308" s="3">
        <v>307</v>
      </c>
      <c r="B308" s="3" t="s">
        <v>2842</v>
      </c>
      <c r="C308" s="3" t="s">
        <v>6089</v>
      </c>
      <c r="D308" s="3" t="s">
        <v>2843</v>
      </c>
      <c r="E308" s="3" t="s">
        <v>5991</v>
      </c>
      <c r="F308" s="3" t="s">
        <v>2844</v>
      </c>
      <c r="G308" s="3" t="s">
        <v>5993</v>
      </c>
      <c r="H308" s="3" t="s">
        <v>2868</v>
      </c>
      <c r="I308" s="3" t="s">
        <v>2846</v>
      </c>
      <c r="J308" s="5" t="s">
        <v>7577</v>
      </c>
      <c r="L308" s="3" t="s">
        <v>6248</v>
      </c>
      <c r="M308" s="3">
        <v>6</v>
      </c>
      <c r="N308" s="4" t="s">
        <v>2844</v>
      </c>
      <c r="O308" s="4">
        <v>12</v>
      </c>
      <c r="P308" s="11" t="s">
        <v>9739</v>
      </c>
      <c r="Q308" s="11" t="s">
        <v>9891</v>
      </c>
      <c r="S308" s="4" t="b">
        <f>ISNUMBER(MATCH(Q308,T:T,0))</f>
        <v>1</v>
      </c>
      <c r="T308" s="4" t="s">
        <v>11074</v>
      </c>
      <c r="U308" s="4" t="str">
        <f t="shared" si="10"/>
        <v>雞</v>
      </c>
    </row>
    <row r="309" spans="1:22">
      <c r="A309" s="3">
        <v>308</v>
      </c>
      <c r="B309" s="3" t="s">
        <v>2842</v>
      </c>
      <c r="C309" s="3" t="s">
        <v>6017</v>
      </c>
      <c r="D309" s="3" t="s">
        <v>2843</v>
      </c>
      <c r="E309" s="3" t="s">
        <v>5991</v>
      </c>
      <c r="F309" s="3" t="s">
        <v>2844</v>
      </c>
      <c r="G309" s="3" t="s">
        <v>5993</v>
      </c>
      <c r="H309" s="3" t="s">
        <v>2870</v>
      </c>
      <c r="I309" s="3" t="s">
        <v>2846</v>
      </c>
      <c r="J309" s="5" t="s">
        <v>7578</v>
      </c>
      <c r="K309" s="3" t="s">
        <v>2872</v>
      </c>
      <c r="L309" s="3" t="s">
        <v>6248</v>
      </c>
      <c r="M309" s="3">
        <v>16</v>
      </c>
      <c r="N309" s="4" t="s">
        <v>2844</v>
      </c>
      <c r="O309" s="4">
        <v>12</v>
      </c>
      <c r="P309" s="11" t="s">
        <v>8121</v>
      </c>
      <c r="Q309" s="11" t="s">
        <v>9887</v>
      </c>
      <c r="R309" s="4" t="s">
        <v>13013</v>
      </c>
      <c r="S309" s="4" t="b">
        <f>ISNUMBER(MATCH(Q309,T:T,0))</f>
        <v>0</v>
      </c>
      <c r="T309" s="4" t="s">
        <v>11075</v>
      </c>
      <c r="U309" s="4" t="str">
        <f t="shared" si="10"/>
        <v>雞</v>
      </c>
      <c r="V309" s="4" t="b">
        <f>ISNUMBER(MATCH(R309,T:T,0))</f>
        <v>1</v>
      </c>
    </row>
    <row r="310" spans="1:22">
      <c r="A310" s="3">
        <v>309</v>
      </c>
      <c r="B310" s="3" t="s">
        <v>2842</v>
      </c>
      <c r="C310" s="3" t="s">
        <v>6079</v>
      </c>
      <c r="D310" s="3" t="s">
        <v>2843</v>
      </c>
      <c r="E310" s="3" t="s">
        <v>5991</v>
      </c>
      <c r="F310" s="3" t="s">
        <v>2844</v>
      </c>
      <c r="G310" s="3" t="s">
        <v>5993</v>
      </c>
      <c r="H310" s="3" t="s">
        <v>2873</v>
      </c>
      <c r="I310" s="3" t="s">
        <v>2846</v>
      </c>
      <c r="J310" s="5" t="s">
        <v>2874</v>
      </c>
      <c r="L310" s="3" t="s">
        <v>2875</v>
      </c>
      <c r="M310" s="3">
        <v>9</v>
      </c>
      <c r="N310" s="4" t="s">
        <v>2844</v>
      </c>
      <c r="O310" s="4">
        <v>12</v>
      </c>
      <c r="P310" s="11" t="s">
        <v>9892</v>
      </c>
      <c r="Q310" s="11" t="s">
        <v>9891</v>
      </c>
      <c r="S310" s="4" t="b">
        <f>ISNUMBER(MATCH(Q310,T:T,0))</f>
        <v>1</v>
      </c>
      <c r="T310" s="4" t="s">
        <v>11076</v>
      </c>
      <c r="U310" s="4" t="str">
        <f t="shared" si="10"/>
        <v>雞</v>
      </c>
    </row>
    <row r="311" spans="1:22">
      <c r="A311" s="3">
        <v>310</v>
      </c>
      <c r="B311" s="3" t="s">
        <v>2842</v>
      </c>
      <c r="C311" s="3" t="s">
        <v>6045</v>
      </c>
      <c r="D311" s="3" t="s">
        <v>2843</v>
      </c>
      <c r="E311" s="3" t="s">
        <v>5991</v>
      </c>
      <c r="F311" s="3" t="s">
        <v>2844</v>
      </c>
      <c r="G311" s="3" t="s">
        <v>5993</v>
      </c>
      <c r="H311" s="3" t="s">
        <v>2876</v>
      </c>
      <c r="I311" s="3" t="s">
        <v>2846</v>
      </c>
      <c r="J311" s="5" t="s">
        <v>2877</v>
      </c>
      <c r="L311" s="3" t="s">
        <v>6256</v>
      </c>
      <c r="M311" s="3">
        <v>7</v>
      </c>
      <c r="N311" s="4" t="s">
        <v>2844</v>
      </c>
      <c r="O311" s="4">
        <v>12</v>
      </c>
      <c r="P311" s="11" t="s">
        <v>9893</v>
      </c>
      <c r="Q311" s="11" t="s">
        <v>9894</v>
      </c>
      <c r="S311" s="4" t="b">
        <f>ISNUMBER(MATCH(Q311,T:T,0))</f>
        <v>1</v>
      </c>
      <c r="T311" s="4" t="s">
        <v>11077</v>
      </c>
      <c r="U311" s="4" t="str">
        <f t="shared" si="10"/>
        <v>迷</v>
      </c>
    </row>
    <row r="312" spans="1:22">
      <c r="A312" s="3">
        <v>311</v>
      </c>
      <c r="B312" s="3" t="s">
        <v>2842</v>
      </c>
      <c r="C312" s="3" t="s">
        <v>6053</v>
      </c>
      <c r="D312" s="3" t="s">
        <v>2843</v>
      </c>
      <c r="E312" s="3" t="s">
        <v>5991</v>
      </c>
      <c r="F312" s="3" t="s">
        <v>2844</v>
      </c>
      <c r="G312" s="3" t="s">
        <v>5993</v>
      </c>
      <c r="H312" s="3" t="s">
        <v>2878</v>
      </c>
      <c r="I312" s="3" t="s">
        <v>2846</v>
      </c>
      <c r="J312" s="8" t="s">
        <v>7579</v>
      </c>
      <c r="L312" s="3" t="s">
        <v>6234</v>
      </c>
      <c r="M312" s="3">
        <v>7</v>
      </c>
      <c r="N312" s="4" t="s">
        <v>2844</v>
      </c>
      <c r="O312" s="4">
        <v>12</v>
      </c>
      <c r="P312" s="11" t="s">
        <v>9772</v>
      </c>
      <c r="Q312" s="11" t="s">
        <v>9894</v>
      </c>
      <c r="S312" s="4" t="b">
        <f>ISNUMBER(MATCH(Q312,T:T,0))</f>
        <v>1</v>
      </c>
      <c r="T312" s="4" t="s">
        <v>11078</v>
      </c>
      <c r="U312" s="4" t="str">
        <f t="shared" si="10"/>
        <v>迷</v>
      </c>
    </row>
    <row r="313" spans="1:22" ht="28.5">
      <c r="A313" s="3">
        <v>312</v>
      </c>
      <c r="B313" s="3" t="s">
        <v>2842</v>
      </c>
      <c r="C313" s="3" t="s">
        <v>6083</v>
      </c>
      <c r="D313" s="3" t="s">
        <v>2843</v>
      </c>
      <c r="E313" s="3" t="s">
        <v>5991</v>
      </c>
      <c r="F313" s="3" t="s">
        <v>2844</v>
      </c>
      <c r="G313" s="3" t="s">
        <v>5993</v>
      </c>
      <c r="H313" s="3" t="s">
        <v>2879</v>
      </c>
      <c r="I313" s="3" t="s">
        <v>2846</v>
      </c>
      <c r="J313" s="5" t="s">
        <v>7580</v>
      </c>
      <c r="K313" s="3" t="s">
        <v>571</v>
      </c>
      <c r="L313" s="3" t="s">
        <v>6270</v>
      </c>
      <c r="M313" s="3">
        <v>15</v>
      </c>
      <c r="N313" s="4" t="s">
        <v>2844</v>
      </c>
      <c r="O313" s="4">
        <v>12</v>
      </c>
      <c r="P313" s="11" t="s">
        <v>9895</v>
      </c>
      <c r="Q313" s="11" t="s">
        <v>9887</v>
      </c>
      <c r="R313" s="4" t="s">
        <v>13013</v>
      </c>
      <c r="S313" s="4" t="b">
        <f>ISNUMBER(MATCH(Q313,T:T,0))</f>
        <v>0</v>
      </c>
      <c r="T313" s="4" t="s">
        <v>11079</v>
      </c>
      <c r="U313" s="4" t="str">
        <f t="shared" si="10"/>
        <v>雞</v>
      </c>
      <c r="V313" s="4" t="b">
        <f t="shared" ref="V313:V314" si="12">ISNUMBER(MATCH(R313,T:T,0))</f>
        <v>1</v>
      </c>
    </row>
    <row r="314" spans="1:22">
      <c r="A314" s="3">
        <v>313</v>
      </c>
      <c r="B314" s="3" t="s">
        <v>2842</v>
      </c>
      <c r="C314" s="3" t="s">
        <v>6035</v>
      </c>
      <c r="D314" s="3" t="s">
        <v>2843</v>
      </c>
      <c r="E314" s="3" t="s">
        <v>5991</v>
      </c>
      <c r="F314" s="3" t="s">
        <v>2844</v>
      </c>
      <c r="G314" s="3" t="s">
        <v>5993</v>
      </c>
      <c r="H314" s="3" t="s">
        <v>2881</v>
      </c>
      <c r="I314" s="3" t="s">
        <v>2846</v>
      </c>
      <c r="J314" s="5" t="s">
        <v>2882</v>
      </c>
      <c r="L314" s="3" t="s">
        <v>6222</v>
      </c>
      <c r="M314" s="3">
        <v>6</v>
      </c>
      <c r="N314" s="4" t="s">
        <v>2844</v>
      </c>
      <c r="O314" s="4">
        <v>12</v>
      </c>
      <c r="P314" s="11" t="s">
        <v>9719</v>
      </c>
      <c r="Q314" s="11" t="s">
        <v>9890</v>
      </c>
      <c r="R314" s="4" t="s">
        <v>13014</v>
      </c>
      <c r="S314" s="4" t="b">
        <f>ISNUMBER(MATCH(Q314,T:T,0))</f>
        <v>0</v>
      </c>
      <c r="T314" s="4" t="s">
        <v>9894</v>
      </c>
      <c r="U314" s="4" t="str">
        <f t="shared" si="10"/>
        <v>奚</v>
      </c>
      <c r="V314" s="4" t="b">
        <f t="shared" si="12"/>
        <v>1</v>
      </c>
    </row>
    <row r="315" spans="1:22">
      <c r="A315" s="3">
        <v>314</v>
      </c>
      <c r="B315" s="3" t="s">
        <v>2842</v>
      </c>
      <c r="C315" s="3" t="s">
        <v>6102</v>
      </c>
      <c r="D315" s="3" t="s">
        <v>2843</v>
      </c>
      <c r="E315" s="3" t="s">
        <v>5991</v>
      </c>
      <c r="F315" s="3" t="s">
        <v>2844</v>
      </c>
      <c r="G315" s="3" t="s">
        <v>5993</v>
      </c>
      <c r="H315" s="3" t="s">
        <v>2883</v>
      </c>
      <c r="I315" s="3" t="s">
        <v>2846</v>
      </c>
      <c r="J315" s="5" t="s">
        <v>7581</v>
      </c>
      <c r="L315" s="3" t="s">
        <v>6346</v>
      </c>
      <c r="M315" s="3">
        <v>4</v>
      </c>
      <c r="N315" s="4" t="s">
        <v>2844</v>
      </c>
      <c r="O315" s="4">
        <v>12</v>
      </c>
      <c r="P315" s="11" t="s">
        <v>9744</v>
      </c>
      <c r="Q315" s="11" t="s">
        <v>9896</v>
      </c>
      <c r="S315" s="4" t="b">
        <f>ISNUMBER(MATCH(Q315,T:T,0))</f>
        <v>1</v>
      </c>
      <c r="T315" s="4" t="s">
        <v>6102</v>
      </c>
      <c r="U315" s="4" t="str">
        <f t="shared" si="10"/>
        <v>低</v>
      </c>
    </row>
    <row r="316" spans="1:22">
      <c r="A316" s="3">
        <v>315</v>
      </c>
      <c r="B316" s="3" t="s">
        <v>2842</v>
      </c>
      <c r="C316" s="3" t="s">
        <v>6038</v>
      </c>
      <c r="D316" s="3" t="s">
        <v>2843</v>
      </c>
      <c r="E316" s="3" t="s">
        <v>5991</v>
      </c>
      <c r="F316" s="3" t="s">
        <v>2844</v>
      </c>
      <c r="G316" s="3" t="s">
        <v>5993</v>
      </c>
      <c r="H316" s="3" t="s">
        <v>2884</v>
      </c>
      <c r="I316" s="3" t="s">
        <v>2846</v>
      </c>
      <c r="J316" s="5" t="s">
        <v>7582</v>
      </c>
      <c r="L316" s="3" t="s">
        <v>6251</v>
      </c>
      <c r="M316" s="3">
        <v>8</v>
      </c>
      <c r="N316" s="4" t="s">
        <v>2844</v>
      </c>
      <c r="O316" s="4">
        <v>12</v>
      </c>
      <c r="P316" s="11" t="s">
        <v>9728</v>
      </c>
      <c r="Q316" s="11" t="s">
        <v>9885</v>
      </c>
      <c r="S316" s="4" t="b">
        <f>ISNUMBER(MATCH(Q316,T:T,0))</f>
        <v>1</v>
      </c>
      <c r="T316" s="4" t="s">
        <v>11080</v>
      </c>
      <c r="U316" s="4" t="str">
        <f t="shared" si="10"/>
        <v>奚</v>
      </c>
    </row>
    <row r="317" spans="1:22">
      <c r="A317" s="3">
        <v>316</v>
      </c>
      <c r="B317" s="3" t="s">
        <v>2842</v>
      </c>
      <c r="C317" s="3" t="s">
        <v>6025</v>
      </c>
      <c r="D317" s="3" t="s">
        <v>2843</v>
      </c>
      <c r="E317" s="3" t="s">
        <v>6212</v>
      </c>
      <c r="F317" s="3" t="s">
        <v>2844</v>
      </c>
      <c r="G317" s="3" t="s">
        <v>5993</v>
      </c>
      <c r="H317" s="3" t="s">
        <v>2885</v>
      </c>
      <c r="I317" s="3" t="s">
        <v>2846</v>
      </c>
      <c r="J317" s="5" t="s">
        <v>7583</v>
      </c>
      <c r="L317" s="3" t="s">
        <v>6217</v>
      </c>
      <c r="M317" s="3">
        <v>15</v>
      </c>
      <c r="N317" s="4" t="s">
        <v>2844</v>
      </c>
      <c r="O317" s="4">
        <v>12</v>
      </c>
      <c r="P317" s="11" t="s">
        <v>9729</v>
      </c>
      <c r="Q317" s="11" t="s">
        <v>9897</v>
      </c>
      <c r="S317" s="4" t="b">
        <f>ISNUMBER(MATCH(Q317,T:T,0))</f>
        <v>1</v>
      </c>
      <c r="T317" s="4" t="s">
        <v>9898</v>
      </c>
      <c r="U317" s="4" t="str">
        <f t="shared" si="10"/>
        <v>攜</v>
      </c>
    </row>
    <row r="318" spans="1:22">
      <c r="A318" s="3">
        <v>317</v>
      </c>
      <c r="B318" s="3" t="s">
        <v>2842</v>
      </c>
      <c r="C318" s="3" t="s">
        <v>6038</v>
      </c>
      <c r="D318" s="3" t="s">
        <v>2843</v>
      </c>
      <c r="E318" s="3" t="s">
        <v>6212</v>
      </c>
      <c r="F318" s="3" t="s">
        <v>2844</v>
      </c>
      <c r="G318" s="3" t="s">
        <v>5993</v>
      </c>
      <c r="H318" s="3" t="s">
        <v>2886</v>
      </c>
      <c r="I318" s="3" t="s">
        <v>2846</v>
      </c>
      <c r="J318" s="5" t="s">
        <v>7584</v>
      </c>
      <c r="L318" s="3" t="s">
        <v>6240</v>
      </c>
      <c r="M318" s="3">
        <v>15</v>
      </c>
      <c r="N318" s="4" t="s">
        <v>2844</v>
      </c>
      <c r="O318" s="4">
        <v>12</v>
      </c>
      <c r="P318" s="11" t="s">
        <v>9728</v>
      </c>
      <c r="Q318" s="11" t="s">
        <v>9898</v>
      </c>
      <c r="S318" s="4" t="b">
        <f>ISNUMBER(MATCH(Q318,T:T,0))</f>
        <v>1</v>
      </c>
      <c r="T318" s="4" t="s">
        <v>11081</v>
      </c>
      <c r="U318" s="4" t="str">
        <f t="shared" si="10"/>
        <v>圭</v>
      </c>
    </row>
    <row r="319" spans="1:22" ht="39">
      <c r="A319" s="3">
        <v>318</v>
      </c>
      <c r="B319" s="3" t="s">
        <v>2842</v>
      </c>
      <c r="C319" s="3" t="s">
        <v>6067</v>
      </c>
      <c r="D319" s="3" t="s">
        <v>2843</v>
      </c>
      <c r="E319" s="3" t="s">
        <v>6212</v>
      </c>
      <c r="F319" s="3" t="s">
        <v>2844</v>
      </c>
      <c r="G319" s="3" t="s">
        <v>5993</v>
      </c>
      <c r="H319" s="7" t="s">
        <v>679</v>
      </c>
      <c r="I319" s="3" t="s">
        <v>2846</v>
      </c>
      <c r="J319" s="5" t="s">
        <v>7585</v>
      </c>
      <c r="K319" s="3" t="s">
        <v>2887</v>
      </c>
      <c r="L319" s="3" t="s">
        <v>2888</v>
      </c>
      <c r="M319" s="3">
        <v>23</v>
      </c>
      <c r="N319" s="4" t="s">
        <v>2844</v>
      </c>
      <c r="O319" s="4">
        <v>12</v>
      </c>
      <c r="P319" s="11" t="s">
        <v>9731</v>
      </c>
      <c r="Q319" s="11" t="s">
        <v>9898</v>
      </c>
      <c r="S319" s="4" t="b">
        <f>ISNUMBER(MATCH(Q319,T:T,0))</f>
        <v>1</v>
      </c>
      <c r="T319" s="4" t="s">
        <v>9897</v>
      </c>
      <c r="U319" s="4" t="str">
        <f t="shared" si="10"/>
        <v>圭</v>
      </c>
    </row>
    <row r="320" spans="1:22">
      <c r="A320" s="3">
        <v>319</v>
      </c>
      <c r="B320" s="3" t="s">
        <v>2842</v>
      </c>
      <c r="C320" s="3" t="s">
        <v>6021</v>
      </c>
      <c r="D320" s="3" t="s">
        <v>2843</v>
      </c>
      <c r="E320" s="3" t="s">
        <v>5991</v>
      </c>
      <c r="F320" s="3" t="s">
        <v>2844</v>
      </c>
      <c r="G320" s="3" t="s">
        <v>5993</v>
      </c>
      <c r="H320" s="3" t="s">
        <v>2889</v>
      </c>
      <c r="I320" s="3" t="s">
        <v>2846</v>
      </c>
      <c r="J320" s="5" t="s">
        <v>2890</v>
      </c>
      <c r="M320" s="3">
        <v>1</v>
      </c>
      <c r="N320" s="4" t="s">
        <v>2844</v>
      </c>
      <c r="O320" s="4">
        <v>12</v>
      </c>
      <c r="P320" s="11" t="s">
        <v>9798</v>
      </c>
      <c r="Q320" s="11" t="s">
        <v>9890</v>
      </c>
      <c r="R320" s="4" t="s">
        <v>13014</v>
      </c>
      <c r="S320" s="4" t="b">
        <f>ISNUMBER(MATCH(Q320,T:T,0))</f>
        <v>0</v>
      </c>
      <c r="T320" s="4" t="s">
        <v>2890</v>
      </c>
      <c r="U320" s="4" t="str">
        <f t="shared" si="10"/>
        <v>奚</v>
      </c>
      <c r="V320" s="4" t="b">
        <f>ISNUMBER(MATCH(R320,T:T,0))</f>
        <v>1</v>
      </c>
    </row>
    <row r="321" spans="1:22">
      <c r="A321" s="3">
        <v>320</v>
      </c>
      <c r="B321" s="3" t="s">
        <v>2842</v>
      </c>
      <c r="C321" s="3" t="s">
        <v>6148</v>
      </c>
      <c r="D321" s="3" t="s">
        <v>2843</v>
      </c>
      <c r="E321" s="3" t="s">
        <v>5991</v>
      </c>
      <c r="F321" s="3" t="s">
        <v>2844</v>
      </c>
      <c r="G321" s="3" t="s">
        <v>5993</v>
      </c>
      <c r="H321" s="3" t="s">
        <v>2891</v>
      </c>
      <c r="I321" s="3" t="s">
        <v>2846</v>
      </c>
      <c r="J321" s="5" t="s">
        <v>2892</v>
      </c>
      <c r="M321" s="3">
        <v>1</v>
      </c>
      <c r="N321" s="4" t="s">
        <v>2844</v>
      </c>
      <c r="O321" s="4">
        <v>12</v>
      </c>
      <c r="P321" s="11" t="s">
        <v>9899</v>
      </c>
      <c r="Q321" s="11" t="s">
        <v>2890</v>
      </c>
      <c r="S321" s="4" t="b">
        <f>ISNUMBER(MATCH(Q321,T:T,0))</f>
        <v>1</v>
      </c>
      <c r="T321" s="4" t="s">
        <v>2892</v>
      </c>
      <c r="U321" s="4" t="str">
        <f t="shared" si="10"/>
        <v>臡</v>
      </c>
    </row>
    <row r="322" spans="1:22">
      <c r="A322" s="3">
        <v>321</v>
      </c>
      <c r="B322" s="3" t="s">
        <v>2842</v>
      </c>
      <c r="C322" s="3" t="s">
        <v>6072</v>
      </c>
      <c r="D322" s="3" t="s">
        <v>2843</v>
      </c>
      <c r="E322" s="3" t="s">
        <v>6212</v>
      </c>
      <c r="F322" s="3" t="s">
        <v>2844</v>
      </c>
      <c r="G322" s="3" t="s">
        <v>5993</v>
      </c>
      <c r="H322" s="3" t="s">
        <v>2893</v>
      </c>
      <c r="I322" s="3" t="s">
        <v>2846</v>
      </c>
      <c r="J322" s="5" t="s">
        <v>2894</v>
      </c>
      <c r="L322" s="3" t="s">
        <v>6221</v>
      </c>
      <c r="M322" s="3">
        <v>3</v>
      </c>
      <c r="N322" s="4" t="s">
        <v>2844</v>
      </c>
      <c r="O322" s="4">
        <v>12</v>
      </c>
      <c r="P322" s="11" t="s">
        <v>9734</v>
      </c>
      <c r="Q322" s="11" t="s">
        <v>9897</v>
      </c>
      <c r="S322" s="4" t="b">
        <f>ISNUMBER(MATCH(Q322,T:T,0))</f>
        <v>1</v>
      </c>
      <c r="T322" s="4" t="s">
        <v>11082</v>
      </c>
      <c r="U322" s="4" t="str">
        <f t="shared" si="10"/>
        <v>攜</v>
      </c>
    </row>
    <row r="323" spans="1:22">
      <c r="A323" s="3">
        <v>322</v>
      </c>
      <c r="B323" s="3" t="s">
        <v>2842</v>
      </c>
      <c r="C323" s="3" t="s">
        <v>6089</v>
      </c>
      <c r="D323" s="3" t="s">
        <v>2843</v>
      </c>
      <c r="E323" s="3" t="s">
        <v>6212</v>
      </c>
      <c r="F323" s="3" t="s">
        <v>2844</v>
      </c>
      <c r="G323" s="3" t="s">
        <v>5993</v>
      </c>
      <c r="H323" s="3" t="s">
        <v>2896</v>
      </c>
      <c r="I323" s="3" t="s">
        <v>2846</v>
      </c>
      <c r="J323" s="8" t="s">
        <v>2897</v>
      </c>
      <c r="L323" s="3" t="s">
        <v>6219</v>
      </c>
      <c r="M323" s="3">
        <v>1</v>
      </c>
      <c r="N323" s="4" t="s">
        <v>2844</v>
      </c>
      <c r="O323" s="4">
        <v>12</v>
      </c>
      <c r="P323" s="11" t="s">
        <v>9739</v>
      </c>
      <c r="Q323" s="11" t="s">
        <v>9897</v>
      </c>
      <c r="S323" s="4" t="b">
        <f>ISNUMBER(MATCH(Q323,T:T,0))</f>
        <v>1</v>
      </c>
      <c r="T323" s="4" t="s">
        <v>2897</v>
      </c>
      <c r="U323" s="4" t="str">
        <f t="shared" ref="U323:U386" si="13">IF(ISBLANK(R323),Q323,R323)</f>
        <v>攜</v>
      </c>
    </row>
    <row r="324" spans="1:22">
      <c r="A324" s="3">
        <v>323</v>
      </c>
      <c r="B324" s="3" t="s">
        <v>2898</v>
      </c>
      <c r="C324" s="3" t="s">
        <v>6025</v>
      </c>
      <c r="D324" s="3" t="s">
        <v>6157</v>
      </c>
      <c r="E324" s="3" t="s">
        <v>5991</v>
      </c>
      <c r="F324" s="3" t="s">
        <v>2899</v>
      </c>
      <c r="G324" s="3" t="s">
        <v>5993</v>
      </c>
      <c r="H324" s="3" t="s">
        <v>680</v>
      </c>
      <c r="I324" s="3" t="s">
        <v>2846</v>
      </c>
      <c r="J324" s="5" t="s">
        <v>2900</v>
      </c>
      <c r="L324" s="3" t="s">
        <v>2901</v>
      </c>
      <c r="M324" s="3">
        <v>2</v>
      </c>
      <c r="N324" s="4" t="s">
        <v>2899</v>
      </c>
      <c r="O324" s="4">
        <v>13</v>
      </c>
      <c r="P324" s="11" t="s">
        <v>9729</v>
      </c>
      <c r="Q324" s="11" t="s">
        <v>9900</v>
      </c>
      <c r="R324" s="4" t="s">
        <v>13015</v>
      </c>
      <c r="S324" s="4" t="b">
        <f>ISNUMBER(MATCH(Q324,T:T,0))</f>
        <v>0</v>
      </c>
      <c r="T324" s="4" t="s">
        <v>2899</v>
      </c>
      <c r="U324" s="4" t="str">
        <f t="shared" si="13"/>
        <v>㥟</v>
      </c>
      <c r="V324" s="4" t="b">
        <f>ISNUMBER(MATCH(R324,T:T,0))</f>
        <v>1</v>
      </c>
    </row>
    <row r="325" spans="1:22">
      <c r="A325" s="3">
        <v>324</v>
      </c>
      <c r="B325" s="3" t="s">
        <v>2898</v>
      </c>
      <c r="C325" s="3" t="s">
        <v>6067</v>
      </c>
      <c r="D325" s="3" t="s">
        <v>6157</v>
      </c>
      <c r="E325" s="3" t="s">
        <v>5991</v>
      </c>
      <c r="F325" s="3" t="s">
        <v>2899</v>
      </c>
      <c r="G325" s="3" t="s">
        <v>5993</v>
      </c>
      <c r="H325" s="7" t="s">
        <v>681</v>
      </c>
      <c r="I325" s="3" t="s">
        <v>2846</v>
      </c>
      <c r="J325" s="5" t="s">
        <v>7586</v>
      </c>
      <c r="L325" s="3" t="s">
        <v>2902</v>
      </c>
      <c r="M325" s="3">
        <v>8</v>
      </c>
      <c r="N325" s="4" t="s">
        <v>2899</v>
      </c>
      <c r="O325" s="4">
        <v>13</v>
      </c>
      <c r="P325" s="11" t="s">
        <v>9731</v>
      </c>
      <c r="Q325" s="11" t="s">
        <v>2899</v>
      </c>
      <c r="S325" s="4" t="b">
        <f>ISNUMBER(MATCH(Q325,T:T,0))</f>
        <v>1</v>
      </c>
      <c r="T325" s="4" t="s">
        <v>11083</v>
      </c>
      <c r="U325" s="4" t="str">
        <f t="shared" si="13"/>
        <v>佳</v>
      </c>
    </row>
    <row r="326" spans="1:22">
      <c r="A326" s="3">
        <v>325</v>
      </c>
      <c r="B326" s="3" t="s">
        <v>2898</v>
      </c>
      <c r="C326" s="3" t="s">
        <v>6045</v>
      </c>
      <c r="D326" s="3" t="s">
        <v>6157</v>
      </c>
      <c r="E326" s="3" t="s">
        <v>5991</v>
      </c>
      <c r="F326" s="3" t="s">
        <v>2899</v>
      </c>
      <c r="G326" s="3" t="s">
        <v>5993</v>
      </c>
      <c r="H326" s="3" t="s">
        <v>2903</v>
      </c>
      <c r="I326" s="3" t="s">
        <v>2846</v>
      </c>
      <c r="J326" s="5" t="s">
        <v>2904</v>
      </c>
      <c r="L326" s="3" t="s">
        <v>2905</v>
      </c>
      <c r="M326" s="3">
        <v>7</v>
      </c>
      <c r="N326" s="4" t="s">
        <v>2899</v>
      </c>
      <c r="O326" s="4">
        <v>13</v>
      </c>
      <c r="P326" s="11" t="s">
        <v>9738</v>
      </c>
      <c r="Q326" s="11" t="s">
        <v>2899</v>
      </c>
      <c r="S326" s="4" t="b">
        <f>ISNUMBER(MATCH(Q326,T:T,0))</f>
        <v>1</v>
      </c>
      <c r="T326" s="4" t="s">
        <v>11084</v>
      </c>
      <c r="U326" s="4" t="str">
        <f t="shared" si="13"/>
        <v>佳</v>
      </c>
    </row>
    <row r="327" spans="1:22">
      <c r="A327" s="3">
        <v>326</v>
      </c>
      <c r="B327" s="3" t="s">
        <v>2898</v>
      </c>
      <c r="C327" s="3" t="s">
        <v>6025</v>
      </c>
      <c r="D327" s="3" t="s">
        <v>6157</v>
      </c>
      <c r="E327" s="3" t="s">
        <v>6212</v>
      </c>
      <c r="F327" s="3" t="s">
        <v>2899</v>
      </c>
      <c r="G327" s="3" t="s">
        <v>5993</v>
      </c>
      <c r="H327" s="3" t="s">
        <v>2906</v>
      </c>
      <c r="I327" s="3" t="s">
        <v>2846</v>
      </c>
      <c r="J327" s="5" t="s">
        <v>7587</v>
      </c>
      <c r="L327" s="3" t="s">
        <v>2907</v>
      </c>
      <c r="M327" s="3">
        <v>7</v>
      </c>
      <c r="N327" s="4" t="s">
        <v>2899</v>
      </c>
      <c r="O327" s="4">
        <v>13</v>
      </c>
      <c r="P327" s="11" t="s">
        <v>9729</v>
      </c>
      <c r="Q327" s="11" t="s">
        <v>9901</v>
      </c>
      <c r="S327" s="4" t="b">
        <f>ISNUMBER(MATCH(Q327,T:T,0))</f>
        <v>1</v>
      </c>
      <c r="T327" s="4" t="s">
        <v>9902</v>
      </c>
      <c r="U327" s="4" t="str">
        <f t="shared" si="13"/>
        <v>娃</v>
      </c>
    </row>
    <row r="328" spans="1:22">
      <c r="A328" s="3">
        <v>327</v>
      </c>
      <c r="B328" s="3" t="s">
        <v>2898</v>
      </c>
      <c r="C328" s="3" t="s">
        <v>6072</v>
      </c>
      <c r="D328" s="3" t="s">
        <v>6157</v>
      </c>
      <c r="E328" s="3" t="s">
        <v>6212</v>
      </c>
      <c r="F328" s="3" t="s">
        <v>2899</v>
      </c>
      <c r="G328" s="3" t="s">
        <v>5993</v>
      </c>
      <c r="H328" s="3" t="s">
        <v>2908</v>
      </c>
      <c r="I328" s="3" t="s">
        <v>2846</v>
      </c>
      <c r="J328" s="5" t="s">
        <v>7588</v>
      </c>
      <c r="L328" s="3" t="s">
        <v>2909</v>
      </c>
      <c r="M328" s="3">
        <v>2</v>
      </c>
      <c r="N328" s="4" t="s">
        <v>2899</v>
      </c>
      <c r="O328" s="4">
        <v>13</v>
      </c>
      <c r="P328" s="11" t="s">
        <v>9734</v>
      </c>
      <c r="Q328" s="11" t="s">
        <v>9902</v>
      </c>
      <c r="S328" s="4" t="b">
        <f>ISNUMBER(MATCH(Q328,T:T,0))</f>
        <v>1</v>
      </c>
      <c r="T328" s="4" t="s">
        <v>11085</v>
      </c>
      <c r="U328" s="4" t="str">
        <f t="shared" si="13"/>
        <v>媧</v>
      </c>
    </row>
    <row r="329" spans="1:22">
      <c r="A329" s="3">
        <v>328</v>
      </c>
      <c r="B329" s="3" t="s">
        <v>2898</v>
      </c>
      <c r="C329" s="3" t="s">
        <v>6038</v>
      </c>
      <c r="D329" s="3" t="s">
        <v>6157</v>
      </c>
      <c r="E329" s="3" t="s">
        <v>6212</v>
      </c>
      <c r="F329" s="3" t="s">
        <v>2899</v>
      </c>
      <c r="G329" s="3" t="s">
        <v>5993</v>
      </c>
      <c r="H329" s="3" t="s">
        <v>2910</v>
      </c>
      <c r="I329" s="3" t="s">
        <v>2846</v>
      </c>
      <c r="J329" s="5" t="s">
        <v>2911</v>
      </c>
      <c r="L329" s="3" t="s">
        <v>2912</v>
      </c>
      <c r="M329" s="3">
        <v>6</v>
      </c>
      <c r="N329" s="4" t="s">
        <v>2899</v>
      </c>
      <c r="O329" s="4">
        <v>13</v>
      </c>
      <c r="P329" s="11" t="s">
        <v>9728</v>
      </c>
      <c r="Q329" s="11" t="s">
        <v>9903</v>
      </c>
      <c r="R329" s="4" t="s">
        <v>13016</v>
      </c>
      <c r="S329" s="4" t="b">
        <f>ISNUMBER(MATCH(Q329,T:T,0))</f>
        <v>0</v>
      </c>
      <c r="T329" s="4" t="s">
        <v>11086</v>
      </c>
      <c r="U329" s="4" t="str">
        <f t="shared" si="13"/>
        <v>媧</v>
      </c>
      <c r="V329" s="4" t="b">
        <f>ISNUMBER(MATCH(R329,T:T,0))</f>
        <v>1</v>
      </c>
    </row>
    <row r="330" spans="1:22">
      <c r="A330" s="3">
        <v>329</v>
      </c>
      <c r="B330" s="3" t="s">
        <v>2898</v>
      </c>
      <c r="C330" s="3" t="s">
        <v>6015</v>
      </c>
      <c r="D330" s="3" t="s">
        <v>6157</v>
      </c>
      <c r="E330" s="3" t="s">
        <v>5991</v>
      </c>
      <c r="F330" s="3" t="s">
        <v>2899</v>
      </c>
      <c r="G330" s="3" t="s">
        <v>5993</v>
      </c>
      <c r="H330" s="3" t="s">
        <v>2913</v>
      </c>
      <c r="I330" s="3" t="s">
        <v>2846</v>
      </c>
      <c r="J330" s="5" t="s">
        <v>7589</v>
      </c>
      <c r="L330" s="3" t="s">
        <v>2914</v>
      </c>
      <c r="M330" s="3">
        <v>8</v>
      </c>
      <c r="N330" s="4" t="s">
        <v>2899</v>
      </c>
      <c r="O330" s="4">
        <v>13</v>
      </c>
      <c r="P330" s="11" t="s">
        <v>9777</v>
      </c>
      <c r="Q330" s="11" t="s">
        <v>2899</v>
      </c>
      <c r="S330" s="4" t="b">
        <f>ISNUMBER(MATCH(Q330,T:T,0))</f>
        <v>1</v>
      </c>
      <c r="T330" s="4" t="s">
        <v>11087</v>
      </c>
      <c r="U330" s="4" t="str">
        <f t="shared" si="13"/>
        <v>佳</v>
      </c>
    </row>
    <row r="331" spans="1:22">
      <c r="A331" s="3">
        <v>330</v>
      </c>
      <c r="B331" s="3" t="s">
        <v>2898</v>
      </c>
      <c r="C331" s="3" t="s">
        <v>6167</v>
      </c>
      <c r="D331" s="3" t="s">
        <v>6157</v>
      </c>
      <c r="E331" s="3" t="s">
        <v>5991</v>
      </c>
      <c r="F331" s="3" t="s">
        <v>2899</v>
      </c>
      <c r="G331" s="3" t="s">
        <v>5993</v>
      </c>
      <c r="H331" s="3" t="s">
        <v>2915</v>
      </c>
      <c r="I331" s="3" t="s">
        <v>2846</v>
      </c>
      <c r="J331" s="5" t="s">
        <v>7590</v>
      </c>
      <c r="L331" s="3" t="s">
        <v>2916</v>
      </c>
      <c r="M331" s="3">
        <v>9</v>
      </c>
      <c r="N331" s="4" t="s">
        <v>2899</v>
      </c>
      <c r="O331" s="4">
        <v>13</v>
      </c>
      <c r="P331" s="11" t="s">
        <v>9769</v>
      </c>
      <c r="Q331" s="11" t="s">
        <v>2899</v>
      </c>
      <c r="S331" s="4" t="b">
        <f>ISNUMBER(MATCH(Q331,T:T,0))</f>
        <v>1</v>
      </c>
      <c r="T331" s="4" t="s">
        <v>11088</v>
      </c>
      <c r="U331" s="4" t="str">
        <f t="shared" si="13"/>
        <v>佳</v>
      </c>
    </row>
    <row r="332" spans="1:22">
      <c r="A332" s="3">
        <v>331</v>
      </c>
      <c r="B332" s="3" t="s">
        <v>2898</v>
      </c>
      <c r="C332" s="3" t="s">
        <v>6089</v>
      </c>
      <c r="D332" s="3" t="s">
        <v>6157</v>
      </c>
      <c r="E332" s="3" t="s">
        <v>6212</v>
      </c>
      <c r="F332" s="3" t="s">
        <v>2899</v>
      </c>
      <c r="G332" s="3" t="s">
        <v>5993</v>
      </c>
      <c r="H332" s="3" t="s">
        <v>2917</v>
      </c>
      <c r="I332" s="3" t="s">
        <v>2846</v>
      </c>
      <c r="J332" s="8" t="s">
        <v>7591</v>
      </c>
      <c r="L332" s="3" t="s">
        <v>2918</v>
      </c>
      <c r="M332" s="3">
        <v>4</v>
      </c>
      <c r="N332" s="4" t="s">
        <v>2899</v>
      </c>
      <c r="O332" s="4">
        <v>13</v>
      </c>
      <c r="P332" s="11" t="s">
        <v>9904</v>
      </c>
      <c r="Q332" s="11" t="s">
        <v>9902</v>
      </c>
      <c r="S332" s="4" t="b">
        <f>ISNUMBER(MATCH(Q332,T:T,0))</f>
        <v>1</v>
      </c>
      <c r="T332" s="4" t="s">
        <v>11089</v>
      </c>
      <c r="U332" s="4" t="str">
        <f t="shared" si="13"/>
        <v>媧</v>
      </c>
    </row>
    <row r="333" spans="1:22">
      <c r="A333" s="3">
        <v>332</v>
      </c>
      <c r="B333" s="3" t="s">
        <v>2898</v>
      </c>
      <c r="C333" s="3" t="s">
        <v>6137</v>
      </c>
      <c r="D333" s="3" t="s">
        <v>6157</v>
      </c>
      <c r="E333" s="3" t="s">
        <v>5991</v>
      </c>
      <c r="F333" s="3" t="s">
        <v>2899</v>
      </c>
      <c r="G333" s="3" t="s">
        <v>5993</v>
      </c>
      <c r="H333" s="3" t="s">
        <v>2919</v>
      </c>
      <c r="I333" s="3" t="s">
        <v>2846</v>
      </c>
      <c r="J333" s="5" t="s">
        <v>2920</v>
      </c>
      <c r="L333" s="3" t="s">
        <v>2921</v>
      </c>
      <c r="M333" s="3">
        <v>3</v>
      </c>
      <c r="N333" s="4" t="s">
        <v>2899</v>
      </c>
      <c r="O333" s="4">
        <v>13</v>
      </c>
      <c r="P333" s="11" t="s">
        <v>9905</v>
      </c>
      <c r="Q333" s="11" t="s">
        <v>2899</v>
      </c>
      <c r="S333" s="4" t="b">
        <f>ISNUMBER(MATCH(Q333,T:T,0))</f>
        <v>1</v>
      </c>
      <c r="T333" s="4" t="s">
        <v>11090</v>
      </c>
      <c r="U333" s="4" t="str">
        <f t="shared" si="13"/>
        <v>佳</v>
      </c>
    </row>
    <row r="334" spans="1:22">
      <c r="A334" s="3">
        <v>333</v>
      </c>
      <c r="B334" s="3" t="s">
        <v>2898</v>
      </c>
      <c r="C334" s="3" t="s">
        <v>6092</v>
      </c>
      <c r="D334" s="3" t="s">
        <v>6157</v>
      </c>
      <c r="E334" s="3" t="s">
        <v>5991</v>
      </c>
      <c r="F334" s="3" t="s">
        <v>2899</v>
      </c>
      <c r="G334" s="3" t="s">
        <v>5993</v>
      </c>
      <c r="H334" s="3" t="s">
        <v>2922</v>
      </c>
      <c r="I334" s="3" t="s">
        <v>2846</v>
      </c>
      <c r="J334" s="5" t="s">
        <v>7592</v>
      </c>
      <c r="L334" s="3" t="s">
        <v>2923</v>
      </c>
      <c r="M334" s="3">
        <v>7</v>
      </c>
      <c r="N334" s="4" t="s">
        <v>2899</v>
      </c>
      <c r="O334" s="4">
        <v>13</v>
      </c>
      <c r="P334" s="11" t="s">
        <v>9740</v>
      </c>
      <c r="Q334" s="11" t="s">
        <v>2899</v>
      </c>
      <c r="S334" s="4" t="b">
        <f>ISNUMBER(MATCH(Q334,T:T,0))</f>
        <v>1</v>
      </c>
      <c r="T334" s="4" t="s">
        <v>11091</v>
      </c>
      <c r="U334" s="4" t="str">
        <f t="shared" si="13"/>
        <v>佳</v>
      </c>
    </row>
    <row r="335" spans="1:22">
      <c r="A335" s="3">
        <v>334</v>
      </c>
      <c r="B335" s="3" t="s">
        <v>2898</v>
      </c>
      <c r="C335" s="3" t="s">
        <v>6072</v>
      </c>
      <c r="D335" s="3" t="s">
        <v>6157</v>
      </c>
      <c r="E335" s="3" t="s">
        <v>5991</v>
      </c>
      <c r="F335" s="3" t="s">
        <v>2899</v>
      </c>
      <c r="G335" s="3" t="s">
        <v>5993</v>
      </c>
      <c r="H335" s="3" t="s">
        <v>2924</v>
      </c>
      <c r="I335" s="3" t="s">
        <v>2846</v>
      </c>
      <c r="J335" s="5" t="s">
        <v>2925</v>
      </c>
      <c r="L335" s="3" t="s">
        <v>2926</v>
      </c>
      <c r="M335" s="3">
        <v>5</v>
      </c>
      <c r="N335" s="4" t="s">
        <v>2899</v>
      </c>
      <c r="O335" s="4">
        <v>13</v>
      </c>
      <c r="P335" s="11" t="s">
        <v>9754</v>
      </c>
      <c r="Q335" s="11" t="s">
        <v>2899</v>
      </c>
      <c r="S335" s="4" t="b">
        <f>ISNUMBER(MATCH(Q335,T:T,0))</f>
        <v>1</v>
      </c>
      <c r="T335" s="4" t="s">
        <v>9901</v>
      </c>
      <c r="U335" s="4" t="str">
        <f t="shared" si="13"/>
        <v>佳</v>
      </c>
    </row>
    <row r="336" spans="1:22">
      <c r="A336" s="3">
        <v>335</v>
      </c>
      <c r="B336" s="3" t="s">
        <v>2898</v>
      </c>
      <c r="C336" s="3" t="s">
        <v>6180</v>
      </c>
      <c r="D336" s="3" t="s">
        <v>6157</v>
      </c>
      <c r="E336" s="3" t="s">
        <v>5991</v>
      </c>
      <c r="F336" s="3" t="s">
        <v>2899</v>
      </c>
      <c r="G336" s="3" t="s">
        <v>5993</v>
      </c>
      <c r="H336" s="3" t="s">
        <v>2927</v>
      </c>
      <c r="I336" s="3" t="s">
        <v>2846</v>
      </c>
      <c r="J336" s="5" t="s">
        <v>7593</v>
      </c>
      <c r="L336" s="3" t="s">
        <v>2928</v>
      </c>
      <c r="M336" s="3">
        <v>3</v>
      </c>
      <c r="N336" s="4" t="s">
        <v>2899</v>
      </c>
      <c r="O336" s="4">
        <v>13</v>
      </c>
      <c r="P336" s="11" t="s">
        <v>6836</v>
      </c>
      <c r="Q336" s="11" t="s">
        <v>2899</v>
      </c>
      <c r="S336" s="4" t="b">
        <f>ISNUMBER(MATCH(Q336,T:T,0))</f>
        <v>1</v>
      </c>
      <c r="T336" s="4" t="s">
        <v>11092</v>
      </c>
      <c r="U336" s="4" t="str">
        <f t="shared" si="13"/>
        <v>佳</v>
      </c>
    </row>
    <row r="337" spans="1:22">
      <c r="A337" s="3">
        <v>336</v>
      </c>
      <c r="B337" s="3" t="s">
        <v>2898</v>
      </c>
      <c r="C337" s="3" t="s">
        <v>6089</v>
      </c>
      <c r="D337" s="3" t="s">
        <v>6157</v>
      </c>
      <c r="E337" s="3" t="s">
        <v>5991</v>
      </c>
      <c r="F337" s="3" t="s">
        <v>2899</v>
      </c>
      <c r="G337" s="3" t="s">
        <v>5993</v>
      </c>
      <c r="H337" s="3" t="s">
        <v>2929</v>
      </c>
      <c r="I337" s="3" t="s">
        <v>2846</v>
      </c>
      <c r="J337" s="5" t="s">
        <v>2930</v>
      </c>
      <c r="L337" s="3" t="s">
        <v>2931</v>
      </c>
      <c r="M337" s="3">
        <v>2</v>
      </c>
      <c r="N337" s="4" t="s">
        <v>2899</v>
      </c>
      <c r="O337" s="4">
        <v>13</v>
      </c>
      <c r="P337" s="11" t="s">
        <v>9904</v>
      </c>
      <c r="Q337" s="11" t="s">
        <v>2899</v>
      </c>
      <c r="S337" s="4" t="b">
        <f>ISNUMBER(MATCH(Q337,T:T,0))</f>
        <v>1</v>
      </c>
      <c r="T337" s="4" t="s">
        <v>11093</v>
      </c>
      <c r="U337" s="4" t="str">
        <f t="shared" si="13"/>
        <v>佳</v>
      </c>
    </row>
    <row r="338" spans="1:22">
      <c r="A338" s="3">
        <v>337</v>
      </c>
      <c r="B338" s="3" t="s">
        <v>2898</v>
      </c>
      <c r="C338" s="3" t="s">
        <v>6011</v>
      </c>
      <c r="D338" s="3" t="s">
        <v>6157</v>
      </c>
      <c r="E338" s="3" t="s">
        <v>5991</v>
      </c>
      <c r="F338" s="3" t="s">
        <v>2899</v>
      </c>
      <c r="G338" s="3" t="s">
        <v>5993</v>
      </c>
      <c r="H338" s="3" t="s">
        <v>2932</v>
      </c>
      <c r="I338" s="3" t="s">
        <v>2846</v>
      </c>
      <c r="J338" s="5" t="s">
        <v>2933</v>
      </c>
      <c r="L338" s="3" t="s">
        <v>2916</v>
      </c>
      <c r="M338" s="3">
        <v>1</v>
      </c>
      <c r="N338" s="4" t="s">
        <v>2899</v>
      </c>
      <c r="O338" s="4">
        <v>13</v>
      </c>
      <c r="P338" s="11" t="s">
        <v>9757</v>
      </c>
      <c r="Q338" s="11" t="s">
        <v>2899</v>
      </c>
      <c r="S338" s="4" t="b">
        <f>ISNUMBER(MATCH(Q338,T:T,0))</f>
        <v>1</v>
      </c>
      <c r="T338" s="4" t="s">
        <v>2933</v>
      </c>
      <c r="U338" s="4" t="str">
        <f t="shared" si="13"/>
        <v>佳</v>
      </c>
    </row>
    <row r="339" spans="1:22">
      <c r="A339" s="3">
        <v>338</v>
      </c>
      <c r="B339" s="3" t="s">
        <v>2898</v>
      </c>
      <c r="C339" s="3" t="s">
        <v>6035</v>
      </c>
      <c r="D339" s="3" t="s">
        <v>6157</v>
      </c>
      <c r="E339" s="3" t="s">
        <v>5991</v>
      </c>
      <c r="F339" s="3" t="s">
        <v>2899</v>
      </c>
      <c r="G339" s="3" t="s">
        <v>5993</v>
      </c>
      <c r="H339" s="3" t="s">
        <v>2934</v>
      </c>
      <c r="I339" s="3" t="s">
        <v>2846</v>
      </c>
      <c r="J339" s="5" t="s">
        <v>2935</v>
      </c>
      <c r="L339" s="3" t="s">
        <v>2936</v>
      </c>
      <c r="M339" s="3">
        <v>2</v>
      </c>
      <c r="N339" s="4" t="s">
        <v>2899</v>
      </c>
      <c r="O339" s="4">
        <v>13</v>
      </c>
      <c r="P339" s="11" t="s">
        <v>9719</v>
      </c>
      <c r="Q339" s="11" t="s">
        <v>2899</v>
      </c>
      <c r="S339" s="4" t="b">
        <f>ISNUMBER(MATCH(Q339,T:T,0))</f>
        <v>1</v>
      </c>
      <c r="T339" s="4" t="s">
        <v>11094</v>
      </c>
      <c r="U339" s="4" t="str">
        <f t="shared" si="13"/>
        <v>佳</v>
      </c>
    </row>
    <row r="340" spans="1:22">
      <c r="A340" s="3">
        <v>339</v>
      </c>
      <c r="B340" s="3" t="s">
        <v>2898</v>
      </c>
      <c r="C340" s="3" t="s">
        <v>6067</v>
      </c>
      <c r="D340" s="3" t="s">
        <v>6157</v>
      </c>
      <c r="E340" s="3" t="s">
        <v>6212</v>
      </c>
      <c r="F340" s="3" t="s">
        <v>2899</v>
      </c>
      <c r="G340" s="3" t="s">
        <v>5993</v>
      </c>
      <c r="H340" s="7" t="s">
        <v>682</v>
      </c>
      <c r="I340" s="3" t="s">
        <v>2846</v>
      </c>
      <c r="J340" s="8" t="s">
        <v>2937</v>
      </c>
      <c r="L340" s="3" t="s">
        <v>2938</v>
      </c>
      <c r="M340" s="3">
        <v>1</v>
      </c>
      <c r="N340" s="4" t="s">
        <v>2899</v>
      </c>
      <c r="O340" s="4">
        <v>13</v>
      </c>
      <c r="P340" s="11" t="s">
        <v>9731</v>
      </c>
      <c r="Q340" s="11" t="s">
        <v>9902</v>
      </c>
      <c r="S340" s="4" t="b">
        <f>ISNUMBER(MATCH(Q340,T:T,0))</f>
        <v>1</v>
      </c>
      <c r="T340" s="4" t="s">
        <v>2937</v>
      </c>
      <c r="U340" s="4" t="str">
        <f t="shared" si="13"/>
        <v>媧</v>
      </c>
    </row>
    <row r="341" spans="1:22" ht="39">
      <c r="A341" s="3">
        <v>340</v>
      </c>
      <c r="B341" s="3" t="s">
        <v>2939</v>
      </c>
      <c r="C341" s="3" t="s">
        <v>6025</v>
      </c>
      <c r="D341" s="3" t="s">
        <v>6157</v>
      </c>
      <c r="E341" s="3" t="s">
        <v>5991</v>
      </c>
      <c r="F341" s="3" t="s">
        <v>2940</v>
      </c>
      <c r="G341" s="3" t="s">
        <v>5993</v>
      </c>
      <c r="H341" s="3" t="s">
        <v>2941</v>
      </c>
      <c r="I341" s="3" t="s">
        <v>2846</v>
      </c>
      <c r="J341" s="5" t="s">
        <v>7594</v>
      </c>
      <c r="L341" s="3" t="s">
        <v>2942</v>
      </c>
      <c r="M341" s="3">
        <v>19</v>
      </c>
      <c r="N341" s="4" t="s">
        <v>2940</v>
      </c>
      <c r="O341" s="4">
        <v>14</v>
      </c>
      <c r="P341" s="11" t="s">
        <v>9729</v>
      </c>
      <c r="Q341" s="11" t="s">
        <v>9906</v>
      </c>
      <c r="S341" s="4" t="b">
        <f>ISNUMBER(MATCH(Q341,T:T,0))</f>
        <v>1</v>
      </c>
      <c r="T341" s="4" t="s">
        <v>2940</v>
      </c>
      <c r="U341" s="4" t="str">
        <f t="shared" si="13"/>
        <v>諧</v>
      </c>
    </row>
    <row r="342" spans="1:22">
      <c r="A342" s="3">
        <v>341</v>
      </c>
      <c r="B342" s="3" t="s">
        <v>2939</v>
      </c>
      <c r="C342" s="3" t="s">
        <v>6072</v>
      </c>
      <c r="D342" s="3" t="s">
        <v>6157</v>
      </c>
      <c r="E342" s="3" t="s">
        <v>5991</v>
      </c>
      <c r="F342" s="3" t="s">
        <v>2940</v>
      </c>
      <c r="G342" s="3" t="s">
        <v>5993</v>
      </c>
      <c r="H342" s="3" t="s">
        <v>2943</v>
      </c>
      <c r="I342" s="3" t="s">
        <v>2846</v>
      </c>
      <c r="J342" s="5" t="s">
        <v>2944</v>
      </c>
      <c r="L342" s="3" t="s">
        <v>2945</v>
      </c>
      <c r="M342" s="3">
        <v>1</v>
      </c>
      <c r="N342" s="4" t="s">
        <v>2940</v>
      </c>
      <c r="O342" s="4">
        <v>14</v>
      </c>
      <c r="P342" s="11" t="s">
        <v>9907</v>
      </c>
      <c r="Q342" s="11" t="s">
        <v>9906</v>
      </c>
      <c r="S342" s="4" t="b">
        <f>ISNUMBER(MATCH(Q342,T:T,0))</f>
        <v>1</v>
      </c>
      <c r="T342" s="4" t="s">
        <v>2944</v>
      </c>
      <c r="U342" s="4" t="str">
        <f t="shared" si="13"/>
        <v>諧</v>
      </c>
    </row>
    <row r="343" spans="1:22">
      <c r="A343" s="3">
        <v>342</v>
      </c>
      <c r="B343" s="3" t="s">
        <v>2939</v>
      </c>
      <c r="C343" s="3" t="s">
        <v>6067</v>
      </c>
      <c r="D343" s="3" t="s">
        <v>6157</v>
      </c>
      <c r="E343" s="3" t="s">
        <v>5991</v>
      </c>
      <c r="F343" s="3" t="s">
        <v>2940</v>
      </c>
      <c r="G343" s="3" t="s">
        <v>5993</v>
      </c>
      <c r="H343" s="7" t="s">
        <v>683</v>
      </c>
      <c r="I343" s="3" t="s">
        <v>2846</v>
      </c>
      <c r="J343" s="5" t="s">
        <v>2946</v>
      </c>
      <c r="L343" s="3" t="s">
        <v>2947</v>
      </c>
      <c r="M343" s="3">
        <v>9</v>
      </c>
      <c r="N343" s="4" t="s">
        <v>2940</v>
      </c>
      <c r="O343" s="4">
        <v>14</v>
      </c>
      <c r="P343" s="11" t="s">
        <v>9731</v>
      </c>
      <c r="Q343" s="11" t="s">
        <v>2940</v>
      </c>
      <c r="S343" s="4" t="b">
        <f>ISNUMBER(MATCH(Q343,T:T,0))</f>
        <v>1</v>
      </c>
      <c r="T343" s="4" t="s">
        <v>9906</v>
      </c>
      <c r="U343" s="4" t="str">
        <f t="shared" si="13"/>
        <v>皆</v>
      </c>
    </row>
    <row r="344" spans="1:22">
      <c r="A344" s="3">
        <v>343</v>
      </c>
      <c r="B344" s="3" t="s">
        <v>2939</v>
      </c>
      <c r="C344" s="3" t="s">
        <v>6045</v>
      </c>
      <c r="D344" s="3" t="s">
        <v>6157</v>
      </c>
      <c r="E344" s="3" t="s">
        <v>5991</v>
      </c>
      <c r="F344" s="3" t="s">
        <v>2940</v>
      </c>
      <c r="G344" s="3" t="s">
        <v>5993</v>
      </c>
      <c r="H344" s="3" t="s">
        <v>2948</v>
      </c>
      <c r="I344" s="3" t="s">
        <v>2846</v>
      </c>
      <c r="J344" s="5" t="s">
        <v>7595</v>
      </c>
      <c r="L344" s="3" t="s">
        <v>2905</v>
      </c>
      <c r="M344" s="3">
        <v>6</v>
      </c>
      <c r="N344" s="4" t="s">
        <v>2940</v>
      </c>
      <c r="O344" s="4">
        <v>14</v>
      </c>
      <c r="P344" s="11" t="s">
        <v>9908</v>
      </c>
      <c r="Q344" s="11" t="s">
        <v>2940</v>
      </c>
      <c r="S344" s="4" t="b">
        <f>ISNUMBER(MATCH(Q344,T:T,0))</f>
        <v>1</v>
      </c>
      <c r="T344" s="4" t="s">
        <v>11095</v>
      </c>
      <c r="U344" s="4" t="str">
        <f t="shared" si="13"/>
        <v>皆</v>
      </c>
    </row>
    <row r="345" spans="1:22">
      <c r="A345" s="3">
        <v>344</v>
      </c>
      <c r="B345" s="3" t="s">
        <v>2939</v>
      </c>
      <c r="C345" s="3" t="s">
        <v>6025</v>
      </c>
      <c r="D345" s="3" t="s">
        <v>6157</v>
      </c>
      <c r="E345" s="3" t="s">
        <v>6212</v>
      </c>
      <c r="F345" s="3" t="s">
        <v>2940</v>
      </c>
      <c r="G345" s="3" t="s">
        <v>5993</v>
      </c>
      <c r="H345" s="3" t="s">
        <v>2949</v>
      </c>
      <c r="I345" s="3" t="s">
        <v>2846</v>
      </c>
      <c r="J345" s="5" t="s">
        <v>2950</v>
      </c>
      <c r="L345" s="3" t="s">
        <v>2951</v>
      </c>
      <c r="M345" s="3">
        <v>4</v>
      </c>
      <c r="N345" s="4" t="s">
        <v>2940</v>
      </c>
      <c r="O345" s="4">
        <v>14</v>
      </c>
      <c r="P345" s="11" t="s">
        <v>9729</v>
      </c>
      <c r="Q345" s="11" t="s">
        <v>9909</v>
      </c>
      <c r="S345" s="4" t="b">
        <f>ISNUMBER(MATCH(Q345,T:T,0))</f>
        <v>1</v>
      </c>
      <c r="T345" s="4" t="s">
        <v>9910</v>
      </c>
      <c r="U345" s="4" t="str">
        <f t="shared" si="13"/>
        <v>懷</v>
      </c>
    </row>
    <row r="346" spans="1:22">
      <c r="A346" s="3">
        <v>345</v>
      </c>
      <c r="B346" s="3" t="s">
        <v>2939</v>
      </c>
      <c r="C346" s="3" t="s">
        <v>6067</v>
      </c>
      <c r="D346" s="3" t="s">
        <v>6157</v>
      </c>
      <c r="E346" s="3" t="s">
        <v>6212</v>
      </c>
      <c r="F346" s="3" t="s">
        <v>2940</v>
      </c>
      <c r="G346" s="3" t="s">
        <v>5993</v>
      </c>
      <c r="H346" s="7" t="s">
        <v>684</v>
      </c>
      <c r="I346" s="3" t="s">
        <v>2846</v>
      </c>
      <c r="J346" s="5" t="s">
        <v>2952</v>
      </c>
      <c r="L346" s="3" t="s">
        <v>2953</v>
      </c>
      <c r="M346" s="3">
        <v>12</v>
      </c>
      <c r="N346" s="4" t="s">
        <v>2940</v>
      </c>
      <c r="O346" s="4">
        <v>14</v>
      </c>
      <c r="P346" s="11" t="s">
        <v>9731</v>
      </c>
      <c r="Q346" s="11" t="s">
        <v>9910</v>
      </c>
      <c r="S346" s="4" t="b">
        <f>ISNUMBER(MATCH(Q346,T:T,0))</f>
        <v>1</v>
      </c>
      <c r="T346" s="4" t="s">
        <v>9909</v>
      </c>
      <c r="U346" s="4" t="str">
        <f t="shared" si="13"/>
        <v>乖</v>
      </c>
    </row>
    <row r="347" spans="1:22">
      <c r="A347" s="3">
        <v>346</v>
      </c>
      <c r="B347" s="3" t="s">
        <v>2939</v>
      </c>
      <c r="C347" s="3" t="s">
        <v>6038</v>
      </c>
      <c r="D347" s="3" t="s">
        <v>6157</v>
      </c>
      <c r="E347" s="3" t="s">
        <v>6212</v>
      </c>
      <c r="F347" s="3" t="s">
        <v>2940</v>
      </c>
      <c r="G347" s="3" t="s">
        <v>5993</v>
      </c>
      <c r="H347" s="3" t="s">
        <v>2954</v>
      </c>
      <c r="I347" s="3" t="s">
        <v>2846</v>
      </c>
      <c r="J347" s="5" t="s">
        <v>2955</v>
      </c>
      <c r="L347" s="3" t="s">
        <v>2956</v>
      </c>
      <c r="M347" s="3">
        <v>3</v>
      </c>
      <c r="N347" s="4" t="s">
        <v>2940</v>
      </c>
      <c r="O347" s="4">
        <v>14</v>
      </c>
      <c r="P347" s="11" t="s">
        <v>9728</v>
      </c>
      <c r="Q347" s="11" t="s">
        <v>9911</v>
      </c>
      <c r="R347" s="4" t="s">
        <v>13017</v>
      </c>
      <c r="S347" s="4" t="b">
        <f>ISNUMBER(MATCH(Q347,T:T,0))</f>
        <v>0</v>
      </c>
      <c r="T347" s="4" t="s">
        <v>11096</v>
      </c>
      <c r="U347" s="4" t="str">
        <f t="shared" si="13"/>
        <v>懷</v>
      </c>
      <c r="V347" s="4" t="b">
        <f>ISNUMBER(MATCH(R347,T:T,0))</f>
        <v>1</v>
      </c>
    </row>
    <row r="348" spans="1:22">
      <c r="A348" s="3">
        <v>347</v>
      </c>
      <c r="B348" s="3" t="s">
        <v>2939</v>
      </c>
      <c r="C348" s="3" t="s">
        <v>6015</v>
      </c>
      <c r="D348" s="3" t="s">
        <v>6157</v>
      </c>
      <c r="E348" s="3" t="s">
        <v>5991</v>
      </c>
      <c r="F348" s="3" t="s">
        <v>2940</v>
      </c>
      <c r="G348" s="3" t="s">
        <v>5993</v>
      </c>
      <c r="H348" s="3" t="s">
        <v>2957</v>
      </c>
      <c r="I348" s="3" t="s">
        <v>2846</v>
      </c>
      <c r="J348" s="5" t="s">
        <v>2958</v>
      </c>
      <c r="L348" s="3" t="s">
        <v>2914</v>
      </c>
      <c r="M348" s="3">
        <v>4</v>
      </c>
      <c r="N348" s="4" t="s">
        <v>2940</v>
      </c>
      <c r="O348" s="4">
        <v>14</v>
      </c>
      <c r="P348" s="11" t="s">
        <v>9777</v>
      </c>
      <c r="Q348" s="11" t="s">
        <v>2940</v>
      </c>
      <c r="S348" s="4" t="b">
        <f>ISNUMBER(MATCH(Q348,T:T,0))</f>
        <v>1</v>
      </c>
      <c r="T348" s="4" t="s">
        <v>11097</v>
      </c>
      <c r="U348" s="4" t="str">
        <f t="shared" si="13"/>
        <v>皆</v>
      </c>
    </row>
    <row r="349" spans="1:22">
      <c r="A349" s="3">
        <v>348</v>
      </c>
      <c r="B349" s="3" t="s">
        <v>2939</v>
      </c>
      <c r="C349" s="3" t="s">
        <v>6167</v>
      </c>
      <c r="D349" s="3" t="s">
        <v>6157</v>
      </c>
      <c r="E349" s="3" t="s">
        <v>5991</v>
      </c>
      <c r="F349" s="3" t="s">
        <v>2940</v>
      </c>
      <c r="G349" s="3" t="s">
        <v>5993</v>
      </c>
      <c r="H349" s="3" t="s">
        <v>2959</v>
      </c>
      <c r="I349" s="3" t="s">
        <v>2846</v>
      </c>
      <c r="J349" s="5" t="s">
        <v>2960</v>
      </c>
      <c r="L349" s="3" t="s">
        <v>2916</v>
      </c>
      <c r="M349" s="3">
        <v>2</v>
      </c>
      <c r="N349" s="4" t="s">
        <v>2940</v>
      </c>
      <c r="O349" s="4">
        <v>14</v>
      </c>
      <c r="P349" s="11" t="s">
        <v>9769</v>
      </c>
      <c r="Q349" s="11" t="s">
        <v>2940</v>
      </c>
      <c r="S349" s="4" t="b">
        <f>ISNUMBER(MATCH(Q349,T:T,0))</f>
        <v>1</v>
      </c>
      <c r="T349" s="4" t="s">
        <v>10982</v>
      </c>
      <c r="U349" s="4" t="str">
        <f t="shared" si="13"/>
        <v>皆</v>
      </c>
    </row>
    <row r="350" spans="1:22">
      <c r="A350" s="3">
        <v>349</v>
      </c>
      <c r="B350" s="3" t="s">
        <v>2939</v>
      </c>
      <c r="C350" s="3" t="s">
        <v>6089</v>
      </c>
      <c r="D350" s="3" t="s">
        <v>6157</v>
      </c>
      <c r="E350" s="3" t="s">
        <v>6212</v>
      </c>
      <c r="F350" s="3" t="s">
        <v>2940</v>
      </c>
      <c r="G350" s="3" t="s">
        <v>5993</v>
      </c>
      <c r="H350" s="3" t="s">
        <v>2961</v>
      </c>
      <c r="I350" s="3" t="s">
        <v>2846</v>
      </c>
      <c r="J350" s="5" t="s">
        <v>2962</v>
      </c>
      <c r="L350" s="3" t="s">
        <v>2963</v>
      </c>
      <c r="M350" s="3">
        <v>1</v>
      </c>
      <c r="N350" s="4" t="s">
        <v>2940</v>
      </c>
      <c r="O350" s="4">
        <v>14</v>
      </c>
      <c r="P350" s="11" t="s">
        <v>9739</v>
      </c>
      <c r="Q350" s="11" t="s">
        <v>9909</v>
      </c>
      <c r="S350" s="4" t="b">
        <f>ISNUMBER(MATCH(Q350,T:T,0))</f>
        <v>1</v>
      </c>
      <c r="T350" s="4" t="s">
        <v>2962</v>
      </c>
      <c r="U350" s="4" t="str">
        <f t="shared" si="13"/>
        <v>懷</v>
      </c>
    </row>
    <row r="351" spans="1:22" ht="28.5">
      <c r="A351" s="3">
        <v>350</v>
      </c>
      <c r="B351" s="3" t="s">
        <v>2939</v>
      </c>
      <c r="C351" s="3" t="s">
        <v>6005</v>
      </c>
      <c r="D351" s="3" t="s">
        <v>6157</v>
      </c>
      <c r="E351" s="3" t="s">
        <v>6212</v>
      </c>
      <c r="F351" s="3" t="s">
        <v>2940</v>
      </c>
      <c r="G351" s="3" t="s">
        <v>5993</v>
      </c>
      <c r="H351" s="3" t="s">
        <v>2964</v>
      </c>
      <c r="I351" s="3" t="s">
        <v>2846</v>
      </c>
      <c r="J351" s="8" t="s">
        <v>7596</v>
      </c>
      <c r="L351" s="3" t="s">
        <v>2965</v>
      </c>
      <c r="M351" s="3">
        <v>2</v>
      </c>
      <c r="N351" s="4" t="s">
        <v>2940</v>
      </c>
      <c r="O351" s="4">
        <v>14</v>
      </c>
      <c r="P351" s="11" t="s">
        <v>9912</v>
      </c>
      <c r="Q351" s="11" t="s">
        <v>9909</v>
      </c>
      <c r="S351" s="4" t="b">
        <f>ISNUMBER(MATCH(Q351,T:T,0))</f>
        <v>1</v>
      </c>
      <c r="T351" s="4" t="s">
        <v>11098</v>
      </c>
      <c r="U351" s="4" t="str">
        <f t="shared" si="13"/>
        <v>懷</v>
      </c>
    </row>
    <row r="352" spans="1:22">
      <c r="A352" s="3">
        <v>351</v>
      </c>
      <c r="B352" s="3" t="s">
        <v>2939</v>
      </c>
      <c r="C352" s="3" t="s">
        <v>6035</v>
      </c>
      <c r="D352" s="3" t="s">
        <v>6157</v>
      </c>
      <c r="E352" s="3" t="s">
        <v>5991</v>
      </c>
      <c r="F352" s="3" t="s">
        <v>2940</v>
      </c>
      <c r="G352" s="3" t="s">
        <v>5993</v>
      </c>
      <c r="H352" s="3" t="s">
        <v>2966</v>
      </c>
      <c r="I352" s="3" t="s">
        <v>2846</v>
      </c>
      <c r="J352" s="5" t="s">
        <v>2967</v>
      </c>
      <c r="L352" s="3" t="s">
        <v>2936</v>
      </c>
      <c r="M352" s="3">
        <v>4</v>
      </c>
      <c r="N352" s="4" t="s">
        <v>2940</v>
      </c>
      <c r="O352" s="4">
        <v>14</v>
      </c>
      <c r="P352" s="11" t="s">
        <v>9719</v>
      </c>
      <c r="Q352" s="11" t="s">
        <v>2940</v>
      </c>
      <c r="S352" s="4" t="b">
        <f>ISNUMBER(MATCH(Q352,T:T,0))</f>
        <v>1</v>
      </c>
      <c r="T352" s="4" t="s">
        <v>11099</v>
      </c>
      <c r="U352" s="4" t="str">
        <f t="shared" si="13"/>
        <v>皆</v>
      </c>
    </row>
    <row r="353" spans="1:21">
      <c r="A353" s="3">
        <v>352</v>
      </c>
      <c r="B353" s="3" t="s">
        <v>2939</v>
      </c>
      <c r="C353" s="3" t="s">
        <v>6318</v>
      </c>
      <c r="D353" s="3" t="s">
        <v>6157</v>
      </c>
      <c r="E353" s="3" t="s">
        <v>5991</v>
      </c>
      <c r="F353" s="3" t="s">
        <v>2940</v>
      </c>
      <c r="G353" s="3" t="s">
        <v>5993</v>
      </c>
      <c r="H353" s="3" t="s">
        <v>2968</v>
      </c>
      <c r="I353" s="3" t="s">
        <v>2846</v>
      </c>
      <c r="J353" s="5" t="s">
        <v>2969</v>
      </c>
      <c r="L353" s="3" t="s">
        <v>2970</v>
      </c>
      <c r="M353" s="3">
        <v>1</v>
      </c>
      <c r="N353" s="4" t="s">
        <v>2940</v>
      </c>
      <c r="O353" s="4">
        <v>14</v>
      </c>
      <c r="P353" s="11" t="s">
        <v>9804</v>
      </c>
      <c r="Q353" s="11" t="s">
        <v>2940</v>
      </c>
      <c r="S353" s="4" t="b">
        <f>ISNUMBER(MATCH(Q353,T:T,0))</f>
        <v>1</v>
      </c>
      <c r="T353" s="4" t="s">
        <v>2969</v>
      </c>
      <c r="U353" s="4" t="str">
        <f t="shared" si="13"/>
        <v>皆</v>
      </c>
    </row>
    <row r="354" spans="1:21">
      <c r="A354" s="3">
        <v>353</v>
      </c>
      <c r="B354" s="3" t="s">
        <v>2939</v>
      </c>
      <c r="C354" s="3" t="s">
        <v>6072</v>
      </c>
      <c r="D354" s="3" t="s">
        <v>6157</v>
      </c>
      <c r="E354" s="3" t="s">
        <v>6212</v>
      </c>
      <c r="F354" s="3" t="s">
        <v>2940</v>
      </c>
      <c r="G354" s="3" t="s">
        <v>5993</v>
      </c>
      <c r="H354" s="3" t="s">
        <v>2971</v>
      </c>
      <c r="I354" s="3" t="s">
        <v>2846</v>
      </c>
      <c r="J354" s="5" t="s">
        <v>2972</v>
      </c>
      <c r="L354" s="3" t="s">
        <v>2973</v>
      </c>
      <c r="M354" s="3">
        <v>4</v>
      </c>
      <c r="N354" s="4" t="s">
        <v>2940</v>
      </c>
      <c r="O354" s="4">
        <v>14</v>
      </c>
      <c r="P354" s="11" t="s">
        <v>9907</v>
      </c>
      <c r="Q354" s="11" t="s">
        <v>2940</v>
      </c>
      <c r="S354" s="4" t="b">
        <f>ISNUMBER(MATCH(Q354,T:T,0))</f>
        <v>1</v>
      </c>
      <c r="T354" s="4" t="s">
        <v>11100</v>
      </c>
      <c r="U354" s="4" t="str">
        <f t="shared" si="13"/>
        <v>皆</v>
      </c>
    </row>
    <row r="355" spans="1:21">
      <c r="A355" s="3">
        <v>354</v>
      </c>
      <c r="B355" s="3" t="s">
        <v>2939</v>
      </c>
      <c r="C355" s="3" t="s">
        <v>6000</v>
      </c>
      <c r="D355" s="3" t="s">
        <v>6157</v>
      </c>
      <c r="E355" s="3" t="s">
        <v>5991</v>
      </c>
      <c r="F355" s="3" t="s">
        <v>2940</v>
      </c>
      <c r="G355" s="3" t="s">
        <v>5993</v>
      </c>
      <c r="H355" s="3" t="s">
        <v>2974</v>
      </c>
      <c r="I355" s="3" t="s">
        <v>2846</v>
      </c>
      <c r="J355" s="5" t="s">
        <v>2975</v>
      </c>
      <c r="L355" s="3" t="s">
        <v>2970</v>
      </c>
      <c r="M355" s="3">
        <v>2</v>
      </c>
      <c r="N355" s="4" t="s">
        <v>2940</v>
      </c>
      <c r="O355" s="4">
        <v>14</v>
      </c>
      <c r="P355" s="11" t="s">
        <v>9913</v>
      </c>
      <c r="Q355" s="11" t="s">
        <v>2940</v>
      </c>
      <c r="S355" s="4" t="b">
        <f>ISNUMBER(MATCH(Q355,T:T,0))</f>
        <v>1</v>
      </c>
      <c r="T355" s="4" t="s">
        <v>2975</v>
      </c>
      <c r="U355" s="4" t="str">
        <f t="shared" si="13"/>
        <v>皆</v>
      </c>
    </row>
    <row r="356" spans="1:21">
      <c r="A356" s="3">
        <v>355</v>
      </c>
      <c r="B356" s="3" t="s">
        <v>2939</v>
      </c>
      <c r="C356" s="3" t="s">
        <v>6058</v>
      </c>
      <c r="D356" s="3" t="s">
        <v>6157</v>
      </c>
      <c r="E356" s="3" t="s">
        <v>5991</v>
      </c>
      <c r="F356" s="3" t="s">
        <v>2940</v>
      </c>
      <c r="G356" s="3" t="s">
        <v>5993</v>
      </c>
      <c r="H356" s="3" t="s">
        <v>2976</v>
      </c>
      <c r="I356" s="3" t="s">
        <v>2846</v>
      </c>
      <c r="J356" s="5" t="s">
        <v>2977</v>
      </c>
      <c r="K356" s="3" t="s">
        <v>2978</v>
      </c>
      <c r="L356" s="3" t="s">
        <v>2979</v>
      </c>
      <c r="M356" s="3">
        <v>2</v>
      </c>
      <c r="N356" s="4" t="s">
        <v>2940</v>
      </c>
      <c r="O356" s="4">
        <v>14</v>
      </c>
      <c r="P356" s="11" t="s">
        <v>9914</v>
      </c>
      <c r="Q356" s="11" t="s">
        <v>9906</v>
      </c>
      <c r="S356" s="4" t="b">
        <f>ISNUMBER(MATCH(Q356,T:T,0))</f>
        <v>1</v>
      </c>
      <c r="T356" s="4" t="s">
        <v>2977</v>
      </c>
      <c r="U356" s="4" t="str">
        <f t="shared" si="13"/>
        <v>諧</v>
      </c>
    </row>
    <row r="357" spans="1:21">
      <c r="A357" s="3">
        <v>356</v>
      </c>
      <c r="B357" s="3" t="s">
        <v>2939</v>
      </c>
      <c r="C357" s="3" t="s">
        <v>6038</v>
      </c>
      <c r="D357" s="3" t="s">
        <v>6157</v>
      </c>
      <c r="E357" s="3" t="s">
        <v>5991</v>
      </c>
      <c r="F357" s="3" t="s">
        <v>2940</v>
      </c>
      <c r="G357" s="3" t="s">
        <v>5993</v>
      </c>
      <c r="H357" s="3" t="s">
        <v>2980</v>
      </c>
      <c r="I357" s="3" t="s">
        <v>2846</v>
      </c>
      <c r="J357" s="5" t="s">
        <v>2981</v>
      </c>
      <c r="L357" s="3" t="s">
        <v>2982</v>
      </c>
      <c r="M357" s="3">
        <v>4</v>
      </c>
      <c r="N357" s="4" t="s">
        <v>2940</v>
      </c>
      <c r="O357" s="4">
        <v>14</v>
      </c>
      <c r="P357" s="11" t="s">
        <v>9915</v>
      </c>
      <c r="Q357" s="11" t="s">
        <v>2940</v>
      </c>
      <c r="S357" s="4" t="b">
        <f>ISNUMBER(MATCH(Q357,T:T,0))</f>
        <v>1</v>
      </c>
      <c r="T357" s="4" t="s">
        <v>11101</v>
      </c>
      <c r="U357" s="4" t="str">
        <f t="shared" si="13"/>
        <v>皆</v>
      </c>
    </row>
    <row r="358" spans="1:21">
      <c r="A358" s="3">
        <v>357</v>
      </c>
      <c r="B358" s="3" t="s">
        <v>2939</v>
      </c>
      <c r="C358" s="3" t="s">
        <v>6137</v>
      </c>
      <c r="D358" s="3" t="s">
        <v>6157</v>
      </c>
      <c r="E358" s="3" t="s">
        <v>5991</v>
      </c>
      <c r="F358" s="3" t="s">
        <v>2940</v>
      </c>
      <c r="G358" s="3" t="s">
        <v>5993</v>
      </c>
      <c r="H358" s="3" t="s">
        <v>2983</v>
      </c>
      <c r="I358" s="3" t="s">
        <v>2846</v>
      </c>
      <c r="J358" s="5" t="s">
        <v>2984</v>
      </c>
      <c r="L358" s="3" t="s">
        <v>2921</v>
      </c>
      <c r="M358" s="3">
        <v>1</v>
      </c>
      <c r="N358" s="4" t="s">
        <v>2940</v>
      </c>
      <c r="O358" s="4">
        <v>14</v>
      </c>
      <c r="P358" s="11" t="s">
        <v>1561</v>
      </c>
      <c r="Q358" s="11" t="s">
        <v>2940</v>
      </c>
      <c r="S358" s="4" t="b">
        <f>ISNUMBER(MATCH(Q358,T:T,0))</f>
        <v>1</v>
      </c>
      <c r="T358" s="4" t="s">
        <v>2984</v>
      </c>
      <c r="U358" s="4" t="str">
        <f t="shared" si="13"/>
        <v>皆</v>
      </c>
    </row>
    <row r="359" spans="1:21">
      <c r="A359" s="3">
        <v>358</v>
      </c>
      <c r="B359" s="3" t="s">
        <v>2939</v>
      </c>
      <c r="C359" s="3" t="s">
        <v>6180</v>
      </c>
      <c r="D359" s="3" t="s">
        <v>6157</v>
      </c>
      <c r="E359" s="3" t="s">
        <v>5991</v>
      </c>
      <c r="F359" s="3" t="s">
        <v>2940</v>
      </c>
      <c r="G359" s="3" t="s">
        <v>5993</v>
      </c>
      <c r="H359" s="3" t="s">
        <v>2985</v>
      </c>
      <c r="I359" s="3" t="s">
        <v>2846</v>
      </c>
      <c r="J359" s="5" t="s">
        <v>2986</v>
      </c>
      <c r="L359" s="3" t="s">
        <v>2928</v>
      </c>
      <c r="M359" s="3">
        <v>2</v>
      </c>
      <c r="N359" s="4" t="s">
        <v>2940</v>
      </c>
      <c r="O359" s="4">
        <v>14</v>
      </c>
      <c r="P359" s="11" t="s">
        <v>6836</v>
      </c>
      <c r="Q359" s="11" t="s">
        <v>2940</v>
      </c>
      <c r="S359" s="4" t="b">
        <f>ISNUMBER(MATCH(Q359,T:T,0))</f>
        <v>1</v>
      </c>
      <c r="T359" s="4" t="s">
        <v>11092</v>
      </c>
      <c r="U359" s="4" t="str">
        <f t="shared" si="13"/>
        <v>皆</v>
      </c>
    </row>
    <row r="360" spans="1:21">
      <c r="A360" s="3">
        <v>359</v>
      </c>
      <c r="B360" s="3" t="s">
        <v>2939</v>
      </c>
      <c r="C360" s="3" t="s">
        <v>6092</v>
      </c>
      <c r="D360" s="3" t="s">
        <v>6157</v>
      </c>
      <c r="E360" s="3" t="s">
        <v>5991</v>
      </c>
      <c r="F360" s="3" t="s">
        <v>2940</v>
      </c>
      <c r="G360" s="3" t="s">
        <v>5993</v>
      </c>
      <c r="H360" s="3" t="s">
        <v>2987</v>
      </c>
      <c r="I360" s="3" t="s">
        <v>2846</v>
      </c>
      <c r="J360" s="5" t="s">
        <v>2988</v>
      </c>
      <c r="L360" s="3" t="s">
        <v>2989</v>
      </c>
      <c r="M360" s="3">
        <v>2</v>
      </c>
      <c r="N360" s="4" t="s">
        <v>2940</v>
      </c>
      <c r="O360" s="4">
        <v>14</v>
      </c>
      <c r="P360" s="11" t="s">
        <v>9916</v>
      </c>
      <c r="Q360" s="11" t="s">
        <v>2940</v>
      </c>
      <c r="S360" s="4" t="b">
        <f>ISNUMBER(MATCH(Q360,T:T,0))</f>
        <v>1</v>
      </c>
      <c r="T360" s="4" t="s">
        <v>11102</v>
      </c>
      <c r="U360" s="4" t="str">
        <f t="shared" si="13"/>
        <v>皆</v>
      </c>
    </row>
    <row r="361" spans="1:21">
      <c r="A361" s="3">
        <v>360</v>
      </c>
      <c r="B361" s="3" t="s">
        <v>2939</v>
      </c>
      <c r="C361" s="3" t="s">
        <v>6011</v>
      </c>
      <c r="D361" s="3" t="s">
        <v>6157</v>
      </c>
      <c r="E361" s="3" t="s">
        <v>5991</v>
      </c>
      <c r="F361" s="3" t="s">
        <v>2940</v>
      </c>
      <c r="G361" s="3" t="s">
        <v>5993</v>
      </c>
      <c r="H361" s="3" t="s">
        <v>2990</v>
      </c>
      <c r="I361" s="3" t="s">
        <v>2846</v>
      </c>
      <c r="J361" s="5" t="s">
        <v>2991</v>
      </c>
      <c r="L361" s="3" t="s">
        <v>2916</v>
      </c>
      <c r="M361" s="3">
        <v>1</v>
      </c>
      <c r="N361" s="4" t="s">
        <v>2940</v>
      </c>
      <c r="O361" s="4">
        <v>14</v>
      </c>
      <c r="P361" s="11" t="s">
        <v>9757</v>
      </c>
      <c r="Q361" s="11" t="s">
        <v>2940</v>
      </c>
      <c r="S361" s="4" t="b">
        <f>ISNUMBER(MATCH(Q361,T:T,0))</f>
        <v>1</v>
      </c>
      <c r="T361" s="4" t="s">
        <v>2991</v>
      </c>
      <c r="U361" s="4" t="str">
        <f t="shared" si="13"/>
        <v>皆</v>
      </c>
    </row>
    <row r="362" spans="1:21">
      <c r="A362" s="3">
        <v>361</v>
      </c>
      <c r="B362" s="3" t="s">
        <v>2939</v>
      </c>
      <c r="C362" s="3" t="s">
        <v>6089</v>
      </c>
      <c r="D362" s="3" t="s">
        <v>6157</v>
      </c>
      <c r="E362" s="3" t="s">
        <v>5991</v>
      </c>
      <c r="F362" s="3" t="s">
        <v>2940</v>
      </c>
      <c r="G362" s="3" t="s">
        <v>5993</v>
      </c>
      <c r="H362" s="3" t="s">
        <v>2992</v>
      </c>
      <c r="I362" s="3" t="s">
        <v>2846</v>
      </c>
      <c r="J362" s="5" t="s">
        <v>2993</v>
      </c>
      <c r="L362" s="3" t="s">
        <v>2994</v>
      </c>
      <c r="M362" s="3">
        <v>1</v>
      </c>
      <c r="N362" s="4" t="s">
        <v>2940</v>
      </c>
      <c r="O362" s="4">
        <v>14</v>
      </c>
      <c r="P362" s="11" t="s">
        <v>9827</v>
      </c>
      <c r="Q362" s="11" t="s">
        <v>2940</v>
      </c>
      <c r="S362" s="4" t="b">
        <f>ISNUMBER(MATCH(Q362,T:T,0))</f>
        <v>1</v>
      </c>
      <c r="T362" s="4" t="s">
        <v>2993</v>
      </c>
      <c r="U362" s="4" t="str">
        <f t="shared" si="13"/>
        <v>皆</v>
      </c>
    </row>
    <row r="363" spans="1:21">
      <c r="A363" s="3">
        <v>362</v>
      </c>
      <c r="B363" s="3" t="s">
        <v>2939</v>
      </c>
      <c r="C363" s="3" t="s">
        <v>6058</v>
      </c>
      <c r="D363" s="3" t="s">
        <v>6157</v>
      </c>
      <c r="E363" s="3" t="s">
        <v>6212</v>
      </c>
      <c r="F363" s="3" t="s">
        <v>2940</v>
      </c>
      <c r="G363" s="3" t="s">
        <v>5993</v>
      </c>
      <c r="H363" s="3" t="s">
        <v>2995</v>
      </c>
      <c r="I363" s="3" t="s">
        <v>2846</v>
      </c>
      <c r="J363" s="5" t="s">
        <v>2996</v>
      </c>
      <c r="L363" s="3" t="s">
        <v>2979</v>
      </c>
      <c r="M363" s="3">
        <v>1</v>
      </c>
      <c r="N363" s="4" t="s">
        <v>2940</v>
      </c>
      <c r="O363" s="4">
        <v>14</v>
      </c>
      <c r="P363" s="11" t="s">
        <v>9727</v>
      </c>
      <c r="Q363" s="11" t="s">
        <v>9909</v>
      </c>
      <c r="S363" s="4" t="b">
        <f>ISNUMBER(MATCH(Q363,T:T,0))</f>
        <v>1</v>
      </c>
      <c r="T363" s="4" t="s">
        <v>2996</v>
      </c>
      <c r="U363" s="4" t="str">
        <f t="shared" si="13"/>
        <v>懷</v>
      </c>
    </row>
    <row r="364" spans="1:21" ht="28.5">
      <c r="A364" s="3">
        <v>363</v>
      </c>
      <c r="B364" s="3" t="s">
        <v>2939</v>
      </c>
      <c r="C364" s="3" t="s">
        <v>6015</v>
      </c>
      <c r="D364" s="3" t="s">
        <v>6157</v>
      </c>
      <c r="E364" s="3" t="s">
        <v>6212</v>
      </c>
      <c r="F364" s="3" t="s">
        <v>2940</v>
      </c>
      <c r="G364" s="3" t="s">
        <v>5993</v>
      </c>
      <c r="H364" s="3" t="s">
        <v>2997</v>
      </c>
      <c r="I364" s="3" t="s">
        <v>2846</v>
      </c>
      <c r="J364" s="5" t="s">
        <v>2998</v>
      </c>
      <c r="L364" s="3" t="s">
        <v>2965</v>
      </c>
      <c r="M364" s="3">
        <v>2</v>
      </c>
      <c r="N364" s="4" t="s">
        <v>2940</v>
      </c>
      <c r="O364" s="4">
        <v>14</v>
      </c>
      <c r="P364" s="11" t="s">
        <v>9866</v>
      </c>
      <c r="Q364" s="11" t="s">
        <v>9909</v>
      </c>
      <c r="S364" s="4" t="b">
        <f>ISNUMBER(MATCH(Q364,T:T,0))</f>
        <v>1</v>
      </c>
      <c r="T364" s="4" t="s">
        <v>11103</v>
      </c>
      <c r="U364" s="4" t="str">
        <f t="shared" si="13"/>
        <v>懷</v>
      </c>
    </row>
    <row r="365" spans="1:21">
      <c r="A365" s="3">
        <v>364</v>
      </c>
      <c r="B365" s="3" t="s">
        <v>2999</v>
      </c>
      <c r="C365" s="3" t="s">
        <v>6089</v>
      </c>
      <c r="D365" s="3" t="s">
        <v>5990</v>
      </c>
      <c r="E365" s="3" t="s">
        <v>6212</v>
      </c>
      <c r="F365" s="3" t="s">
        <v>3000</v>
      </c>
      <c r="G365" s="3" t="s">
        <v>5993</v>
      </c>
      <c r="H365" s="3" t="s">
        <v>3001</v>
      </c>
      <c r="I365" s="3" t="s">
        <v>2846</v>
      </c>
      <c r="J365" s="5" t="s">
        <v>3002</v>
      </c>
      <c r="K365" s="3" t="s">
        <v>3003</v>
      </c>
      <c r="L365" s="3" t="s">
        <v>6219</v>
      </c>
      <c r="M365" s="3">
        <v>6</v>
      </c>
      <c r="N365" s="4" t="s">
        <v>3000</v>
      </c>
      <c r="O365" s="4">
        <v>15</v>
      </c>
      <c r="P365" s="11" t="s">
        <v>9739</v>
      </c>
      <c r="Q365" s="11" t="s">
        <v>9917</v>
      </c>
      <c r="S365" s="4" t="b">
        <f>ISNUMBER(MATCH(Q365,T:T,0))</f>
        <v>1</v>
      </c>
      <c r="T365" s="4" t="s">
        <v>3000</v>
      </c>
      <c r="U365" s="4" t="str">
        <f t="shared" si="13"/>
        <v>恢</v>
      </c>
    </row>
    <row r="366" spans="1:21">
      <c r="A366" s="3">
        <v>365</v>
      </c>
      <c r="B366" s="3" t="s">
        <v>2999</v>
      </c>
      <c r="C366" s="3" t="s">
        <v>6038</v>
      </c>
      <c r="D366" s="3" t="s">
        <v>5990</v>
      </c>
      <c r="E366" s="3" t="s">
        <v>6212</v>
      </c>
      <c r="F366" s="3" t="s">
        <v>3000</v>
      </c>
      <c r="G366" s="3" t="s">
        <v>5993</v>
      </c>
      <c r="H366" s="3" t="s">
        <v>3004</v>
      </c>
      <c r="I366" s="3" t="s">
        <v>2846</v>
      </c>
      <c r="J366" s="5" t="s">
        <v>3005</v>
      </c>
      <c r="L366" s="3" t="s">
        <v>6240</v>
      </c>
      <c r="M366" s="3">
        <v>8</v>
      </c>
      <c r="N366" s="4" t="s">
        <v>3000</v>
      </c>
      <c r="O366" s="4">
        <v>15</v>
      </c>
      <c r="P366" s="11" t="s">
        <v>9728</v>
      </c>
      <c r="Q366" s="11" t="s">
        <v>9918</v>
      </c>
      <c r="S366" s="4" t="b">
        <f>ISNUMBER(MATCH(Q366,T:T,0))</f>
        <v>1</v>
      </c>
      <c r="T366" s="4" t="s">
        <v>9917</v>
      </c>
      <c r="U366" s="4" t="str">
        <f t="shared" si="13"/>
        <v>回</v>
      </c>
    </row>
    <row r="367" spans="1:21">
      <c r="A367" s="3">
        <v>366</v>
      </c>
      <c r="B367" s="3" t="s">
        <v>2999</v>
      </c>
      <c r="C367" s="3" t="s">
        <v>6072</v>
      </c>
      <c r="D367" s="3" t="s">
        <v>5990</v>
      </c>
      <c r="E367" s="3" t="s">
        <v>6212</v>
      </c>
      <c r="F367" s="3" t="s">
        <v>3000</v>
      </c>
      <c r="G367" s="3" t="s">
        <v>5993</v>
      </c>
      <c r="H367" s="3" t="s">
        <v>3006</v>
      </c>
      <c r="I367" s="3" t="s">
        <v>2846</v>
      </c>
      <c r="J367" s="5" t="s">
        <v>7597</v>
      </c>
      <c r="L367" s="3" t="s">
        <v>6221</v>
      </c>
      <c r="M367" s="3">
        <v>11</v>
      </c>
      <c r="N367" s="4" t="s">
        <v>3000</v>
      </c>
      <c r="O367" s="4">
        <v>15</v>
      </c>
      <c r="P367" s="11" t="s">
        <v>9734</v>
      </c>
      <c r="Q367" s="11" t="s">
        <v>9917</v>
      </c>
      <c r="S367" s="4" t="b">
        <f>ISNUMBER(MATCH(Q367,T:T,0))</f>
        <v>1</v>
      </c>
      <c r="T367" s="4" t="s">
        <v>11104</v>
      </c>
      <c r="U367" s="4" t="str">
        <f t="shared" si="13"/>
        <v>恢</v>
      </c>
    </row>
    <row r="368" spans="1:21">
      <c r="A368" s="3">
        <v>367</v>
      </c>
      <c r="B368" s="3" t="s">
        <v>2999</v>
      </c>
      <c r="C368" s="3" t="s">
        <v>6067</v>
      </c>
      <c r="D368" s="3" t="s">
        <v>5990</v>
      </c>
      <c r="E368" s="3" t="s">
        <v>6212</v>
      </c>
      <c r="F368" s="3" t="s">
        <v>3000</v>
      </c>
      <c r="G368" s="3" t="s">
        <v>5993</v>
      </c>
      <c r="H368" s="7" t="s">
        <v>685</v>
      </c>
      <c r="I368" s="3" t="s">
        <v>2846</v>
      </c>
      <c r="J368" s="5" t="s">
        <v>7598</v>
      </c>
      <c r="L368" s="3" t="s">
        <v>2888</v>
      </c>
      <c r="M368" s="3">
        <v>13</v>
      </c>
      <c r="N368" s="4" t="s">
        <v>3000</v>
      </c>
      <c r="O368" s="4">
        <v>15</v>
      </c>
      <c r="P368" s="11" t="s">
        <v>9731</v>
      </c>
      <c r="Q368" s="11" t="s">
        <v>9917</v>
      </c>
      <c r="S368" s="4" t="b">
        <f>ISNUMBER(MATCH(Q368,T:T,0))</f>
        <v>1</v>
      </c>
      <c r="T368" s="4" t="s">
        <v>9918</v>
      </c>
      <c r="U368" s="4" t="str">
        <f t="shared" si="13"/>
        <v>恢</v>
      </c>
    </row>
    <row r="369" spans="1:21">
      <c r="A369" s="3">
        <v>368</v>
      </c>
      <c r="B369" s="3" t="s">
        <v>2999</v>
      </c>
      <c r="C369" s="3" t="s">
        <v>6035</v>
      </c>
      <c r="D369" s="3" t="s">
        <v>5990</v>
      </c>
      <c r="E369" s="3" t="s">
        <v>6212</v>
      </c>
      <c r="F369" s="3" t="s">
        <v>3000</v>
      </c>
      <c r="G369" s="3" t="s">
        <v>5993</v>
      </c>
      <c r="H369" s="3" t="s">
        <v>3007</v>
      </c>
      <c r="I369" s="3" t="s">
        <v>2846</v>
      </c>
      <c r="J369" s="5" t="s">
        <v>7599</v>
      </c>
      <c r="L369" s="3" t="s">
        <v>3008</v>
      </c>
      <c r="M369" s="3">
        <v>15</v>
      </c>
      <c r="N369" s="4" t="s">
        <v>3000</v>
      </c>
      <c r="O369" s="4">
        <v>15</v>
      </c>
      <c r="P369" s="11" t="s">
        <v>9719</v>
      </c>
      <c r="Q369" s="11" t="s">
        <v>9919</v>
      </c>
      <c r="S369" s="4" t="b">
        <f>ISNUMBER(MATCH(Q369,T:T,0))</f>
        <v>1</v>
      </c>
      <c r="T369" s="4" t="s">
        <v>11105</v>
      </c>
      <c r="U369" s="4" t="str">
        <f t="shared" si="13"/>
        <v>杯</v>
      </c>
    </row>
    <row r="370" spans="1:21">
      <c r="A370" s="3">
        <v>369</v>
      </c>
      <c r="B370" s="3" t="s">
        <v>2999</v>
      </c>
      <c r="C370" s="3" t="s">
        <v>6025</v>
      </c>
      <c r="D370" s="3" t="s">
        <v>5990</v>
      </c>
      <c r="E370" s="3" t="s">
        <v>6212</v>
      </c>
      <c r="F370" s="3" t="s">
        <v>3000</v>
      </c>
      <c r="G370" s="3" t="s">
        <v>5993</v>
      </c>
      <c r="H370" s="3" t="s">
        <v>3009</v>
      </c>
      <c r="I370" s="3" t="s">
        <v>2846</v>
      </c>
      <c r="J370" s="5" t="s">
        <v>7600</v>
      </c>
      <c r="L370" s="3" t="s">
        <v>6217</v>
      </c>
      <c r="M370" s="3">
        <v>10</v>
      </c>
      <c r="N370" s="4" t="s">
        <v>3000</v>
      </c>
      <c r="O370" s="4">
        <v>15</v>
      </c>
      <c r="P370" s="11" t="s">
        <v>9732</v>
      </c>
      <c r="Q370" s="11" t="s">
        <v>9918</v>
      </c>
      <c r="S370" s="4" t="b">
        <f>ISNUMBER(MATCH(Q370,T:T,0))</f>
        <v>1</v>
      </c>
      <c r="T370" s="4" t="s">
        <v>11106</v>
      </c>
      <c r="U370" s="4" t="str">
        <f t="shared" si="13"/>
        <v>回</v>
      </c>
    </row>
    <row r="371" spans="1:21">
      <c r="A371" s="3">
        <v>370</v>
      </c>
      <c r="B371" s="3" t="s">
        <v>2999</v>
      </c>
      <c r="C371" s="3" t="s">
        <v>6058</v>
      </c>
      <c r="D371" s="3" t="s">
        <v>5990</v>
      </c>
      <c r="E371" s="3" t="s">
        <v>6212</v>
      </c>
      <c r="F371" s="3" t="s">
        <v>3000</v>
      </c>
      <c r="G371" s="3" t="s">
        <v>5993</v>
      </c>
      <c r="H371" s="3" t="s">
        <v>3010</v>
      </c>
      <c r="I371" s="3" t="s">
        <v>2846</v>
      </c>
      <c r="J371" s="5" t="s">
        <v>7601</v>
      </c>
      <c r="L371" s="3" t="s">
        <v>6229</v>
      </c>
      <c r="M371" s="3">
        <v>13</v>
      </c>
      <c r="N371" s="4" t="s">
        <v>3000</v>
      </c>
      <c r="O371" s="4">
        <v>15</v>
      </c>
      <c r="P371" s="11" t="s">
        <v>9920</v>
      </c>
      <c r="Q371" s="11" t="s">
        <v>9918</v>
      </c>
      <c r="S371" s="4" t="b">
        <f>ISNUMBER(MATCH(Q371,T:T,0))</f>
        <v>1</v>
      </c>
      <c r="T371" s="4" t="s">
        <v>11107</v>
      </c>
      <c r="U371" s="4" t="str">
        <f t="shared" si="13"/>
        <v>回</v>
      </c>
    </row>
    <row r="372" spans="1:21">
      <c r="A372" s="3">
        <v>371</v>
      </c>
      <c r="B372" s="3" t="s">
        <v>2999</v>
      </c>
      <c r="C372" s="3" t="s">
        <v>5997</v>
      </c>
      <c r="D372" s="3" t="s">
        <v>5990</v>
      </c>
      <c r="E372" s="3" t="s">
        <v>6212</v>
      </c>
      <c r="F372" s="3" t="s">
        <v>3000</v>
      </c>
      <c r="G372" s="3" t="s">
        <v>5993</v>
      </c>
      <c r="H372" s="3" t="s">
        <v>3011</v>
      </c>
      <c r="I372" s="3" t="s">
        <v>2846</v>
      </c>
      <c r="J372" s="5" t="s">
        <v>7602</v>
      </c>
      <c r="L372" s="3" t="s">
        <v>3012</v>
      </c>
      <c r="M372" s="3">
        <v>13</v>
      </c>
      <c r="N372" s="4" t="s">
        <v>3000</v>
      </c>
      <c r="O372" s="4">
        <v>15</v>
      </c>
      <c r="P372" s="11" t="s">
        <v>9888</v>
      </c>
      <c r="Q372" s="11" t="s">
        <v>9918</v>
      </c>
      <c r="S372" s="4" t="b">
        <f>ISNUMBER(MATCH(Q372,T:T,0))</f>
        <v>1</v>
      </c>
      <c r="T372" s="4" t="s">
        <v>11108</v>
      </c>
      <c r="U372" s="4" t="str">
        <f t="shared" si="13"/>
        <v>回</v>
      </c>
    </row>
    <row r="373" spans="1:21">
      <c r="A373" s="3">
        <v>372</v>
      </c>
      <c r="B373" s="3" t="s">
        <v>2999</v>
      </c>
      <c r="C373" s="3" t="s">
        <v>6076</v>
      </c>
      <c r="D373" s="3" t="s">
        <v>5990</v>
      </c>
      <c r="E373" s="3" t="s">
        <v>6212</v>
      </c>
      <c r="F373" s="3" t="s">
        <v>3000</v>
      </c>
      <c r="G373" s="3" t="s">
        <v>5993</v>
      </c>
      <c r="H373" s="3" t="s">
        <v>3013</v>
      </c>
      <c r="I373" s="3" t="s">
        <v>2846</v>
      </c>
      <c r="J373" s="5" t="s">
        <v>3014</v>
      </c>
      <c r="L373" s="3" t="s">
        <v>3015</v>
      </c>
      <c r="M373" s="3">
        <v>6</v>
      </c>
      <c r="N373" s="4" t="s">
        <v>3000</v>
      </c>
      <c r="O373" s="4">
        <v>15</v>
      </c>
      <c r="P373" s="11" t="s">
        <v>9735</v>
      </c>
      <c r="Q373" s="11" t="s">
        <v>9918</v>
      </c>
      <c r="S373" s="4" t="b">
        <f>ISNUMBER(MATCH(Q373,T:T,0))</f>
        <v>1</v>
      </c>
      <c r="T373" s="4" t="s">
        <v>11109</v>
      </c>
      <c r="U373" s="4" t="str">
        <f t="shared" si="13"/>
        <v>回</v>
      </c>
    </row>
    <row r="374" spans="1:21">
      <c r="A374" s="3">
        <v>373</v>
      </c>
      <c r="B374" s="3" t="s">
        <v>2999</v>
      </c>
      <c r="C374" s="3" t="s">
        <v>5989</v>
      </c>
      <c r="D374" s="3" t="s">
        <v>5990</v>
      </c>
      <c r="E374" s="3" t="s">
        <v>6212</v>
      </c>
      <c r="F374" s="3" t="s">
        <v>3000</v>
      </c>
      <c r="G374" s="3" t="s">
        <v>5993</v>
      </c>
      <c r="H374" s="3" t="s">
        <v>3016</v>
      </c>
      <c r="I374" s="3" t="s">
        <v>2846</v>
      </c>
      <c r="J374" s="5" t="s">
        <v>7603</v>
      </c>
      <c r="L374" s="3" t="s">
        <v>3017</v>
      </c>
      <c r="M374" s="3">
        <v>15</v>
      </c>
      <c r="N374" s="4" t="s">
        <v>3000</v>
      </c>
      <c r="O374" s="4">
        <v>15</v>
      </c>
      <c r="P374" s="11" t="s">
        <v>9742</v>
      </c>
      <c r="Q374" s="11" t="s">
        <v>9918</v>
      </c>
      <c r="S374" s="4" t="b">
        <f>ISNUMBER(MATCH(Q374,T:T,0))</f>
        <v>1</v>
      </c>
      <c r="T374" s="4" t="s">
        <v>11110</v>
      </c>
      <c r="U374" s="4" t="str">
        <f t="shared" si="13"/>
        <v>回</v>
      </c>
    </row>
    <row r="375" spans="1:21">
      <c r="A375" s="3">
        <v>374</v>
      </c>
      <c r="B375" s="3" t="s">
        <v>2999</v>
      </c>
      <c r="C375" s="3" t="s">
        <v>6017</v>
      </c>
      <c r="D375" s="3" t="s">
        <v>5990</v>
      </c>
      <c r="E375" s="3" t="s">
        <v>6212</v>
      </c>
      <c r="F375" s="3" t="s">
        <v>3000</v>
      </c>
      <c r="G375" s="3" t="s">
        <v>5993</v>
      </c>
      <c r="H375" s="3" t="s">
        <v>3018</v>
      </c>
      <c r="I375" s="3" t="s">
        <v>2846</v>
      </c>
      <c r="J375" s="5" t="s">
        <v>3019</v>
      </c>
      <c r="L375" s="3" t="s">
        <v>6293</v>
      </c>
      <c r="M375" s="3">
        <v>6</v>
      </c>
      <c r="N375" s="4" t="s">
        <v>3000</v>
      </c>
      <c r="O375" s="4">
        <v>15</v>
      </c>
      <c r="P375" s="11" t="s">
        <v>9878</v>
      </c>
      <c r="Q375" s="11" t="s">
        <v>9918</v>
      </c>
      <c r="S375" s="4" t="b">
        <f>ISNUMBER(MATCH(Q375,T:T,0))</f>
        <v>1</v>
      </c>
      <c r="T375" s="4" t="s">
        <v>11111</v>
      </c>
      <c r="U375" s="4" t="str">
        <f t="shared" si="13"/>
        <v>回</v>
      </c>
    </row>
    <row r="376" spans="1:21">
      <c r="A376" s="3">
        <v>375</v>
      </c>
      <c r="B376" s="3" t="s">
        <v>2999</v>
      </c>
      <c r="C376" s="3" t="s">
        <v>6069</v>
      </c>
      <c r="D376" s="3" t="s">
        <v>5990</v>
      </c>
      <c r="E376" s="3" t="s">
        <v>6212</v>
      </c>
      <c r="F376" s="3" t="s">
        <v>3000</v>
      </c>
      <c r="G376" s="3" t="s">
        <v>5993</v>
      </c>
      <c r="H376" s="3" t="s">
        <v>3020</v>
      </c>
      <c r="I376" s="3" t="s">
        <v>2846</v>
      </c>
      <c r="J376" s="5" t="s">
        <v>7604</v>
      </c>
      <c r="L376" s="3" t="s">
        <v>3021</v>
      </c>
      <c r="M376" s="3">
        <v>5</v>
      </c>
      <c r="N376" s="4" t="s">
        <v>3000</v>
      </c>
      <c r="O376" s="4">
        <v>15</v>
      </c>
      <c r="P376" s="11" t="s">
        <v>9880</v>
      </c>
      <c r="Q376" s="11" t="s">
        <v>9918</v>
      </c>
      <c r="S376" s="4" t="b">
        <f>ISNUMBER(MATCH(Q376,T:T,0))</f>
        <v>1</v>
      </c>
      <c r="T376" s="4" t="s">
        <v>11112</v>
      </c>
      <c r="U376" s="4" t="str">
        <f t="shared" si="13"/>
        <v>回</v>
      </c>
    </row>
    <row r="377" spans="1:21">
      <c r="A377" s="3">
        <v>376</v>
      </c>
      <c r="B377" s="3" t="s">
        <v>2999</v>
      </c>
      <c r="C377" s="3" t="s">
        <v>6045</v>
      </c>
      <c r="D377" s="3" t="s">
        <v>5990</v>
      </c>
      <c r="E377" s="3" t="s">
        <v>6212</v>
      </c>
      <c r="F377" s="3" t="s">
        <v>3000</v>
      </c>
      <c r="G377" s="3" t="s">
        <v>5993</v>
      </c>
      <c r="H377" s="3" t="s">
        <v>3022</v>
      </c>
      <c r="I377" s="3" t="s">
        <v>2846</v>
      </c>
      <c r="J377" s="5" t="s">
        <v>7605</v>
      </c>
      <c r="L377" s="3" t="s">
        <v>3023</v>
      </c>
      <c r="M377" s="3">
        <v>12</v>
      </c>
      <c r="N377" s="4" t="s">
        <v>3000</v>
      </c>
      <c r="O377" s="4">
        <v>15</v>
      </c>
      <c r="P377" s="11" t="s">
        <v>9738</v>
      </c>
      <c r="Q377" s="11" t="s">
        <v>9918</v>
      </c>
      <c r="S377" s="4" t="b">
        <f>ISNUMBER(MATCH(Q377,T:T,0))</f>
        <v>1</v>
      </c>
      <c r="T377" s="4" t="s">
        <v>11113</v>
      </c>
      <c r="U377" s="4" t="str">
        <f t="shared" si="13"/>
        <v>回</v>
      </c>
    </row>
    <row r="378" spans="1:21">
      <c r="A378" s="3">
        <v>377</v>
      </c>
      <c r="B378" s="3" t="s">
        <v>2999</v>
      </c>
      <c r="C378" s="3" t="s">
        <v>6049</v>
      </c>
      <c r="D378" s="3" t="s">
        <v>5990</v>
      </c>
      <c r="E378" s="3" t="s">
        <v>6212</v>
      </c>
      <c r="F378" s="3" t="s">
        <v>3000</v>
      </c>
      <c r="G378" s="3" t="s">
        <v>5993</v>
      </c>
      <c r="H378" s="3" t="s">
        <v>3024</v>
      </c>
      <c r="I378" s="3" t="s">
        <v>2846</v>
      </c>
      <c r="J378" s="5" t="s">
        <v>3025</v>
      </c>
      <c r="L378" s="3" t="s">
        <v>3026</v>
      </c>
      <c r="M378" s="3">
        <v>3</v>
      </c>
      <c r="N378" s="4" t="s">
        <v>3000</v>
      </c>
      <c r="O378" s="4">
        <v>15</v>
      </c>
      <c r="P378" s="11" t="s">
        <v>9921</v>
      </c>
      <c r="Q378" s="11" t="s">
        <v>9918</v>
      </c>
      <c r="S378" s="4" t="b">
        <f>ISNUMBER(MATCH(Q378,T:T,0))</f>
        <v>1</v>
      </c>
      <c r="T378" s="4" t="s">
        <v>9919</v>
      </c>
      <c r="U378" s="4" t="str">
        <f t="shared" si="13"/>
        <v>回</v>
      </c>
    </row>
    <row r="379" spans="1:21">
      <c r="A379" s="3">
        <v>378</v>
      </c>
      <c r="B379" s="3" t="s">
        <v>2999</v>
      </c>
      <c r="C379" s="3" t="s">
        <v>6053</v>
      </c>
      <c r="D379" s="3" t="s">
        <v>5990</v>
      </c>
      <c r="E379" s="3" t="s">
        <v>6212</v>
      </c>
      <c r="F379" s="3" t="s">
        <v>3000</v>
      </c>
      <c r="G379" s="3" t="s">
        <v>5993</v>
      </c>
      <c r="H379" s="3" t="s">
        <v>3027</v>
      </c>
      <c r="I379" s="3" t="s">
        <v>2846</v>
      </c>
      <c r="J379" s="8" t="s">
        <v>7606</v>
      </c>
      <c r="L379" s="3" t="s">
        <v>3028</v>
      </c>
      <c r="M379" s="3">
        <v>8</v>
      </c>
      <c r="N379" s="4" t="s">
        <v>3000</v>
      </c>
      <c r="O379" s="4">
        <v>15</v>
      </c>
      <c r="P379" s="11" t="s">
        <v>9841</v>
      </c>
      <c r="Q379" s="11" t="s">
        <v>9919</v>
      </c>
      <c r="S379" s="4" t="b">
        <f>ISNUMBER(MATCH(Q379,T:T,0))</f>
        <v>1</v>
      </c>
      <c r="T379" s="4" t="s">
        <v>11114</v>
      </c>
      <c r="U379" s="4" t="str">
        <f t="shared" si="13"/>
        <v>杯</v>
      </c>
    </row>
    <row r="380" spans="1:21">
      <c r="A380" s="3">
        <v>379</v>
      </c>
      <c r="B380" s="3" t="s">
        <v>2999</v>
      </c>
      <c r="C380" s="3" t="s">
        <v>6092</v>
      </c>
      <c r="D380" s="3" t="s">
        <v>5990</v>
      </c>
      <c r="E380" s="3" t="s">
        <v>6212</v>
      </c>
      <c r="F380" s="3" t="s">
        <v>3000</v>
      </c>
      <c r="G380" s="3" t="s">
        <v>5993</v>
      </c>
      <c r="H380" s="3" t="s">
        <v>3029</v>
      </c>
      <c r="I380" s="3" t="s">
        <v>2846</v>
      </c>
      <c r="J380" s="5" t="s">
        <v>3030</v>
      </c>
      <c r="L380" s="3" t="s">
        <v>6216</v>
      </c>
      <c r="M380" s="3">
        <v>5</v>
      </c>
      <c r="N380" s="4" t="s">
        <v>3000</v>
      </c>
      <c r="O380" s="4">
        <v>15</v>
      </c>
      <c r="P380" s="11" t="s">
        <v>9740</v>
      </c>
      <c r="Q380" s="11" t="s">
        <v>3000</v>
      </c>
      <c r="S380" s="4" t="b">
        <f>ISNUMBER(MATCH(Q380,T:T,0))</f>
        <v>1</v>
      </c>
      <c r="T380" s="4" t="s">
        <v>11115</v>
      </c>
      <c r="U380" s="4" t="str">
        <f t="shared" si="13"/>
        <v>灰</v>
      </c>
    </row>
    <row r="381" spans="1:21">
      <c r="A381" s="3">
        <v>380</v>
      </c>
      <c r="B381" s="3" t="s">
        <v>2999</v>
      </c>
      <c r="C381" s="3" t="s">
        <v>6079</v>
      </c>
      <c r="D381" s="3" t="s">
        <v>5990</v>
      </c>
      <c r="E381" s="3" t="s">
        <v>6212</v>
      </c>
      <c r="F381" s="3" t="s">
        <v>3000</v>
      </c>
      <c r="G381" s="3" t="s">
        <v>5993</v>
      </c>
      <c r="H381" s="3" t="s">
        <v>3031</v>
      </c>
      <c r="I381" s="3" t="s">
        <v>2846</v>
      </c>
      <c r="J381" s="5" t="s">
        <v>3032</v>
      </c>
      <c r="L381" s="3" t="s">
        <v>3033</v>
      </c>
      <c r="M381" s="3">
        <v>7</v>
      </c>
      <c r="N381" s="4" t="s">
        <v>3000</v>
      </c>
      <c r="O381" s="4">
        <v>15</v>
      </c>
      <c r="P381" s="11" t="s">
        <v>9736</v>
      </c>
      <c r="Q381" s="11" t="s">
        <v>9918</v>
      </c>
      <c r="S381" s="4" t="b">
        <f>ISNUMBER(MATCH(Q381,T:T,0))</f>
        <v>1</v>
      </c>
      <c r="T381" s="4" t="s">
        <v>11116</v>
      </c>
      <c r="U381" s="4" t="str">
        <f t="shared" si="13"/>
        <v>回</v>
      </c>
    </row>
    <row r="382" spans="1:21">
      <c r="A382" s="3">
        <v>381</v>
      </c>
      <c r="B382" s="3" t="s">
        <v>2999</v>
      </c>
      <c r="C382" s="3" t="s">
        <v>6102</v>
      </c>
      <c r="D382" s="3" t="s">
        <v>5990</v>
      </c>
      <c r="E382" s="3" t="s">
        <v>6212</v>
      </c>
      <c r="F382" s="3" t="s">
        <v>3000</v>
      </c>
      <c r="G382" s="3" t="s">
        <v>5993</v>
      </c>
      <c r="H382" s="3" t="s">
        <v>3034</v>
      </c>
      <c r="I382" s="3" t="s">
        <v>2846</v>
      </c>
      <c r="J382" s="5" t="s">
        <v>3035</v>
      </c>
      <c r="L382" s="3" t="s">
        <v>3036</v>
      </c>
      <c r="M382" s="3">
        <v>3</v>
      </c>
      <c r="N382" s="4" t="s">
        <v>3000</v>
      </c>
      <c r="O382" s="4">
        <v>15</v>
      </c>
      <c r="P382" s="11" t="s">
        <v>9873</v>
      </c>
      <c r="Q382" s="11" t="s">
        <v>9918</v>
      </c>
      <c r="S382" s="4" t="b">
        <f>ISNUMBER(MATCH(Q382,T:T,0))</f>
        <v>1</v>
      </c>
      <c r="T382" s="4" t="s">
        <v>11116</v>
      </c>
      <c r="U382" s="4" t="str">
        <f t="shared" si="13"/>
        <v>回</v>
      </c>
    </row>
    <row r="383" spans="1:21">
      <c r="A383" s="3">
        <v>382</v>
      </c>
      <c r="B383" s="3" t="s">
        <v>2999</v>
      </c>
      <c r="C383" s="3" t="s">
        <v>6083</v>
      </c>
      <c r="D383" s="3" t="s">
        <v>5990</v>
      </c>
      <c r="E383" s="3" t="s">
        <v>6212</v>
      </c>
      <c r="F383" s="3" t="s">
        <v>3000</v>
      </c>
      <c r="G383" s="3" t="s">
        <v>5993</v>
      </c>
      <c r="H383" s="3" t="s">
        <v>3037</v>
      </c>
      <c r="I383" s="3" t="s">
        <v>2846</v>
      </c>
      <c r="J383" s="5" t="s">
        <v>3038</v>
      </c>
      <c r="L383" s="3" t="s">
        <v>6308</v>
      </c>
      <c r="M383" s="3">
        <v>4</v>
      </c>
      <c r="N383" s="4" t="s">
        <v>3000</v>
      </c>
      <c r="O383" s="4">
        <v>15</v>
      </c>
      <c r="P383" s="11" t="s">
        <v>9922</v>
      </c>
      <c r="Q383" s="11" t="s">
        <v>9918</v>
      </c>
      <c r="S383" s="4" t="b">
        <f>ISNUMBER(MATCH(Q383,T:T,0))</f>
        <v>1</v>
      </c>
      <c r="T383" s="4" t="s">
        <v>11117</v>
      </c>
      <c r="U383" s="4" t="str">
        <f t="shared" si="13"/>
        <v>回</v>
      </c>
    </row>
    <row r="384" spans="1:21">
      <c r="A384" s="3">
        <v>383</v>
      </c>
      <c r="B384" s="3" t="s">
        <v>3039</v>
      </c>
      <c r="C384" s="3" t="s">
        <v>6089</v>
      </c>
      <c r="D384" s="3" t="s">
        <v>5990</v>
      </c>
      <c r="E384" s="3" t="s">
        <v>5991</v>
      </c>
      <c r="F384" s="3" t="s">
        <v>3040</v>
      </c>
      <c r="G384" s="3" t="s">
        <v>5993</v>
      </c>
      <c r="H384" s="3" t="s">
        <v>3041</v>
      </c>
      <c r="I384" s="3" t="s">
        <v>2846</v>
      </c>
      <c r="J384" s="5" t="s">
        <v>3042</v>
      </c>
      <c r="L384" s="3" t="s">
        <v>3043</v>
      </c>
      <c r="M384" s="3">
        <v>3</v>
      </c>
      <c r="N384" s="4" t="s">
        <v>3040</v>
      </c>
      <c r="O384" s="4">
        <v>16</v>
      </c>
      <c r="P384" s="11" t="s">
        <v>9739</v>
      </c>
      <c r="Q384" s="11" t="s">
        <v>6058</v>
      </c>
      <c r="S384" s="4" t="b">
        <f>ISNUMBER(MATCH(Q384,T:T,0))</f>
        <v>1</v>
      </c>
      <c r="T384" s="4" t="s">
        <v>3040</v>
      </c>
      <c r="U384" s="4" t="str">
        <f t="shared" si="13"/>
        <v>來</v>
      </c>
    </row>
    <row r="385" spans="1:22">
      <c r="A385" s="3">
        <v>384</v>
      </c>
      <c r="B385" s="3" t="s">
        <v>3039</v>
      </c>
      <c r="C385" s="3" t="s">
        <v>6038</v>
      </c>
      <c r="D385" s="3" t="s">
        <v>5990</v>
      </c>
      <c r="E385" s="3" t="s">
        <v>5991</v>
      </c>
      <c r="F385" s="3" t="s">
        <v>3040</v>
      </c>
      <c r="G385" s="3" t="s">
        <v>5993</v>
      </c>
      <c r="H385" s="3" t="s">
        <v>3044</v>
      </c>
      <c r="I385" s="3" t="s">
        <v>2846</v>
      </c>
      <c r="J385" s="5" t="s">
        <v>7607</v>
      </c>
      <c r="L385" s="3" t="s">
        <v>3045</v>
      </c>
      <c r="M385" s="3">
        <v>5</v>
      </c>
      <c r="N385" s="4" t="s">
        <v>3040</v>
      </c>
      <c r="O385" s="4">
        <v>16</v>
      </c>
      <c r="P385" s="11" t="s">
        <v>9728</v>
      </c>
      <c r="Q385" s="11" t="s">
        <v>9881</v>
      </c>
      <c r="S385" s="4" t="b">
        <f>ISNUMBER(MATCH(Q385,T:T,0))</f>
        <v>1</v>
      </c>
      <c r="T385" s="4" t="s">
        <v>5991</v>
      </c>
      <c r="U385" s="4" t="str">
        <f t="shared" si="13"/>
        <v>哀</v>
      </c>
    </row>
    <row r="386" spans="1:22">
      <c r="A386" s="3">
        <v>385</v>
      </c>
      <c r="B386" s="3" t="s">
        <v>3039</v>
      </c>
      <c r="C386" s="3" t="s">
        <v>6072</v>
      </c>
      <c r="D386" s="3" t="s">
        <v>5990</v>
      </c>
      <c r="E386" s="3" t="s">
        <v>5991</v>
      </c>
      <c r="F386" s="3" t="s">
        <v>3040</v>
      </c>
      <c r="G386" s="3" t="s">
        <v>5993</v>
      </c>
      <c r="H386" s="3" t="s">
        <v>3046</v>
      </c>
      <c r="I386" s="3" t="s">
        <v>2846</v>
      </c>
      <c r="J386" s="5" t="s">
        <v>3047</v>
      </c>
      <c r="L386" s="3" t="s">
        <v>3048</v>
      </c>
      <c r="M386" s="3">
        <v>6</v>
      </c>
      <c r="N386" s="4" t="s">
        <v>3040</v>
      </c>
      <c r="O386" s="4">
        <v>16</v>
      </c>
      <c r="P386" s="11" t="s">
        <v>9734</v>
      </c>
      <c r="Q386" s="11" t="s">
        <v>5991</v>
      </c>
      <c r="S386" s="4" t="b">
        <f>ISNUMBER(MATCH(Q386,T:T,0))</f>
        <v>1</v>
      </c>
      <c r="T386" s="4" t="s">
        <v>9881</v>
      </c>
      <c r="U386" s="4" t="str">
        <f t="shared" si="13"/>
        <v>開</v>
      </c>
    </row>
    <row r="387" spans="1:22">
      <c r="A387" s="3">
        <v>386</v>
      </c>
      <c r="B387" s="3" t="s">
        <v>3039</v>
      </c>
      <c r="C387" s="3" t="s">
        <v>5997</v>
      </c>
      <c r="D387" s="3" t="s">
        <v>5990</v>
      </c>
      <c r="E387" s="3" t="s">
        <v>5991</v>
      </c>
      <c r="F387" s="3" t="s">
        <v>3040</v>
      </c>
      <c r="G387" s="3" t="s">
        <v>5993</v>
      </c>
      <c r="H387" s="3" t="s">
        <v>3049</v>
      </c>
      <c r="I387" s="3" t="s">
        <v>2846</v>
      </c>
      <c r="J387" s="5" t="s">
        <v>7608</v>
      </c>
      <c r="L387" s="3" t="s">
        <v>3050</v>
      </c>
      <c r="M387" s="3">
        <v>15</v>
      </c>
      <c r="N387" s="4" t="s">
        <v>3040</v>
      </c>
      <c r="O387" s="4">
        <v>16</v>
      </c>
      <c r="P387" s="11" t="s">
        <v>9706</v>
      </c>
      <c r="Q387" s="11" t="s">
        <v>9881</v>
      </c>
      <c r="S387" s="4" t="b">
        <f>ISNUMBER(MATCH(Q387,T:T,0))</f>
        <v>1</v>
      </c>
      <c r="T387" s="4" t="s">
        <v>11118</v>
      </c>
      <c r="U387" s="4" t="str">
        <f t="shared" ref="U387:U450" si="14">IF(ISBLANK(R387),Q387,R387)</f>
        <v>哀</v>
      </c>
    </row>
    <row r="388" spans="1:22" ht="39">
      <c r="A388" s="3">
        <v>387</v>
      </c>
      <c r="B388" s="3" t="s">
        <v>3039</v>
      </c>
      <c r="C388" s="3" t="s">
        <v>6025</v>
      </c>
      <c r="D388" s="3" t="s">
        <v>5990</v>
      </c>
      <c r="E388" s="3" t="s">
        <v>5991</v>
      </c>
      <c r="F388" s="3" t="s">
        <v>3040</v>
      </c>
      <c r="G388" s="3" t="s">
        <v>5993</v>
      </c>
      <c r="H388" s="3" t="s">
        <v>3051</v>
      </c>
      <c r="I388" s="3" t="s">
        <v>2846</v>
      </c>
      <c r="J388" s="5" t="s">
        <v>7609</v>
      </c>
      <c r="L388" s="3" t="s">
        <v>3052</v>
      </c>
      <c r="M388" s="3">
        <v>20</v>
      </c>
      <c r="N388" s="4" t="s">
        <v>3040</v>
      </c>
      <c r="O388" s="4">
        <v>16</v>
      </c>
      <c r="P388" s="11" t="s">
        <v>9729</v>
      </c>
      <c r="Q388" s="11" t="s">
        <v>9881</v>
      </c>
      <c r="S388" s="4" t="b">
        <f>ISNUMBER(MATCH(Q388,T:T,0))</f>
        <v>1</v>
      </c>
      <c r="T388" s="4" t="s">
        <v>11119</v>
      </c>
      <c r="U388" s="4" t="str">
        <f t="shared" si="14"/>
        <v>哀</v>
      </c>
    </row>
    <row r="389" spans="1:22">
      <c r="A389" s="3">
        <v>388</v>
      </c>
      <c r="B389" s="3" t="s">
        <v>3039</v>
      </c>
      <c r="C389" s="3" t="s">
        <v>6069</v>
      </c>
      <c r="D389" s="3" t="s">
        <v>5990</v>
      </c>
      <c r="E389" s="3" t="s">
        <v>5991</v>
      </c>
      <c r="F389" s="3" t="s">
        <v>3040</v>
      </c>
      <c r="G389" s="3" t="s">
        <v>5993</v>
      </c>
      <c r="H389" s="3" t="s">
        <v>3053</v>
      </c>
      <c r="I389" s="3" t="s">
        <v>2846</v>
      </c>
      <c r="J389" s="5" t="s">
        <v>7610</v>
      </c>
      <c r="L389" s="3" t="s">
        <v>3054</v>
      </c>
      <c r="M389" s="3">
        <v>9</v>
      </c>
      <c r="N389" s="4" t="s">
        <v>3040</v>
      </c>
      <c r="O389" s="4">
        <v>16</v>
      </c>
      <c r="P389" s="11" t="s">
        <v>9880</v>
      </c>
      <c r="Q389" s="11" t="s">
        <v>9923</v>
      </c>
      <c r="S389" s="4" t="b">
        <f>ISNUMBER(MATCH(Q389,T:T,0))</f>
        <v>1</v>
      </c>
      <c r="T389" s="4" t="s">
        <v>11120</v>
      </c>
      <c r="U389" s="4" t="str">
        <f t="shared" si="14"/>
        <v>哉</v>
      </c>
    </row>
    <row r="390" spans="1:22" ht="39">
      <c r="A390" s="3">
        <v>389</v>
      </c>
      <c r="B390" s="3" t="s">
        <v>3039</v>
      </c>
      <c r="C390" s="3" t="s">
        <v>6058</v>
      </c>
      <c r="D390" s="3" t="s">
        <v>5990</v>
      </c>
      <c r="E390" s="3" t="s">
        <v>5991</v>
      </c>
      <c r="F390" s="3" t="s">
        <v>3040</v>
      </c>
      <c r="G390" s="3" t="s">
        <v>5993</v>
      </c>
      <c r="H390" s="3" t="s">
        <v>3055</v>
      </c>
      <c r="I390" s="3" t="s">
        <v>2846</v>
      </c>
      <c r="J390" s="5" t="s">
        <v>7611</v>
      </c>
      <c r="L390" s="3" t="s">
        <v>2979</v>
      </c>
      <c r="M390" s="3">
        <v>25</v>
      </c>
      <c r="N390" s="4" t="s">
        <v>3040</v>
      </c>
      <c r="O390" s="4">
        <v>16</v>
      </c>
      <c r="P390" s="11" t="s">
        <v>9924</v>
      </c>
      <c r="Q390" s="11" t="s">
        <v>9881</v>
      </c>
      <c r="S390" s="4" t="b">
        <f>ISNUMBER(MATCH(Q390,T:T,0))</f>
        <v>1</v>
      </c>
      <c r="T390" s="4" t="s">
        <v>6058</v>
      </c>
      <c r="U390" s="4" t="str">
        <f t="shared" si="14"/>
        <v>哀</v>
      </c>
    </row>
    <row r="391" spans="1:22">
      <c r="A391" s="3">
        <v>390</v>
      </c>
      <c r="B391" s="3" t="s">
        <v>3039</v>
      </c>
      <c r="C391" s="3" t="s">
        <v>6083</v>
      </c>
      <c r="D391" s="3" t="s">
        <v>5990</v>
      </c>
      <c r="E391" s="3" t="s">
        <v>5991</v>
      </c>
      <c r="F391" s="3" t="s">
        <v>3040</v>
      </c>
      <c r="G391" s="3" t="s">
        <v>5993</v>
      </c>
      <c r="H391" s="3" t="s">
        <v>3056</v>
      </c>
      <c r="I391" s="3" t="s">
        <v>2846</v>
      </c>
      <c r="J391" s="5" t="s">
        <v>7612</v>
      </c>
      <c r="L391" s="3" t="s">
        <v>3057</v>
      </c>
      <c r="M391" s="3">
        <v>12</v>
      </c>
      <c r="N391" s="4" t="s">
        <v>3040</v>
      </c>
      <c r="O391" s="4">
        <v>16</v>
      </c>
      <c r="P391" s="11" t="s">
        <v>9895</v>
      </c>
      <c r="Q391" s="11" t="s">
        <v>9925</v>
      </c>
      <c r="R391" s="4" t="s">
        <v>13018</v>
      </c>
      <c r="S391" s="4" t="b">
        <f>ISNUMBER(MATCH(Q391,T:T,0))</f>
        <v>0</v>
      </c>
      <c r="T391" s="4" t="s">
        <v>9923</v>
      </c>
      <c r="U391" s="4" t="str">
        <f t="shared" si="14"/>
        <v>裁</v>
      </c>
      <c r="V391" s="4" t="b">
        <f t="shared" ref="V391:V392" si="15">ISNUMBER(MATCH(R391,T:T,0))</f>
        <v>1</v>
      </c>
    </row>
    <row r="392" spans="1:22">
      <c r="A392" s="3">
        <v>391</v>
      </c>
      <c r="B392" s="3" t="s">
        <v>3039</v>
      </c>
      <c r="C392" s="3" t="s">
        <v>6076</v>
      </c>
      <c r="D392" s="3" t="s">
        <v>5990</v>
      </c>
      <c r="E392" s="3" t="s">
        <v>5991</v>
      </c>
      <c r="F392" s="3" t="s">
        <v>3040</v>
      </c>
      <c r="G392" s="3" t="s">
        <v>5993</v>
      </c>
      <c r="H392" s="3" t="s">
        <v>3058</v>
      </c>
      <c r="I392" s="3" t="s">
        <v>2846</v>
      </c>
      <c r="J392" s="5" t="s">
        <v>7613</v>
      </c>
      <c r="L392" s="3" t="s">
        <v>3059</v>
      </c>
      <c r="M392" s="3">
        <v>4</v>
      </c>
      <c r="N392" s="4" t="s">
        <v>3040</v>
      </c>
      <c r="O392" s="4">
        <v>16</v>
      </c>
      <c r="P392" s="11" t="s">
        <v>9735</v>
      </c>
      <c r="Q392" s="11" t="s">
        <v>9925</v>
      </c>
      <c r="R392" s="4" t="s">
        <v>13018</v>
      </c>
      <c r="S392" s="4" t="b">
        <f>ISNUMBER(MATCH(Q392,T:T,0))</f>
        <v>0</v>
      </c>
      <c r="T392" s="4" t="s">
        <v>11121</v>
      </c>
      <c r="U392" s="4" t="str">
        <f t="shared" si="14"/>
        <v>裁</v>
      </c>
      <c r="V392" s="4" t="b">
        <f t="shared" si="15"/>
        <v>1</v>
      </c>
    </row>
    <row r="393" spans="1:22">
      <c r="A393" s="3">
        <v>392</v>
      </c>
      <c r="B393" s="3" t="s">
        <v>3039</v>
      </c>
      <c r="C393" s="3" t="s">
        <v>6045</v>
      </c>
      <c r="D393" s="3" t="s">
        <v>5990</v>
      </c>
      <c r="E393" s="3" t="s">
        <v>5991</v>
      </c>
      <c r="F393" s="3" t="s">
        <v>3040</v>
      </c>
      <c r="G393" s="3" t="s">
        <v>5993</v>
      </c>
      <c r="H393" s="3" t="s">
        <v>3060</v>
      </c>
      <c r="I393" s="3" t="s">
        <v>2846</v>
      </c>
      <c r="J393" s="5" t="s">
        <v>3061</v>
      </c>
      <c r="L393" s="3" t="s">
        <v>3023</v>
      </c>
      <c r="M393" s="3">
        <v>2</v>
      </c>
      <c r="N393" s="4" t="s">
        <v>3040</v>
      </c>
      <c r="O393" s="4">
        <v>16</v>
      </c>
      <c r="P393" s="11" t="s">
        <v>9926</v>
      </c>
      <c r="Q393" s="11" t="s">
        <v>6058</v>
      </c>
      <c r="S393" s="4" t="b">
        <f>ISNUMBER(MATCH(Q393,T:T,0))</f>
        <v>1</v>
      </c>
      <c r="T393" s="4" t="s">
        <v>11122</v>
      </c>
      <c r="U393" s="4" t="str">
        <f t="shared" si="14"/>
        <v>來</v>
      </c>
    </row>
    <row r="394" spans="1:22">
      <c r="A394" s="3">
        <v>393</v>
      </c>
      <c r="B394" s="3" t="s">
        <v>3039</v>
      </c>
      <c r="C394" s="3" t="s">
        <v>6079</v>
      </c>
      <c r="D394" s="3" t="s">
        <v>5990</v>
      </c>
      <c r="E394" s="3" t="s">
        <v>5991</v>
      </c>
      <c r="F394" s="3" t="s">
        <v>3040</v>
      </c>
      <c r="G394" s="3" t="s">
        <v>5993</v>
      </c>
      <c r="H394" s="3" t="s">
        <v>3062</v>
      </c>
      <c r="I394" s="3" t="s">
        <v>2846</v>
      </c>
      <c r="J394" s="5" t="s">
        <v>7614</v>
      </c>
      <c r="L394" s="3" t="s">
        <v>3063</v>
      </c>
      <c r="M394" s="3">
        <v>7</v>
      </c>
      <c r="N394" s="4" t="s">
        <v>3040</v>
      </c>
      <c r="O394" s="4">
        <v>16</v>
      </c>
      <c r="P394" s="11" t="s">
        <v>9892</v>
      </c>
      <c r="Q394" s="11" t="s">
        <v>6058</v>
      </c>
      <c r="S394" s="4" t="b">
        <f>ISNUMBER(MATCH(Q394,T:T,0))</f>
        <v>1</v>
      </c>
      <c r="T394" s="4" t="s">
        <v>11123</v>
      </c>
      <c r="U394" s="4" t="str">
        <f t="shared" si="14"/>
        <v>來</v>
      </c>
    </row>
    <row r="395" spans="1:22">
      <c r="A395" s="3">
        <v>394</v>
      </c>
      <c r="B395" s="3" t="s">
        <v>3039</v>
      </c>
      <c r="C395" s="3" t="s">
        <v>6067</v>
      </c>
      <c r="D395" s="3" t="s">
        <v>5990</v>
      </c>
      <c r="E395" s="3" t="s">
        <v>5991</v>
      </c>
      <c r="F395" s="3" t="s">
        <v>3040</v>
      </c>
      <c r="G395" s="3" t="s">
        <v>5993</v>
      </c>
      <c r="H395" s="7" t="s">
        <v>686</v>
      </c>
      <c r="I395" s="3" t="s">
        <v>2846</v>
      </c>
      <c r="J395" s="5" t="s">
        <v>3064</v>
      </c>
      <c r="L395" s="3" t="s">
        <v>3065</v>
      </c>
      <c r="M395" s="3">
        <v>8</v>
      </c>
      <c r="N395" s="4" t="s">
        <v>3040</v>
      </c>
      <c r="O395" s="4">
        <v>16</v>
      </c>
      <c r="P395" s="11" t="s">
        <v>9731</v>
      </c>
      <c r="Q395" s="11" t="s">
        <v>6058</v>
      </c>
      <c r="S395" s="4" t="b">
        <f>ISNUMBER(MATCH(Q395,T:T,0))</f>
        <v>1</v>
      </c>
      <c r="T395" s="4" t="s">
        <v>11124</v>
      </c>
      <c r="U395" s="4" t="str">
        <f t="shared" si="14"/>
        <v>來</v>
      </c>
    </row>
    <row r="396" spans="1:22">
      <c r="A396" s="3">
        <v>395</v>
      </c>
      <c r="B396" s="3" t="s">
        <v>3039</v>
      </c>
      <c r="C396" s="3" t="s">
        <v>6017</v>
      </c>
      <c r="D396" s="3" t="s">
        <v>5990</v>
      </c>
      <c r="E396" s="3" t="s">
        <v>5991</v>
      </c>
      <c r="F396" s="3" t="s">
        <v>3040</v>
      </c>
      <c r="G396" s="3" t="s">
        <v>5993</v>
      </c>
      <c r="H396" s="3" t="s">
        <v>3066</v>
      </c>
      <c r="I396" s="3" t="s">
        <v>2846</v>
      </c>
      <c r="J396" s="5" t="s">
        <v>7615</v>
      </c>
      <c r="L396" s="3" t="s">
        <v>3067</v>
      </c>
      <c r="M396" s="3">
        <v>8</v>
      </c>
      <c r="N396" s="4" t="s">
        <v>3040</v>
      </c>
      <c r="O396" s="4">
        <v>16</v>
      </c>
      <c r="P396" s="11" t="s">
        <v>9741</v>
      </c>
      <c r="Q396" s="11" t="s">
        <v>6058</v>
      </c>
      <c r="S396" s="4" t="b">
        <f>ISNUMBER(MATCH(Q396,T:T,0))</f>
        <v>1</v>
      </c>
      <c r="T396" s="4" t="s">
        <v>11125</v>
      </c>
      <c r="U396" s="4" t="str">
        <f t="shared" si="14"/>
        <v>來</v>
      </c>
    </row>
    <row r="397" spans="1:22">
      <c r="A397" s="3">
        <v>396</v>
      </c>
      <c r="B397" s="3" t="s">
        <v>3039</v>
      </c>
      <c r="C397" s="3" t="s">
        <v>6092</v>
      </c>
      <c r="D397" s="3" t="s">
        <v>5990</v>
      </c>
      <c r="E397" s="3" t="s">
        <v>5991</v>
      </c>
      <c r="F397" s="3" t="s">
        <v>3040</v>
      </c>
      <c r="G397" s="3" t="s">
        <v>5993</v>
      </c>
      <c r="H397" s="3" t="s">
        <v>3068</v>
      </c>
      <c r="I397" s="3" t="s">
        <v>2846</v>
      </c>
      <c r="J397" s="5" t="s">
        <v>7616</v>
      </c>
      <c r="L397" s="3" t="s">
        <v>3069</v>
      </c>
      <c r="M397" s="3">
        <v>7</v>
      </c>
      <c r="N397" s="4" t="s">
        <v>3040</v>
      </c>
      <c r="O397" s="4">
        <v>16</v>
      </c>
      <c r="P397" s="11" t="s">
        <v>9740</v>
      </c>
      <c r="Q397" s="11" t="s">
        <v>6058</v>
      </c>
      <c r="S397" s="4" t="b">
        <f>ISNUMBER(MATCH(Q397,T:T,0))</f>
        <v>1</v>
      </c>
      <c r="T397" s="4" t="s">
        <v>11126</v>
      </c>
      <c r="U397" s="4" t="str">
        <f t="shared" si="14"/>
        <v>來</v>
      </c>
    </row>
    <row r="398" spans="1:22">
      <c r="A398" s="3">
        <v>397</v>
      </c>
      <c r="B398" s="3" t="s">
        <v>3039</v>
      </c>
      <c r="C398" s="3" t="s">
        <v>6102</v>
      </c>
      <c r="D398" s="3" t="s">
        <v>5990</v>
      </c>
      <c r="E398" s="3" t="s">
        <v>5991</v>
      </c>
      <c r="F398" s="3" t="s">
        <v>3040</v>
      </c>
      <c r="G398" s="3" t="s">
        <v>5993</v>
      </c>
      <c r="H398" s="3" t="s">
        <v>3070</v>
      </c>
      <c r="I398" s="3" t="s">
        <v>2846</v>
      </c>
      <c r="J398" s="5" t="s">
        <v>3071</v>
      </c>
      <c r="L398" s="3" t="s">
        <v>2921</v>
      </c>
      <c r="M398" s="3">
        <v>2</v>
      </c>
      <c r="N398" s="4" t="s">
        <v>3040</v>
      </c>
      <c r="O398" s="4">
        <v>16</v>
      </c>
      <c r="P398" s="11" t="s">
        <v>9744</v>
      </c>
      <c r="Q398" s="11" t="s">
        <v>6058</v>
      </c>
      <c r="S398" s="4" t="b">
        <f>ISNUMBER(MATCH(Q398,T:T,0))</f>
        <v>1</v>
      </c>
      <c r="T398" s="4" t="s">
        <v>4984</v>
      </c>
      <c r="U398" s="4" t="str">
        <f t="shared" si="14"/>
        <v>來</v>
      </c>
    </row>
    <row r="399" spans="1:22">
      <c r="A399" s="3">
        <v>398</v>
      </c>
      <c r="B399" s="3" t="s">
        <v>3039</v>
      </c>
      <c r="C399" s="3" t="s">
        <v>5989</v>
      </c>
      <c r="D399" s="3" t="s">
        <v>5990</v>
      </c>
      <c r="E399" s="3" t="s">
        <v>5991</v>
      </c>
      <c r="F399" s="3" t="s">
        <v>3040</v>
      </c>
      <c r="G399" s="3" t="s">
        <v>5993</v>
      </c>
      <c r="H399" s="3" t="s">
        <v>3072</v>
      </c>
      <c r="I399" s="3" t="s">
        <v>2846</v>
      </c>
      <c r="J399" s="5" t="s">
        <v>7617</v>
      </c>
      <c r="L399" s="3" t="s">
        <v>3073</v>
      </c>
      <c r="M399" s="3">
        <v>2</v>
      </c>
      <c r="N399" s="4" t="s">
        <v>3040</v>
      </c>
      <c r="O399" s="4">
        <v>16</v>
      </c>
      <c r="P399" s="11" t="s">
        <v>9822</v>
      </c>
      <c r="Q399" s="11" t="s">
        <v>6058</v>
      </c>
      <c r="S399" s="4" t="b">
        <f>ISNUMBER(MATCH(Q399,T:T,0))</f>
        <v>1</v>
      </c>
      <c r="T399" s="4" t="s">
        <v>11127</v>
      </c>
      <c r="U399" s="4" t="str">
        <f t="shared" si="14"/>
        <v>來</v>
      </c>
    </row>
    <row r="400" spans="1:22">
      <c r="A400" s="3">
        <v>399</v>
      </c>
      <c r="B400" s="3" t="s">
        <v>3039</v>
      </c>
      <c r="C400" s="3" t="s">
        <v>6055</v>
      </c>
      <c r="D400" s="3" t="s">
        <v>5990</v>
      </c>
      <c r="E400" s="3" t="s">
        <v>5991</v>
      </c>
      <c r="F400" s="3" t="s">
        <v>3040</v>
      </c>
      <c r="G400" s="3" t="s">
        <v>5993</v>
      </c>
      <c r="H400" s="3" t="s">
        <v>3074</v>
      </c>
      <c r="I400" s="3" t="s">
        <v>2846</v>
      </c>
      <c r="J400" s="5" t="s">
        <v>3075</v>
      </c>
      <c r="M400" s="3">
        <v>1</v>
      </c>
      <c r="N400" s="4" t="s">
        <v>3040</v>
      </c>
      <c r="O400" s="4">
        <v>16</v>
      </c>
      <c r="P400" s="11" t="s">
        <v>6055</v>
      </c>
      <c r="Q400" s="11" t="s">
        <v>6058</v>
      </c>
      <c r="S400" s="4" t="b">
        <f>ISNUMBER(MATCH(Q400,T:T,0))</f>
        <v>1</v>
      </c>
      <c r="T400" s="4" t="s">
        <v>3075</v>
      </c>
      <c r="U400" s="4" t="str">
        <f t="shared" si="14"/>
        <v>來</v>
      </c>
    </row>
    <row r="401" spans="1:22">
      <c r="A401" s="3">
        <v>400</v>
      </c>
      <c r="B401" s="3" t="s">
        <v>3039</v>
      </c>
      <c r="C401" s="3" t="s">
        <v>6053</v>
      </c>
      <c r="D401" s="3" t="s">
        <v>5990</v>
      </c>
      <c r="E401" s="3" t="s">
        <v>5991</v>
      </c>
      <c r="F401" s="3" t="s">
        <v>3040</v>
      </c>
      <c r="G401" s="3" t="s">
        <v>5993</v>
      </c>
      <c r="H401" s="3" t="s">
        <v>3076</v>
      </c>
      <c r="I401" s="3" t="s">
        <v>2846</v>
      </c>
      <c r="J401" s="5" t="s">
        <v>3077</v>
      </c>
      <c r="L401" s="3" t="s">
        <v>3028</v>
      </c>
      <c r="M401" s="3">
        <v>1</v>
      </c>
      <c r="N401" s="4" t="s">
        <v>3040</v>
      </c>
      <c r="O401" s="4">
        <v>16</v>
      </c>
      <c r="P401" s="11" t="s">
        <v>9884</v>
      </c>
      <c r="Q401" s="11" t="s">
        <v>9925</v>
      </c>
      <c r="R401" s="4" t="s">
        <v>13018</v>
      </c>
      <c r="S401" s="4" t="b">
        <f>ISNUMBER(MATCH(Q401,T:T,0))</f>
        <v>0</v>
      </c>
      <c r="T401" s="4" t="s">
        <v>3077</v>
      </c>
      <c r="U401" s="4" t="str">
        <f t="shared" si="14"/>
        <v>裁</v>
      </c>
      <c r="V401" s="4" t="b">
        <f t="shared" ref="V401:V403" si="16">ISNUMBER(MATCH(R401,T:T,0))</f>
        <v>1</v>
      </c>
    </row>
    <row r="402" spans="1:22">
      <c r="A402" s="3">
        <v>401</v>
      </c>
      <c r="B402" s="3" t="s">
        <v>687</v>
      </c>
      <c r="C402" s="3" t="s">
        <v>6009</v>
      </c>
      <c r="D402" s="3" t="s">
        <v>6001</v>
      </c>
      <c r="E402" s="3" t="s">
        <v>5991</v>
      </c>
      <c r="F402" s="7" t="s">
        <v>688</v>
      </c>
      <c r="G402" s="3" t="s">
        <v>5993</v>
      </c>
      <c r="H402" s="3" t="s">
        <v>3078</v>
      </c>
      <c r="I402" s="3" t="s">
        <v>3079</v>
      </c>
      <c r="J402" s="8" t="s">
        <v>7618</v>
      </c>
      <c r="L402" s="3" t="s">
        <v>3080</v>
      </c>
      <c r="M402" s="3">
        <v>16</v>
      </c>
      <c r="N402" s="4" t="s">
        <v>3081</v>
      </c>
      <c r="O402" s="4">
        <v>17</v>
      </c>
      <c r="P402" s="11" t="s">
        <v>9804</v>
      </c>
      <c r="Q402" s="11" t="s">
        <v>9927</v>
      </c>
      <c r="R402" s="4" t="s">
        <v>13019</v>
      </c>
      <c r="S402" s="4" t="b">
        <f>ISNUMBER(MATCH(Q402,T:T,0))</f>
        <v>0</v>
      </c>
      <c r="T402" s="4" t="s">
        <v>3081</v>
      </c>
      <c r="U402" s="4" t="str">
        <f t="shared" si="14"/>
        <v>㷠</v>
      </c>
      <c r="V402" s="4" t="b">
        <f t="shared" si="16"/>
        <v>1</v>
      </c>
    </row>
    <row r="403" spans="1:22">
      <c r="A403" s="3">
        <v>402</v>
      </c>
      <c r="B403" s="3" t="s">
        <v>687</v>
      </c>
      <c r="C403" s="3" t="s">
        <v>6011</v>
      </c>
      <c r="D403" s="3" t="s">
        <v>6001</v>
      </c>
      <c r="E403" s="3" t="s">
        <v>5991</v>
      </c>
      <c r="F403" s="7" t="s">
        <v>689</v>
      </c>
      <c r="G403" s="3" t="s">
        <v>5993</v>
      </c>
      <c r="H403" s="3" t="s">
        <v>3082</v>
      </c>
      <c r="I403" s="3" t="s">
        <v>3079</v>
      </c>
      <c r="J403" s="5" t="s">
        <v>3083</v>
      </c>
      <c r="L403" s="3" t="s">
        <v>3084</v>
      </c>
      <c r="M403" s="3">
        <v>3</v>
      </c>
      <c r="N403" s="4" t="s">
        <v>3081</v>
      </c>
      <c r="O403" s="4">
        <v>17</v>
      </c>
      <c r="P403" s="11" t="s">
        <v>9757</v>
      </c>
      <c r="Q403" s="11" t="s">
        <v>9798</v>
      </c>
      <c r="R403" s="4" t="s">
        <v>13020</v>
      </c>
      <c r="S403" s="4" t="b">
        <f>ISNUMBER(MATCH(Q403,T:T,0))</f>
        <v>0</v>
      </c>
      <c r="T403" s="4" t="s">
        <v>8115</v>
      </c>
      <c r="U403" s="4" t="str">
        <f t="shared" si="14"/>
        <v>仁</v>
      </c>
      <c r="V403" s="4" t="b">
        <f t="shared" si="16"/>
        <v>1</v>
      </c>
    </row>
    <row r="404" spans="1:22">
      <c r="A404" s="3">
        <v>403</v>
      </c>
      <c r="B404" s="3" t="s">
        <v>687</v>
      </c>
      <c r="C404" s="3" t="s">
        <v>6072</v>
      </c>
      <c r="D404" s="3" t="s">
        <v>6001</v>
      </c>
      <c r="E404" s="3" t="s">
        <v>5991</v>
      </c>
      <c r="F404" s="7" t="s">
        <v>688</v>
      </c>
      <c r="G404" s="3" t="s">
        <v>5993</v>
      </c>
      <c r="H404" s="3" t="s">
        <v>690</v>
      </c>
      <c r="I404" s="3" t="s">
        <v>3079</v>
      </c>
      <c r="J404" s="5" t="s">
        <v>7619</v>
      </c>
      <c r="L404" s="3" t="s">
        <v>3085</v>
      </c>
      <c r="M404" s="3">
        <v>12</v>
      </c>
      <c r="N404" s="4" t="s">
        <v>3081</v>
      </c>
      <c r="O404" s="4">
        <v>17</v>
      </c>
      <c r="P404" s="11" t="s">
        <v>9754</v>
      </c>
      <c r="Q404" s="11" t="s">
        <v>3081</v>
      </c>
      <c r="S404" s="4" t="b">
        <f>ISNUMBER(MATCH(Q404,T:T,0))</f>
        <v>1</v>
      </c>
      <c r="T404" s="4" t="s">
        <v>11128</v>
      </c>
      <c r="U404" s="4" t="str">
        <f t="shared" si="14"/>
        <v>眞</v>
      </c>
    </row>
    <row r="405" spans="1:22">
      <c r="A405" s="3">
        <v>404</v>
      </c>
      <c r="B405" s="3" t="s">
        <v>687</v>
      </c>
      <c r="C405" s="3" t="s">
        <v>6017</v>
      </c>
      <c r="D405" s="3" t="s">
        <v>6001</v>
      </c>
      <c r="E405" s="3" t="s">
        <v>5991</v>
      </c>
      <c r="F405" s="7" t="s">
        <v>688</v>
      </c>
      <c r="G405" s="3" t="s">
        <v>5993</v>
      </c>
      <c r="H405" s="3" t="s">
        <v>3086</v>
      </c>
      <c r="I405" s="3" t="s">
        <v>3079</v>
      </c>
      <c r="J405" s="5" t="s">
        <v>3087</v>
      </c>
      <c r="L405" s="3" t="s">
        <v>3088</v>
      </c>
      <c r="M405" s="3">
        <v>3</v>
      </c>
      <c r="N405" s="4" t="s">
        <v>3081</v>
      </c>
      <c r="O405" s="4">
        <v>17</v>
      </c>
      <c r="P405" s="11" t="s">
        <v>9714</v>
      </c>
      <c r="Q405" s="11" t="s">
        <v>9927</v>
      </c>
      <c r="R405" s="4" t="s">
        <v>13019</v>
      </c>
      <c r="S405" s="4" t="b">
        <f>ISNUMBER(MATCH(Q405,T:T,0))</f>
        <v>0</v>
      </c>
      <c r="T405" s="4" t="s">
        <v>11129</v>
      </c>
      <c r="U405" s="4" t="str">
        <f t="shared" si="14"/>
        <v>㷠</v>
      </c>
      <c r="V405" s="4" t="b">
        <f t="shared" ref="V405:V409" si="17">ISNUMBER(MATCH(R405,T:T,0))</f>
        <v>1</v>
      </c>
    </row>
    <row r="406" spans="1:22">
      <c r="A406" s="3">
        <v>405</v>
      </c>
      <c r="B406" s="3" t="s">
        <v>687</v>
      </c>
      <c r="C406" s="3" t="s">
        <v>6148</v>
      </c>
      <c r="D406" s="3" t="s">
        <v>6001</v>
      </c>
      <c r="E406" s="3" t="s">
        <v>5991</v>
      </c>
      <c r="F406" s="7" t="s">
        <v>688</v>
      </c>
      <c r="G406" s="3" t="s">
        <v>5993</v>
      </c>
      <c r="H406" s="3" t="s">
        <v>3089</v>
      </c>
      <c r="I406" s="3" t="s">
        <v>3079</v>
      </c>
      <c r="J406" s="5" t="s">
        <v>7620</v>
      </c>
      <c r="L406" s="3" t="s">
        <v>3090</v>
      </c>
      <c r="M406" s="3">
        <v>13</v>
      </c>
      <c r="N406" s="4" t="s">
        <v>3081</v>
      </c>
      <c r="O406" s="4">
        <v>17</v>
      </c>
      <c r="P406" s="11" t="s">
        <v>9928</v>
      </c>
      <c r="Q406" s="11" t="s">
        <v>9927</v>
      </c>
      <c r="R406" s="4" t="s">
        <v>13019</v>
      </c>
      <c r="S406" s="4" t="b">
        <f>ISNUMBER(MATCH(Q406,T:T,0))</f>
        <v>0</v>
      </c>
      <c r="T406" s="4" t="s">
        <v>11130</v>
      </c>
      <c r="U406" s="4" t="str">
        <f t="shared" si="14"/>
        <v>㷠</v>
      </c>
      <c r="V406" s="4" t="b">
        <f t="shared" si="17"/>
        <v>1</v>
      </c>
    </row>
    <row r="407" spans="1:22">
      <c r="A407" s="3">
        <v>406</v>
      </c>
      <c r="B407" s="3" t="s">
        <v>687</v>
      </c>
      <c r="C407" s="3" t="s">
        <v>6021</v>
      </c>
      <c r="D407" s="3" t="s">
        <v>6001</v>
      </c>
      <c r="E407" s="3" t="s">
        <v>5991</v>
      </c>
      <c r="F407" s="7" t="s">
        <v>688</v>
      </c>
      <c r="G407" s="3" t="s">
        <v>5993</v>
      </c>
      <c r="H407" s="3" t="s">
        <v>3091</v>
      </c>
      <c r="I407" s="3" t="s">
        <v>3079</v>
      </c>
      <c r="J407" s="5" t="s">
        <v>7621</v>
      </c>
      <c r="L407" s="3" t="s">
        <v>3092</v>
      </c>
      <c r="M407" s="3">
        <v>3</v>
      </c>
      <c r="N407" s="4" t="s">
        <v>3081</v>
      </c>
      <c r="O407" s="4">
        <v>17</v>
      </c>
      <c r="P407" s="11" t="s">
        <v>9715</v>
      </c>
      <c r="Q407" s="11" t="s">
        <v>9927</v>
      </c>
      <c r="R407" s="4" t="s">
        <v>13019</v>
      </c>
      <c r="S407" s="4" t="b">
        <f>ISNUMBER(MATCH(Q407,T:T,0))</f>
        <v>0</v>
      </c>
      <c r="T407" s="4" t="s">
        <v>11131</v>
      </c>
      <c r="U407" s="4" t="str">
        <f t="shared" si="14"/>
        <v>㷠</v>
      </c>
      <c r="V407" s="4" t="b">
        <f t="shared" si="17"/>
        <v>1</v>
      </c>
    </row>
    <row r="408" spans="1:22">
      <c r="A408" s="3">
        <v>407</v>
      </c>
      <c r="B408" s="3" t="s">
        <v>687</v>
      </c>
      <c r="C408" s="3" t="s">
        <v>3093</v>
      </c>
      <c r="D408" s="3" t="s">
        <v>6001</v>
      </c>
      <c r="E408" s="3" t="s">
        <v>5991</v>
      </c>
      <c r="F408" s="7" t="s">
        <v>688</v>
      </c>
      <c r="G408" s="3" t="s">
        <v>5993</v>
      </c>
      <c r="H408" s="3" t="s">
        <v>3094</v>
      </c>
      <c r="I408" s="3" t="s">
        <v>3079</v>
      </c>
      <c r="J408" s="5" t="s">
        <v>3095</v>
      </c>
      <c r="L408" s="3" t="s">
        <v>3090</v>
      </c>
      <c r="M408" s="3">
        <v>2</v>
      </c>
      <c r="N408" s="4" t="s">
        <v>3081</v>
      </c>
      <c r="O408" s="4">
        <v>17</v>
      </c>
      <c r="P408" s="11" t="s">
        <v>9929</v>
      </c>
      <c r="Q408" s="11" t="s">
        <v>9927</v>
      </c>
      <c r="R408" s="4" t="s">
        <v>13019</v>
      </c>
      <c r="S408" s="4" t="b">
        <f>ISNUMBER(MATCH(Q408,T:T,0))</f>
        <v>0</v>
      </c>
      <c r="T408" s="4" t="s">
        <v>10211</v>
      </c>
      <c r="U408" s="4" t="str">
        <f t="shared" si="14"/>
        <v>㷠</v>
      </c>
      <c r="V408" s="4" t="b">
        <f t="shared" si="17"/>
        <v>1</v>
      </c>
    </row>
    <row r="409" spans="1:22">
      <c r="A409" s="3">
        <v>408</v>
      </c>
      <c r="B409" s="3" t="s">
        <v>687</v>
      </c>
      <c r="C409" s="3" t="s">
        <v>6076</v>
      </c>
      <c r="D409" s="3" t="s">
        <v>6001</v>
      </c>
      <c r="E409" s="3" t="s">
        <v>5991</v>
      </c>
      <c r="F409" s="7" t="s">
        <v>688</v>
      </c>
      <c r="G409" s="3" t="s">
        <v>5993</v>
      </c>
      <c r="H409" s="3" t="s">
        <v>3096</v>
      </c>
      <c r="I409" s="3" t="s">
        <v>3079</v>
      </c>
      <c r="J409" s="5" t="s">
        <v>7622</v>
      </c>
      <c r="L409" s="3" t="s">
        <v>3097</v>
      </c>
      <c r="M409" s="3">
        <v>3</v>
      </c>
      <c r="N409" s="4" t="s">
        <v>3081</v>
      </c>
      <c r="O409" s="4">
        <v>17</v>
      </c>
      <c r="P409" s="11" t="s">
        <v>9766</v>
      </c>
      <c r="Q409" s="11" t="s">
        <v>9798</v>
      </c>
      <c r="R409" s="4" t="s">
        <v>13020</v>
      </c>
      <c r="S409" s="4" t="b">
        <f>ISNUMBER(MATCH(Q409,T:T,0))</f>
        <v>0</v>
      </c>
      <c r="T409" s="4" t="s">
        <v>10347</v>
      </c>
      <c r="U409" s="4" t="str">
        <f t="shared" si="14"/>
        <v>仁</v>
      </c>
      <c r="V409" s="4" t="b">
        <f t="shared" si="17"/>
        <v>1</v>
      </c>
    </row>
    <row r="410" spans="1:22">
      <c r="A410" s="3">
        <v>409</v>
      </c>
      <c r="B410" s="3" t="s">
        <v>687</v>
      </c>
      <c r="C410" s="3" t="s">
        <v>6032</v>
      </c>
      <c r="D410" s="3" t="s">
        <v>6001</v>
      </c>
      <c r="E410" s="3" t="s">
        <v>5991</v>
      </c>
      <c r="F410" s="7" t="s">
        <v>689</v>
      </c>
      <c r="G410" s="3" t="s">
        <v>5993</v>
      </c>
      <c r="H410" s="3" t="s">
        <v>3098</v>
      </c>
      <c r="I410" s="3" t="s">
        <v>3079</v>
      </c>
      <c r="J410" s="5" t="s">
        <v>3099</v>
      </c>
      <c r="L410" s="3" t="s">
        <v>3100</v>
      </c>
      <c r="M410" s="3">
        <v>3</v>
      </c>
      <c r="N410" s="4" t="s">
        <v>3081</v>
      </c>
      <c r="O410" s="4">
        <v>17</v>
      </c>
      <c r="P410" s="11" t="s">
        <v>9771</v>
      </c>
      <c r="Q410" s="11" t="s">
        <v>9930</v>
      </c>
      <c r="S410" s="4" t="b">
        <f>ISNUMBER(MATCH(Q410,T:T,0))</f>
        <v>1</v>
      </c>
      <c r="T410" s="4" t="s">
        <v>11132</v>
      </c>
      <c r="U410" s="4" t="str">
        <f t="shared" si="14"/>
        <v>珍</v>
      </c>
    </row>
    <row r="411" spans="1:22">
      <c r="A411" s="3">
        <v>410</v>
      </c>
      <c r="B411" s="3" t="s">
        <v>687</v>
      </c>
      <c r="C411" s="3" t="s">
        <v>6120</v>
      </c>
      <c r="D411" s="3" t="s">
        <v>6001</v>
      </c>
      <c r="E411" s="3" t="s">
        <v>5991</v>
      </c>
      <c r="F411" s="7" t="s">
        <v>688</v>
      </c>
      <c r="G411" s="3" t="s">
        <v>5993</v>
      </c>
      <c r="H411" s="3" t="s">
        <v>3101</v>
      </c>
      <c r="I411" s="3" t="s">
        <v>3079</v>
      </c>
      <c r="J411" s="5" t="s">
        <v>7623</v>
      </c>
      <c r="L411" s="3" t="s">
        <v>3102</v>
      </c>
      <c r="M411" s="3">
        <v>16</v>
      </c>
      <c r="N411" s="4" t="s">
        <v>3081</v>
      </c>
      <c r="O411" s="4">
        <v>17</v>
      </c>
      <c r="P411" s="11" t="s">
        <v>9931</v>
      </c>
      <c r="Q411" s="11" t="s">
        <v>9798</v>
      </c>
      <c r="R411" s="4" t="s">
        <v>13020</v>
      </c>
      <c r="S411" s="4" t="b">
        <f>ISNUMBER(MATCH(Q411,T:T,0))</f>
        <v>0</v>
      </c>
      <c r="T411" s="4" t="s">
        <v>11133</v>
      </c>
      <c r="U411" s="4" t="str">
        <f t="shared" si="14"/>
        <v>仁</v>
      </c>
      <c r="V411" s="4" t="b">
        <f t="shared" ref="V411:V412" si="18">ISNUMBER(MATCH(R411,T:T,0))</f>
        <v>1</v>
      </c>
    </row>
    <row r="412" spans="1:22" ht="28.5">
      <c r="A412" s="3">
        <v>411</v>
      </c>
      <c r="B412" s="3" t="s">
        <v>687</v>
      </c>
      <c r="C412" s="3" t="s">
        <v>6049</v>
      </c>
      <c r="D412" s="3" t="s">
        <v>6001</v>
      </c>
      <c r="E412" s="3" t="s">
        <v>5991</v>
      </c>
      <c r="F412" s="7" t="s">
        <v>688</v>
      </c>
      <c r="G412" s="3" t="s">
        <v>5993</v>
      </c>
      <c r="H412" s="3" t="s">
        <v>3103</v>
      </c>
      <c r="I412" s="3" t="s">
        <v>3079</v>
      </c>
      <c r="J412" s="5" t="s">
        <v>7624</v>
      </c>
      <c r="K412" s="3" t="s">
        <v>572</v>
      </c>
      <c r="L412" s="3" t="s">
        <v>3104</v>
      </c>
      <c r="M412" s="3">
        <v>10</v>
      </c>
      <c r="N412" s="4" t="s">
        <v>3081</v>
      </c>
      <c r="O412" s="4">
        <v>17</v>
      </c>
      <c r="P412" s="11" t="s">
        <v>9932</v>
      </c>
      <c r="Q412" s="11" t="s">
        <v>9927</v>
      </c>
      <c r="R412" s="4" t="s">
        <v>13019</v>
      </c>
      <c r="S412" s="4" t="b">
        <f>ISNUMBER(MATCH(Q412,T:T,0))</f>
        <v>0</v>
      </c>
      <c r="T412" s="4" t="s">
        <v>9936</v>
      </c>
      <c r="U412" s="4" t="str">
        <f t="shared" si="14"/>
        <v>㷠</v>
      </c>
      <c r="V412" s="4" t="b">
        <f t="shared" si="18"/>
        <v>1</v>
      </c>
    </row>
    <row r="413" spans="1:22" ht="39">
      <c r="A413" s="3">
        <v>412</v>
      </c>
      <c r="B413" s="3" t="s">
        <v>687</v>
      </c>
      <c r="C413" s="3" t="s">
        <v>6058</v>
      </c>
      <c r="D413" s="3" t="s">
        <v>6001</v>
      </c>
      <c r="E413" s="3" t="s">
        <v>5991</v>
      </c>
      <c r="F413" s="7" t="s">
        <v>688</v>
      </c>
      <c r="G413" s="3" t="s">
        <v>5993</v>
      </c>
      <c r="H413" s="3" t="s">
        <v>3105</v>
      </c>
      <c r="I413" s="3" t="s">
        <v>3079</v>
      </c>
      <c r="J413" s="5" t="s">
        <v>7625</v>
      </c>
      <c r="L413" s="3" t="s">
        <v>3106</v>
      </c>
      <c r="M413" s="3">
        <v>23</v>
      </c>
      <c r="N413" s="4" t="s">
        <v>3081</v>
      </c>
      <c r="O413" s="4">
        <v>17</v>
      </c>
      <c r="P413" s="11" t="s">
        <v>9727</v>
      </c>
      <c r="Q413" s="11" t="s">
        <v>9930</v>
      </c>
      <c r="S413" s="4" t="b">
        <f>ISNUMBER(MATCH(Q413,T:T,0))</f>
        <v>1</v>
      </c>
      <c r="T413" s="4" t="s">
        <v>11134</v>
      </c>
      <c r="U413" s="4" t="str">
        <f t="shared" si="14"/>
        <v>珍</v>
      </c>
    </row>
    <row r="414" spans="1:22">
      <c r="A414" s="3">
        <v>413</v>
      </c>
      <c r="B414" s="3" t="s">
        <v>687</v>
      </c>
      <c r="C414" s="3" t="s">
        <v>6041</v>
      </c>
      <c r="D414" s="3" t="s">
        <v>6001</v>
      </c>
      <c r="E414" s="3" t="s">
        <v>5991</v>
      </c>
      <c r="F414" s="7" t="s">
        <v>689</v>
      </c>
      <c r="G414" s="3" t="s">
        <v>5993</v>
      </c>
      <c r="H414" s="3" t="s">
        <v>3107</v>
      </c>
      <c r="I414" s="3" t="s">
        <v>3079</v>
      </c>
      <c r="J414" s="5" t="s">
        <v>7626</v>
      </c>
      <c r="L414" s="3" t="s">
        <v>3108</v>
      </c>
      <c r="M414" s="3">
        <v>5</v>
      </c>
      <c r="N414" s="4" t="s">
        <v>3081</v>
      </c>
      <c r="O414" s="4">
        <v>17</v>
      </c>
      <c r="P414" s="11" t="s">
        <v>9789</v>
      </c>
      <c r="Q414" s="11" t="s">
        <v>3128</v>
      </c>
      <c r="S414" s="4" t="b">
        <f>ISNUMBER(MATCH(Q414,T:T,0))</f>
        <v>1</v>
      </c>
      <c r="T414" s="4" t="s">
        <v>11135</v>
      </c>
      <c r="U414" s="4" t="str">
        <f t="shared" si="14"/>
        <v>巾</v>
      </c>
    </row>
    <row r="415" spans="1:22">
      <c r="A415" s="3">
        <v>414</v>
      </c>
      <c r="B415" s="3" t="s">
        <v>687</v>
      </c>
      <c r="C415" s="3" t="s">
        <v>6000</v>
      </c>
      <c r="D415" s="3" t="s">
        <v>6001</v>
      </c>
      <c r="E415" s="3" t="s">
        <v>5991</v>
      </c>
      <c r="F415" s="7" t="s">
        <v>689</v>
      </c>
      <c r="G415" s="3" t="s">
        <v>5993</v>
      </c>
      <c r="H415" s="3" t="s">
        <v>3109</v>
      </c>
      <c r="I415" s="3" t="s">
        <v>3079</v>
      </c>
      <c r="J415" s="5" t="s">
        <v>7627</v>
      </c>
      <c r="L415" s="3" t="s">
        <v>3080</v>
      </c>
      <c r="M415" s="3">
        <v>3</v>
      </c>
      <c r="N415" s="4" t="s">
        <v>3081</v>
      </c>
      <c r="O415" s="4">
        <v>17</v>
      </c>
      <c r="P415" s="11" t="s">
        <v>9707</v>
      </c>
      <c r="Q415" s="11" t="s">
        <v>9927</v>
      </c>
      <c r="R415" s="4" t="s">
        <v>13019</v>
      </c>
      <c r="S415" s="4" t="b">
        <f>ISNUMBER(MATCH(Q415,T:T,0))</f>
        <v>0</v>
      </c>
      <c r="T415" s="4" t="s">
        <v>9930</v>
      </c>
      <c r="U415" s="4" t="str">
        <f t="shared" si="14"/>
        <v>㷠</v>
      </c>
      <c r="V415" s="4" t="b">
        <f>ISNUMBER(MATCH(R415,T:T,0))</f>
        <v>1</v>
      </c>
    </row>
    <row r="416" spans="1:22">
      <c r="A416" s="3">
        <v>415</v>
      </c>
      <c r="B416" s="3" t="s">
        <v>687</v>
      </c>
      <c r="C416" s="3" t="s">
        <v>6005</v>
      </c>
      <c r="D416" s="3" t="s">
        <v>6001</v>
      </c>
      <c r="E416" s="3" t="s">
        <v>5991</v>
      </c>
      <c r="F416" s="7" t="s">
        <v>689</v>
      </c>
      <c r="G416" s="3" t="s">
        <v>5993</v>
      </c>
      <c r="H416" s="3" t="s">
        <v>3110</v>
      </c>
      <c r="I416" s="3" t="s">
        <v>3079</v>
      </c>
      <c r="J416" s="5" t="s">
        <v>3111</v>
      </c>
      <c r="L416" s="3" t="s">
        <v>3090</v>
      </c>
      <c r="M416" s="3">
        <v>5</v>
      </c>
      <c r="N416" s="4" t="s">
        <v>3081</v>
      </c>
      <c r="O416" s="4">
        <v>17</v>
      </c>
      <c r="P416" s="11" t="s">
        <v>9709</v>
      </c>
      <c r="Q416" s="11" t="s">
        <v>9930</v>
      </c>
      <c r="S416" s="4" t="b">
        <f>ISNUMBER(MATCH(Q416,T:T,0))</f>
        <v>1</v>
      </c>
      <c r="T416" s="4" t="s">
        <v>11136</v>
      </c>
      <c r="U416" s="4" t="str">
        <f t="shared" si="14"/>
        <v>珍</v>
      </c>
    </row>
    <row r="417" spans="1:22" ht="28.5">
      <c r="A417" s="3">
        <v>416</v>
      </c>
      <c r="B417" s="3" t="s">
        <v>687</v>
      </c>
      <c r="C417" s="3" t="s">
        <v>6083</v>
      </c>
      <c r="D417" s="3" t="s">
        <v>6001</v>
      </c>
      <c r="E417" s="3" t="s">
        <v>5991</v>
      </c>
      <c r="F417" s="7" t="s">
        <v>688</v>
      </c>
      <c r="G417" s="3" t="s">
        <v>5993</v>
      </c>
      <c r="H417" s="3" t="s">
        <v>3112</v>
      </c>
      <c r="I417" s="3" t="s">
        <v>3079</v>
      </c>
      <c r="J417" s="5" t="s">
        <v>3113</v>
      </c>
      <c r="K417" s="3" t="s">
        <v>573</v>
      </c>
      <c r="L417" s="3" t="s">
        <v>3114</v>
      </c>
      <c r="M417" s="3">
        <v>5</v>
      </c>
      <c r="N417" s="4" t="s">
        <v>3081</v>
      </c>
      <c r="O417" s="4">
        <v>17</v>
      </c>
      <c r="P417" s="11" t="s">
        <v>9933</v>
      </c>
      <c r="Q417" s="11" t="s">
        <v>9927</v>
      </c>
      <c r="R417" s="4" t="s">
        <v>13019</v>
      </c>
      <c r="S417" s="4" t="b">
        <f>ISNUMBER(MATCH(Q417,T:T,0))</f>
        <v>0</v>
      </c>
      <c r="T417" s="4" t="s">
        <v>11137</v>
      </c>
      <c r="U417" s="4" t="str">
        <f t="shared" si="14"/>
        <v>㷠</v>
      </c>
      <c r="V417" s="4" t="b">
        <f>ISNUMBER(MATCH(R417,T:T,0))</f>
        <v>1</v>
      </c>
    </row>
    <row r="418" spans="1:22">
      <c r="A418" s="3">
        <v>417</v>
      </c>
      <c r="B418" s="3" t="s">
        <v>687</v>
      </c>
      <c r="C418" s="3" t="s">
        <v>6055</v>
      </c>
      <c r="D418" s="3" t="s">
        <v>6001</v>
      </c>
      <c r="E418" s="3" t="s">
        <v>5991</v>
      </c>
      <c r="F418" s="7" t="s">
        <v>688</v>
      </c>
      <c r="G418" s="3" t="s">
        <v>5993</v>
      </c>
      <c r="H418" s="3" t="s">
        <v>691</v>
      </c>
      <c r="I418" s="3" t="s">
        <v>3079</v>
      </c>
      <c r="J418" s="5" t="s">
        <v>3115</v>
      </c>
      <c r="L418" s="3" t="s">
        <v>3084</v>
      </c>
      <c r="M418" s="3">
        <v>6</v>
      </c>
      <c r="N418" s="4" t="s">
        <v>3081</v>
      </c>
      <c r="O418" s="4">
        <v>17</v>
      </c>
      <c r="P418" s="11" t="s">
        <v>6055</v>
      </c>
      <c r="Q418" s="11" t="s">
        <v>3081</v>
      </c>
      <c r="S418" s="4" t="b">
        <f>ISNUMBER(MATCH(Q418,T:T,0))</f>
        <v>1</v>
      </c>
      <c r="T418" s="4" t="s">
        <v>11138</v>
      </c>
      <c r="U418" s="4" t="str">
        <f t="shared" si="14"/>
        <v>眞</v>
      </c>
    </row>
    <row r="419" spans="1:22">
      <c r="A419" s="3">
        <v>418</v>
      </c>
      <c r="B419" s="3" t="s">
        <v>687</v>
      </c>
      <c r="C419" s="3" t="s">
        <v>6069</v>
      </c>
      <c r="D419" s="3" t="s">
        <v>6001</v>
      </c>
      <c r="E419" s="3" t="s">
        <v>5991</v>
      </c>
      <c r="F419" s="7" t="s">
        <v>688</v>
      </c>
      <c r="G419" s="3" t="s">
        <v>5993</v>
      </c>
      <c r="H419" s="3" t="s">
        <v>3116</v>
      </c>
      <c r="I419" s="3" t="s">
        <v>3079</v>
      </c>
      <c r="J419" s="5" t="s">
        <v>3117</v>
      </c>
      <c r="L419" s="3" t="s">
        <v>3108</v>
      </c>
      <c r="M419" s="3">
        <v>3</v>
      </c>
      <c r="N419" s="4" t="s">
        <v>3081</v>
      </c>
      <c r="O419" s="4">
        <v>17</v>
      </c>
      <c r="P419" s="11" t="s">
        <v>9934</v>
      </c>
      <c r="Q419" s="11" t="s">
        <v>9927</v>
      </c>
      <c r="R419" s="4" t="s">
        <v>13019</v>
      </c>
      <c r="S419" s="4" t="b">
        <f>ISNUMBER(MATCH(Q419,T:T,0))</f>
        <v>0</v>
      </c>
      <c r="T419" s="4" t="s">
        <v>10492</v>
      </c>
      <c r="U419" s="4" t="str">
        <f t="shared" si="14"/>
        <v>㷠</v>
      </c>
      <c r="V419" s="4" t="b">
        <f>ISNUMBER(MATCH(R419,T:T,0))</f>
        <v>1</v>
      </c>
    </row>
    <row r="420" spans="1:22">
      <c r="A420" s="3">
        <v>419</v>
      </c>
      <c r="B420" s="3" t="s">
        <v>687</v>
      </c>
      <c r="C420" s="3" t="s">
        <v>6028</v>
      </c>
      <c r="D420" s="3" t="s">
        <v>6001</v>
      </c>
      <c r="E420" s="3" t="s">
        <v>5991</v>
      </c>
      <c r="F420" s="7" t="s">
        <v>688</v>
      </c>
      <c r="G420" s="3" t="s">
        <v>5993</v>
      </c>
      <c r="H420" s="3" t="s">
        <v>692</v>
      </c>
      <c r="I420" s="3" t="s">
        <v>3079</v>
      </c>
      <c r="J420" s="5" t="s">
        <v>3118</v>
      </c>
      <c r="L420" s="3" t="s">
        <v>3100</v>
      </c>
      <c r="M420" s="3">
        <v>6</v>
      </c>
      <c r="N420" s="4" t="s">
        <v>3081</v>
      </c>
      <c r="O420" s="4">
        <v>17</v>
      </c>
      <c r="P420" s="11" t="s">
        <v>9935</v>
      </c>
      <c r="Q420" s="11" t="s">
        <v>3081</v>
      </c>
      <c r="S420" s="4" t="b">
        <f>ISNUMBER(MATCH(Q420,T:T,0))</f>
        <v>1</v>
      </c>
      <c r="T420" s="4" t="s">
        <v>11139</v>
      </c>
      <c r="U420" s="4" t="str">
        <f t="shared" si="14"/>
        <v>眞</v>
      </c>
    </row>
    <row r="421" spans="1:22">
      <c r="A421" s="3">
        <v>420</v>
      </c>
      <c r="B421" s="3" t="s">
        <v>687</v>
      </c>
      <c r="C421" s="3" t="s">
        <v>6137</v>
      </c>
      <c r="D421" s="3" t="s">
        <v>6001</v>
      </c>
      <c r="E421" s="3" t="s">
        <v>5991</v>
      </c>
      <c r="F421" s="7" t="s">
        <v>689</v>
      </c>
      <c r="G421" s="3" t="s">
        <v>5993</v>
      </c>
      <c r="H421" s="3" t="s">
        <v>3119</v>
      </c>
      <c r="I421" s="3" t="s">
        <v>3079</v>
      </c>
      <c r="J421" s="5" t="s">
        <v>3120</v>
      </c>
      <c r="L421" s="3" t="s">
        <v>3121</v>
      </c>
      <c r="M421" s="3">
        <v>1</v>
      </c>
      <c r="N421" s="4" t="s">
        <v>3081</v>
      </c>
      <c r="O421" s="4">
        <v>17</v>
      </c>
      <c r="P421" s="11" t="s">
        <v>9755</v>
      </c>
      <c r="Q421" s="11" t="s">
        <v>9927</v>
      </c>
      <c r="R421" s="4" t="s">
        <v>13019</v>
      </c>
      <c r="S421" s="4" t="b">
        <f>ISNUMBER(MATCH(Q421,T:T,0))</f>
        <v>0</v>
      </c>
      <c r="T421" s="4" t="s">
        <v>3120</v>
      </c>
      <c r="U421" s="4" t="str">
        <f t="shared" si="14"/>
        <v>㷠</v>
      </c>
      <c r="V421" s="4" t="b">
        <f>ISNUMBER(MATCH(R421,T:T,0))</f>
        <v>1</v>
      </c>
    </row>
    <row r="422" spans="1:22">
      <c r="A422" s="3">
        <v>421</v>
      </c>
      <c r="B422" s="3" t="s">
        <v>687</v>
      </c>
      <c r="C422" s="3" t="s">
        <v>6053</v>
      </c>
      <c r="D422" s="3" t="s">
        <v>6001</v>
      </c>
      <c r="E422" s="3" t="s">
        <v>5991</v>
      </c>
      <c r="F422" s="7" t="s">
        <v>688</v>
      </c>
      <c r="G422" s="3" t="s">
        <v>5993</v>
      </c>
      <c r="H422" s="3" t="s">
        <v>3122</v>
      </c>
      <c r="I422" s="3" t="s">
        <v>3079</v>
      </c>
      <c r="J422" s="5" t="s">
        <v>3123</v>
      </c>
      <c r="L422" s="3" t="s">
        <v>3124</v>
      </c>
      <c r="M422" s="3">
        <v>5</v>
      </c>
      <c r="N422" s="4" t="s">
        <v>3081</v>
      </c>
      <c r="O422" s="4">
        <v>17</v>
      </c>
      <c r="P422" s="11" t="s">
        <v>9772</v>
      </c>
      <c r="Q422" s="11" t="s">
        <v>9936</v>
      </c>
      <c r="S422" s="4" t="b">
        <f>ISNUMBER(MATCH(Q422,T:T,0))</f>
        <v>1</v>
      </c>
      <c r="T422" s="4" t="s">
        <v>11140</v>
      </c>
      <c r="U422" s="4" t="str">
        <f t="shared" si="14"/>
        <v>賓</v>
      </c>
    </row>
    <row r="423" spans="1:22">
      <c r="A423" s="3">
        <v>422</v>
      </c>
      <c r="B423" s="3" t="s">
        <v>687</v>
      </c>
      <c r="C423" s="3" t="s">
        <v>6045</v>
      </c>
      <c r="D423" s="3" t="s">
        <v>6001</v>
      </c>
      <c r="E423" s="3" t="s">
        <v>5991</v>
      </c>
      <c r="F423" s="7" t="s">
        <v>688</v>
      </c>
      <c r="G423" s="3" t="s">
        <v>5993</v>
      </c>
      <c r="H423" s="3" t="s">
        <v>693</v>
      </c>
      <c r="I423" s="3" t="s">
        <v>3079</v>
      </c>
      <c r="J423" s="5" t="s">
        <v>7628</v>
      </c>
      <c r="L423" s="3" t="s">
        <v>3125</v>
      </c>
      <c r="M423" s="3">
        <v>14</v>
      </c>
      <c r="N423" s="4" t="s">
        <v>3081</v>
      </c>
      <c r="O423" s="4">
        <v>17</v>
      </c>
      <c r="P423" s="11" t="s">
        <v>9759</v>
      </c>
      <c r="Q423" s="11" t="s">
        <v>3081</v>
      </c>
      <c r="S423" s="4" t="b">
        <f>ISNUMBER(MATCH(Q423,T:T,0))</f>
        <v>1</v>
      </c>
      <c r="T423" s="4" t="s">
        <v>11141</v>
      </c>
      <c r="U423" s="4" t="str">
        <f t="shared" si="14"/>
        <v>眞</v>
      </c>
    </row>
    <row r="424" spans="1:22">
      <c r="A424" s="3">
        <v>423</v>
      </c>
      <c r="B424" s="3" t="s">
        <v>687</v>
      </c>
      <c r="C424" s="3" t="s">
        <v>6092</v>
      </c>
      <c r="D424" s="3" t="s">
        <v>6001</v>
      </c>
      <c r="E424" s="3" t="s">
        <v>5991</v>
      </c>
      <c r="F424" s="7" t="s">
        <v>689</v>
      </c>
      <c r="G424" s="3" t="s">
        <v>5993</v>
      </c>
      <c r="H424" s="3" t="s">
        <v>3126</v>
      </c>
      <c r="I424" s="3" t="s">
        <v>3079</v>
      </c>
      <c r="J424" s="5" t="s">
        <v>7629</v>
      </c>
      <c r="L424" s="3" t="s">
        <v>3100</v>
      </c>
      <c r="M424" s="3">
        <v>16</v>
      </c>
      <c r="N424" s="4" t="s">
        <v>3081</v>
      </c>
      <c r="O424" s="4">
        <v>17</v>
      </c>
      <c r="P424" s="11" t="s">
        <v>9001</v>
      </c>
      <c r="Q424" s="11" t="s">
        <v>3128</v>
      </c>
      <c r="S424" s="4" t="b">
        <f>ISNUMBER(MATCH(Q424,T:T,0))</f>
        <v>1</v>
      </c>
      <c r="T424" s="4" t="s">
        <v>9937</v>
      </c>
      <c r="U424" s="4" t="str">
        <f t="shared" si="14"/>
        <v>巾</v>
      </c>
    </row>
    <row r="425" spans="1:22">
      <c r="A425" s="3">
        <v>424</v>
      </c>
      <c r="B425" s="3" t="s">
        <v>687</v>
      </c>
      <c r="C425" s="3" t="s">
        <v>6025</v>
      </c>
      <c r="D425" s="3" t="s">
        <v>6001</v>
      </c>
      <c r="E425" s="3" t="s">
        <v>5991</v>
      </c>
      <c r="F425" s="7" t="s">
        <v>689</v>
      </c>
      <c r="G425" s="3" t="s">
        <v>5993</v>
      </c>
      <c r="H425" s="3" t="s">
        <v>3127</v>
      </c>
      <c r="I425" s="3" t="s">
        <v>3079</v>
      </c>
      <c r="J425" s="5" t="s">
        <v>3128</v>
      </c>
      <c r="L425" s="3" t="s">
        <v>3114</v>
      </c>
      <c r="M425" s="3">
        <v>1</v>
      </c>
      <c r="N425" s="4" t="s">
        <v>3081</v>
      </c>
      <c r="O425" s="4">
        <v>17</v>
      </c>
      <c r="P425" s="11" t="s">
        <v>9717</v>
      </c>
      <c r="Q425" s="11" t="s">
        <v>9937</v>
      </c>
      <c r="S425" s="4" t="b">
        <f>ISNUMBER(MATCH(Q425,T:T,0))</f>
        <v>1</v>
      </c>
      <c r="T425" s="4" t="s">
        <v>3128</v>
      </c>
      <c r="U425" s="4" t="str">
        <f t="shared" si="14"/>
        <v>銀</v>
      </c>
    </row>
    <row r="426" spans="1:22">
      <c r="A426" s="3">
        <v>425</v>
      </c>
      <c r="B426" s="3" t="s">
        <v>687</v>
      </c>
      <c r="C426" s="3" t="s">
        <v>6025</v>
      </c>
      <c r="D426" s="3" t="s">
        <v>6001</v>
      </c>
      <c r="E426" s="3" t="s">
        <v>6212</v>
      </c>
      <c r="F426" s="7" t="s">
        <v>689</v>
      </c>
      <c r="G426" s="3" t="s">
        <v>5993</v>
      </c>
      <c r="H426" s="3" t="s">
        <v>3129</v>
      </c>
      <c r="I426" s="3" t="s">
        <v>3079</v>
      </c>
      <c r="J426" s="8" t="s">
        <v>7630</v>
      </c>
      <c r="L426" s="3" t="s">
        <v>3130</v>
      </c>
      <c r="M426" s="3">
        <v>6</v>
      </c>
      <c r="N426" s="4" t="s">
        <v>3081</v>
      </c>
      <c r="O426" s="4">
        <v>17</v>
      </c>
      <c r="P426" s="11" t="s">
        <v>9717</v>
      </c>
      <c r="Q426" s="11" t="s">
        <v>9938</v>
      </c>
      <c r="S426" s="4" t="b">
        <f>ISNUMBER(MATCH(Q426,T:T,0))</f>
        <v>1</v>
      </c>
      <c r="T426" s="4" t="s">
        <v>11142</v>
      </c>
      <c r="U426" s="4" t="str">
        <f t="shared" si="14"/>
        <v>筠</v>
      </c>
    </row>
    <row r="427" spans="1:22">
      <c r="A427" s="3">
        <v>426</v>
      </c>
      <c r="B427" s="3" t="s">
        <v>687</v>
      </c>
      <c r="C427" s="3" t="s">
        <v>6032</v>
      </c>
      <c r="D427" s="3" t="s">
        <v>6001</v>
      </c>
      <c r="E427" s="3" t="s">
        <v>6212</v>
      </c>
      <c r="F427" s="7" t="s">
        <v>689</v>
      </c>
      <c r="G427" s="3" t="s">
        <v>5993</v>
      </c>
      <c r="H427" s="7" t="s">
        <v>694</v>
      </c>
      <c r="I427" s="3" t="s">
        <v>3079</v>
      </c>
      <c r="J427" s="5" t="s">
        <v>7631</v>
      </c>
      <c r="L427" s="3" t="s">
        <v>3131</v>
      </c>
      <c r="M427" s="3">
        <v>4</v>
      </c>
      <c r="N427" s="4" t="s">
        <v>3081</v>
      </c>
      <c r="O427" s="4">
        <v>17</v>
      </c>
      <c r="P427" s="11" t="s">
        <v>4351</v>
      </c>
      <c r="Q427" s="11" t="s">
        <v>9939</v>
      </c>
      <c r="S427" s="4" t="b">
        <f>ISNUMBER(MATCH(Q427,T:T,0))</f>
        <v>1</v>
      </c>
      <c r="T427" s="4" t="s">
        <v>9938</v>
      </c>
      <c r="U427" s="4" t="str">
        <f t="shared" si="14"/>
        <v>贇</v>
      </c>
    </row>
    <row r="428" spans="1:22">
      <c r="A428" s="3">
        <v>427</v>
      </c>
      <c r="B428" s="3" t="s">
        <v>687</v>
      </c>
      <c r="C428" s="3" t="s">
        <v>6038</v>
      </c>
      <c r="D428" s="3" t="s">
        <v>6001</v>
      </c>
      <c r="E428" s="3" t="s">
        <v>6212</v>
      </c>
      <c r="F428" s="7" t="s">
        <v>689</v>
      </c>
      <c r="G428" s="3" t="s">
        <v>5993</v>
      </c>
      <c r="H428" s="3" t="s">
        <v>3132</v>
      </c>
      <c r="I428" s="3" t="s">
        <v>3079</v>
      </c>
      <c r="J428" s="5" t="s">
        <v>7632</v>
      </c>
      <c r="L428" s="3" t="s">
        <v>3133</v>
      </c>
      <c r="M428" s="3">
        <v>7</v>
      </c>
      <c r="N428" s="4" t="s">
        <v>3081</v>
      </c>
      <c r="O428" s="4">
        <v>17</v>
      </c>
      <c r="P428" s="11" t="s">
        <v>4210</v>
      </c>
      <c r="Q428" s="11" t="s">
        <v>9940</v>
      </c>
      <c r="S428" s="4" t="b">
        <f>ISNUMBER(MATCH(Q428,T:T,0))</f>
        <v>0</v>
      </c>
      <c r="T428" s="4" t="s">
        <v>11143</v>
      </c>
      <c r="U428" s="4" t="str">
        <f t="shared" si="14"/>
        <v>倫</v>
      </c>
      <c r="V428" s="4" t="b">
        <f>ISNUMBER(MATCH(R428,T:T,0))</f>
        <v>0</v>
      </c>
    </row>
    <row r="429" spans="1:22" ht="39">
      <c r="A429" s="3">
        <v>428</v>
      </c>
      <c r="B429" s="3" t="s">
        <v>687</v>
      </c>
      <c r="C429" s="3" t="s">
        <v>6035</v>
      </c>
      <c r="D429" s="3" t="s">
        <v>6001</v>
      </c>
      <c r="E429" s="3" t="s">
        <v>5991</v>
      </c>
      <c r="F429" s="7" t="s">
        <v>689</v>
      </c>
      <c r="G429" s="3" t="s">
        <v>5993</v>
      </c>
      <c r="H429" s="3" t="s">
        <v>3134</v>
      </c>
      <c r="I429" s="3" t="s">
        <v>3079</v>
      </c>
      <c r="J429" s="8" t="s">
        <v>7633</v>
      </c>
      <c r="L429" s="3" t="s">
        <v>3135</v>
      </c>
      <c r="M429" s="3">
        <v>19</v>
      </c>
      <c r="N429" s="4" t="s">
        <v>3081</v>
      </c>
      <c r="O429" s="4">
        <v>17</v>
      </c>
      <c r="P429" s="11" t="s">
        <v>9794</v>
      </c>
      <c r="Q429" s="11" t="s">
        <v>3128</v>
      </c>
      <c r="S429" s="4" t="b">
        <f>ISNUMBER(MATCH(Q429,T:T,0))</f>
        <v>1</v>
      </c>
      <c r="T429" s="4" t="s">
        <v>11144</v>
      </c>
      <c r="U429" s="4" t="str">
        <f t="shared" si="14"/>
        <v>巾</v>
      </c>
    </row>
    <row r="430" spans="1:22">
      <c r="A430" s="3">
        <v>429</v>
      </c>
      <c r="B430" s="3" t="s">
        <v>687</v>
      </c>
      <c r="C430" s="3" t="s">
        <v>6045</v>
      </c>
      <c r="D430" s="3" t="s">
        <v>6001</v>
      </c>
      <c r="E430" s="3" t="s">
        <v>5991</v>
      </c>
      <c r="F430" s="7" t="s">
        <v>689</v>
      </c>
      <c r="G430" s="3" t="s">
        <v>5993</v>
      </c>
      <c r="H430" s="3" t="s">
        <v>3136</v>
      </c>
      <c r="I430" s="3" t="s">
        <v>3079</v>
      </c>
      <c r="J430" s="5" t="s">
        <v>6758</v>
      </c>
      <c r="L430" s="3" t="s">
        <v>3125</v>
      </c>
      <c r="M430" s="3">
        <v>2</v>
      </c>
      <c r="N430" s="4" t="s">
        <v>3081</v>
      </c>
      <c r="O430" s="4">
        <v>17</v>
      </c>
      <c r="P430" s="11" t="s">
        <v>9759</v>
      </c>
      <c r="Q430" s="11" t="s">
        <v>3128</v>
      </c>
      <c r="S430" s="4" t="b">
        <f>ISNUMBER(MATCH(Q430,T:T,0))</f>
        <v>1</v>
      </c>
      <c r="T430" s="4" t="s">
        <v>11145</v>
      </c>
      <c r="U430" s="4" t="str">
        <f t="shared" si="14"/>
        <v>巾</v>
      </c>
    </row>
    <row r="431" spans="1:22">
      <c r="A431" s="3">
        <v>430</v>
      </c>
      <c r="B431" s="3" t="s">
        <v>687</v>
      </c>
      <c r="C431" s="3" t="s">
        <v>6072</v>
      </c>
      <c r="D431" s="3" t="s">
        <v>6001</v>
      </c>
      <c r="E431" s="3" t="s">
        <v>5991</v>
      </c>
      <c r="F431" s="7" t="s">
        <v>689</v>
      </c>
      <c r="G431" s="3" t="s">
        <v>5993</v>
      </c>
      <c r="H431" s="3" t="s">
        <v>6759</v>
      </c>
      <c r="I431" s="3" t="s">
        <v>3079</v>
      </c>
      <c r="J431" s="5" t="s">
        <v>6760</v>
      </c>
      <c r="L431" s="3" t="s">
        <v>3085</v>
      </c>
      <c r="M431" s="3">
        <v>3</v>
      </c>
      <c r="N431" s="4" t="s">
        <v>3081</v>
      </c>
      <c r="O431" s="4">
        <v>17</v>
      </c>
      <c r="P431" s="11" t="s">
        <v>9754</v>
      </c>
      <c r="Q431" s="11" t="s">
        <v>3128</v>
      </c>
      <c r="S431" s="4" t="b">
        <f>ISNUMBER(MATCH(Q431,T:T,0))</f>
        <v>1</v>
      </c>
      <c r="T431" s="4" t="s">
        <v>11146</v>
      </c>
      <c r="U431" s="4" t="str">
        <f t="shared" si="14"/>
        <v>巾</v>
      </c>
    </row>
    <row r="432" spans="1:22">
      <c r="A432" s="3">
        <v>431</v>
      </c>
      <c r="B432" s="3" t="s">
        <v>687</v>
      </c>
      <c r="C432" s="3" t="s">
        <v>6072</v>
      </c>
      <c r="D432" s="3" t="s">
        <v>6001</v>
      </c>
      <c r="E432" s="3" t="s">
        <v>6212</v>
      </c>
      <c r="F432" s="7" t="s">
        <v>689</v>
      </c>
      <c r="G432" s="3" t="s">
        <v>5993</v>
      </c>
      <c r="H432" s="3" t="s">
        <v>6761</v>
      </c>
      <c r="I432" s="3" t="s">
        <v>3079</v>
      </c>
      <c r="J432" s="5" t="s">
        <v>6762</v>
      </c>
      <c r="L432" s="3" t="s">
        <v>6763</v>
      </c>
      <c r="M432" s="3">
        <v>4</v>
      </c>
      <c r="N432" s="4" t="s">
        <v>3081</v>
      </c>
      <c r="O432" s="4">
        <v>17</v>
      </c>
      <c r="P432" s="11" t="s">
        <v>9754</v>
      </c>
      <c r="Q432" s="11" t="s">
        <v>9940</v>
      </c>
      <c r="S432" s="4" t="b">
        <f>ISNUMBER(MATCH(Q432,T:T,0))</f>
        <v>0</v>
      </c>
      <c r="T432" s="4" t="s">
        <v>9939</v>
      </c>
      <c r="U432" s="4" t="str">
        <f t="shared" si="14"/>
        <v>倫</v>
      </c>
      <c r="V432" s="4" t="b">
        <f>ISNUMBER(MATCH(R432,T:T,0))</f>
        <v>0</v>
      </c>
    </row>
    <row r="433" spans="1:22">
      <c r="A433" s="3">
        <v>432</v>
      </c>
      <c r="B433" s="3" t="s">
        <v>687</v>
      </c>
      <c r="C433" s="3" t="s">
        <v>6049</v>
      </c>
      <c r="D433" s="3" t="s">
        <v>6001</v>
      </c>
      <c r="E433" s="3" t="s">
        <v>5991</v>
      </c>
      <c r="F433" s="7" t="s">
        <v>689</v>
      </c>
      <c r="G433" s="3" t="s">
        <v>5993</v>
      </c>
      <c r="H433" s="3" t="s">
        <v>6764</v>
      </c>
      <c r="I433" s="3" t="s">
        <v>3079</v>
      </c>
      <c r="J433" s="5" t="s">
        <v>6765</v>
      </c>
      <c r="L433" s="3" t="s">
        <v>3104</v>
      </c>
      <c r="M433" s="3">
        <v>13</v>
      </c>
      <c r="N433" s="4" t="s">
        <v>3081</v>
      </c>
      <c r="O433" s="4">
        <v>17</v>
      </c>
      <c r="P433" s="11" t="s">
        <v>9752</v>
      </c>
      <c r="Q433" s="11" t="s">
        <v>3128</v>
      </c>
      <c r="S433" s="4" t="b">
        <f>ISNUMBER(MATCH(Q433,T:T,0))</f>
        <v>1</v>
      </c>
      <c r="T433" s="4" t="s">
        <v>11147</v>
      </c>
      <c r="U433" s="4" t="str">
        <f t="shared" si="14"/>
        <v>巾</v>
      </c>
    </row>
    <row r="434" spans="1:22">
      <c r="A434" s="3">
        <v>433</v>
      </c>
      <c r="B434" s="3" t="s">
        <v>687</v>
      </c>
      <c r="C434" s="3" t="s">
        <v>6035</v>
      </c>
      <c r="D434" s="3" t="s">
        <v>6001</v>
      </c>
      <c r="E434" s="3" t="s">
        <v>5991</v>
      </c>
      <c r="F434" s="7" t="s">
        <v>688</v>
      </c>
      <c r="G434" s="3" t="s">
        <v>5993</v>
      </c>
      <c r="H434" s="3" t="s">
        <v>6766</v>
      </c>
      <c r="I434" s="3" t="s">
        <v>3079</v>
      </c>
      <c r="J434" s="5" t="s">
        <v>6767</v>
      </c>
      <c r="L434" s="3" t="s">
        <v>3135</v>
      </c>
      <c r="M434" s="3">
        <v>5</v>
      </c>
      <c r="N434" s="4" t="s">
        <v>3081</v>
      </c>
      <c r="O434" s="4">
        <v>17</v>
      </c>
      <c r="P434" s="11" t="s">
        <v>9941</v>
      </c>
      <c r="Q434" s="11" t="s">
        <v>9927</v>
      </c>
      <c r="R434" s="4" t="s">
        <v>13019</v>
      </c>
      <c r="S434" s="4" t="b">
        <f>ISNUMBER(MATCH(Q434,T:T,0))</f>
        <v>0</v>
      </c>
      <c r="T434" s="4" t="s">
        <v>11148</v>
      </c>
      <c r="U434" s="4" t="str">
        <f t="shared" si="14"/>
        <v>㷠</v>
      </c>
      <c r="V434" s="4" t="b">
        <f>ISNUMBER(MATCH(R434,T:T,0))</f>
        <v>1</v>
      </c>
    </row>
    <row r="435" spans="1:22">
      <c r="A435" s="3">
        <v>451</v>
      </c>
      <c r="B435" s="3" t="s">
        <v>687</v>
      </c>
      <c r="C435" s="3" t="s">
        <v>6053</v>
      </c>
      <c r="D435" s="3" t="s">
        <v>6001</v>
      </c>
      <c r="E435" s="3" t="s">
        <v>5991</v>
      </c>
      <c r="F435" s="7" t="s">
        <v>689</v>
      </c>
      <c r="G435" s="3" t="s">
        <v>5993</v>
      </c>
      <c r="H435" s="3" t="s">
        <v>6801</v>
      </c>
      <c r="I435" s="3" t="s">
        <v>3079</v>
      </c>
      <c r="J435" s="5" t="s">
        <v>6802</v>
      </c>
      <c r="L435" s="3" t="s">
        <v>3124</v>
      </c>
      <c r="M435" s="3">
        <v>2</v>
      </c>
      <c r="N435" s="4" t="s">
        <v>3081</v>
      </c>
      <c r="O435" s="4">
        <v>17</v>
      </c>
      <c r="P435" s="11" t="s">
        <v>9884</v>
      </c>
      <c r="Q435" s="11" t="s">
        <v>3128</v>
      </c>
      <c r="S435" s="4" t="b">
        <f>ISNUMBER(MATCH(Q435,T:T,0))</f>
        <v>1</v>
      </c>
      <c r="T435" s="4" t="s">
        <v>11158</v>
      </c>
      <c r="U435" s="4" t="str">
        <f t="shared" si="14"/>
        <v>巾</v>
      </c>
    </row>
    <row r="436" spans="1:22">
      <c r="A436" s="3">
        <v>434</v>
      </c>
      <c r="B436" s="3" t="s">
        <v>6768</v>
      </c>
      <c r="C436" s="3" t="s">
        <v>6009</v>
      </c>
      <c r="D436" s="3" t="s">
        <v>6001</v>
      </c>
      <c r="E436" s="3" t="s">
        <v>6212</v>
      </c>
      <c r="F436" s="3" t="s">
        <v>6769</v>
      </c>
      <c r="G436" s="3" t="s">
        <v>5993</v>
      </c>
      <c r="H436" s="3" t="s">
        <v>6770</v>
      </c>
      <c r="I436" s="3" t="s">
        <v>3079</v>
      </c>
      <c r="J436" s="5" t="s">
        <v>6771</v>
      </c>
      <c r="L436" s="3" t="s">
        <v>6772</v>
      </c>
      <c r="M436" s="3">
        <v>5</v>
      </c>
      <c r="N436" s="4" t="s">
        <v>6769</v>
      </c>
      <c r="O436" s="4">
        <v>18</v>
      </c>
      <c r="P436" s="11" t="s">
        <v>6009</v>
      </c>
      <c r="Q436" s="11" t="s">
        <v>9940</v>
      </c>
      <c r="R436" s="4" t="s">
        <v>13021</v>
      </c>
      <c r="S436" s="4" t="b">
        <f>ISNUMBER(MATCH(Q436,T:T,0))</f>
        <v>0</v>
      </c>
      <c r="T436" s="4" t="s">
        <v>6769</v>
      </c>
      <c r="U436" s="4" t="str">
        <f t="shared" si="14"/>
        <v>淪</v>
      </c>
      <c r="V436" s="4" t="b">
        <f t="shared" ref="V436:V440" si="19">ISNUMBER(MATCH(R436,T:T,0))</f>
        <v>1</v>
      </c>
    </row>
    <row r="437" spans="1:22">
      <c r="A437" s="3">
        <v>435</v>
      </c>
      <c r="B437" s="3" t="s">
        <v>6768</v>
      </c>
      <c r="C437" s="3" t="s">
        <v>6011</v>
      </c>
      <c r="D437" s="3" t="s">
        <v>6001</v>
      </c>
      <c r="E437" s="3" t="s">
        <v>6212</v>
      </c>
      <c r="F437" s="3" t="s">
        <v>6769</v>
      </c>
      <c r="G437" s="3" t="s">
        <v>5993</v>
      </c>
      <c r="H437" s="3" t="s">
        <v>6773</v>
      </c>
      <c r="I437" s="3" t="s">
        <v>3079</v>
      </c>
      <c r="J437" s="5" t="s">
        <v>7634</v>
      </c>
      <c r="L437" s="3" t="s">
        <v>6774</v>
      </c>
      <c r="M437" s="3">
        <v>8</v>
      </c>
      <c r="N437" s="4" t="s">
        <v>6769</v>
      </c>
      <c r="O437" s="4">
        <v>18</v>
      </c>
      <c r="P437" s="11" t="s">
        <v>9757</v>
      </c>
      <c r="Q437" s="11" t="s">
        <v>9940</v>
      </c>
      <c r="R437" s="4" t="s">
        <v>13021</v>
      </c>
      <c r="S437" s="4" t="b">
        <f>ISNUMBER(MATCH(Q437,T:T,0))</f>
        <v>0</v>
      </c>
      <c r="T437" s="4" t="s">
        <v>11149</v>
      </c>
      <c r="U437" s="4" t="str">
        <f t="shared" si="14"/>
        <v>淪</v>
      </c>
      <c r="V437" s="4" t="b">
        <f t="shared" si="19"/>
        <v>1</v>
      </c>
    </row>
    <row r="438" spans="1:22">
      <c r="A438" s="3">
        <v>436</v>
      </c>
      <c r="B438" s="3" t="s">
        <v>6768</v>
      </c>
      <c r="C438" s="3" t="s">
        <v>6005</v>
      </c>
      <c r="D438" s="3" t="s">
        <v>6001</v>
      </c>
      <c r="E438" s="3" t="s">
        <v>6212</v>
      </c>
      <c r="F438" s="3" t="s">
        <v>6769</v>
      </c>
      <c r="G438" s="3" t="s">
        <v>5993</v>
      </c>
      <c r="H438" s="3" t="s">
        <v>6775</v>
      </c>
      <c r="I438" s="3" t="s">
        <v>3079</v>
      </c>
      <c r="J438" s="5" t="s">
        <v>6776</v>
      </c>
      <c r="L438" s="3" t="s">
        <v>6777</v>
      </c>
      <c r="M438" s="3">
        <v>2</v>
      </c>
      <c r="N438" s="4" t="s">
        <v>6769</v>
      </c>
      <c r="O438" s="4">
        <v>18</v>
      </c>
      <c r="P438" s="11" t="s">
        <v>9709</v>
      </c>
      <c r="Q438" s="11" t="s">
        <v>9940</v>
      </c>
      <c r="R438" s="4" t="s">
        <v>13021</v>
      </c>
      <c r="S438" s="4" t="b">
        <f>ISNUMBER(MATCH(Q438,T:T,0))</f>
        <v>0</v>
      </c>
      <c r="T438" s="4" t="s">
        <v>11150</v>
      </c>
      <c r="U438" s="4" t="str">
        <f t="shared" si="14"/>
        <v>淪</v>
      </c>
      <c r="V438" s="4" t="b">
        <f t="shared" si="19"/>
        <v>1</v>
      </c>
    </row>
    <row r="439" spans="1:22">
      <c r="A439" s="3">
        <v>437</v>
      </c>
      <c r="B439" s="3" t="s">
        <v>6768</v>
      </c>
      <c r="C439" s="3" t="s">
        <v>6017</v>
      </c>
      <c r="D439" s="3" t="s">
        <v>6001</v>
      </c>
      <c r="E439" s="3" t="s">
        <v>6212</v>
      </c>
      <c r="F439" s="3" t="s">
        <v>6769</v>
      </c>
      <c r="G439" s="3" t="s">
        <v>5993</v>
      </c>
      <c r="H439" s="3" t="s">
        <v>6778</v>
      </c>
      <c r="I439" s="3" t="s">
        <v>3079</v>
      </c>
      <c r="J439" s="5" t="s">
        <v>7635</v>
      </c>
      <c r="L439" s="3" t="s">
        <v>6779</v>
      </c>
      <c r="M439" s="3">
        <v>14</v>
      </c>
      <c r="N439" s="4" t="s">
        <v>6769</v>
      </c>
      <c r="O439" s="4">
        <v>18</v>
      </c>
      <c r="P439" s="11" t="s">
        <v>2555</v>
      </c>
      <c r="Q439" s="11" t="s">
        <v>9940</v>
      </c>
      <c r="R439" s="4" t="s">
        <v>13021</v>
      </c>
      <c r="S439" s="4" t="b">
        <f>ISNUMBER(MATCH(Q439,T:T,0))</f>
        <v>0</v>
      </c>
      <c r="T439" s="4" t="s">
        <v>11151</v>
      </c>
      <c r="U439" s="4" t="str">
        <f t="shared" si="14"/>
        <v>淪</v>
      </c>
      <c r="V439" s="4" t="b">
        <f t="shared" si="19"/>
        <v>1</v>
      </c>
    </row>
    <row r="440" spans="1:22">
      <c r="A440" s="3">
        <v>438</v>
      </c>
      <c r="B440" s="3" t="s">
        <v>6768</v>
      </c>
      <c r="C440" s="3" t="s">
        <v>6148</v>
      </c>
      <c r="D440" s="3" t="s">
        <v>6001</v>
      </c>
      <c r="E440" s="3" t="s">
        <v>6212</v>
      </c>
      <c r="F440" s="3" t="s">
        <v>6769</v>
      </c>
      <c r="G440" s="3" t="s">
        <v>5993</v>
      </c>
      <c r="H440" s="3" t="s">
        <v>6780</v>
      </c>
      <c r="I440" s="3" t="s">
        <v>3079</v>
      </c>
      <c r="J440" s="5" t="s">
        <v>7636</v>
      </c>
      <c r="L440" s="3" t="s">
        <v>6777</v>
      </c>
      <c r="M440" s="3">
        <v>13</v>
      </c>
      <c r="N440" s="4" t="s">
        <v>6769</v>
      </c>
      <c r="O440" s="4">
        <v>18</v>
      </c>
      <c r="P440" s="11" t="s">
        <v>6148</v>
      </c>
      <c r="Q440" s="11" t="s">
        <v>9940</v>
      </c>
      <c r="R440" s="4" t="s">
        <v>13021</v>
      </c>
      <c r="S440" s="4" t="b">
        <f>ISNUMBER(MATCH(Q440,T:T,0))</f>
        <v>0</v>
      </c>
      <c r="T440" s="4" t="s">
        <v>11152</v>
      </c>
      <c r="U440" s="4" t="str">
        <f t="shared" si="14"/>
        <v>淪</v>
      </c>
      <c r="V440" s="4" t="b">
        <f t="shared" si="19"/>
        <v>1</v>
      </c>
    </row>
    <row r="441" spans="1:22">
      <c r="A441" s="3">
        <v>439</v>
      </c>
      <c r="B441" s="3" t="s">
        <v>6768</v>
      </c>
      <c r="C441" s="3" t="s">
        <v>6021</v>
      </c>
      <c r="D441" s="3" t="s">
        <v>6001</v>
      </c>
      <c r="E441" s="3" t="s">
        <v>6212</v>
      </c>
      <c r="F441" s="3" t="s">
        <v>6769</v>
      </c>
      <c r="G441" s="3" t="s">
        <v>5993</v>
      </c>
      <c r="H441" s="3" t="s">
        <v>6781</v>
      </c>
      <c r="I441" s="3" t="s">
        <v>3079</v>
      </c>
      <c r="J441" s="5" t="s">
        <v>7637</v>
      </c>
      <c r="L441" s="3" t="s">
        <v>6782</v>
      </c>
      <c r="M441" s="3">
        <v>4</v>
      </c>
      <c r="N441" s="4" t="s">
        <v>6769</v>
      </c>
      <c r="O441" s="4">
        <v>18</v>
      </c>
      <c r="P441" s="11" t="s">
        <v>9715</v>
      </c>
      <c r="Q441" s="11" t="s">
        <v>9942</v>
      </c>
      <c r="S441" s="4" t="b">
        <f>ISNUMBER(MATCH(Q441,T:T,0))</f>
        <v>1</v>
      </c>
      <c r="T441" s="4" t="s">
        <v>11153</v>
      </c>
      <c r="U441" s="4" t="str">
        <f t="shared" si="14"/>
        <v>勻</v>
      </c>
    </row>
    <row r="442" spans="1:22">
      <c r="A442" s="3">
        <v>440</v>
      </c>
      <c r="B442" s="3" t="s">
        <v>6768</v>
      </c>
      <c r="C442" s="3" t="s">
        <v>3093</v>
      </c>
      <c r="D442" s="3" t="s">
        <v>6001</v>
      </c>
      <c r="E442" s="3" t="s">
        <v>6212</v>
      </c>
      <c r="F442" s="3" t="s">
        <v>6769</v>
      </c>
      <c r="G442" s="3" t="s">
        <v>5993</v>
      </c>
      <c r="H442" s="3" t="s">
        <v>6783</v>
      </c>
      <c r="I442" s="3" t="s">
        <v>3079</v>
      </c>
      <c r="J442" s="5" t="s">
        <v>7638</v>
      </c>
      <c r="L442" s="3" t="s">
        <v>6777</v>
      </c>
      <c r="M442" s="3">
        <v>5</v>
      </c>
      <c r="N442" s="4" t="s">
        <v>6769</v>
      </c>
      <c r="O442" s="4">
        <v>18</v>
      </c>
      <c r="P442" s="11" t="s">
        <v>9929</v>
      </c>
      <c r="Q442" s="11" t="s">
        <v>9940</v>
      </c>
      <c r="R442" s="4" t="s">
        <v>13021</v>
      </c>
      <c r="S442" s="4" t="b">
        <f>ISNUMBER(MATCH(Q442,T:T,0))</f>
        <v>0</v>
      </c>
      <c r="T442" s="4" t="s">
        <v>9945</v>
      </c>
      <c r="U442" s="4" t="str">
        <f t="shared" si="14"/>
        <v>淪</v>
      </c>
      <c r="V442" s="4" t="b">
        <f t="shared" ref="V442:V446" si="20">ISNUMBER(MATCH(R442,T:T,0))</f>
        <v>1</v>
      </c>
    </row>
    <row r="443" spans="1:22">
      <c r="A443" s="3">
        <v>441</v>
      </c>
      <c r="B443" s="3" t="s">
        <v>6768</v>
      </c>
      <c r="C443" s="3" t="s">
        <v>6058</v>
      </c>
      <c r="D443" s="3" t="s">
        <v>6001</v>
      </c>
      <c r="E443" s="3" t="s">
        <v>6212</v>
      </c>
      <c r="F443" s="3" t="s">
        <v>6769</v>
      </c>
      <c r="G443" s="3" t="s">
        <v>5993</v>
      </c>
      <c r="H443" s="3" t="s">
        <v>6784</v>
      </c>
      <c r="I443" s="3" t="s">
        <v>3079</v>
      </c>
      <c r="J443" s="5" t="s">
        <v>7639</v>
      </c>
      <c r="L443" s="3" t="s">
        <v>6785</v>
      </c>
      <c r="M443" s="3">
        <v>15</v>
      </c>
      <c r="N443" s="4" t="s">
        <v>6769</v>
      </c>
      <c r="O443" s="4">
        <v>18</v>
      </c>
      <c r="P443" s="11" t="s">
        <v>9727</v>
      </c>
      <c r="Q443" s="11" t="s">
        <v>9943</v>
      </c>
      <c r="R443" s="4" t="s">
        <v>13022</v>
      </c>
      <c r="S443" s="4" t="b">
        <f>ISNUMBER(MATCH(Q443,T:T,0))</f>
        <v>0</v>
      </c>
      <c r="T443" s="4" t="s">
        <v>11154</v>
      </c>
      <c r="U443" s="4" t="str">
        <f t="shared" si="14"/>
        <v>屯</v>
      </c>
      <c r="V443" s="4" t="b">
        <f t="shared" si="20"/>
        <v>1</v>
      </c>
    </row>
    <row r="444" spans="1:22">
      <c r="A444" s="3">
        <v>442</v>
      </c>
      <c r="B444" s="3" t="s">
        <v>6768</v>
      </c>
      <c r="C444" s="3" t="s">
        <v>6000</v>
      </c>
      <c r="D444" s="3" t="s">
        <v>6001</v>
      </c>
      <c r="E444" s="3" t="s">
        <v>6212</v>
      </c>
      <c r="F444" s="3" t="s">
        <v>6769</v>
      </c>
      <c r="G444" s="3" t="s">
        <v>5993</v>
      </c>
      <c r="H444" s="3" t="s">
        <v>6786</v>
      </c>
      <c r="I444" s="3" t="s">
        <v>3079</v>
      </c>
      <c r="J444" s="5" t="s">
        <v>6787</v>
      </c>
      <c r="L444" s="3" t="s">
        <v>6772</v>
      </c>
      <c r="M444" s="3">
        <v>4</v>
      </c>
      <c r="N444" s="4" t="s">
        <v>6769</v>
      </c>
      <c r="O444" s="4">
        <v>18</v>
      </c>
      <c r="P444" s="11" t="s">
        <v>9707</v>
      </c>
      <c r="Q444" s="11" t="s">
        <v>9944</v>
      </c>
      <c r="R444" s="4" t="s">
        <v>13021</v>
      </c>
      <c r="S444" s="4" t="b">
        <f>ISNUMBER(MATCH(Q444,T:T,0))</f>
        <v>0</v>
      </c>
      <c r="T444" s="4" t="s">
        <v>11155</v>
      </c>
      <c r="U444" s="4" t="str">
        <f t="shared" si="14"/>
        <v>淪</v>
      </c>
      <c r="V444" s="4" t="b">
        <f t="shared" si="20"/>
        <v>1</v>
      </c>
    </row>
    <row r="445" spans="1:22">
      <c r="A445" s="3">
        <v>443</v>
      </c>
      <c r="B445" s="3" t="s">
        <v>6768</v>
      </c>
      <c r="C445" s="3" t="s">
        <v>6076</v>
      </c>
      <c r="D445" s="3" t="s">
        <v>6001</v>
      </c>
      <c r="E445" s="3" t="s">
        <v>6212</v>
      </c>
      <c r="F445" s="3" t="s">
        <v>6769</v>
      </c>
      <c r="G445" s="3" t="s">
        <v>5993</v>
      </c>
      <c r="H445" s="3" t="s">
        <v>6788</v>
      </c>
      <c r="I445" s="3" t="s">
        <v>3079</v>
      </c>
      <c r="J445" s="5" t="s">
        <v>7640</v>
      </c>
      <c r="L445" s="3" t="s">
        <v>3133</v>
      </c>
      <c r="M445" s="3">
        <v>10</v>
      </c>
      <c r="N445" s="4" t="s">
        <v>6769</v>
      </c>
      <c r="O445" s="4">
        <v>18</v>
      </c>
      <c r="P445" s="11" t="s">
        <v>9766</v>
      </c>
      <c r="Q445" s="11" t="s">
        <v>9940</v>
      </c>
      <c r="R445" s="4" t="s">
        <v>13021</v>
      </c>
      <c r="S445" s="4" t="b">
        <f>ISNUMBER(MATCH(Q445,T:T,0))</f>
        <v>0</v>
      </c>
      <c r="T445" s="4" t="s">
        <v>11156</v>
      </c>
      <c r="U445" s="4" t="str">
        <f t="shared" si="14"/>
        <v>淪</v>
      </c>
      <c r="V445" s="4" t="b">
        <f t="shared" si="20"/>
        <v>1</v>
      </c>
    </row>
    <row r="446" spans="1:22">
      <c r="A446" s="3">
        <v>444</v>
      </c>
      <c r="B446" s="3" t="s">
        <v>6768</v>
      </c>
      <c r="C446" s="3" t="s">
        <v>6083</v>
      </c>
      <c r="D446" s="3" t="s">
        <v>6001</v>
      </c>
      <c r="E446" s="3" t="s">
        <v>6212</v>
      </c>
      <c r="F446" s="3" t="s">
        <v>6769</v>
      </c>
      <c r="G446" s="3" t="s">
        <v>5993</v>
      </c>
      <c r="H446" s="3" t="s">
        <v>6789</v>
      </c>
      <c r="I446" s="3" t="s">
        <v>3079</v>
      </c>
      <c r="J446" s="5" t="s">
        <v>6790</v>
      </c>
      <c r="L446" s="3" t="s">
        <v>3130</v>
      </c>
      <c r="M446" s="3">
        <v>5</v>
      </c>
      <c r="N446" s="4" t="s">
        <v>6769</v>
      </c>
      <c r="O446" s="4">
        <v>18</v>
      </c>
      <c r="P446" s="11" t="s">
        <v>9933</v>
      </c>
      <c r="Q446" s="11" t="s">
        <v>9940</v>
      </c>
      <c r="R446" s="4" t="s">
        <v>13021</v>
      </c>
      <c r="S446" s="4" t="b">
        <f>ISNUMBER(MATCH(Q446,T:T,0))</f>
        <v>0</v>
      </c>
      <c r="T446" s="4" t="s">
        <v>9801</v>
      </c>
      <c r="U446" s="4" t="str">
        <f t="shared" si="14"/>
        <v>淪</v>
      </c>
      <c r="V446" s="4" t="b">
        <f t="shared" si="20"/>
        <v>1</v>
      </c>
    </row>
    <row r="447" spans="1:22">
      <c r="A447" s="3">
        <v>445</v>
      </c>
      <c r="B447" s="3" t="s">
        <v>6768</v>
      </c>
      <c r="C447" s="3" t="s">
        <v>6055</v>
      </c>
      <c r="D447" s="3" t="s">
        <v>6001</v>
      </c>
      <c r="E447" s="3" t="s">
        <v>6212</v>
      </c>
      <c r="F447" s="3" t="s">
        <v>6769</v>
      </c>
      <c r="G447" s="3" t="s">
        <v>5993</v>
      </c>
      <c r="H447" s="3" t="s">
        <v>6791</v>
      </c>
      <c r="I447" s="3" t="s">
        <v>3079</v>
      </c>
      <c r="J447" s="5" t="s">
        <v>6792</v>
      </c>
      <c r="L447" s="3" t="s">
        <v>6774</v>
      </c>
      <c r="M447" s="3">
        <v>1</v>
      </c>
      <c r="N447" s="4" t="s">
        <v>6769</v>
      </c>
      <c r="O447" s="4">
        <v>18</v>
      </c>
      <c r="P447" s="11" t="s">
        <v>6055</v>
      </c>
      <c r="Q447" s="11" t="s">
        <v>9945</v>
      </c>
      <c r="S447" s="4" t="b">
        <f>ISNUMBER(MATCH(Q447,T:T,0))</f>
        <v>1</v>
      </c>
      <c r="T447" s="4" t="s">
        <v>6792</v>
      </c>
      <c r="U447" s="4" t="str">
        <f t="shared" si="14"/>
        <v>脣</v>
      </c>
    </row>
    <row r="448" spans="1:22">
      <c r="A448" s="3">
        <v>446</v>
      </c>
      <c r="B448" s="3" t="s">
        <v>6768</v>
      </c>
      <c r="C448" s="3" t="s">
        <v>6069</v>
      </c>
      <c r="D448" s="3" t="s">
        <v>6001</v>
      </c>
      <c r="E448" s="3" t="s">
        <v>6212</v>
      </c>
      <c r="F448" s="3" t="s">
        <v>6769</v>
      </c>
      <c r="G448" s="3" t="s">
        <v>5993</v>
      </c>
      <c r="H448" s="3" t="s">
        <v>6793</v>
      </c>
      <c r="I448" s="3" t="s">
        <v>3079</v>
      </c>
      <c r="J448" s="5" t="s">
        <v>6794</v>
      </c>
      <c r="L448" s="3" t="s">
        <v>6795</v>
      </c>
      <c r="M448" s="3">
        <v>1</v>
      </c>
      <c r="N448" s="4" t="s">
        <v>6769</v>
      </c>
      <c r="O448" s="4">
        <v>18</v>
      </c>
      <c r="P448" s="11" t="s">
        <v>9880</v>
      </c>
      <c r="Q448" s="11" t="s">
        <v>9787</v>
      </c>
      <c r="S448" s="4" t="b">
        <f>ISNUMBER(MATCH(Q448,T:T,0))</f>
        <v>1</v>
      </c>
      <c r="T448" s="4" t="s">
        <v>6794</v>
      </c>
      <c r="U448" s="4" t="str">
        <f t="shared" si="14"/>
        <v>旬</v>
      </c>
    </row>
    <row r="449" spans="1:22">
      <c r="A449" s="3">
        <v>447</v>
      </c>
      <c r="B449" s="3" t="s">
        <v>6768</v>
      </c>
      <c r="C449" s="3" t="s">
        <v>6028</v>
      </c>
      <c r="D449" s="3" t="s">
        <v>6001</v>
      </c>
      <c r="E449" s="3" t="s">
        <v>6212</v>
      </c>
      <c r="F449" s="3" t="s">
        <v>6769</v>
      </c>
      <c r="G449" s="3" t="s">
        <v>5993</v>
      </c>
      <c r="H449" s="3" t="s">
        <v>6796</v>
      </c>
      <c r="I449" s="3" t="s">
        <v>3079</v>
      </c>
      <c r="J449" s="5" t="s">
        <v>7641</v>
      </c>
      <c r="L449" s="3" t="s">
        <v>3131</v>
      </c>
      <c r="M449" s="3">
        <v>2</v>
      </c>
      <c r="N449" s="4" t="s">
        <v>6769</v>
      </c>
      <c r="O449" s="4">
        <v>18</v>
      </c>
      <c r="P449" s="11" t="s">
        <v>9863</v>
      </c>
      <c r="Q449" s="11" t="s">
        <v>9940</v>
      </c>
      <c r="R449" s="4" t="s">
        <v>13021</v>
      </c>
      <c r="S449" s="4" t="b">
        <f>ISNUMBER(MATCH(Q449,T:T,0))</f>
        <v>0</v>
      </c>
      <c r="T449" s="4" t="s">
        <v>9942</v>
      </c>
      <c r="U449" s="4" t="str">
        <f t="shared" si="14"/>
        <v>淪</v>
      </c>
      <c r="V449" s="4" t="b">
        <f>ISNUMBER(MATCH(R449,T:T,0))</f>
        <v>1</v>
      </c>
    </row>
    <row r="450" spans="1:22">
      <c r="A450" s="3">
        <v>448</v>
      </c>
      <c r="B450" s="3" t="s">
        <v>6768</v>
      </c>
      <c r="C450" s="3" t="s">
        <v>6123</v>
      </c>
      <c r="D450" s="3" t="s">
        <v>6001</v>
      </c>
      <c r="E450" s="3" t="s">
        <v>6212</v>
      </c>
      <c r="F450" s="3" t="s">
        <v>6769</v>
      </c>
      <c r="G450" s="3" t="s">
        <v>5993</v>
      </c>
      <c r="H450" s="3" t="s">
        <v>6797</v>
      </c>
      <c r="I450" s="3" t="s">
        <v>3079</v>
      </c>
      <c r="J450" s="5" t="s">
        <v>6798</v>
      </c>
      <c r="L450" s="3" t="s">
        <v>6799</v>
      </c>
      <c r="M450" s="3">
        <v>17</v>
      </c>
      <c r="N450" s="4" t="s">
        <v>6769</v>
      </c>
      <c r="O450" s="4">
        <v>18</v>
      </c>
      <c r="P450" s="11" t="s">
        <v>9946</v>
      </c>
      <c r="Q450" s="11" t="s">
        <v>9801</v>
      </c>
      <c r="S450" s="4" t="b">
        <f>ISNUMBER(MATCH(Q450,T:T,0))</f>
        <v>1</v>
      </c>
      <c r="T450" s="4" t="s">
        <v>9787</v>
      </c>
      <c r="U450" s="4" t="str">
        <f t="shared" si="14"/>
        <v>遵</v>
      </c>
    </row>
    <row r="451" spans="1:22">
      <c r="A451" s="3">
        <v>449</v>
      </c>
      <c r="B451" s="3" t="s">
        <v>6768</v>
      </c>
      <c r="C451" s="3" t="s">
        <v>6025</v>
      </c>
      <c r="D451" s="3" t="s">
        <v>6001</v>
      </c>
      <c r="E451" s="3" t="s">
        <v>6212</v>
      </c>
      <c r="F451" s="3" t="s">
        <v>6769</v>
      </c>
      <c r="G451" s="3" t="s">
        <v>5993</v>
      </c>
      <c r="H451" s="3" t="s">
        <v>6800</v>
      </c>
      <c r="I451" s="3" t="s">
        <v>3079</v>
      </c>
      <c r="J451" s="5" t="s">
        <v>7642</v>
      </c>
      <c r="L451" s="3" t="s">
        <v>3130</v>
      </c>
      <c r="M451" s="3">
        <v>4</v>
      </c>
      <c r="N451" s="4" t="s">
        <v>6769</v>
      </c>
      <c r="O451" s="4">
        <v>18</v>
      </c>
      <c r="P451" s="11" t="s">
        <v>9717</v>
      </c>
      <c r="Q451" s="11" t="s">
        <v>9942</v>
      </c>
      <c r="S451" s="4" t="b">
        <f>ISNUMBER(MATCH(Q451,T:T,0))</f>
        <v>1</v>
      </c>
      <c r="T451" s="4" t="s">
        <v>11157</v>
      </c>
      <c r="U451" s="4" t="str">
        <f t="shared" ref="U451:U514" si="21">IF(ISBLANK(R451),Q451,R451)</f>
        <v>勻</v>
      </c>
    </row>
    <row r="452" spans="1:22">
      <c r="A452" s="3">
        <v>452</v>
      </c>
      <c r="B452" s="3" t="s">
        <v>6803</v>
      </c>
      <c r="C452" s="3" t="s">
        <v>6318</v>
      </c>
      <c r="D452" s="3" t="s">
        <v>6001</v>
      </c>
      <c r="E452" s="3" t="s">
        <v>5991</v>
      </c>
      <c r="F452" s="3" t="s">
        <v>3079</v>
      </c>
      <c r="G452" s="3" t="s">
        <v>5993</v>
      </c>
      <c r="H452" s="3" t="s">
        <v>6804</v>
      </c>
      <c r="I452" s="3" t="s">
        <v>3079</v>
      </c>
      <c r="J452" s="5" t="s">
        <v>7643</v>
      </c>
      <c r="L452" s="3" t="s">
        <v>3080</v>
      </c>
      <c r="M452" s="3">
        <v>11</v>
      </c>
      <c r="N452" s="4" t="s">
        <v>3079</v>
      </c>
      <c r="O452" s="4">
        <v>19</v>
      </c>
      <c r="P452" s="11" t="s">
        <v>9804</v>
      </c>
      <c r="Q452" s="11" t="s">
        <v>9947</v>
      </c>
      <c r="R452" s="4" t="s">
        <v>13023</v>
      </c>
      <c r="S452" s="4" t="b">
        <f>ISNUMBER(MATCH(Q452,T:T,0))</f>
        <v>0</v>
      </c>
      <c r="T452" s="4" t="s">
        <v>3079</v>
      </c>
      <c r="U452" s="4" t="str">
        <f t="shared" si="21"/>
        <v>莘</v>
      </c>
      <c r="V452" s="4" t="b">
        <f>ISNUMBER(MATCH(R452,T:T,0))</f>
        <v>1</v>
      </c>
    </row>
    <row r="453" spans="1:22" ht="39">
      <c r="A453" s="3">
        <v>453</v>
      </c>
      <c r="B453" s="3" t="s">
        <v>6803</v>
      </c>
      <c r="C453" s="3" t="s">
        <v>6180</v>
      </c>
      <c r="D453" s="3" t="s">
        <v>6001</v>
      </c>
      <c r="E453" s="3" t="s">
        <v>5991</v>
      </c>
      <c r="F453" s="3" t="s">
        <v>3079</v>
      </c>
      <c r="G453" s="3" t="s">
        <v>5993</v>
      </c>
      <c r="H453" s="3" t="s">
        <v>6805</v>
      </c>
      <c r="I453" s="3" t="s">
        <v>3079</v>
      </c>
      <c r="J453" s="5" t="s">
        <v>7644</v>
      </c>
      <c r="L453" s="3" t="s">
        <v>3102</v>
      </c>
      <c r="M453" s="3">
        <v>20</v>
      </c>
      <c r="N453" s="4" t="s">
        <v>3079</v>
      </c>
      <c r="O453" s="4">
        <v>19</v>
      </c>
      <c r="P453" s="11" t="s">
        <v>9774</v>
      </c>
      <c r="Q453" s="11" t="s">
        <v>3079</v>
      </c>
      <c r="S453" s="4" t="b">
        <f>ISNUMBER(MATCH(Q453,T:T,0))</f>
        <v>1</v>
      </c>
      <c r="T453" s="4" t="s">
        <v>11159</v>
      </c>
      <c r="U453" s="4" t="str">
        <f t="shared" si="21"/>
        <v>臻</v>
      </c>
    </row>
    <row r="454" spans="1:22">
      <c r="A454" s="3">
        <v>454</v>
      </c>
      <c r="B454" s="3" t="s">
        <v>6803</v>
      </c>
      <c r="C454" s="3" t="s">
        <v>6015</v>
      </c>
      <c r="D454" s="3" t="s">
        <v>6001</v>
      </c>
      <c r="E454" s="3" t="s">
        <v>5991</v>
      </c>
      <c r="F454" s="3" t="s">
        <v>3079</v>
      </c>
      <c r="G454" s="3" t="s">
        <v>5993</v>
      </c>
      <c r="H454" s="3" t="s">
        <v>6806</v>
      </c>
      <c r="I454" s="3" t="s">
        <v>3079</v>
      </c>
      <c r="J454" s="5" t="s">
        <v>6807</v>
      </c>
      <c r="L454" s="3" t="s">
        <v>3090</v>
      </c>
      <c r="M454" s="3">
        <v>3</v>
      </c>
      <c r="N454" s="4" t="s">
        <v>3079</v>
      </c>
      <c r="O454" s="4">
        <v>19</v>
      </c>
      <c r="P454" s="11" t="s">
        <v>9777</v>
      </c>
      <c r="Q454" s="11" t="s">
        <v>3079</v>
      </c>
      <c r="S454" s="4" t="b">
        <f>ISNUMBER(MATCH(Q454,T:T,0))</f>
        <v>1</v>
      </c>
      <c r="T454" s="4" t="s">
        <v>11160</v>
      </c>
      <c r="U454" s="4" t="str">
        <f t="shared" si="21"/>
        <v>臻</v>
      </c>
    </row>
    <row r="455" spans="1:22">
      <c r="A455" s="3">
        <v>455</v>
      </c>
      <c r="B455" s="3" t="s">
        <v>6808</v>
      </c>
      <c r="C455" s="3" t="s">
        <v>6035</v>
      </c>
      <c r="D455" s="3" t="s">
        <v>6001</v>
      </c>
      <c r="E455" s="3" t="s">
        <v>6212</v>
      </c>
      <c r="F455" s="3" t="s">
        <v>6809</v>
      </c>
      <c r="G455" s="3" t="s">
        <v>5993</v>
      </c>
      <c r="H455" s="3" t="s">
        <v>6810</v>
      </c>
      <c r="I455" s="3" t="s">
        <v>3079</v>
      </c>
      <c r="J455" s="5" t="s">
        <v>7645</v>
      </c>
      <c r="L455" s="3" t="s">
        <v>6811</v>
      </c>
      <c r="M455" s="3">
        <v>16</v>
      </c>
      <c r="N455" s="4" t="s">
        <v>6809</v>
      </c>
      <c r="O455" s="4">
        <v>20</v>
      </c>
      <c r="P455" s="11" t="s">
        <v>9837</v>
      </c>
      <c r="Q455" s="11" t="s">
        <v>9948</v>
      </c>
      <c r="S455" s="4" t="b">
        <f>ISNUMBER(MATCH(Q455,T:T,0))</f>
        <v>1</v>
      </c>
      <c r="T455" s="4" t="s">
        <v>6809</v>
      </c>
      <c r="U455" s="4" t="str">
        <f t="shared" si="21"/>
        <v>分</v>
      </c>
    </row>
    <row r="456" spans="1:22" ht="39">
      <c r="A456" s="3">
        <v>456</v>
      </c>
      <c r="B456" s="3" t="s">
        <v>6808</v>
      </c>
      <c r="C456" s="3" t="s">
        <v>6032</v>
      </c>
      <c r="D456" s="3" t="s">
        <v>6001</v>
      </c>
      <c r="E456" s="3" t="s">
        <v>6212</v>
      </c>
      <c r="F456" s="3" t="s">
        <v>6809</v>
      </c>
      <c r="G456" s="3" t="s">
        <v>5993</v>
      </c>
      <c r="H456" s="3" t="s">
        <v>6812</v>
      </c>
      <c r="I456" s="3" t="s">
        <v>3079</v>
      </c>
      <c r="J456" s="5" t="s">
        <v>7646</v>
      </c>
      <c r="L456" s="3" t="s">
        <v>3131</v>
      </c>
      <c r="M456" s="3">
        <v>22</v>
      </c>
      <c r="N456" s="4" t="s">
        <v>6809</v>
      </c>
      <c r="O456" s="4">
        <v>20</v>
      </c>
      <c r="P456" s="11" t="s">
        <v>9949</v>
      </c>
      <c r="Q456" s="11" t="s">
        <v>9948</v>
      </c>
      <c r="S456" s="4" t="b">
        <f>ISNUMBER(MATCH(Q456,T:T,0))</f>
        <v>1</v>
      </c>
      <c r="T456" s="4" t="s">
        <v>10289</v>
      </c>
      <c r="U456" s="4" t="str">
        <f t="shared" si="21"/>
        <v>分</v>
      </c>
    </row>
    <row r="457" spans="1:22">
      <c r="A457" s="3">
        <v>457</v>
      </c>
      <c r="B457" s="3" t="s">
        <v>6808</v>
      </c>
      <c r="C457" s="3" t="s">
        <v>6072</v>
      </c>
      <c r="D457" s="3" t="s">
        <v>6001</v>
      </c>
      <c r="E457" s="3" t="s">
        <v>6212</v>
      </c>
      <c r="F457" s="3" t="s">
        <v>6809</v>
      </c>
      <c r="G457" s="3" t="s">
        <v>5993</v>
      </c>
      <c r="H457" s="3" t="s">
        <v>6813</v>
      </c>
      <c r="I457" s="3" t="s">
        <v>3079</v>
      </c>
      <c r="J457" s="8" t="s">
        <v>7647</v>
      </c>
      <c r="L457" s="3" t="s">
        <v>6763</v>
      </c>
      <c r="M457" s="3">
        <v>10</v>
      </c>
      <c r="N457" s="4" t="s">
        <v>6809</v>
      </c>
      <c r="O457" s="4">
        <v>20</v>
      </c>
      <c r="P457" s="11" t="s">
        <v>9754</v>
      </c>
      <c r="Q457" s="11" t="s">
        <v>6032</v>
      </c>
      <c r="R457" s="4" t="s">
        <v>13024</v>
      </c>
      <c r="S457" s="4" t="b">
        <f>ISNUMBER(MATCH(Q457,T:T,0))</f>
        <v>0</v>
      </c>
      <c r="T457" s="4" t="s">
        <v>11161</v>
      </c>
      <c r="U457" s="4" t="str">
        <f t="shared" si="21"/>
        <v>雲</v>
      </c>
      <c r="V457" s="4" t="b">
        <f>ISNUMBER(MATCH(R457,T:T,0))</f>
        <v>1</v>
      </c>
    </row>
    <row r="458" spans="1:22" ht="58.5">
      <c r="A458" s="3">
        <v>458</v>
      </c>
      <c r="B458" s="3" t="s">
        <v>6808</v>
      </c>
      <c r="C458" s="3" t="s">
        <v>6045</v>
      </c>
      <c r="D458" s="3" t="s">
        <v>6001</v>
      </c>
      <c r="E458" s="3" t="s">
        <v>6212</v>
      </c>
      <c r="F458" s="3" t="s">
        <v>6809</v>
      </c>
      <c r="G458" s="3" t="s">
        <v>5993</v>
      </c>
      <c r="H458" s="3" t="s">
        <v>6814</v>
      </c>
      <c r="I458" s="3" t="s">
        <v>3079</v>
      </c>
      <c r="J458" s="5" t="s">
        <v>7648</v>
      </c>
      <c r="L458" s="3" t="s">
        <v>6815</v>
      </c>
      <c r="M458" s="3">
        <v>37</v>
      </c>
      <c r="N458" s="4" t="s">
        <v>6809</v>
      </c>
      <c r="O458" s="4">
        <v>20</v>
      </c>
      <c r="P458" s="11" t="s">
        <v>9759</v>
      </c>
      <c r="Q458" s="11" t="s">
        <v>9948</v>
      </c>
      <c r="S458" s="4" t="b">
        <f>ISNUMBER(MATCH(Q458,T:T,0))</f>
        <v>1</v>
      </c>
      <c r="T458" s="4" t="s">
        <v>11162</v>
      </c>
      <c r="U458" s="4" t="str">
        <f t="shared" si="21"/>
        <v>分</v>
      </c>
    </row>
    <row r="459" spans="1:22">
      <c r="A459" s="3">
        <v>459</v>
      </c>
      <c r="B459" s="3" t="s">
        <v>6808</v>
      </c>
      <c r="C459" s="3" t="s">
        <v>6049</v>
      </c>
      <c r="D459" s="3" t="s">
        <v>6001</v>
      </c>
      <c r="E459" s="3" t="s">
        <v>6212</v>
      </c>
      <c r="F459" s="3" t="s">
        <v>6809</v>
      </c>
      <c r="G459" s="3" t="s">
        <v>5993</v>
      </c>
      <c r="H459" s="3" t="s">
        <v>6816</v>
      </c>
      <c r="I459" s="3" t="s">
        <v>3079</v>
      </c>
      <c r="J459" s="5" t="s">
        <v>7649</v>
      </c>
      <c r="L459" s="3" t="s">
        <v>6817</v>
      </c>
      <c r="M459" s="3">
        <v>6</v>
      </c>
      <c r="N459" s="4" t="s">
        <v>6809</v>
      </c>
      <c r="O459" s="4">
        <v>20</v>
      </c>
      <c r="P459" s="11" t="s">
        <v>9752</v>
      </c>
      <c r="Q459" s="11" t="s">
        <v>6809</v>
      </c>
      <c r="S459" s="4" t="b">
        <f>ISNUMBER(MATCH(Q459,T:T,0))</f>
        <v>1</v>
      </c>
      <c r="T459" s="4" t="s">
        <v>9948</v>
      </c>
      <c r="U459" s="4" t="str">
        <f t="shared" si="21"/>
        <v>文</v>
      </c>
    </row>
    <row r="460" spans="1:22">
      <c r="A460" s="3">
        <v>460</v>
      </c>
      <c r="B460" s="3" t="s">
        <v>6808</v>
      </c>
      <c r="C460" s="3" t="s">
        <v>6041</v>
      </c>
      <c r="D460" s="3" t="s">
        <v>6001</v>
      </c>
      <c r="E460" s="3" t="s">
        <v>6212</v>
      </c>
      <c r="F460" s="3" t="s">
        <v>6809</v>
      </c>
      <c r="G460" s="3" t="s">
        <v>5993</v>
      </c>
      <c r="H460" s="3" t="s">
        <v>6818</v>
      </c>
      <c r="I460" s="3" t="s">
        <v>3079</v>
      </c>
      <c r="J460" s="8" t="s">
        <v>7650</v>
      </c>
      <c r="L460" s="3" t="s">
        <v>6795</v>
      </c>
      <c r="M460" s="3">
        <v>5</v>
      </c>
      <c r="N460" s="4" t="s">
        <v>6809</v>
      </c>
      <c r="O460" s="4">
        <v>20</v>
      </c>
      <c r="P460" s="11" t="s">
        <v>9721</v>
      </c>
      <c r="Q460" s="11" t="s">
        <v>6032</v>
      </c>
      <c r="R460" s="4" t="s">
        <v>13024</v>
      </c>
      <c r="S460" s="4" t="b">
        <f>ISNUMBER(MATCH(Q460,T:T,0))</f>
        <v>0</v>
      </c>
      <c r="T460" s="4" t="s">
        <v>11163</v>
      </c>
      <c r="U460" s="4" t="str">
        <f t="shared" si="21"/>
        <v>雲</v>
      </c>
      <c r="V460" s="4" t="b">
        <f t="shared" ref="V460:V462" si="22">ISNUMBER(MATCH(R460,T:T,0))</f>
        <v>1</v>
      </c>
    </row>
    <row r="461" spans="1:22">
      <c r="A461" s="3">
        <v>461</v>
      </c>
      <c r="B461" s="3" t="s">
        <v>6808</v>
      </c>
      <c r="C461" s="3" t="s">
        <v>6089</v>
      </c>
      <c r="D461" s="3" t="s">
        <v>6001</v>
      </c>
      <c r="E461" s="3" t="s">
        <v>6212</v>
      </c>
      <c r="F461" s="3" t="s">
        <v>6809</v>
      </c>
      <c r="G461" s="3" t="s">
        <v>5993</v>
      </c>
      <c r="H461" s="3" t="s">
        <v>6819</v>
      </c>
      <c r="I461" s="3" t="s">
        <v>3079</v>
      </c>
      <c r="J461" s="5" t="s">
        <v>7651</v>
      </c>
      <c r="L461" s="3" t="s">
        <v>6779</v>
      </c>
      <c r="M461" s="3">
        <v>12</v>
      </c>
      <c r="N461" s="4" t="s">
        <v>6809</v>
      </c>
      <c r="O461" s="4">
        <v>20</v>
      </c>
      <c r="P461" s="11" t="s">
        <v>9753</v>
      </c>
      <c r="Q461" s="11" t="s">
        <v>6032</v>
      </c>
      <c r="R461" s="4" t="s">
        <v>13024</v>
      </c>
      <c r="S461" s="4" t="b">
        <f>ISNUMBER(MATCH(Q461,T:T,0))</f>
        <v>0</v>
      </c>
      <c r="T461" s="4" t="s">
        <v>11164</v>
      </c>
      <c r="U461" s="4" t="str">
        <f t="shared" si="21"/>
        <v>雲</v>
      </c>
      <c r="V461" s="4" t="b">
        <f t="shared" si="22"/>
        <v>1</v>
      </c>
    </row>
    <row r="462" spans="1:22">
      <c r="A462" s="3">
        <v>462</v>
      </c>
      <c r="B462" s="3" t="s">
        <v>6808</v>
      </c>
      <c r="C462" s="3" t="s">
        <v>6025</v>
      </c>
      <c r="D462" s="3" t="s">
        <v>6001</v>
      </c>
      <c r="E462" s="3" t="s">
        <v>6212</v>
      </c>
      <c r="F462" s="3" t="s">
        <v>6809</v>
      </c>
      <c r="G462" s="3" t="s">
        <v>5993</v>
      </c>
      <c r="H462" s="3" t="s">
        <v>6820</v>
      </c>
      <c r="I462" s="3" t="s">
        <v>3079</v>
      </c>
      <c r="J462" s="5" t="s">
        <v>6821</v>
      </c>
      <c r="L462" s="3" t="s">
        <v>3130</v>
      </c>
      <c r="M462" s="3">
        <v>8</v>
      </c>
      <c r="N462" s="4" t="s">
        <v>6809</v>
      </c>
      <c r="O462" s="4">
        <v>20</v>
      </c>
      <c r="P462" s="11" t="s">
        <v>9846</v>
      </c>
      <c r="Q462" s="11" t="s">
        <v>6032</v>
      </c>
      <c r="R462" s="4" t="s">
        <v>13024</v>
      </c>
      <c r="S462" s="4" t="b">
        <f>ISNUMBER(MATCH(Q462,T:T,0))</f>
        <v>0</v>
      </c>
      <c r="T462" s="4" t="s">
        <v>11165</v>
      </c>
      <c r="U462" s="4" t="str">
        <f t="shared" si="21"/>
        <v>雲</v>
      </c>
      <c r="V462" s="4" t="b">
        <f t="shared" si="22"/>
        <v>1</v>
      </c>
    </row>
    <row r="463" spans="1:22">
      <c r="A463" s="3">
        <v>463</v>
      </c>
      <c r="B463" s="3" t="s">
        <v>6808</v>
      </c>
      <c r="C463" s="3" t="s">
        <v>6053</v>
      </c>
      <c r="D463" s="3" t="s">
        <v>6001</v>
      </c>
      <c r="E463" s="3" t="s">
        <v>6212</v>
      </c>
      <c r="F463" s="3" t="s">
        <v>6809</v>
      </c>
      <c r="G463" s="3" t="s">
        <v>5993</v>
      </c>
      <c r="H463" s="3" t="s">
        <v>6822</v>
      </c>
      <c r="I463" s="3" t="s">
        <v>3079</v>
      </c>
      <c r="J463" s="5" t="s">
        <v>6823</v>
      </c>
      <c r="L463" s="3" t="s">
        <v>6817</v>
      </c>
      <c r="M463" s="3">
        <v>13</v>
      </c>
      <c r="N463" s="4" t="s">
        <v>6809</v>
      </c>
      <c r="O463" s="4">
        <v>20</v>
      </c>
      <c r="P463" s="11" t="s">
        <v>9950</v>
      </c>
      <c r="Q463" s="11" t="s">
        <v>6809</v>
      </c>
      <c r="S463" s="4" t="b">
        <f>ISNUMBER(MATCH(Q463,T:T,0))</f>
        <v>1</v>
      </c>
      <c r="T463" s="4" t="s">
        <v>11166</v>
      </c>
      <c r="U463" s="4" t="str">
        <f t="shared" si="21"/>
        <v>文</v>
      </c>
    </row>
    <row r="464" spans="1:22">
      <c r="A464" s="3">
        <v>464</v>
      </c>
      <c r="B464" s="3" t="s">
        <v>6824</v>
      </c>
      <c r="C464" s="3" t="s">
        <v>6089</v>
      </c>
      <c r="D464" s="3" t="s">
        <v>6001</v>
      </c>
      <c r="E464" s="3" t="s">
        <v>5991</v>
      </c>
      <c r="F464" s="3" t="s">
        <v>6825</v>
      </c>
      <c r="G464" s="3" t="s">
        <v>5993</v>
      </c>
      <c r="H464" s="3" t="s">
        <v>6826</v>
      </c>
      <c r="I464" s="3" t="s">
        <v>3079</v>
      </c>
      <c r="J464" s="5" t="s">
        <v>7652</v>
      </c>
      <c r="L464" s="3" t="s">
        <v>3088</v>
      </c>
      <c r="M464" s="3">
        <v>6</v>
      </c>
      <c r="N464" s="4" t="s">
        <v>6825</v>
      </c>
      <c r="O464" s="4">
        <v>21</v>
      </c>
      <c r="P464" s="11" t="s">
        <v>9753</v>
      </c>
      <c r="Q464" s="11" t="s">
        <v>9951</v>
      </c>
      <c r="S464" s="4" t="b">
        <f>ISNUMBER(MATCH(Q464,T:T,0))</f>
        <v>1</v>
      </c>
      <c r="T464" s="4" t="s">
        <v>6825</v>
      </c>
      <c r="U464" s="4" t="str">
        <f t="shared" si="21"/>
        <v>斤</v>
      </c>
    </row>
    <row r="465" spans="1:22">
      <c r="A465" s="3">
        <v>465</v>
      </c>
      <c r="B465" s="3" t="s">
        <v>6824</v>
      </c>
      <c r="C465" s="3" t="s">
        <v>6072</v>
      </c>
      <c r="D465" s="3" t="s">
        <v>6001</v>
      </c>
      <c r="E465" s="3" t="s">
        <v>5991</v>
      </c>
      <c r="F465" s="3" t="s">
        <v>6825</v>
      </c>
      <c r="G465" s="3" t="s">
        <v>5993</v>
      </c>
      <c r="H465" s="3" t="s">
        <v>6827</v>
      </c>
      <c r="I465" s="3" t="s">
        <v>3079</v>
      </c>
      <c r="J465" s="5" t="s">
        <v>7653</v>
      </c>
      <c r="L465" s="3" t="s">
        <v>3085</v>
      </c>
      <c r="M465" s="3">
        <v>4</v>
      </c>
      <c r="N465" s="4" t="s">
        <v>6825</v>
      </c>
      <c r="O465" s="4">
        <v>21</v>
      </c>
      <c r="P465" s="11" t="s">
        <v>9754</v>
      </c>
      <c r="Q465" s="11" t="s">
        <v>9951</v>
      </c>
      <c r="S465" s="4" t="b">
        <f>ISNUMBER(MATCH(Q465,T:T,0))</f>
        <v>1</v>
      </c>
      <c r="T465" s="4" t="s">
        <v>11167</v>
      </c>
      <c r="U465" s="4" t="str">
        <f t="shared" si="21"/>
        <v>斤</v>
      </c>
    </row>
    <row r="466" spans="1:22">
      <c r="A466" s="3">
        <v>466</v>
      </c>
      <c r="B466" s="3" t="s">
        <v>6824</v>
      </c>
      <c r="C466" s="3" t="s">
        <v>6041</v>
      </c>
      <c r="D466" s="3" t="s">
        <v>6001</v>
      </c>
      <c r="E466" s="3" t="s">
        <v>5991</v>
      </c>
      <c r="F466" s="3" t="s">
        <v>6825</v>
      </c>
      <c r="G466" s="3" t="s">
        <v>5993</v>
      </c>
      <c r="H466" s="3" t="s">
        <v>6828</v>
      </c>
      <c r="I466" s="3" t="s">
        <v>3079</v>
      </c>
      <c r="J466" s="5" t="s">
        <v>7654</v>
      </c>
      <c r="L466" s="3" t="s">
        <v>3108</v>
      </c>
      <c r="M466" s="3">
        <v>8</v>
      </c>
      <c r="N466" s="4" t="s">
        <v>6825</v>
      </c>
      <c r="O466" s="4">
        <v>21</v>
      </c>
      <c r="P466" s="11" t="s">
        <v>9789</v>
      </c>
      <c r="Q466" s="11" t="s">
        <v>9951</v>
      </c>
      <c r="S466" s="4" t="b">
        <f>ISNUMBER(MATCH(Q466,T:T,0))</f>
        <v>1</v>
      </c>
      <c r="T466" s="4" t="s">
        <v>11168</v>
      </c>
      <c r="U466" s="4" t="str">
        <f t="shared" si="21"/>
        <v>斤</v>
      </c>
    </row>
    <row r="467" spans="1:22">
      <c r="A467" s="3">
        <v>467</v>
      </c>
      <c r="B467" s="3" t="s">
        <v>6824</v>
      </c>
      <c r="C467" s="3" t="s">
        <v>6025</v>
      </c>
      <c r="D467" s="3" t="s">
        <v>6001</v>
      </c>
      <c r="E467" s="3" t="s">
        <v>5991</v>
      </c>
      <c r="F467" s="3" t="s">
        <v>6825</v>
      </c>
      <c r="G467" s="3" t="s">
        <v>5993</v>
      </c>
      <c r="H467" s="3" t="s">
        <v>6829</v>
      </c>
      <c r="I467" s="3" t="s">
        <v>3079</v>
      </c>
      <c r="J467" s="5" t="s">
        <v>6830</v>
      </c>
      <c r="L467" s="3" t="s">
        <v>3114</v>
      </c>
      <c r="M467" s="3">
        <v>4</v>
      </c>
      <c r="N467" s="4" t="s">
        <v>6825</v>
      </c>
      <c r="O467" s="4">
        <v>21</v>
      </c>
      <c r="P467" s="11" t="s">
        <v>9846</v>
      </c>
      <c r="Q467" s="11" t="s">
        <v>6825</v>
      </c>
      <c r="S467" s="4" t="b">
        <f>ISNUMBER(MATCH(Q467,T:T,0))</f>
        <v>1</v>
      </c>
      <c r="T467" s="4" t="s">
        <v>9951</v>
      </c>
      <c r="U467" s="4" t="str">
        <f t="shared" si="21"/>
        <v>欣</v>
      </c>
    </row>
    <row r="468" spans="1:22">
      <c r="A468" s="3">
        <v>468</v>
      </c>
      <c r="B468" s="3" t="s">
        <v>6824</v>
      </c>
      <c r="C468" s="3" t="s">
        <v>6092</v>
      </c>
      <c r="D468" s="3" t="s">
        <v>6001</v>
      </c>
      <c r="E468" s="3" t="s">
        <v>5991</v>
      </c>
      <c r="F468" s="3" t="s">
        <v>6825</v>
      </c>
      <c r="G468" s="3" t="s">
        <v>5993</v>
      </c>
      <c r="H468" s="3" t="s">
        <v>6831</v>
      </c>
      <c r="I468" s="3" t="s">
        <v>3079</v>
      </c>
      <c r="J468" s="5" t="s">
        <v>7655</v>
      </c>
      <c r="K468" s="3" t="s">
        <v>6832</v>
      </c>
      <c r="L468" s="3" t="s">
        <v>3100</v>
      </c>
      <c r="M468" s="3">
        <v>12</v>
      </c>
      <c r="N468" s="4" t="s">
        <v>6825</v>
      </c>
      <c r="O468" s="4">
        <v>21</v>
      </c>
      <c r="P468" s="11" t="s">
        <v>9001</v>
      </c>
      <c r="Q468" s="11" t="s">
        <v>9951</v>
      </c>
      <c r="S468" s="4" t="b">
        <f>ISNUMBER(MATCH(Q468,T:T,0))</f>
        <v>1</v>
      </c>
      <c r="T468" s="4" t="s">
        <v>11169</v>
      </c>
      <c r="U468" s="4" t="str">
        <f t="shared" si="21"/>
        <v>斤</v>
      </c>
    </row>
    <row r="469" spans="1:22" ht="39">
      <c r="A469" s="3">
        <v>469</v>
      </c>
      <c r="B469" s="3" t="s">
        <v>6833</v>
      </c>
      <c r="C469" s="3" t="s">
        <v>6092</v>
      </c>
      <c r="D469" s="3" t="s">
        <v>6001</v>
      </c>
      <c r="E469" s="3" t="s">
        <v>6212</v>
      </c>
      <c r="F469" s="3" t="s">
        <v>6834</v>
      </c>
      <c r="G469" s="3" t="s">
        <v>5993</v>
      </c>
      <c r="H469" s="3" t="s">
        <v>6835</v>
      </c>
      <c r="I469" s="3" t="s">
        <v>6836</v>
      </c>
      <c r="J469" s="5" t="s">
        <v>7656</v>
      </c>
      <c r="K469" s="3" t="s">
        <v>574</v>
      </c>
      <c r="L469" s="3" t="s">
        <v>6837</v>
      </c>
      <c r="M469" s="3">
        <v>22</v>
      </c>
      <c r="N469" s="4" t="s">
        <v>6834</v>
      </c>
      <c r="O469" s="4">
        <v>22</v>
      </c>
      <c r="P469" s="11" t="s">
        <v>9952</v>
      </c>
      <c r="Q469" s="11" t="s">
        <v>9953</v>
      </c>
      <c r="S469" s="4" t="b">
        <f>ISNUMBER(MATCH(Q469,T:T,0))</f>
        <v>1</v>
      </c>
      <c r="T469" s="4" t="s">
        <v>6834</v>
      </c>
      <c r="U469" s="4" t="str">
        <f t="shared" si="21"/>
        <v>袁</v>
      </c>
    </row>
    <row r="470" spans="1:22">
      <c r="A470" s="3">
        <v>470</v>
      </c>
      <c r="B470" s="3" t="s">
        <v>6833</v>
      </c>
      <c r="C470" s="3" t="s">
        <v>6032</v>
      </c>
      <c r="D470" s="3" t="s">
        <v>6001</v>
      </c>
      <c r="E470" s="3" t="s">
        <v>6212</v>
      </c>
      <c r="F470" s="3" t="s">
        <v>6834</v>
      </c>
      <c r="G470" s="3" t="s">
        <v>5993</v>
      </c>
      <c r="H470" s="3" t="s">
        <v>6838</v>
      </c>
      <c r="I470" s="3" t="s">
        <v>6836</v>
      </c>
      <c r="J470" s="5" t="s">
        <v>7657</v>
      </c>
      <c r="L470" s="3" t="s">
        <v>6837</v>
      </c>
      <c r="M470" s="3">
        <v>16</v>
      </c>
      <c r="N470" s="4" t="s">
        <v>6834</v>
      </c>
      <c r="O470" s="4">
        <v>22</v>
      </c>
      <c r="P470" s="11" t="s">
        <v>9840</v>
      </c>
      <c r="Q470" s="11" t="s">
        <v>6834</v>
      </c>
      <c r="S470" s="4" t="b">
        <f>ISNUMBER(MATCH(Q470,T:T,0))</f>
        <v>1</v>
      </c>
      <c r="T470" s="4" t="s">
        <v>9953</v>
      </c>
      <c r="U470" s="4" t="str">
        <f t="shared" si="21"/>
        <v>元</v>
      </c>
    </row>
    <row r="471" spans="1:22" ht="58.5">
      <c r="A471" s="3">
        <v>471</v>
      </c>
      <c r="B471" s="3" t="s">
        <v>6833</v>
      </c>
      <c r="C471" s="3" t="s">
        <v>6045</v>
      </c>
      <c r="D471" s="3" t="s">
        <v>6001</v>
      </c>
      <c r="E471" s="3" t="s">
        <v>6212</v>
      </c>
      <c r="F471" s="3" t="s">
        <v>6834</v>
      </c>
      <c r="G471" s="3" t="s">
        <v>5993</v>
      </c>
      <c r="H471" s="3" t="s">
        <v>6839</v>
      </c>
      <c r="I471" s="3" t="s">
        <v>6836</v>
      </c>
      <c r="J471" s="5" t="s">
        <v>7658</v>
      </c>
      <c r="K471" s="3" t="s">
        <v>575</v>
      </c>
      <c r="L471" s="3" t="s">
        <v>6840</v>
      </c>
      <c r="M471" s="3">
        <v>38</v>
      </c>
      <c r="N471" s="4" t="s">
        <v>6834</v>
      </c>
      <c r="O471" s="4">
        <v>22</v>
      </c>
      <c r="P471" s="11" t="s">
        <v>9954</v>
      </c>
      <c r="Q471" s="11" t="s">
        <v>9953</v>
      </c>
      <c r="S471" s="4" t="b">
        <f>ISNUMBER(MATCH(Q471,T:T,0))</f>
        <v>1</v>
      </c>
      <c r="T471" s="4" t="s">
        <v>9960</v>
      </c>
      <c r="U471" s="4" t="str">
        <f t="shared" si="21"/>
        <v>袁</v>
      </c>
    </row>
    <row r="472" spans="1:22">
      <c r="A472" s="3">
        <v>472</v>
      </c>
      <c r="B472" s="3" t="s">
        <v>6833</v>
      </c>
      <c r="C472" s="3" t="s">
        <v>6053</v>
      </c>
      <c r="D472" s="3" t="s">
        <v>6001</v>
      </c>
      <c r="E472" s="3" t="s">
        <v>6212</v>
      </c>
      <c r="F472" s="3" t="s">
        <v>6834</v>
      </c>
      <c r="G472" s="3" t="s">
        <v>5993</v>
      </c>
      <c r="H472" s="3" t="s">
        <v>6841</v>
      </c>
      <c r="I472" s="3" t="s">
        <v>6836</v>
      </c>
      <c r="J472" s="8" t="s">
        <v>7659</v>
      </c>
      <c r="L472" s="3" t="s">
        <v>6842</v>
      </c>
      <c r="M472" s="3">
        <v>10</v>
      </c>
      <c r="N472" s="4" t="s">
        <v>6834</v>
      </c>
      <c r="O472" s="4">
        <v>22</v>
      </c>
      <c r="P472" s="11" t="s">
        <v>9955</v>
      </c>
      <c r="Q472" s="11" t="s">
        <v>9953</v>
      </c>
      <c r="S472" s="4" t="b">
        <f>ISNUMBER(MATCH(Q472,T:T,0))</f>
        <v>1</v>
      </c>
      <c r="T472" s="4" t="s">
        <v>11170</v>
      </c>
      <c r="U472" s="4" t="str">
        <f t="shared" si="21"/>
        <v>袁</v>
      </c>
    </row>
    <row r="473" spans="1:22" ht="39">
      <c r="A473" s="3">
        <v>473</v>
      </c>
      <c r="B473" s="3" t="s">
        <v>6833</v>
      </c>
      <c r="C473" s="3" t="s">
        <v>6089</v>
      </c>
      <c r="D473" s="3" t="s">
        <v>6001</v>
      </c>
      <c r="E473" s="3" t="s">
        <v>6212</v>
      </c>
      <c r="F473" s="3" t="s">
        <v>6834</v>
      </c>
      <c r="G473" s="3" t="s">
        <v>5993</v>
      </c>
      <c r="H473" s="3" t="s">
        <v>6843</v>
      </c>
      <c r="I473" s="3" t="s">
        <v>6836</v>
      </c>
      <c r="J473" s="5" t="s">
        <v>7660</v>
      </c>
      <c r="L473" s="3" t="s">
        <v>6844</v>
      </c>
      <c r="M473" s="3">
        <v>19</v>
      </c>
      <c r="N473" s="4" t="s">
        <v>6834</v>
      </c>
      <c r="O473" s="4">
        <v>22</v>
      </c>
      <c r="P473" s="11" t="s">
        <v>9858</v>
      </c>
      <c r="Q473" s="11" t="s">
        <v>9953</v>
      </c>
      <c r="S473" s="4" t="b">
        <f>ISNUMBER(MATCH(Q473,T:T,0))</f>
        <v>1</v>
      </c>
      <c r="T473" s="4" t="s">
        <v>11171</v>
      </c>
      <c r="U473" s="4" t="str">
        <f t="shared" si="21"/>
        <v>袁</v>
      </c>
    </row>
    <row r="474" spans="1:22" ht="39">
      <c r="A474" s="3">
        <v>474</v>
      </c>
      <c r="B474" s="3" t="s">
        <v>6833</v>
      </c>
      <c r="C474" s="3" t="s">
        <v>6072</v>
      </c>
      <c r="D474" s="3" t="s">
        <v>6001</v>
      </c>
      <c r="E474" s="3" t="s">
        <v>6212</v>
      </c>
      <c r="F474" s="3" t="s">
        <v>6834</v>
      </c>
      <c r="G474" s="3" t="s">
        <v>5993</v>
      </c>
      <c r="H474" s="3" t="s">
        <v>6845</v>
      </c>
      <c r="I474" s="3" t="s">
        <v>6836</v>
      </c>
      <c r="J474" s="5" t="s">
        <v>6846</v>
      </c>
      <c r="L474" s="3" t="s">
        <v>6847</v>
      </c>
      <c r="M474" s="3">
        <v>18</v>
      </c>
      <c r="N474" s="4" t="s">
        <v>6834</v>
      </c>
      <c r="O474" s="4">
        <v>22</v>
      </c>
      <c r="P474" s="11" t="s">
        <v>9754</v>
      </c>
      <c r="Q474" s="11" t="s">
        <v>9953</v>
      </c>
      <c r="S474" s="4" t="b">
        <f>ISNUMBER(MATCH(Q474,T:T,0))</f>
        <v>1</v>
      </c>
      <c r="T474" s="4" t="s">
        <v>11172</v>
      </c>
      <c r="U474" s="4" t="str">
        <f t="shared" si="21"/>
        <v>袁</v>
      </c>
    </row>
    <row r="475" spans="1:22">
      <c r="A475" s="3">
        <v>475</v>
      </c>
      <c r="B475" s="3" t="s">
        <v>6833</v>
      </c>
      <c r="C475" s="3" t="s">
        <v>6092</v>
      </c>
      <c r="D475" s="3" t="s">
        <v>6001</v>
      </c>
      <c r="E475" s="3" t="s">
        <v>5991</v>
      </c>
      <c r="F475" s="3" t="s">
        <v>6834</v>
      </c>
      <c r="G475" s="3" t="s">
        <v>5993</v>
      </c>
      <c r="H475" s="3" t="s">
        <v>6848</v>
      </c>
      <c r="I475" s="3" t="s">
        <v>6836</v>
      </c>
      <c r="J475" s="5" t="s">
        <v>7661</v>
      </c>
      <c r="L475" s="3" t="s">
        <v>6849</v>
      </c>
      <c r="M475" s="3">
        <v>5</v>
      </c>
      <c r="N475" s="4" t="s">
        <v>6834</v>
      </c>
      <c r="O475" s="4">
        <v>22</v>
      </c>
      <c r="P475" s="11" t="s">
        <v>9001</v>
      </c>
      <c r="Q475" s="11" t="s">
        <v>9956</v>
      </c>
      <c r="R475" s="4" t="s">
        <v>13025</v>
      </c>
      <c r="S475" s="4" t="b">
        <f>ISNUMBER(MATCH(Q475,T:T,0))</f>
        <v>0</v>
      </c>
      <c r="T475" s="4" t="s">
        <v>9957</v>
      </c>
      <c r="U475" s="4" t="str">
        <f t="shared" si="21"/>
        <v>掀</v>
      </c>
      <c r="V475" s="4" t="b">
        <f>ISNUMBER(MATCH(R475,T:T,0))</f>
        <v>1</v>
      </c>
    </row>
    <row r="476" spans="1:22">
      <c r="A476" s="3">
        <v>476</v>
      </c>
      <c r="B476" s="3" t="s">
        <v>6833</v>
      </c>
      <c r="C476" s="3" t="s">
        <v>6038</v>
      </c>
      <c r="D476" s="3" t="s">
        <v>6001</v>
      </c>
      <c r="E476" s="3" t="s">
        <v>5991</v>
      </c>
      <c r="F476" s="3" t="s">
        <v>6834</v>
      </c>
      <c r="G476" s="3" t="s">
        <v>5993</v>
      </c>
      <c r="H476" s="3" t="s">
        <v>6850</v>
      </c>
      <c r="I476" s="3" t="s">
        <v>6836</v>
      </c>
      <c r="J476" s="8" t="s">
        <v>7662</v>
      </c>
      <c r="L476" s="3" t="s">
        <v>6851</v>
      </c>
      <c r="M476" s="3">
        <v>2</v>
      </c>
      <c r="N476" s="4" t="s">
        <v>6834</v>
      </c>
      <c r="O476" s="4">
        <v>22</v>
      </c>
      <c r="P476" s="11" t="s">
        <v>9825</v>
      </c>
      <c r="Q476" s="11" t="s">
        <v>9957</v>
      </c>
      <c r="S476" s="4" t="b">
        <f>ISNUMBER(MATCH(Q476,T:T,0))</f>
        <v>1</v>
      </c>
      <c r="T476" s="4" t="s">
        <v>11173</v>
      </c>
      <c r="U476" s="4" t="str">
        <f t="shared" si="21"/>
        <v>言</v>
      </c>
    </row>
    <row r="477" spans="1:22">
      <c r="A477" s="3">
        <v>477</v>
      </c>
      <c r="B477" s="3" t="s">
        <v>6833</v>
      </c>
      <c r="C477" s="3" t="s">
        <v>6089</v>
      </c>
      <c r="D477" s="3" t="s">
        <v>6001</v>
      </c>
      <c r="E477" s="3" t="s">
        <v>5991</v>
      </c>
      <c r="F477" s="3" t="s">
        <v>6834</v>
      </c>
      <c r="G477" s="3" t="s">
        <v>5993</v>
      </c>
      <c r="H477" s="7" t="s">
        <v>695</v>
      </c>
      <c r="I477" s="3" t="s">
        <v>6836</v>
      </c>
      <c r="J477" s="5" t="s">
        <v>6852</v>
      </c>
      <c r="L477" s="3" t="s">
        <v>6853</v>
      </c>
      <c r="M477" s="3">
        <v>6</v>
      </c>
      <c r="N477" s="4" t="s">
        <v>6834</v>
      </c>
      <c r="O477" s="4">
        <v>22</v>
      </c>
      <c r="P477" s="11" t="s">
        <v>9958</v>
      </c>
      <c r="Q477" s="11" t="s">
        <v>9957</v>
      </c>
      <c r="S477" s="4" t="b">
        <f>ISNUMBER(MATCH(Q477,T:T,0))</f>
        <v>1</v>
      </c>
      <c r="T477" s="4" t="s">
        <v>11174</v>
      </c>
      <c r="U477" s="4" t="str">
        <f t="shared" si="21"/>
        <v>言</v>
      </c>
    </row>
    <row r="478" spans="1:22">
      <c r="A478" s="3">
        <v>478</v>
      </c>
      <c r="B478" s="3" t="s">
        <v>6833</v>
      </c>
      <c r="C478" s="3" t="s">
        <v>6025</v>
      </c>
      <c r="D478" s="3" t="s">
        <v>6001</v>
      </c>
      <c r="E478" s="3" t="s">
        <v>5991</v>
      </c>
      <c r="F478" s="3" t="s">
        <v>6834</v>
      </c>
      <c r="G478" s="3" t="s">
        <v>5993</v>
      </c>
      <c r="H478" s="3" t="s">
        <v>6854</v>
      </c>
      <c r="I478" s="3" t="s">
        <v>6836</v>
      </c>
      <c r="J478" s="5" t="s">
        <v>6855</v>
      </c>
      <c r="L478" s="3" t="s">
        <v>6856</v>
      </c>
      <c r="M478" s="3">
        <v>12</v>
      </c>
      <c r="N478" s="4" t="s">
        <v>6834</v>
      </c>
      <c r="O478" s="4">
        <v>22</v>
      </c>
      <c r="P478" s="11" t="s">
        <v>9717</v>
      </c>
      <c r="Q478" s="11" t="s">
        <v>9957</v>
      </c>
      <c r="S478" s="4" t="b">
        <f>ISNUMBER(MATCH(Q478,T:T,0))</f>
        <v>1</v>
      </c>
      <c r="T478" s="4" t="s">
        <v>11175</v>
      </c>
      <c r="U478" s="4" t="str">
        <f t="shared" si="21"/>
        <v>言</v>
      </c>
    </row>
    <row r="479" spans="1:22">
      <c r="A479" s="3">
        <v>479</v>
      </c>
      <c r="B479" s="3" t="s">
        <v>6833</v>
      </c>
      <c r="C479" s="3" t="s">
        <v>6072</v>
      </c>
      <c r="D479" s="3" t="s">
        <v>6001</v>
      </c>
      <c r="E479" s="3" t="s">
        <v>5991</v>
      </c>
      <c r="F479" s="3" t="s">
        <v>6834</v>
      </c>
      <c r="G479" s="3" t="s">
        <v>5993</v>
      </c>
      <c r="H479" s="3" t="s">
        <v>6857</v>
      </c>
      <c r="I479" s="3" t="s">
        <v>6836</v>
      </c>
      <c r="J479" s="5" t="s">
        <v>6858</v>
      </c>
      <c r="L479" s="3" t="s">
        <v>6859</v>
      </c>
      <c r="M479" s="3">
        <v>2</v>
      </c>
      <c r="N479" s="4" t="s">
        <v>6834</v>
      </c>
      <c r="O479" s="4">
        <v>22</v>
      </c>
      <c r="P479" s="11" t="s">
        <v>9959</v>
      </c>
      <c r="Q479" s="11" t="s">
        <v>9957</v>
      </c>
      <c r="S479" s="4" t="b">
        <f>ISNUMBER(MATCH(Q479,T:T,0))</f>
        <v>1</v>
      </c>
      <c r="T479" s="4" t="s">
        <v>11176</v>
      </c>
      <c r="U479" s="4" t="str">
        <f t="shared" si="21"/>
        <v>言</v>
      </c>
    </row>
    <row r="480" spans="1:22">
      <c r="A480" s="3">
        <v>480</v>
      </c>
      <c r="B480" s="3" t="s">
        <v>6833</v>
      </c>
      <c r="C480" s="3" t="s">
        <v>6049</v>
      </c>
      <c r="D480" s="3" t="s">
        <v>6001</v>
      </c>
      <c r="E480" s="3" t="s">
        <v>6212</v>
      </c>
      <c r="F480" s="3" t="s">
        <v>6834</v>
      </c>
      <c r="G480" s="3" t="s">
        <v>5993</v>
      </c>
      <c r="H480" s="3" t="s">
        <v>6860</v>
      </c>
      <c r="I480" s="3" t="s">
        <v>6836</v>
      </c>
      <c r="J480" s="5" t="s">
        <v>6861</v>
      </c>
      <c r="L480" s="3" t="s">
        <v>6842</v>
      </c>
      <c r="M480" s="3">
        <v>6</v>
      </c>
      <c r="N480" s="4" t="s">
        <v>6834</v>
      </c>
      <c r="O480" s="4">
        <v>22</v>
      </c>
      <c r="P480" s="11" t="s">
        <v>9842</v>
      </c>
      <c r="Q480" s="11" t="s">
        <v>9960</v>
      </c>
      <c r="S480" s="4" t="b">
        <f>ISNUMBER(MATCH(Q480,T:T,0))</f>
        <v>1</v>
      </c>
      <c r="T480" s="4" t="s">
        <v>11177</v>
      </c>
      <c r="U480" s="4" t="str">
        <f t="shared" si="21"/>
        <v>煩</v>
      </c>
    </row>
    <row r="481" spans="1:22">
      <c r="A481" s="3">
        <v>481</v>
      </c>
      <c r="B481" s="3" t="s">
        <v>6833</v>
      </c>
      <c r="C481" s="3" t="s">
        <v>6041</v>
      </c>
      <c r="D481" s="3" t="s">
        <v>6001</v>
      </c>
      <c r="E481" s="3" t="s">
        <v>5991</v>
      </c>
      <c r="F481" s="3" t="s">
        <v>6834</v>
      </c>
      <c r="G481" s="3" t="s">
        <v>5993</v>
      </c>
      <c r="H481" s="3" t="s">
        <v>6862</v>
      </c>
      <c r="I481" s="3" t="s">
        <v>6836</v>
      </c>
      <c r="J481" s="5" t="s">
        <v>6863</v>
      </c>
      <c r="L481" s="3" t="s">
        <v>6864</v>
      </c>
      <c r="M481" s="3">
        <v>2</v>
      </c>
      <c r="N481" s="4" t="s">
        <v>6834</v>
      </c>
      <c r="O481" s="4">
        <v>22</v>
      </c>
      <c r="P481" s="11" t="s">
        <v>9789</v>
      </c>
      <c r="Q481" s="11" t="s">
        <v>9957</v>
      </c>
      <c r="S481" s="4" t="b">
        <f>ISNUMBER(MATCH(Q481,T:T,0))</f>
        <v>1</v>
      </c>
      <c r="T481" s="4" t="s">
        <v>11178</v>
      </c>
      <c r="U481" s="4" t="str">
        <f t="shared" si="21"/>
        <v>言</v>
      </c>
    </row>
    <row r="482" spans="1:22">
      <c r="A482" s="3">
        <v>482</v>
      </c>
      <c r="B482" s="3" t="s">
        <v>6833</v>
      </c>
      <c r="C482" s="3" t="s">
        <v>6035</v>
      </c>
      <c r="D482" s="3" t="s">
        <v>6001</v>
      </c>
      <c r="E482" s="3" t="s">
        <v>6212</v>
      </c>
      <c r="F482" s="3" t="s">
        <v>6834</v>
      </c>
      <c r="G482" s="3" t="s">
        <v>5993</v>
      </c>
      <c r="H482" s="3" t="s">
        <v>6865</v>
      </c>
      <c r="I482" s="3" t="s">
        <v>6836</v>
      </c>
      <c r="J482" s="5" t="s">
        <v>6866</v>
      </c>
      <c r="L482" s="3" t="s">
        <v>6867</v>
      </c>
      <c r="M482" s="3">
        <v>1</v>
      </c>
      <c r="N482" s="4" t="s">
        <v>6834</v>
      </c>
      <c r="O482" s="4">
        <v>22</v>
      </c>
      <c r="P482" s="11" t="s">
        <v>9794</v>
      </c>
      <c r="Q482" s="11" t="s">
        <v>6834</v>
      </c>
      <c r="S482" s="4" t="b">
        <f>ISNUMBER(MATCH(Q482,T:T,0))</f>
        <v>1</v>
      </c>
      <c r="T482" s="4" t="s">
        <v>6866</v>
      </c>
      <c r="U482" s="4" t="str">
        <f t="shared" si="21"/>
        <v>元</v>
      </c>
    </row>
    <row r="483" spans="1:22" ht="39">
      <c r="A483" s="3">
        <v>483</v>
      </c>
      <c r="B483" s="3" t="s">
        <v>6868</v>
      </c>
      <c r="C483" s="3" t="s">
        <v>6067</v>
      </c>
      <c r="D483" s="3" t="s">
        <v>5990</v>
      </c>
      <c r="E483" s="3" t="s">
        <v>6212</v>
      </c>
      <c r="F483" s="3" t="s">
        <v>6869</v>
      </c>
      <c r="G483" s="3" t="s">
        <v>5993</v>
      </c>
      <c r="H483" s="7" t="s">
        <v>696</v>
      </c>
      <c r="I483" s="3" t="s">
        <v>3079</v>
      </c>
      <c r="J483" s="5" t="s">
        <v>7663</v>
      </c>
      <c r="L483" s="3" t="s">
        <v>6870</v>
      </c>
      <c r="M483" s="3">
        <v>24</v>
      </c>
      <c r="N483" s="4" t="s">
        <v>6869</v>
      </c>
      <c r="O483" s="4">
        <v>23</v>
      </c>
      <c r="P483" s="11" t="s">
        <v>9731</v>
      </c>
      <c r="Q483" s="11" t="s">
        <v>9961</v>
      </c>
      <c r="S483" s="4" t="b">
        <f>ISNUMBER(MATCH(Q483,T:T,0))</f>
        <v>1</v>
      </c>
      <c r="T483" s="4" t="s">
        <v>6869</v>
      </c>
      <c r="U483" s="4" t="str">
        <f t="shared" si="21"/>
        <v>昆</v>
      </c>
    </row>
    <row r="484" spans="1:22" ht="39">
      <c r="A484" s="3">
        <v>484</v>
      </c>
      <c r="B484" s="3" t="s">
        <v>6868</v>
      </c>
      <c r="C484" s="3" t="s">
        <v>6025</v>
      </c>
      <c r="D484" s="3" t="s">
        <v>5990</v>
      </c>
      <c r="E484" s="3" t="s">
        <v>6212</v>
      </c>
      <c r="F484" s="3" t="s">
        <v>6869</v>
      </c>
      <c r="G484" s="3" t="s">
        <v>5993</v>
      </c>
      <c r="H484" s="3" t="s">
        <v>6871</v>
      </c>
      <c r="I484" s="3" t="s">
        <v>3079</v>
      </c>
      <c r="J484" s="5" t="s">
        <v>7664</v>
      </c>
      <c r="K484" s="3" t="s">
        <v>576</v>
      </c>
      <c r="L484" s="3" t="s">
        <v>6872</v>
      </c>
      <c r="M484" s="3">
        <v>20</v>
      </c>
      <c r="N484" s="4" t="s">
        <v>6869</v>
      </c>
      <c r="O484" s="4">
        <v>23</v>
      </c>
      <c r="P484" s="11" t="s">
        <v>9729</v>
      </c>
      <c r="Q484" s="11" t="s">
        <v>9962</v>
      </c>
      <c r="R484" s="4" t="s">
        <v>13026</v>
      </c>
      <c r="S484" s="4" t="b">
        <f>ISNUMBER(MATCH(Q484,T:T,0))</f>
        <v>0</v>
      </c>
      <c r="T484" s="4" t="s">
        <v>9961</v>
      </c>
      <c r="U484" s="4" t="str">
        <f t="shared" si="21"/>
        <v>魂</v>
      </c>
      <c r="V484" s="4" t="b">
        <f t="shared" ref="V484:V485" si="23">ISNUMBER(MATCH(R484,T:T,0))</f>
        <v>1</v>
      </c>
    </row>
    <row r="485" spans="1:22" ht="39">
      <c r="A485" s="3">
        <v>485</v>
      </c>
      <c r="B485" s="3" t="s">
        <v>6868</v>
      </c>
      <c r="C485" s="3" t="s">
        <v>6072</v>
      </c>
      <c r="D485" s="3" t="s">
        <v>5990</v>
      </c>
      <c r="E485" s="3" t="s">
        <v>6212</v>
      </c>
      <c r="F485" s="3" t="s">
        <v>6869</v>
      </c>
      <c r="G485" s="3" t="s">
        <v>5993</v>
      </c>
      <c r="H485" s="3" t="s">
        <v>6873</v>
      </c>
      <c r="I485" s="3" t="s">
        <v>3079</v>
      </c>
      <c r="J485" s="5" t="s">
        <v>7665</v>
      </c>
      <c r="L485" s="3" t="s">
        <v>6874</v>
      </c>
      <c r="M485" s="3">
        <v>13</v>
      </c>
      <c r="N485" s="4" t="s">
        <v>6869</v>
      </c>
      <c r="O485" s="4">
        <v>23</v>
      </c>
      <c r="P485" s="11" t="s">
        <v>9734</v>
      </c>
      <c r="Q485" s="11" t="s">
        <v>9962</v>
      </c>
      <c r="R485" s="4" t="s">
        <v>13026</v>
      </c>
      <c r="S485" s="4" t="b">
        <f>ISNUMBER(MATCH(Q485,T:T,0))</f>
        <v>0</v>
      </c>
      <c r="T485" s="4" t="s">
        <v>11179</v>
      </c>
      <c r="U485" s="4" t="str">
        <f t="shared" si="21"/>
        <v>魂</v>
      </c>
      <c r="V485" s="4" t="b">
        <f t="shared" si="23"/>
        <v>1</v>
      </c>
    </row>
    <row r="486" spans="1:22">
      <c r="A486" s="3">
        <v>486</v>
      </c>
      <c r="B486" s="3" t="s">
        <v>6868</v>
      </c>
      <c r="C486" s="3" t="s">
        <v>6035</v>
      </c>
      <c r="D486" s="3" t="s">
        <v>5990</v>
      </c>
      <c r="E486" s="3" t="s">
        <v>6212</v>
      </c>
      <c r="F486" s="3" t="s">
        <v>6869</v>
      </c>
      <c r="G486" s="3" t="s">
        <v>5993</v>
      </c>
      <c r="H486" s="3" t="s">
        <v>6875</v>
      </c>
      <c r="I486" s="3" t="s">
        <v>3079</v>
      </c>
      <c r="J486" s="5" t="s">
        <v>6876</v>
      </c>
      <c r="L486" s="3" t="s">
        <v>6877</v>
      </c>
      <c r="M486" s="3">
        <v>13</v>
      </c>
      <c r="N486" s="4" t="s">
        <v>6869</v>
      </c>
      <c r="O486" s="4">
        <v>23</v>
      </c>
      <c r="P486" s="11" t="s">
        <v>9719</v>
      </c>
      <c r="Q486" s="11" t="s">
        <v>2028</v>
      </c>
      <c r="S486" s="4" t="b">
        <f>ISNUMBER(MATCH(Q486,T:T,0))</f>
        <v>1</v>
      </c>
      <c r="T486" s="4" t="s">
        <v>11180</v>
      </c>
      <c r="U486" s="4" t="str">
        <f t="shared" si="21"/>
        <v>奔</v>
      </c>
    </row>
    <row r="487" spans="1:22">
      <c r="A487" s="3">
        <v>487</v>
      </c>
      <c r="B487" s="3" t="s">
        <v>6868</v>
      </c>
      <c r="C487" s="3" t="s">
        <v>6017</v>
      </c>
      <c r="D487" s="3" t="s">
        <v>5990</v>
      </c>
      <c r="E487" s="3" t="s">
        <v>6212</v>
      </c>
      <c r="F487" s="3" t="s">
        <v>6869</v>
      </c>
      <c r="G487" s="3" t="s">
        <v>5993</v>
      </c>
      <c r="H487" s="3" t="s">
        <v>6878</v>
      </c>
      <c r="I487" s="3" t="s">
        <v>3079</v>
      </c>
      <c r="J487" s="5" t="s">
        <v>6879</v>
      </c>
      <c r="L487" s="3" t="s">
        <v>6880</v>
      </c>
      <c r="M487" s="3">
        <v>6</v>
      </c>
      <c r="N487" s="4" t="s">
        <v>6869</v>
      </c>
      <c r="O487" s="4">
        <v>23</v>
      </c>
      <c r="P487" s="11" t="s">
        <v>9963</v>
      </c>
      <c r="Q487" s="11" t="s">
        <v>9962</v>
      </c>
      <c r="R487" s="4" t="s">
        <v>13026</v>
      </c>
      <c r="S487" s="4" t="b">
        <f>ISNUMBER(MATCH(Q487,T:T,0))</f>
        <v>0</v>
      </c>
      <c r="T487" s="4" t="s">
        <v>11181</v>
      </c>
      <c r="U487" s="4" t="str">
        <f t="shared" si="21"/>
        <v>魂</v>
      </c>
      <c r="V487" s="4" t="b">
        <f>ISNUMBER(MATCH(R487,T:T,0))</f>
        <v>1</v>
      </c>
    </row>
    <row r="488" spans="1:22">
      <c r="A488" s="3">
        <v>488</v>
      </c>
      <c r="B488" s="3" t="s">
        <v>6868</v>
      </c>
      <c r="C488" s="3" t="s">
        <v>6083</v>
      </c>
      <c r="D488" s="3" t="s">
        <v>5990</v>
      </c>
      <c r="E488" s="3" t="s">
        <v>6212</v>
      </c>
      <c r="F488" s="3" t="s">
        <v>6869</v>
      </c>
      <c r="G488" s="3" t="s">
        <v>5993</v>
      </c>
      <c r="H488" s="3" t="s">
        <v>6881</v>
      </c>
      <c r="I488" s="3" t="s">
        <v>3079</v>
      </c>
      <c r="J488" s="5" t="s">
        <v>7666</v>
      </c>
      <c r="L488" s="3" t="s">
        <v>6882</v>
      </c>
      <c r="M488" s="3">
        <v>5</v>
      </c>
      <c r="N488" s="4" t="s">
        <v>6869</v>
      </c>
      <c r="O488" s="4">
        <v>23</v>
      </c>
      <c r="P488" s="11" t="s">
        <v>9895</v>
      </c>
      <c r="Q488" s="11" t="s">
        <v>9961</v>
      </c>
      <c r="S488" s="4" t="b">
        <f>ISNUMBER(MATCH(Q488,T:T,0))</f>
        <v>1</v>
      </c>
      <c r="T488" s="4" t="s">
        <v>9964</v>
      </c>
      <c r="U488" s="4" t="str">
        <f t="shared" si="21"/>
        <v>昆</v>
      </c>
    </row>
    <row r="489" spans="1:22">
      <c r="A489" s="3">
        <v>489</v>
      </c>
      <c r="B489" s="3" t="s">
        <v>6868</v>
      </c>
      <c r="C489" s="3" t="s">
        <v>6069</v>
      </c>
      <c r="D489" s="3" t="s">
        <v>5990</v>
      </c>
      <c r="E489" s="3" t="s">
        <v>6212</v>
      </c>
      <c r="F489" s="3" t="s">
        <v>6869</v>
      </c>
      <c r="G489" s="3" t="s">
        <v>5993</v>
      </c>
      <c r="H489" s="3" t="s">
        <v>6883</v>
      </c>
      <c r="I489" s="3" t="s">
        <v>3079</v>
      </c>
      <c r="J489" s="5" t="s">
        <v>6884</v>
      </c>
      <c r="L489" s="3" t="s">
        <v>6885</v>
      </c>
      <c r="M489" s="3">
        <v>5</v>
      </c>
      <c r="N489" s="4" t="s">
        <v>6869</v>
      </c>
      <c r="O489" s="4">
        <v>23</v>
      </c>
      <c r="P489" s="11" t="s">
        <v>9733</v>
      </c>
      <c r="Q489" s="11" t="s">
        <v>9964</v>
      </c>
      <c r="S489" s="4" t="b">
        <f>ISNUMBER(MATCH(Q489,T:T,0))</f>
        <v>1</v>
      </c>
      <c r="T489" s="4" t="s">
        <v>11182</v>
      </c>
      <c r="U489" s="4" t="str">
        <f t="shared" si="21"/>
        <v>尊</v>
      </c>
    </row>
    <row r="490" spans="1:22">
      <c r="A490" s="3">
        <v>490</v>
      </c>
      <c r="B490" s="3" t="s">
        <v>6868</v>
      </c>
      <c r="C490" s="3" t="s">
        <v>5989</v>
      </c>
      <c r="D490" s="3" t="s">
        <v>5990</v>
      </c>
      <c r="E490" s="3" t="s">
        <v>6212</v>
      </c>
      <c r="F490" s="3" t="s">
        <v>6869</v>
      </c>
      <c r="G490" s="3" t="s">
        <v>5993</v>
      </c>
      <c r="H490" s="3" t="s">
        <v>6886</v>
      </c>
      <c r="I490" s="3" t="s">
        <v>3079</v>
      </c>
      <c r="J490" s="5" t="s">
        <v>7667</v>
      </c>
      <c r="L490" s="3" t="s">
        <v>6887</v>
      </c>
      <c r="M490" s="3">
        <v>7</v>
      </c>
      <c r="N490" s="4" t="s">
        <v>6869</v>
      </c>
      <c r="O490" s="4">
        <v>23</v>
      </c>
      <c r="P490" s="11" t="s">
        <v>9742</v>
      </c>
      <c r="Q490" s="11" t="s">
        <v>9961</v>
      </c>
      <c r="S490" s="4" t="b">
        <f>ISNUMBER(MATCH(Q490,T:T,0))</f>
        <v>1</v>
      </c>
      <c r="T490" s="4" t="s">
        <v>11183</v>
      </c>
      <c r="U490" s="4" t="str">
        <f t="shared" si="21"/>
        <v>昆</v>
      </c>
    </row>
    <row r="491" spans="1:22">
      <c r="A491" s="3">
        <v>491</v>
      </c>
      <c r="B491" s="3" t="s">
        <v>6868</v>
      </c>
      <c r="C491" s="3" t="s">
        <v>6079</v>
      </c>
      <c r="D491" s="3" t="s">
        <v>5990</v>
      </c>
      <c r="E491" s="3" t="s">
        <v>6212</v>
      </c>
      <c r="F491" s="3" t="s">
        <v>6869</v>
      </c>
      <c r="G491" s="3" t="s">
        <v>5993</v>
      </c>
      <c r="H491" s="3" t="s">
        <v>6888</v>
      </c>
      <c r="I491" s="3" t="s">
        <v>3079</v>
      </c>
      <c r="J491" s="5" t="s">
        <v>7668</v>
      </c>
      <c r="L491" s="3" t="s">
        <v>6889</v>
      </c>
      <c r="M491" s="3">
        <v>7</v>
      </c>
      <c r="N491" s="4" t="s">
        <v>6869</v>
      </c>
      <c r="O491" s="4">
        <v>23</v>
      </c>
      <c r="P491" s="11" t="s">
        <v>9736</v>
      </c>
      <c r="Q491" s="11" t="s">
        <v>9961</v>
      </c>
      <c r="S491" s="4" t="b">
        <f>ISNUMBER(MATCH(Q491,T:T,0))</f>
        <v>1</v>
      </c>
      <c r="T491" s="4" t="s">
        <v>11184</v>
      </c>
      <c r="U491" s="4" t="str">
        <f t="shared" si="21"/>
        <v>昆</v>
      </c>
    </row>
    <row r="492" spans="1:22" ht="39">
      <c r="A492" s="3">
        <v>492</v>
      </c>
      <c r="B492" s="3" t="s">
        <v>6868</v>
      </c>
      <c r="C492" s="3" t="s">
        <v>5997</v>
      </c>
      <c r="D492" s="3" t="s">
        <v>5990</v>
      </c>
      <c r="E492" s="3" t="s">
        <v>6212</v>
      </c>
      <c r="F492" s="3" t="s">
        <v>6869</v>
      </c>
      <c r="G492" s="3" t="s">
        <v>5993</v>
      </c>
      <c r="H492" s="3" t="s">
        <v>6890</v>
      </c>
      <c r="I492" s="3" t="s">
        <v>3079</v>
      </c>
      <c r="J492" s="5" t="s">
        <v>7669</v>
      </c>
      <c r="L492" s="3" t="s">
        <v>6891</v>
      </c>
      <c r="M492" s="3">
        <v>22</v>
      </c>
      <c r="N492" s="4" t="s">
        <v>6869</v>
      </c>
      <c r="O492" s="4">
        <v>23</v>
      </c>
      <c r="P492" s="11" t="s">
        <v>9706</v>
      </c>
      <c r="Q492" s="11" t="s">
        <v>9962</v>
      </c>
      <c r="R492" s="4" t="s">
        <v>13026</v>
      </c>
      <c r="S492" s="4" t="b">
        <f>ISNUMBER(MATCH(Q492,T:T,0))</f>
        <v>0</v>
      </c>
      <c r="T492" s="4" t="s">
        <v>11155</v>
      </c>
      <c r="U492" s="4" t="str">
        <f t="shared" si="21"/>
        <v>魂</v>
      </c>
      <c r="V492" s="4" t="b">
        <f>ISNUMBER(MATCH(R492,T:T,0))</f>
        <v>1</v>
      </c>
    </row>
    <row r="493" spans="1:22">
      <c r="A493" s="3">
        <v>493</v>
      </c>
      <c r="B493" s="3" t="s">
        <v>6868</v>
      </c>
      <c r="C493" s="3" t="s">
        <v>6076</v>
      </c>
      <c r="D493" s="3" t="s">
        <v>5990</v>
      </c>
      <c r="E493" s="3" t="s">
        <v>6212</v>
      </c>
      <c r="F493" s="3" t="s">
        <v>6869</v>
      </c>
      <c r="G493" s="3" t="s">
        <v>5993</v>
      </c>
      <c r="H493" s="3" t="s">
        <v>6892</v>
      </c>
      <c r="I493" s="3" t="s">
        <v>3079</v>
      </c>
      <c r="J493" s="5" t="s">
        <v>6893</v>
      </c>
      <c r="L493" s="3" t="s">
        <v>6894</v>
      </c>
      <c r="M493" s="3">
        <v>1</v>
      </c>
      <c r="N493" s="4" t="s">
        <v>6869</v>
      </c>
      <c r="O493" s="4">
        <v>23</v>
      </c>
      <c r="P493" s="11" t="s">
        <v>9795</v>
      </c>
      <c r="Q493" s="11" t="s">
        <v>9964</v>
      </c>
      <c r="S493" s="4" t="b">
        <f>ISNUMBER(MATCH(Q493,T:T,0))</f>
        <v>1</v>
      </c>
      <c r="T493" s="4" t="s">
        <v>6893</v>
      </c>
      <c r="U493" s="4" t="str">
        <f t="shared" si="21"/>
        <v>尊</v>
      </c>
    </row>
    <row r="494" spans="1:22">
      <c r="A494" s="3">
        <v>494</v>
      </c>
      <c r="B494" s="3" t="s">
        <v>6868</v>
      </c>
      <c r="C494" s="3" t="s">
        <v>6092</v>
      </c>
      <c r="D494" s="3" t="s">
        <v>5990</v>
      </c>
      <c r="E494" s="3" t="s">
        <v>6212</v>
      </c>
      <c r="F494" s="3" t="s">
        <v>6869</v>
      </c>
      <c r="G494" s="3" t="s">
        <v>5993</v>
      </c>
      <c r="H494" s="3" t="s">
        <v>6895</v>
      </c>
      <c r="I494" s="3" t="s">
        <v>3079</v>
      </c>
      <c r="J494" s="5" t="s">
        <v>7670</v>
      </c>
      <c r="L494" s="3" t="s">
        <v>6811</v>
      </c>
      <c r="M494" s="3">
        <v>4</v>
      </c>
      <c r="N494" s="4" t="s">
        <v>6869</v>
      </c>
      <c r="O494" s="4">
        <v>23</v>
      </c>
      <c r="P494" s="11" t="s">
        <v>5008</v>
      </c>
      <c r="Q494" s="11" t="s">
        <v>9961</v>
      </c>
      <c r="S494" s="4" t="b">
        <f>ISNUMBER(MATCH(Q494,T:T,0))</f>
        <v>1</v>
      </c>
      <c r="T494" s="4" t="s">
        <v>11185</v>
      </c>
      <c r="U494" s="4" t="str">
        <f t="shared" si="21"/>
        <v>昆</v>
      </c>
    </row>
    <row r="495" spans="1:22">
      <c r="A495" s="3">
        <v>495</v>
      </c>
      <c r="B495" s="3" t="s">
        <v>6868</v>
      </c>
      <c r="C495" s="3" t="s">
        <v>6045</v>
      </c>
      <c r="D495" s="3" t="s">
        <v>5990</v>
      </c>
      <c r="E495" s="3" t="s">
        <v>6212</v>
      </c>
      <c r="F495" s="3" t="s">
        <v>6869</v>
      </c>
      <c r="G495" s="3" t="s">
        <v>5993</v>
      </c>
      <c r="H495" s="3" t="s">
        <v>6896</v>
      </c>
      <c r="I495" s="3" t="s">
        <v>3079</v>
      </c>
      <c r="J495" s="5" t="s">
        <v>6897</v>
      </c>
      <c r="L495" s="3" t="s">
        <v>6898</v>
      </c>
      <c r="M495" s="3">
        <v>4</v>
      </c>
      <c r="N495" s="4" t="s">
        <v>6869</v>
      </c>
      <c r="O495" s="4">
        <v>23</v>
      </c>
      <c r="P495" s="11" t="s">
        <v>9965</v>
      </c>
      <c r="Q495" s="11" t="s">
        <v>2028</v>
      </c>
      <c r="S495" s="4" t="b">
        <f>ISNUMBER(MATCH(Q495,T:T,0))</f>
        <v>1</v>
      </c>
      <c r="T495" s="4" t="s">
        <v>11186</v>
      </c>
      <c r="U495" s="4" t="str">
        <f t="shared" si="21"/>
        <v>奔</v>
      </c>
    </row>
    <row r="496" spans="1:22">
      <c r="A496" s="3">
        <v>496</v>
      </c>
      <c r="B496" s="3" t="s">
        <v>6868</v>
      </c>
      <c r="C496" s="3" t="s">
        <v>6049</v>
      </c>
      <c r="D496" s="3" t="s">
        <v>5990</v>
      </c>
      <c r="E496" s="3" t="s">
        <v>6212</v>
      </c>
      <c r="F496" s="3" t="s">
        <v>6869</v>
      </c>
      <c r="G496" s="3" t="s">
        <v>5993</v>
      </c>
      <c r="H496" s="3" t="s">
        <v>6899</v>
      </c>
      <c r="I496" s="3" t="s">
        <v>3079</v>
      </c>
      <c r="J496" s="5" t="s">
        <v>7671</v>
      </c>
      <c r="L496" s="3" t="s">
        <v>6900</v>
      </c>
      <c r="M496" s="3">
        <v>4</v>
      </c>
      <c r="N496" s="4" t="s">
        <v>6869</v>
      </c>
      <c r="O496" s="4">
        <v>23</v>
      </c>
      <c r="P496" s="11" t="s">
        <v>9770</v>
      </c>
      <c r="Q496" s="11" t="s">
        <v>9961</v>
      </c>
      <c r="S496" s="4" t="b">
        <f>ISNUMBER(MATCH(Q496,T:T,0))</f>
        <v>1</v>
      </c>
      <c r="T496" s="4" t="s">
        <v>2028</v>
      </c>
      <c r="U496" s="4" t="str">
        <f t="shared" si="21"/>
        <v>昆</v>
      </c>
    </row>
    <row r="497" spans="1:21">
      <c r="A497" s="3">
        <v>497</v>
      </c>
      <c r="B497" s="3" t="s">
        <v>6868</v>
      </c>
      <c r="C497" s="3" t="s">
        <v>6058</v>
      </c>
      <c r="D497" s="3" t="s">
        <v>5990</v>
      </c>
      <c r="E497" s="3" t="s">
        <v>6212</v>
      </c>
      <c r="F497" s="3" t="s">
        <v>6869</v>
      </c>
      <c r="G497" s="3" t="s">
        <v>5993</v>
      </c>
      <c r="H497" s="3" t="s">
        <v>6901</v>
      </c>
      <c r="I497" s="3" t="s">
        <v>3079</v>
      </c>
      <c r="J497" s="5" t="s">
        <v>7672</v>
      </c>
      <c r="L497" s="3" t="s">
        <v>6785</v>
      </c>
      <c r="M497" s="3">
        <v>4</v>
      </c>
      <c r="N497" s="4" t="s">
        <v>6869</v>
      </c>
      <c r="O497" s="4">
        <v>23</v>
      </c>
      <c r="P497" s="11" t="s">
        <v>9730</v>
      </c>
      <c r="Q497" s="11" t="s">
        <v>9961</v>
      </c>
      <c r="S497" s="4" t="b">
        <f>ISNUMBER(MATCH(Q497,T:T,0))</f>
        <v>1</v>
      </c>
      <c r="T497" s="4" t="s">
        <v>11187</v>
      </c>
      <c r="U497" s="4" t="str">
        <f t="shared" si="21"/>
        <v>昆</v>
      </c>
    </row>
    <row r="498" spans="1:21">
      <c r="A498" s="3">
        <v>498</v>
      </c>
      <c r="B498" s="3" t="s">
        <v>6868</v>
      </c>
      <c r="C498" s="3" t="s">
        <v>6038</v>
      </c>
      <c r="D498" s="3" t="s">
        <v>5990</v>
      </c>
      <c r="E498" s="3" t="s">
        <v>6212</v>
      </c>
      <c r="F498" s="3" t="s">
        <v>6869</v>
      </c>
      <c r="G498" s="3" t="s">
        <v>5993</v>
      </c>
      <c r="H498" s="3" t="s">
        <v>6902</v>
      </c>
      <c r="I498" s="3" t="s">
        <v>3079</v>
      </c>
      <c r="J498" s="5" t="s">
        <v>7673</v>
      </c>
      <c r="L498" s="3" t="s">
        <v>6903</v>
      </c>
      <c r="M498" s="3">
        <v>7</v>
      </c>
      <c r="N498" s="4" t="s">
        <v>6869</v>
      </c>
      <c r="O498" s="4">
        <v>23</v>
      </c>
      <c r="P498" s="11" t="s">
        <v>9728</v>
      </c>
      <c r="Q498" s="11" t="s">
        <v>9961</v>
      </c>
      <c r="S498" s="4" t="b">
        <f>ISNUMBER(MATCH(Q498,T:T,0))</f>
        <v>1</v>
      </c>
      <c r="T498" s="4" t="s">
        <v>11188</v>
      </c>
      <c r="U498" s="4" t="str">
        <f t="shared" si="21"/>
        <v>昆</v>
      </c>
    </row>
    <row r="499" spans="1:21">
      <c r="A499" s="3">
        <v>499</v>
      </c>
      <c r="B499" s="3" t="s">
        <v>6868</v>
      </c>
      <c r="C499" s="3" t="s">
        <v>6089</v>
      </c>
      <c r="D499" s="3" t="s">
        <v>5990</v>
      </c>
      <c r="E499" s="3" t="s">
        <v>6212</v>
      </c>
      <c r="F499" s="3" t="s">
        <v>6869</v>
      </c>
      <c r="G499" s="3" t="s">
        <v>5993</v>
      </c>
      <c r="H499" s="3" t="s">
        <v>6904</v>
      </c>
      <c r="I499" s="3" t="s">
        <v>3079</v>
      </c>
      <c r="J499" s="5" t="s">
        <v>6905</v>
      </c>
      <c r="L499" s="3" t="s">
        <v>6906</v>
      </c>
      <c r="M499" s="3">
        <v>7</v>
      </c>
      <c r="N499" s="4" t="s">
        <v>6869</v>
      </c>
      <c r="O499" s="4">
        <v>23</v>
      </c>
      <c r="P499" s="11" t="s">
        <v>9739</v>
      </c>
      <c r="Q499" s="11" t="s">
        <v>9961</v>
      </c>
      <c r="S499" s="4" t="b">
        <f>ISNUMBER(MATCH(Q499,T:T,0))</f>
        <v>1</v>
      </c>
      <c r="T499" s="4" t="s">
        <v>11189</v>
      </c>
      <c r="U499" s="4" t="str">
        <f t="shared" si="21"/>
        <v>昆</v>
      </c>
    </row>
    <row r="500" spans="1:21">
      <c r="A500" s="3">
        <v>500</v>
      </c>
      <c r="B500" s="3" t="s">
        <v>6868</v>
      </c>
      <c r="C500" s="3" t="s">
        <v>6053</v>
      </c>
      <c r="D500" s="3" t="s">
        <v>5990</v>
      </c>
      <c r="E500" s="3" t="s">
        <v>6212</v>
      </c>
      <c r="F500" s="3" t="s">
        <v>6869</v>
      </c>
      <c r="G500" s="3" t="s">
        <v>5993</v>
      </c>
      <c r="H500" s="3" t="s">
        <v>6907</v>
      </c>
      <c r="I500" s="3" t="s">
        <v>3079</v>
      </c>
      <c r="J500" s="5" t="s">
        <v>6908</v>
      </c>
      <c r="L500" s="3" t="s">
        <v>6909</v>
      </c>
      <c r="M500" s="3">
        <v>3</v>
      </c>
      <c r="N500" s="4" t="s">
        <v>6869</v>
      </c>
      <c r="O500" s="4">
        <v>23</v>
      </c>
      <c r="P500" s="11" t="s">
        <v>9884</v>
      </c>
      <c r="Q500" s="11" t="s">
        <v>6869</v>
      </c>
      <c r="S500" s="4" t="b">
        <f>ISNUMBER(MATCH(Q500,T:T,0))</f>
        <v>1</v>
      </c>
      <c r="T500" s="4" t="s">
        <v>11190</v>
      </c>
      <c r="U500" s="4" t="str">
        <f t="shared" si="21"/>
        <v>魂</v>
      </c>
    </row>
    <row r="501" spans="1:21">
      <c r="A501" s="3">
        <v>501</v>
      </c>
      <c r="B501" s="3" t="s">
        <v>6868</v>
      </c>
      <c r="C501" s="3" t="s">
        <v>6102</v>
      </c>
      <c r="D501" s="3" t="s">
        <v>5990</v>
      </c>
      <c r="E501" s="3" t="s">
        <v>6212</v>
      </c>
      <c r="F501" s="3" t="s">
        <v>6869</v>
      </c>
      <c r="G501" s="3" t="s">
        <v>5993</v>
      </c>
      <c r="H501" s="3" t="s">
        <v>6910</v>
      </c>
      <c r="I501" s="3" t="s">
        <v>3079</v>
      </c>
      <c r="J501" s="8" t="s">
        <v>6911</v>
      </c>
      <c r="L501" s="3" t="s">
        <v>6912</v>
      </c>
      <c r="M501" s="3">
        <v>1</v>
      </c>
      <c r="N501" s="4" t="s">
        <v>6869</v>
      </c>
      <c r="O501" s="4">
        <v>23</v>
      </c>
      <c r="P501" s="11" t="s">
        <v>9744</v>
      </c>
      <c r="Q501" s="11" t="s">
        <v>9961</v>
      </c>
      <c r="S501" s="4" t="b">
        <f>ISNUMBER(MATCH(Q501,T:T,0))</f>
        <v>1</v>
      </c>
      <c r="T501" s="4" t="s">
        <v>6911</v>
      </c>
      <c r="U501" s="4" t="str">
        <f t="shared" si="21"/>
        <v>昆</v>
      </c>
    </row>
    <row r="502" spans="1:21">
      <c r="A502" s="3">
        <v>502</v>
      </c>
      <c r="B502" s="3" t="s">
        <v>6913</v>
      </c>
      <c r="C502" s="3" t="s">
        <v>6067</v>
      </c>
      <c r="D502" s="3" t="s">
        <v>5990</v>
      </c>
      <c r="E502" s="3" t="s">
        <v>5991</v>
      </c>
      <c r="F502" s="3" t="s">
        <v>6914</v>
      </c>
      <c r="G502" s="3" t="s">
        <v>5993</v>
      </c>
      <c r="H502" s="7" t="s">
        <v>697</v>
      </c>
      <c r="I502" s="3" t="s">
        <v>3079</v>
      </c>
      <c r="J502" s="5" t="s">
        <v>6915</v>
      </c>
      <c r="L502" s="3" t="s">
        <v>6916</v>
      </c>
      <c r="M502" s="3">
        <v>4</v>
      </c>
      <c r="N502" s="4" t="s">
        <v>6914</v>
      </c>
      <c r="O502" s="4">
        <v>24</v>
      </c>
      <c r="P502" s="11" t="s">
        <v>9731</v>
      </c>
      <c r="Q502" s="11" t="s">
        <v>9966</v>
      </c>
      <c r="S502" s="4" t="b">
        <f>ISNUMBER(MATCH(Q502,T:T,0))</f>
        <v>1</v>
      </c>
      <c r="T502" s="4" t="s">
        <v>6914</v>
      </c>
      <c r="U502" s="4" t="str">
        <f t="shared" si="21"/>
        <v>恩</v>
      </c>
    </row>
    <row r="503" spans="1:21">
      <c r="A503" s="3">
        <v>503</v>
      </c>
      <c r="B503" s="3" t="s">
        <v>6913</v>
      </c>
      <c r="C503" s="3" t="s">
        <v>6025</v>
      </c>
      <c r="D503" s="3" t="s">
        <v>5990</v>
      </c>
      <c r="E503" s="3" t="s">
        <v>5991</v>
      </c>
      <c r="F503" s="3" t="s">
        <v>6914</v>
      </c>
      <c r="G503" s="3" t="s">
        <v>5993</v>
      </c>
      <c r="H503" s="3" t="s">
        <v>6917</v>
      </c>
      <c r="I503" s="3" t="s">
        <v>3079</v>
      </c>
      <c r="J503" s="5" t="s">
        <v>7674</v>
      </c>
      <c r="L503" s="3" t="s">
        <v>6918</v>
      </c>
      <c r="M503" s="3">
        <v>4</v>
      </c>
      <c r="N503" s="4" t="s">
        <v>6914</v>
      </c>
      <c r="O503" s="4">
        <v>24</v>
      </c>
      <c r="P503" s="11" t="s">
        <v>9729</v>
      </c>
      <c r="Q503" s="11" t="s">
        <v>6914</v>
      </c>
      <c r="S503" s="4" t="b">
        <f>ISNUMBER(MATCH(Q503,T:T,0))</f>
        <v>1</v>
      </c>
      <c r="T503" s="4" t="s">
        <v>9968</v>
      </c>
      <c r="U503" s="4" t="str">
        <f t="shared" si="21"/>
        <v>痕</v>
      </c>
    </row>
    <row r="504" spans="1:21">
      <c r="A504" s="3">
        <v>504</v>
      </c>
      <c r="B504" s="3" t="s">
        <v>6913</v>
      </c>
      <c r="C504" s="3" t="s">
        <v>6072</v>
      </c>
      <c r="D504" s="3" t="s">
        <v>5990</v>
      </c>
      <c r="E504" s="3" t="s">
        <v>5991</v>
      </c>
      <c r="F504" s="3" t="s">
        <v>6914</v>
      </c>
      <c r="G504" s="3" t="s">
        <v>5993</v>
      </c>
      <c r="H504" s="3" t="s">
        <v>6919</v>
      </c>
      <c r="I504" s="3" t="s">
        <v>3079</v>
      </c>
      <c r="J504" s="5" t="s">
        <v>7675</v>
      </c>
      <c r="L504" s="3" t="s">
        <v>6920</v>
      </c>
      <c r="M504" s="3">
        <v>3</v>
      </c>
      <c r="N504" s="4" t="s">
        <v>6914</v>
      </c>
      <c r="O504" s="4">
        <v>24</v>
      </c>
      <c r="P504" s="11" t="s">
        <v>9734</v>
      </c>
      <c r="Q504" s="11" t="s">
        <v>6914</v>
      </c>
      <c r="S504" s="4" t="b">
        <f>ISNUMBER(MATCH(Q504,T:T,0))</f>
        <v>1</v>
      </c>
      <c r="T504" s="4" t="s">
        <v>9966</v>
      </c>
      <c r="U504" s="4" t="str">
        <f t="shared" si="21"/>
        <v>痕</v>
      </c>
    </row>
    <row r="505" spans="1:21">
      <c r="A505" s="3">
        <v>505</v>
      </c>
      <c r="B505" s="3" t="s">
        <v>6913</v>
      </c>
      <c r="C505" s="3" t="s">
        <v>6079</v>
      </c>
      <c r="D505" s="3" t="s">
        <v>5990</v>
      </c>
      <c r="E505" s="3" t="s">
        <v>5991</v>
      </c>
      <c r="F505" s="3" t="s">
        <v>6914</v>
      </c>
      <c r="G505" s="3" t="s">
        <v>5993</v>
      </c>
      <c r="H505" s="3" t="s">
        <v>6921</v>
      </c>
      <c r="I505" s="3" t="s">
        <v>3079</v>
      </c>
      <c r="J505" s="5" t="s">
        <v>6922</v>
      </c>
      <c r="L505" s="3" t="s">
        <v>6889</v>
      </c>
      <c r="M505" s="3">
        <v>1</v>
      </c>
      <c r="N505" s="4" t="s">
        <v>6914</v>
      </c>
      <c r="O505" s="4">
        <v>24</v>
      </c>
      <c r="P505" s="11" t="s">
        <v>9967</v>
      </c>
      <c r="Q505" s="11" t="s">
        <v>9968</v>
      </c>
      <c r="S505" s="4" t="b">
        <f>ISNUMBER(MATCH(Q505,T:T,0))</f>
        <v>1</v>
      </c>
      <c r="T505" s="4" t="s">
        <v>6922</v>
      </c>
      <c r="U505" s="4" t="str">
        <f t="shared" si="21"/>
        <v>根</v>
      </c>
    </row>
    <row r="506" spans="1:21">
      <c r="A506" s="3">
        <v>506</v>
      </c>
      <c r="B506" s="3" t="s">
        <v>6913</v>
      </c>
      <c r="C506" s="3" t="s">
        <v>6092</v>
      </c>
      <c r="D506" s="3" t="s">
        <v>5990</v>
      </c>
      <c r="E506" s="3" t="s">
        <v>5991</v>
      </c>
      <c r="F506" s="3" t="s">
        <v>6914</v>
      </c>
      <c r="G506" s="3" t="s">
        <v>5993</v>
      </c>
      <c r="H506" s="3" t="s">
        <v>6923</v>
      </c>
      <c r="I506" s="3" t="s">
        <v>3079</v>
      </c>
      <c r="J506" s="5" t="s">
        <v>7676</v>
      </c>
      <c r="L506" s="3" t="s">
        <v>6924</v>
      </c>
      <c r="M506" s="3">
        <v>3</v>
      </c>
      <c r="N506" s="4" t="s">
        <v>6914</v>
      </c>
      <c r="O506" s="4">
        <v>24</v>
      </c>
      <c r="P506" s="11" t="s">
        <v>9740</v>
      </c>
      <c r="Q506" s="11" t="s">
        <v>9968</v>
      </c>
      <c r="S506" s="4" t="b">
        <f>ISNUMBER(MATCH(Q506,T:T,0))</f>
        <v>1</v>
      </c>
      <c r="T506" s="4" t="s">
        <v>11191</v>
      </c>
      <c r="U506" s="4" t="str">
        <f t="shared" si="21"/>
        <v>根</v>
      </c>
    </row>
    <row r="507" spans="1:21">
      <c r="A507" s="3">
        <v>507</v>
      </c>
      <c r="B507" s="3" t="s">
        <v>6925</v>
      </c>
      <c r="C507" s="3" t="s">
        <v>6067</v>
      </c>
      <c r="D507" s="3" t="s">
        <v>5990</v>
      </c>
      <c r="E507" s="3" t="s">
        <v>5991</v>
      </c>
      <c r="F507" s="3" t="s">
        <v>6926</v>
      </c>
      <c r="G507" s="3" t="s">
        <v>5993</v>
      </c>
      <c r="H507" s="3" t="s">
        <v>6927</v>
      </c>
      <c r="I507" s="3" t="s">
        <v>6836</v>
      </c>
      <c r="J507" s="5" t="s">
        <v>6928</v>
      </c>
      <c r="L507" s="3" t="s">
        <v>6929</v>
      </c>
      <c r="M507" s="3">
        <v>12</v>
      </c>
      <c r="N507" s="4" t="s">
        <v>6926</v>
      </c>
      <c r="O507" s="4">
        <v>25</v>
      </c>
      <c r="P507" s="11" t="s">
        <v>9870</v>
      </c>
      <c r="Q507" s="11" t="s">
        <v>9969</v>
      </c>
      <c r="S507" s="4" t="b">
        <f>ISNUMBER(MATCH(Q507,T:T,0))</f>
        <v>1</v>
      </c>
      <c r="T507" s="4" t="s">
        <v>6926</v>
      </c>
      <c r="U507" s="4" t="str">
        <f t="shared" si="21"/>
        <v>安</v>
      </c>
    </row>
    <row r="508" spans="1:21">
      <c r="A508" s="3">
        <v>508</v>
      </c>
      <c r="B508" s="3" t="s">
        <v>6925</v>
      </c>
      <c r="C508" s="3" t="s">
        <v>6092</v>
      </c>
      <c r="D508" s="3" t="s">
        <v>5990</v>
      </c>
      <c r="E508" s="3" t="s">
        <v>5991</v>
      </c>
      <c r="F508" s="3" t="s">
        <v>6926</v>
      </c>
      <c r="G508" s="3" t="s">
        <v>5993</v>
      </c>
      <c r="H508" s="3" t="s">
        <v>6930</v>
      </c>
      <c r="I508" s="3" t="s">
        <v>6836</v>
      </c>
      <c r="J508" s="5" t="s">
        <v>6931</v>
      </c>
      <c r="L508" s="3" t="s">
        <v>6932</v>
      </c>
      <c r="M508" s="3">
        <v>4</v>
      </c>
      <c r="N508" s="4" t="s">
        <v>6926</v>
      </c>
      <c r="O508" s="4">
        <v>25</v>
      </c>
      <c r="P508" s="11" t="s">
        <v>9970</v>
      </c>
      <c r="Q508" s="11" t="s">
        <v>6926</v>
      </c>
      <c r="S508" s="4" t="b">
        <f>ISNUMBER(MATCH(Q508,T:T,0))</f>
        <v>1</v>
      </c>
      <c r="T508" s="4" t="s">
        <v>11192</v>
      </c>
      <c r="U508" s="4" t="str">
        <f t="shared" si="21"/>
        <v>寒</v>
      </c>
    </row>
    <row r="509" spans="1:21">
      <c r="A509" s="3">
        <v>509</v>
      </c>
      <c r="B509" s="3" t="s">
        <v>6925</v>
      </c>
      <c r="C509" s="3" t="s">
        <v>5989</v>
      </c>
      <c r="D509" s="3" t="s">
        <v>5990</v>
      </c>
      <c r="E509" s="3" t="s">
        <v>5991</v>
      </c>
      <c r="F509" s="3" t="s">
        <v>6926</v>
      </c>
      <c r="G509" s="3" t="s">
        <v>5993</v>
      </c>
      <c r="H509" s="3" t="s">
        <v>6933</v>
      </c>
      <c r="I509" s="3" t="s">
        <v>6836</v>
      </c>
      <c r="J509" s="5" t="s">
        <v>6934</v>
      </c>
      <c r="L509" s="3" t="s">
        <v>6935</v>
      </c>
      <c r="M509" s="3">
        <v>10</v>
      </c>
      <c r="N509" s="4" t="s">
        <v>6926</v>
      </c>
      <c r="O509" s="4">
        <v>25</v>
      </c>
      <c r="P509" s="11" t="s">
        <v>9742</v>
      </c>
      <c r="Q509" s="11" t="s">
        <v>6926</v>
      </c>
      <c r="S509" s="4" t="b">
        <f>ISNUMBER(MATCH(Q509,T:T,0))</f>
        <v>1</v>
      </c>
      <c r="T509" s="4" t="s">
        <v>11193</v>
      </c>
      <c r="U509" s="4" t="str">
        <f t="shared" si="21"/>
        <v>寒</v>
      </c>
    </row>
    <row r="510" spans="1:21">
      <c r="A510" s="3">
        <v>510</v>
      </c>
      <c r="B510" s="3" t="s">
        <v>6925</v>
      </c>
      <c r="C510" s="3" t="s">
        <v>6072</v>
      </c>
      <c r="D510" s="3" t="s">
        <v>5990</v>
      </c>
      <c r="E510" s="3" t="s">
        <v>5991</v>
      </c>
      <c r="F510" s="3" t="s">
        <v>6926</v>
      </c>
      <c r="G510" s="3" t="s">
        <v>5993</v>
      </c>
      <c r="H510" s="3" t="s">
        <v>6936</v>
      </c>
      <c r="I510" s="3" t="s">
        <v>6836</v>
      </c>
      <c r="J510" s="5" t="s">
        <v>7677</v>
      </c>
      <c r="L510" s="3" t="s">
        <v>6937</v>
      </c>
      <c r="M510" s="3">
        <v>5</v>
      </c>
      <c r="N510" s="4" t="s">
        <v>6926</v>
      </c>
      <c r="O510" s="4">
        <v>25</v>
      </c>
      <c r="P510" s="11" t="s">
        <v>9734</v>
      </c>
      <c r="Q510" s="11" t="s">
        <v>6926</v>
      </c>
      <c r="S510" s="4" t="b">
        <f>ISNUMBER(MATCH(Q510,T:T,0))</f>
        <v>1</v>
      </c>
      <c r="T510" s="4" t="s">
        <v>9969</v>
      </c>
      <c r="U510" s="4" t="str">
        <f t="shared" si="21"/>
        <v>寒</v>
      </c>
    </row>
    <row r="511" spans="1:21">
      <c r="A511" s="3">
        <v>511</v>
      </c>
      <c r="B511" s="3" t="s">
        <v>6925</v>
      </c>
      <c r="C511" s="3" t="s">
        <v>6102</v>
      </c>
      <c r="D511" s="3" t="s">
        <v>5990</v>
      </c>
      <c r="E511" s="3" t="s">
        <v>5991</v>
      </c>
      <c r="F511" s="3" t="s">
        <v>6926</v>
      </c>
      <c r="G511" s="3" t="s">
        <v>5993</v>
      </c>
      <c r="H511" s="3" t="s">
        <v>6938</v>
      </c>
      <c r="I511" s="3" t="s">
        <v>6836</v>
      </c>
      <c r="J511" s="5" t="s">
        <v>6939</v>
      </c>
      <c r="L511" s="3" t="s">
        <v>6940</v>
      </c>
      <c r="M511" s="3">
        <v>4</v>
      </c>
      <c r="N511" s="4" t="s">
        <v>6926</v>
      </c>
      <c r="O511" s="4">
        <v>25</v>
      </c>
      <c r="P511" s="11" t="s">
        <v>9971</v>
      </c>
      <c r="Q511" s="11" t="s">
        <v>9972</v>
      </c>
      <c r="S511" s="4" t="b">
        <f>ISNUMBER(MATCH(Q511,T:T,0))</f>
        <v>1</v>
      </c>
      <c r="T511" s="4" t="s">
        <v>11194</v>
      </c>
      <c r="U511" s="4" t="str">
        <f t="shared" si="21"/>
        <v>干</v>
      </c>
    </row>
    <row r="512" spans="1:21">
      <c r="A512" s="3">
        <v>512</v>
      </c>
      <c r="B512" s="3" t="s">
        <v>6925</v>
      </c>
      <c r="C512" s="3" t="s">
        <v>6076</v>
      </c>
      <c r="D512" s="3" t="s">
        <v>5990</v>
      </c>
      <c r="E512" s="3" t="s">
        <v>5991</v>
      </c>
      <c r="F512" s="3" t="s">
        <v>6926</v>
      </c>
      <c r="G512" s="3" t="s">
        <v>5993</v>
      </c>
      <c r="H512" s="3" t="s">
        <v>6941</v>
      </c>
      <c r="I512" s="3" t="s">
        <v>6836</v>
      </c>
      <c r="J512" s="5" t="s">
        <v>7678</v>
      </c>
      <c r="L512" s="3" t="s">
        <v>6942</v>
      </c>
      <c r="M512" s="3">
        <v>3</v>
      </c>
      <c r="N512" s="4" t="s">
        <v>6926</v>
      </c>
      <c r="O512" s="4">
        <v>25</v>
      </c>
      <c r="P512" s="11" t="s">
        <v>9766</v>
      </c>
      <c r="Q512" s="11" t="s">
        <v>9969</v>
      </c>
      <c r="S512" s="4" t="b">
        <f>ISNUMBER(MATCH(Q512,T:T,0))</f>
        <v>1</v>
      </c>
      <c r="T512" s="4" t="s">
        <v>11195</v>
      </c>
      <c r="U512" s="4" t="str">
        <f t="shared" si="21"/>
        <v>安</v>
      </c>
    </row>
    <row r="513" spans="1:22">
      <c r="A513" s="3">
        <v>513</v>
      </c>
      <c r="B513" s="3" t="s">
        <v>6925</v>
      </c>
      <c r="C513" s="3" t="s">
        <v>6079</v>
      </c>
      <c r="D513" s="3" t="s">
        <v>5990</v>
      </c>
      <c r="E513" s="3" t="s">
        <v>5991</v>
      </c>
      <c r="F513" s="3" t="s">
        <v>6926</v>
      </c>
      <c r="G513" s="3" t="s">
        <v>5993</v>
      </c>
      <c r="H513" s="3" t="s">
        <v>6943</v>
      </c>
      <c r="I513" s="3" t="s">
        <v>6836</v>
      </c>
      <c r="J513" s="5" t="s">
        <v>7679</v>
      </c>
      <c r="L513" s="3" t="s">
        <v>6944</v>
      </c>
      <c r="M513" s="3">
        <v>10</v>
      </c>
      <c r="N513" s="4" t="s">
        <v>6926</v>
      </c>
      <c r="O513" s="4">
        <v>25</v>
      </c>
      <c r="P513" s="11" t="s">
        <v>9736</v>
      </c>
      <c r="Q513" s="11" t="s">
        <v>9972</v>
      </c>
      <c r="S513" s="4" t="b">
        <f>ISNUMBER(MATCH(Q513,T:T,0))</f>
        <v>1</v>
      </c>
      <c r="T513" s="4" t="s">
        <v>11196</v>
      </c>
      <c r="U513" s="4" t="str">
        <f t="shared" si="21"/>
        <v>干</v>
      </c>
    </row>
    <row r="514" spans="1:22">
      <c r="A514" s="3">
        <v>514</v>
      </c>
      <c r="B514" s="3" t="s">
        <v>6925</v>
      </c>
      <c r="C514" s="3" t="s">
        <v>6017</v>
      </c>
      <c r="D514" s="3" t="s">
        <v>5990</v>
      </c>
      <c r="E514" s="3" t="s">
        <v>5991</v>
      </c>
      <c r="F514" s="3" t="s">
        <v>6926</v>
      </c>
      <c r="G514" s="3" t="s">
        <v>5993</v>
      </c>
      <c r="H514" s="3" t="s">
        <v>6945</v>
      </c>
      <c r="I514" s="3" t="s">
        <v>6836</v>
      </c>
      <c r="J514" s="5" t="s">
        <v>6946</v>
      </c>
      <c r="L514" s="3" t="s">
        <v>6947</v>
      </c>
      <c r="M514" s="3">
        <v>5</v>
      </c>
      <c r="N514" s="4" t="s">
        <v>6926</v>
      </c>
      <c r="O514" s="4">
        <v>25</v>
      </c>
      <c r="P514" s="11" t="s">
        <v>9741</v>
      </c>
      <c r="Q514" s="11" t="s">
        <v>9972</v>
      </c>
      <c r="S514" s="4" t="b">
        <f>ISNUMBER(MATCH(Q514,T:T,0))</f>
        <v>1</v>
      </c>
      <c r="T514" s="4" t="s">
        <v>11197</v>
      </c>
      <c r="U514" s="4" t="str">
        <f t="shared" si="21"/>
        <v>干</v>
      </c>
    </row>
    <row r="515" spans="1:22">
      <c r="A515" s="3">
        <v>515</v>
      </c>
      <c r="B515" s="3" t="s">
        <v>6925</v>
      </c>
      <c r="C515" s="3" t="s">
        <v>5997</v>
      </c>
      <c r="D515" s="3" t="s">
        <v>5990</v>
      </c>
      <c r="E515" s="3" t="s">
        <v>5991</v>
      </c>
      <c r="F515" s="3" t="s">
        <v>6926</v>
      </c>
      <c r="G515" s="3" t="s">
        <v>5993</v>
      </c>
      <c r="H515" s="3" t="s">
        <v>6948</v>
      </c>
      <c r="I515" s="3" t="s">
        <v>6836</v>
      </c>
      <c r="J515" s="5" t="s">
        <v>7680</v>
      </c>
      <c r="L515" s="3" t="s">
        <v>6949</v>
      </c>
      <c r="M515" s="3">
        <v>15</v>
      </c>
      <c r="N515" s="4" t="s">
        <v>6926</v>
      </c>
      <c r="O515" s="4">
        <v>25</v>
      </c>
      <c r="P515" s="11" t="s">
        <v>9706</v>
      </c>
      <c r="Q515" s="11" t="s">
        <v>9972</v>
      </c>
      <c r="S515" s="4" t="b">
        <f>ISNUMBER(MATCH(Q515,T:T,0))</f>
        <v>1</v>
      </c>
      <c r="T515" s="4" t="s">
        <v>11198</v>
      </c>
      <c r="U515" s="4" t="str">
        <f t="shared" ref="U515:U578" si="24">IF(ISBLANK(R515),Q515,R515)</f>
        <v>干</v>
      </c>
    </row>
    <row r="516" spans="1:22">
      <c r="A516" s="3">
        <v>516</v>
      </c>
      <c r="B516" s="3" t="s">
        <v>6925</v>
      </c>
      <c r="C516" s="3" t="s">
        <v>6069</v>
      </c>
      <c r="D516" s="3" t="s">
        <v>5990</v>
      </c>
      <c r="E516" s="3" t="s">
        <v>5991</v>
      </c>
      <c r="F516" s="3" t="s">
        <v>6926</v>
      </c>
      <c r="G516" s="3" t="s">
        <v>5993</v>
      </c>
      <c r="H516" s="3" t="s">
        <v>6950</v>
      </c>
      <c r="I516" s="3" t="s">
        <v>6836</v>
      </c>
      <c r="J516" s="5" t="s">
        <v>6951</v>
      </c>
      <c r="L516" s="3" t="s">
        <v>6952</v>
      </c>
      <c r="M516" s="3">
        <v>7</v>
      </c>
      <c r="N516" s="4" t="s">
        <v>6926</v>
      </c>
      <c r="O516" s="4">
        <v>25</v>
      </c>
      <c r="P516" s="11" t="s">
        <v>9880</v>
      </c>
      <c r="Q516" s="11" t="s">
        <v>9972</v>
      </c>
      <c r="S516" s="4" t="b">
        <f>ISNUMBER(MATCH(Q516,T:T,0))</f>
        <v>1</v>
      </c>
      <c r="T516" s="4" t="s">
        <v>11199</v>
      </c>
      <c r="U516" s="4" t="str">
        <f t="shared" si="24"/>
        <v>干</v>
      </c>
    </row>
    <row r="517" spans="1:22">
      <c r="A517" s="3">
        <v>517</v>
      </c>
      <c r="B517" s="3" t="s">
        <v>6925</v>
      </c>
      <c r="C517" s="3" t="s">
        <v>6025</v>
      </c>
      <c r="D517" s="3" t="s">
        <v>5990</v>
      </c>
      <c r="E517" s="3" t="s">
        <v>5991</v>
      </c>
      <c r="F517" s="3" t="s">
        <v>6926</v>
      </c>
      <c r="G517" s="3" t="s">
        <v>5993</v>
      </c>
      <c r="H517" s="3" t="s">
        <v>6953</v>
      </c>
      <c r="I517" s="3" t="s">
        <v>6836</v>
      </c>
      <c r="J517" s="5" t="s">
        <v>7681</v>
      </c>
      <c r="L517" s="3" t="s">
        <v>6954</v>
      </c>
      <c r="M517" s="3">
        <v>16</v>
      </c>
      <c r="N517" s="4" t="s">
        <v>6926</v>
      </c>
      <c r="O517" s="4">
        <v>25</v>
      </c>
      <c r="P517" s="11" t="s">
        <v>9729</v>
      </c>
      <c r="Q517" s="11" t="s">
        <v>6926</v>
      </c>
      <c r="S517" s="4" t="b">
        <f>ISNUMBER(MATCH(Q517,T:T,0))</f>
        <v>1</v>
      </c>
      <c r="T517" s="4" t="s">
        <v>9972</v>
      </c>
      <c r="U517" s="4" t="str">
        <f t="shared" si="24"/>
        <v>寒</v>
      </c>
    </row>
    <row r="518" spans="1:22">
      <c r="A518" s="3">
        <v>518</v>
      </c>
      <c r="B518" s="3" t="s">
        <v>6925</v>
      </c>
      <c r="C518" s="3" t="s">
        <v>6058</v>
      </c>
      <c r="D518" s="3" t="s">
        <v>5990</v>
      </c>
      <c r="E518" s="3" t="s">
        <v>5991</v>
      </c>
      <c r="F518" s="3" t="s">
        <v>6926</v>
      </c>
      <c r="G518" s="3" t="s">
        <v>5993</v>
      </c>
      <c r="H518" s="3" t="s">
        <v>6955</v>
      </c>
      <c r="I518" s="3" t="s">
        <v>6836</v>
      </c>
      <c r="J518" s="5" t="s">
        <v>7682</v>
      </c>
      <c r="L518" s="3" t="s">
        <v>6956</v>
      </c>
      <c r="M518" s="3">
        <v>11</v>
      </c>
      <c r="N518" s="4" t="s">
        <v>6926</v>
      </c>
      <c r="O518" s="4">
        <v>25</v>
      </c>
      <c r="P518" s="11" t="s">
        <v>9877</v>
      </c>
      <c r="Q518" s="11" t="s">
        <v>9972</v>
      </c>
      <c r="S518" s="4" t="b">
        <f>ISNUMBER(MATCH(Q518,T:T,0))</f>
        <v>1</v>
      </c>
      <c r="T518" s="4" t="s">
        <v>11200</v>
      </c>
      <c r="U518" s="4" t="str">
        <f t="shared" si="24"/>
        <v>干</v>
      </c>
    </row>
    <row r="519" spans="1:22">
      <c r="A519" s="3">
        <v>519</v>
      </c>
      <c r="B519" s="3" t="s">
        <v>6925</v>
      </c>
      <c r="C519" s="3" t="s">
        <v>6038</v>
      </c>
      <c r="D519" s="3" t="s">
        <v>5990</v>
      </c>
      <c r="E519" s="3" t="s">
        <v>5991</v>
      </c>
      <c r="F519" s="3" t="s">
        <v>6926</v>
      </c>
      <c r="G519" s="3" t="s">
        <v>5993</v>
      </c>
      <c r="H519" s="3" t="s">
        <v>6957</v>
      </c>
      <c r="I519" s="3" t="s">
        <v>6836</v>
      </c>
      <c r="J519" s="5" t="s">
        <v>7683</v>
      </c>
      <c r="K519" s="3" t="s">
        <v>577</v>
      </c>
      <c r="L519" s="3" t="s">
        <v>8004</v>
      </c>
      <c r="M519" s="3">
        <v>7</v>
      </c>
      <c r="N519" s="4" t="s">
        <v>6926</v>
      </c>
      <c r="O519" s="4">
        <v>25</v>
      </c>
      <c r="P519" s="11" t="s">
        <v>9728</v>
      </c>
      <c r="Q519" s="11" t="s">
        <v>6926</v>
      </c>
      <c r="S519" s="4" t="b">
        <f>ISNUMBER(MATCH(Q519,T:T,0))</f>
        <v>1</v>
      </c>
      <c r="T519" s="4" t="s">
        <v>11201</v>
      </c>
      <c r="U519" s="4" t="str">
        <f t="shared" si="24"/>
        <v>寒</v>
      </c>
    </row>
    <row r="520" spans="1:22">
      <c r="A520" s="3">
        <v>520</v>
      </c>
      <c r="B520" s="3" t="s">
        <v>6925</v>
      </c>
      <c r="C520" s="3" t="s">
        <v>6089</v>
      </c>
      <c r="D520" s="3" t="s">
        <v>5990</v>
      </c>
      <c r="E520" s="3" t="s">
        <v>5991</v>
      </c>
      <c r="F520" s="3" t="s">
        <v>6926</v>
      </c>
      <c r="G520" s="3" t="s">
        <v>5993</v>
      </c>
      <c r="H520" s="3" t="s">
        <v>8005</v>
      </c>
      <c r="I520" s="3" t="s">
        <v>6836</v>
      </c>
      <c r="J520" s="5" t="s">
        <v>8006</v>
      </c>
      <c r="L520" s="3" t="s">
        <v>8007</v>
      </c>
      <c r="M520" s="3">
        <v>2</v>
      </c>
      <c r="N520" s="4" t="s">
        <v>6926</v>
      </c>
      <c r="O520" s="4">
        <v>25</v>
      </c>
      <c r="P520" s="11" t="s">
        <v>9753</v>
      </c>
      <c r="Q520" s="11" t="s">
        <v>9972</v>
      </c>
      <c r="S520" s="4" t="b">
        <f>ISNUMBER(MATCH(Q520,T:T,0))</f>
        <v>1</v>
      </c>
      <c r="T520" s="4" t="s">
        <v>11202</v>
      </c>
      <c r="U520" s="4" t="str">
        <f t="shared" si="24"/>
        <v>干</v>
      </c>
    </row>
    <row r="521" spans="1:22">
      <c r="A521" s="3">
        <v>521</v>
      </c>
      <c r="B521" s="3" t="s">
        <v>8008</v>
      </c>
      <c r="C521" s="3" t="s">
        <v>6102</v>
      </c>
      <c r="D521" s="3" t="s">
        <v>5990</v>
      </c>
      <c r="E521" s="3" t="s">
        <v>6212</v>
      </c>
      <c r="F521" s="3" t="s">
        <v>8009</v>
      </c>
      <c r="G521" s="3" t="s">
        <v>5993</v>
      </c>
      <c r="H521" s="3" t="s">
        <v>8010</v>
      </c>
      <c r="I521" s="3" t="s">
        <v>6836</v>
      </c>
      <c r="J521" s="5" t="s">
        <v>8011</v>
      </c>
      <c r="L521" s="3" t="s">
        <v>8012</v>
      </c>
      <c r="M521" s="3">
        <v>1</v>
      </c>
      <c r="N521" s="4" t="s">
        <v>8009</v>
      </c>
      <c r="O521" s="4">
        <v>26</v>
      </c>
      <c r="P521" s="11" t="s">
        <v>9873</v>
      </c>
      <c r="Q521" s="11" t="s">
        <v>9973</v>
      </c>
      <c r="S521" s="4" t="b">
        <f>ISNUMBER(MATCH(Q521,T:T,0))</f>
        <v>1</v>
      </c>
      <c r="T521" s="4" t="s">
        <v>8011</v>
      </c>
      <c r="U521" s="4" t="str">
        <f t="shared" si="24"/>
        <v>官</v>
      </c>
    </row>
    <row r="522" spans="1:22" ht="39">
      <c r="A522" s="3">
        <v>522</v>
      </c>
      <c r="B522" s="3" t="s">
        <v>8008</v>
      </c>
      <c r="C522" s="3" t="s">
        <v>6067</v>
      </c>
      <c r="D522" s="3" t="s">
        <v>5990</v>
      </c>
      <c r="E522" s="3" t="s">
        <v>6212</v>
      </c>
      <c r="F522" s="3" t="s">
        <v>8009</v>
      </c>
      <c r="G522" s="3" t="s">
        <v>5993</v>
      </c>
      <c r="H522" s="3" t="s">
        <v>8013</v>
      </c>
      <c r="I522" s="3" t="s">
        <v>6836</v>
      </c>
      <c r="J522" s="5" t="s">
        <v>7684</v>
      </c>
      <c r="K522" s="3" t="s">
        <v>578</v>
      </c>
      <c r="L522" s="3" t="s">
        <v>8014</v>
      </c>
      <c r="M522" s="3">
        <v>27</v>
      </c>
      <c r="N522" s="4" t="s">
        <v>8009</v>
      </c>
      <c r="O522" s="4">
        <v>26</v>
      </c>
      <c r="P522" s="11" t="s">
        <v>9870</v>
      </c>
      <c r="Q522" s="11" t="s">
        <v>9973</v>
      </c>
      <c r="S522" s="4" t="b">
        <f>ISNUMBER(MATCH(Q522,T:T,0))</f>
        <v>1</v>
      </c>
      <c r="T522" s="4" t="s">
        <v>11203</v>
      </c>
      <c r="U522" s="4" t="str">
        <f t="shared" si="24"/>
        <v>官</v>
      </c>
    </row>
    <row r="523" spans="1:22">
      <c r="A523" s="3">
        <v>523</v>
      </c>
      <c r="B523" s="3" t="s">
        <v>8008</v>
      </c>
      <c r="C523" s="3" t="s">
        <v>6092</v>
      </c>
      <c r="D523" s="3" t="s">
        <v>5990</v>
      </c>
      <c r="E523" s="3" t="s">
        <v>6212</v>
      </c>
      <c r="F523" s="3" t="s">
        <v>8009</v>
      </c>
      <c r="G523" s="3" t="s">
        <v>5993</v>
      </c>
      <c r="H523" s="3" t="s">
        <v>8015</v>
      </c>
      <c r="I523" s="3" t="s">
        <v>6836</v>
      </c>
      <c r="J523" s="5" t="s">
        <v>7685</v>
      </c>
      <c r="L523" s="3" t="s">
        <v>6867</v>
      </c>
      <c r="M523" s="3">
        <v>10</v>
      </c>
      <c r="N523" s="4" t="s">
        <v>8009</v>
      </c>
      <c r="O523" s="4">
        <v>26</v>
      </c>
      <c r="P523" s="11" t="s">
        <v>9740</v>
      </c>
      <c r="Q523" s="11" t="s">
        <v>9974</v>
      </c>
      <c r="R523" s="4" t="s">
        <v>13027</v>
      </c>
      <c r="S523" s="4" t="b">
        <f>ISNUMBER(MATCH(Q523,T:T,0))</f>
        <v>0</v>
      </c>
      <c r="T523" s="4" t="s">
        <v>11204</v>
      </c>
      <c r="U523" s="4" t="str">
        <f t="shared" si="24"/>
        <v>完</v>
      </c>
      <c r="V523" s="4" t="b">
        <f>ISNUMBER(MATCH(R523,T:T,0))</f>
        <v>1</v>
      </c>
    </row>
    <row r="524" spans="1:22">
      <c r="A524" s="3">
        <v>524</v>
      </c>
      <c r="B524" s="3" t="s">
        <v>8008</v>
      </c>
      <c r="C524" s="3" t="s">
        <v>5989</v>
      </c>
      <c r="D524" s="3" t="s">
        <v>5990</v>
      </c>
      <c r="E524" s="3" t="s">
        <v>6212</v>
      </c>
      <c r="F524" s="3" t="s">
        <v>8009</v>
      </c>
      <c r="G524" s="3" t="s">
        <v>5993</v>
      </c>
      <c r="H524" s="3" t="s">
        <v>8016</v>
      </c>
      <c r="I524" s="3" t="s">
        <v>6836</v>
      </c>
      <c r="J524" s="5" t="s">
        <v>7686</v>
      </c>
      <c r="L524" s="3" t="s">
        <v>8017</v>
      </c>
      <c r="M524" s="3">
        <v>11</v>
      </c>
      <c r="N524" s="4" t="s">
        <v>8009</v>
      </c>
      <c r="O524" s="4">
        <v>26</v>
      </c>
      <c r="P524" s="11" t="s">
        <v>9975</v>
      </c>
      <c r="Q524" s="11" t="s">
        <v>9973</v>
      </c>
      <c r="S524" s="4" t="b">
        <f>ISNUMBER(MATCH(Q524,T:T,0))</f>
        <v>1</v>
      </c>
      <c r="T524" s="4" t="s">
        <v>5989</v>
      </c>
      <c r="U524" s="4" t="str">
        <f t="shared" si="24"/>
        <v>官</v>
      </c>
    </row>
    <row r="525" spans="1:22">
      <c r="A525" s="3">
        <v>525</v>
      </c>
      <c r="B525" s="3" t="s">
        <v>8008</v>
      </c>
      <c r="C525" s="3" t="s">
        <v>6072</v>
      </c>
      <c r="D525" s="3" t="s">
        <v>5990</v>
      </c>
      <c r="E525" s="3" t="s">
        <v>6212</v>
      </c>
      <c r="F525" s="3" t="s">
        <v>8009</v>
      </c>
      <c r="G525" s="3" t="s">
        <v>5993</v>
      </c>
      <c r="H525" s="3" t="s">
        <v>8018</v>
      </c>
      <c r="I525" s="3" t="s">
        <v>6836</v>
      </c>
      <c r="J525" s="5" t="s">
        <v>7687</v>
      </c>
      <c r="L525" s="3" t="s">
        <v>8019</v>
      </c>
      <c r="M525" s="3">
        <v>6</v>
      </c>
      <c r="N525" s="4" t="s">
        <v>8009</v>
      </c>
      <c r="O525" s="4">
        <v>26</v>
      </c>
      <c r="P525" s="11" t="s">
        <v>5990</v>
      </c>
      <c r="Q525" s="11" t="s">
        <v>9974</v>
      </c>
      <c r="R525" s="4" t="s">
        <v>13027</v>
      </c>
      <c r="S525" s="4" t="b">
        <f>ISNUMBER(MATCH(Q525,T:T,0))</f>
        <v>0</v>
      </c>
      <c r="T525" s="4" t="s">
        <v>11205</v>
      </c>
      <c r="U525" s="4" t="str">
        <f t="shared" si="24"/>
        <v>完</v>
      </c>
      <c r="V525" s="4" t="b">
        <f>ISNUMBER(MATCH(R525,T:T,0))</f>
        <v>1</v>
      </c>
    </row>
    <row r="526" spans="1:22">
      <c r="A526" s="3">
        <v>526</v>
      </c>
      <c r="B526" s="3" t="s">
        <v>8008</v>
      </c>
      <c r="C526" s="3" t="s">
        <v>6079</v>
      </c>
      <c r="D526" s="3" t="s">
        <v>5990</v>
      </c>
      <c r="E526" s="3" t="s">
        <v>6212</v>
      </c>
      <c r="F526" s="3" t="s">
        <v>8009</v>
      </c>
      <c r="G526" s="3" t="s">
        <v>5993</v>
      </c>
      <c r="H526" s="3" t="s">
        <v>8020</v>
      </c>
      <c r="I526" s="3" t="s">
        <v>6836</v>
      </c>
      <c r="J526" s="5" t="s">
        <v>8021</v>
      </c>
      <c r="L526" s="3" t="s">
        <v>8022</v>
      </c>
      <c r="M526" s="3">
        <v>6</v>
      </c>
      <c r="N526" s="4" t="s">
        <v>8009</v>
      </c>
      <c r="O526" s="4">
        <v>26</v>
      </c>
      <c r="P526" s="11" t="s">
        <v>9736</v>
      </c>
      <c r="Q526" s="11" t="s">
        <v>5989</v>
      </c>
      <c r="S526" s="4" t="b">
        <f>ISNUMBER(MATCH(Q526,T:T,0))</f>
        <v>1</v>
      </c>
      <c r="T526" s="4" t="s">
        <v>11206</v>
      </c>
      <c r="U526" s="4" t="str">
        <f t="shared" si="24"/>
        <v>端</v>
      </c>
    </row>
    <row r="527" spans="1:22">
      <c r="A527" s="3">
        <v>527</v>
      </c>
      <c r="B527" s="3" t="s">
        <v>8008</v>
      </c>
      <c r="C527" s="3" t="s">
        <v>6017</v>
      </c>
      <c r="D527" s="3" t="s">
        <v>5990</v>
      </c>
      <c r="E527" s="3" t="s">
        <v>6212</v>
      </c>
      <c r="F527" s="3" t="s">
        <v>8009</v>
      </c>
      <c r="G527" s="3" t="s">
        <v>5993</v>
      </c>
      <c r="H527" s="3" t="s">
        <v>8023</v>
      </c>
      <c r="I527" s="3" t="s">
        <v>6836</v>
      </c>
      <c r="J527" s="5" t="s">
        <v>8024</v>
      </c>
      <c r="L527" s="3" t="s">
        <v>8025</v>
      </c>
      <c r="M527" s="3">
        <v>5</v>
      </c>
      <c r="N527" s="4" t="s">
        <v>8009</v>
      </c>
      <c r="O527" s="4">
        <v>26</v>
      </c>
      <c r="P527" s="11" t="s">
        <v>9878</v>
      </c>
      <c r="Q527" s="11" t="s">
        <v>9973</v>
      </c>
      <c r="S527" s="4" t="b">
        <f>ISNUMBER(MATCH(Q527,T:T,0))</f>
        <v>1</v>
      </c>
      <c r="T527" s="4" t="s">
        <v>11207</v>
      </c>
      <c r="U527" s="4" t="str">
        <f t="shared" si="24"/>
        <v>官</v>
      </c>
    </row>
    <row r="528" spans="1:22">
      <c r="A528" s="3">
        <v>528</v>
      </c>
      <c r="B528" s="3" t="s">
        <v>8008</v>
      </c>
      <c r="C528" s="3" t="s">
        <v>5997</v>
      </c>
      <c r="D528" s="3" t="s">
        <v>5990</v>
      </c>
      <c r="E528" s="3" t="s">
        <v>6212</v>
      </c>
      <c r="F528" s="3" t="s">
        <v>8009</v>
      </c>
      <c r="G528" s="3" t="s">
        <v>5993</v>
      </c>
      <c r="H528" s="3" t="s">
        <v>8026</v>
      </c>
      <c r="I528" s="3" t="s">
        <v>6836</v>
      </c>
      <c r="J528" s="5" t="s">
        <v>8027</v>
      </c>
      <c r="L528" s="3" t="s">
        <v>8028</v>
      </c>
      <c r="M528" s="3">
        <v>12</v>
      </c>
      <c r="N528" s="4" t="s">
        <v>8009</v>
      </c>
      <c r="O528" s="4">
        <v>26</v>
      </c>
      <c r="P528" s="11" t="s">
        <v>9976</v>
      </c>
      <c r="Q528" s="11" t="s">
        <v>9973</v>
      </c>
      <c r="S528" s="4" t="b">
        <f>ISNUMBER(MATCH(Q528,T:T,0))</f>
        <v>1</v>
      </c>
      <c r="T528" s="4" t="s">
        <v>11208</v>
      </c>
      <c r="U528" s="4" t="str">
        <f t="shared" si="24"/>
        <v>官</v>
      </c>
    </row>
    <row r="529" spans="1:22">
      <c r="A529" s="3">
        <v>529</v>
      </c>
      <c r="B529" s="3" t="s">
        <v>8008</v>
      </c>
      <c r="C529" s="3" t="s">
        <v>6069</v>
      </c>
      <c r="D529" s="3" t="s">
        <v>5990</v>
      </c>
      <c r="E529" s="3" t="s">
        <v>6212</v>
      </c>
      <c r="F529" s="3" t="s">
        <v>8009</v>
      </c>
      <c r="G529" s="3" t="s">
        <v>5993</v>
      </c>
      <c r="H529" s="3" t="s">
        <v>8029</v>
      </c>
      <c r="I529" s="3" t="s">
        <v>6836</v>
      </c>
      <c r="J529" s="8" t="s">
        <v>7688</v>
      </c>
      <c r="K529" s="3" t="s">
        <v>8030</v>
      </c>
      <c r="L529" s="3" t="s">
        <v>8031</v>
      </c>
      <c r="M529" s="3">
        <v>9</v>
      </c>
      <c r="N529" s="4" t="s">
        <v>8009</v>
      </c>
      <c r="O529" s="4">
        <v>26</v>
      </c>
      <c r="P529" s="11" t="s">
        <v>5919</v>
      </c>
      <c r="Q529" s="11" t="s">
        <v>9974</v>
      </c>
      <c r="R529" s="4" t="s">
        <v>13027</v>
      </c>
      <c r="S529" s="4" t="b">
        <f>ISNUMBER(MATCH(Q529,T:T,0))</f>
        <v>0</v>
      </c>
      <c r="T529" s="4" t="s">
        <v>11209</v>
      </c>
      <c r="U529" s="4" t="str">
        <f t="shared" si="24"/>
        <v>完</v>
      </c>
      <c r="V529" s="4" t="b">
        <f t="shared" ref="V529:V530" si="25">ISNUMBER(MATCH(R529,T:T,0))</f>
        <v>1</v>
      </c>
    </row>
    <row r="530" spans="1:22">
      <c r="A530" s="3">
        <v>530</v>
      </c>
      <c r="B530" s="3" t="s">
        <v>8008</v>
      </c>
      <c r="C530" s="3" t="s">
        <v>6025</v>
      </c>
      <c r="D530" s="3" t="s">
        <v>5990</v>
      </c>
      <c r="E530" s="3" t="s">
        <v>6212</v>
      </c>
      <c r="F530" s="3" t="s">
        <v>8009</v>
      </c>
      <c r="G530" s="3" t="s">
        <v>5993</v>
      </c>
      <c r="H530" s="3" t="s">
        <v>8032</v>
      </c>
      <c r="I530" s="3" t="s">
        <v>6836</v>
      </c>
      <c r="J530" s="5" t="s">
        <v>8033</v>
      </c>
      <c r="L530" s="3" t="s">
        <v>8034</v>
      </c>
      <c r="M530" s="3">
        <v>10</v>
      </c>
      <c r="N530" s="4" t="s">
        <v>8009</v>
      </c>
      <c r="O530" s="4">
        <v>26</v>
      </c>
      <c r="P530" s="11" t="s">
        <v>9729</v>
      </c>
      <c r="Q530" s="11" t="s">
        <v>9974</v>
      </c>
      <c r="R530" s="4" t="s">
        <v>13027</v>
      </c>
      <c r="S530" s="4" t="b">
        <f>ISNUMBER(MATCH(Q530,T:T,0))</f>
        <v>0</v>
      </c>
      <c r="T530" s="4" t="s">
        <v>9973</v>
      </c>
      <c r="U530" s="4" t="str">
        <f t="shared" si="24"/>
        <v>完</v>
      </c>
      <c r="V530" s="4" t="b">
        <f t="shared" si="25"/>
        <v>1</v>
      </c>
    </row>
    <row r="531" spans="1:22">
      <c r="A531" s="3">
        <v>531</v>
      </c>
      <c r="B531" s="3" t="s">
        <v>8008</v>
      </c>
      <c r="C531" s="3" t="s">
        <v>6058</v>
      </c>
      <c r="D531" s="3" t="s">
        <v>5990</v>
      </c>
      <c r="E531" s="3" t="s">
        <v>6212</v>
      </c>
      <c r="F531" s="3" t="s">
        <v>8009</v>
      </c>
      <c r="G531" s="3" t="s">
        <v>5993</v>
      </c>
      <c r="H531" s="3" t="s">
        <v>8035</v>
      </c>
      <c r="I531" s="3" t="s">
        <v>6836</v>
      </c>
      <c r="J531" s="5" t="s">
        <v>7689</v>
      </c>
      <c r="L531" s="3" t="s">
        <v>8036</v>
      </c>
      <c r="M531" s="3">
        <v>14</v>
      </c>
      <c r="N531" s="4" t="s">
        <v>8009</v>
      </c>
      <c r="O531" s="4">
        <v>26</v>
      </c>
      <c r="P531" s="11" t="s">
        <v>9877</v>
      </c>
      <c r="Q531" s="11" t="s">
        <v>9973</v>
      </c>
      <c r="S531" s="4" t="b">
        <f>ISNUMBER(MATCH(Q531,T:T,0))</f>
        <v>1</v>
      </c>
      <c r="T531" s="4" t="s">
        <v>11210</v>
      </c>
      <c r="U531" s="4" t="str">
        <f t="shared" si="24"/>
        <v>官</v>
      </c>
    </row>
    <row r="532" spans="1:22">
      <c r="A532" s="3">
        <v>532</v>
      </c>
      <c r="B532" s="3" t="s">
        <v>8008</v>
      </c>
      <c r="C532" s="3" t="s">
        <v>6089</v>
      </c>
      <c r="D532" s="3" t="s">
        <v>5990</v>
      </c>
      <c r="E532" s="3" t="s">
        <v>6212</v>
      </c>
      <c r="F532" s="3" t="s">
        <v>8009</v>
      </c>
      <c r="G532" s="3" t="s">
        <v>5993</v>
      </c>
      <c r="H532" s="3" t="s">
        <v>8037</v>
      </c>
      <c r="I532" s="3" t="s">
        <v>6836</v>
      </c>
      <c r="J532" s="5" t="s">
        <v>7690</v>
      </c>
      <c r="L532" s="3" t="s">
        <v>8038</v>
      </c>
      <c r="M532" s="3">
        <v>13</v>
      </c>
      <c r="N532" s="4" t="s">
        <v>8009</v>
      </c>
      <c r="O532" s="4">
        <v>26</v>
      </c>
      <c r="P532" s="11" t="s">
        <v>9739</v>
      </c>
      <c r="Q532" s="11" t="s">
        <v>9973</v>
      </c>
      <c r="S532" s="4" t="b">
        <f>ISNUMBER(MATCH(Q532,T:T,0))</f>
        <v>1</v>
      </c>
      <c r="T532" s="4" t="s">
        <v>11211</v>
      </c>
      <c r="U532" s="4" t="str">
        <f t="shared" si="24"/>
        <v>官</v>
      </c>
    </row>
    <row r="533" spans="1:22">
      <c r="A533" s="3">
        <v>533</v>
      </c>
      <c r="B533" s="3" t="s">
        <v>8008</v>
      </c>
      <c r="C533" s="3" t="s">
        <v>6038</v>
      </c>
      <c r="D533" s="3" t="s">
        <v>5990</v>
      </c>
      <c r="E533" s="3" t="s">
        <v>6212</v>
      </c>
      <c r="F533" s="3" t="s">
        <v>8009</v>
      </c>
      <c r="G533" s="3" t="s">
        <v>5993</v>
      </c>
      <c r="H533" s="3" t="s">
        <v>8039</v>
      </c>
      <c r="I533" s="3" t="s">
        <v>6836</v>
      </c>
      <c r="J533" s="5" t="s">
        <v>8040</v>
      </c>
      <c r="L533" s="3" t="s">
        <v>8041</v>
      </c>
      <c r="M533" s="3">
        <v>2</v>
      </c>
      <c r="N533" s="4" t="s">
        <v>8009</v>
      </c>
      <c r="O533" s="4">
        <v>26</v>
      </c>
      <c r="P533" s="11" t="s">
        <v>9728</v>
      </c>
      <c r="Q533" s="11" t="s">
        <v>9973</v>
      </c>
      <c r="S533" s="4" t="b">
        <f>ISNUMBER(MATCH(Q533,T:T,0))</f>
        <v>1</v>
      </c>
      <c r="T533" s="4" t="s">
        <v>11212</v>
      </c>
      <c r="U533" s="4" t="str">
        <f t="shared" si="24"/>
        <v>官</v>
      </c>
    </row>
    <row r="534" spans="1:22">
      <c r="A534" s="3">
        <v>534</v>
      </c>
      <c r="B534" s="3" t="s">
        <v>8008</v>
      </c>
      <c r="C534" s="3" t="s">
        <v>6083</v>
      </c>
      <c r="D534" s="3" t="s">
        <v>5990</v>
      </c>
      <c r="E534" s="3" t="s">
        <v>6212</v>
      </c>
      <c r="F534" s="3" t="s">
        <v>8009</v>
      </c>
      <c r="G534" s="3" t="s">
        <v>5993</v>
      </c>
      <c r="H534" s="3" t="s">
        <v>8042</v>
      </c>
      <c r="I534" s="3" t="s">
        <v>6836</v>
      </c>
      <c r="J534" s="8" t="s">
        <v>7691</v>
      </c>
      <c r="L534" s="3" t="s">
        <v>8043</v>
      </c>
      <c r="M534" s="3">
        <v>6</v>
      </c>
      <c r="N534" s="4" t="s">
        <v>8009</v>
      </c>
      <c r="O534" s="4">
        <v>26</v>
      </c>
      <c r="P534" s="11" t="s">
        <v>9977</v>
      </c>
      <c r="Q534" s="11" t="s">
        <v>9973</v>
      </c>
      <c r="S534" s="4" t="b">
        <f>ISNUMBER(MATCH(Q534,T:T,0))</f>
        <v>1</v>
      </c>
      <c r="T534" s="4" t="s">
        <v>11213</v>
      </c>
      <c r="U534" s="4" t="str">
        <f t="shared" si="24"/>
        <v>官</v>
      </c>
    </row>
    <row r="535" spans="1:22" ht="39">
      <c r="A535" s="3">
        <v>535</v>
      </c>
      <c r="B535" s="3" t="s">
        <v>8008</v>
      </c>
      <c r="C535" s="3" t="s">
        <v>6045</v>
      </c>
      <c r="D535" s="3" t="s">
        <v>5990</v>
      </c>
      <c r="E535" s="3" t="s">
        <v>6212</v>
      </c>
      <c r="F535" s="3" t="s">
        <v>8009</v>
      </c>
      <c r="G535" s="3" t="s">
        <v>5993</v>
      </c>
      <c r="H535" s="3" t="s">
        <v>8044</v>
      </c>
      <c r="I535" s="3" t="s">
        <v>6836</v>
      </c>
      <c r="J535" s="5" t="s">
        <v>7692</v>
      </c>
      <c r="L535" s="3" t="s">
        <v>8045</v>
      </c>
      <c r="M535" s="3">
        <v>22</v>
      </c>
      <c r="N535" s="4" t="s">
        <v>8009</v>
      </c>
      <c r="O535" s="4">
        <v>26</v>
      </c>
      <c r="P535" s="11" t="s">
        <v>9738</v>
      </c>
      <c r="Q535" s="11" t="s">
        <v>9973</v>
      </c>
      <c r="S535" s="4" t="b">
        <f>ISNUMBER(MATCH(Q535,T:T,0))</f>
        <v>1</v>
      </c>
      <c r="T535" s="4" t="s">
        <v>11214</v>
      </c>
      <c r="U535" s="4" t="str">
        <f t="shared" si="24"/>
        <v>官</v>
      </c>
    </row>
    <row r="536" spans="1:22" ht="39">
      <c r="A536" s="3">
        <v>536</v>
      </c>
      <c r="B536" s="3" t="s">
        <v>8008</v>
      </c>
      <c r="C536" s="3" t="s">
        <v>6035</v>
      </c>
      <c r="D536" s="3" t="s">
        <v>5990</v>
      </c>
      <c r="E536" s="3" t="s">
        <v>6212</v>
      </c>
      <c r="F536" s="3" t="s">
        <v>8009</v>
      </c>
      <c r="G536" s="3" t="s">
        <v>5993</v>
      </c>
      <c r="H536" s="3" t="s">
        <v>8046</v>
      </c>
      <c r="I536" s="3" t="s">
        <v>6836</v>
      </c>
      <c r="J536" s="5" t="s">
        <v>7693</v>
      </c>
      <c r="L536" s="3" t="s">
        <v>8047</v>
      </c>
      <c r="M536" s="3">
        <v>24</v>
      </c>
      <c r="N536" s="4" t="s">
        <v>8009</v>
      </c>
      <c r="O536" s="4">
        <v>26</v>
      </c>
      <c r="P536" s="11" t="s">
        <v>9978</v>
      </c>
      <c r="Q536" s="11" t="s">
        <v>9973</v>
      </c>
      <c r="S536" s="4" t="b">
        <f>ISNUMBER(MATCH(Q536,T:T,0))</f>
        <v>1</v>
      </c>
      <c r="T536" s="4" t="s">
        <v>11215</v>
      </c>
      <c r="U536" s="4" t="str">
        <f t="shared" si="24"/>
        <v>官</v>
      </c>
    </row>
    <row r="537" spans="1:22">
      <c r="A537" s="3">
        <v>537</v>
      </c>
      <c r="B537" s="3" t="s">
        <v>8008</v>
      </c>
      <c r="C537" s="3" t="s">
        <v>6053</v>
      </c>
      <c r="D537" s="3" t="s">
        <v>5990</v>
      </c>
      <c r="E537" s="3" t="s">
        <v>6212</v>
      </c>
      <c r="F537" s="3" t="s">
        <v>8009</v>
      </c>
      <c r="G537" s="3" t="s">
        <v>5993</v>
      </c>
      <c r="H537" s="3" t="s">
        <v>8048</v>
      </c>
      <c r="I537" s="3" t="s">
        <v>6836</v>
      </c>
      <c r="J537" s="5" t="s">
        <v>8049</v>
      </c>
      <c r="L537" s="3" t="s">
        <v>8050</v>
      </c>
      <c r="M537" s="3">
        <v>6</v>
      </c>
      <c r="N537" s="4" t="s">
        <v>8009</v>
      </c>
      <c r="O537" s="4">
        <v>26</v>
      </c>
      <c r="P537" s="11" t="s">
        <v>9884</v>
      </c>
      <c r="Q537" s="11" t="s">
        <v>9973</v>
      </c>
      <c r="S537" s="4" t="b">
        <f>ISNUMBER(MATCH(Q537,T:T,0))</f>
        <v>1</v>
      </c>
      <c r="T537" s="4" t="s">
        <v>9980</v>
      </c>
      <c r="U537" s="4" t="str">
        <f t="shared" si="24"/>
        <v>官</v>
      </c>
    </row>
    <row r="538" spans="1:22">
      <c r="A538" s="3">
        <v>538</v>
      </c>
      <c r="B538" s="3" t="s">
        <v>8008</v>
      </c>
      <c r="C538" s="3" t="s">
        <v>6049</v>
      </c>
      <c r="D538" s="3" t="s">
        <v>5990</v>
      </c>
      <c r="E538" s="3" t="s">
        <v>6212</v>
      </c>
      <c r="F538" s="3" t="s">
        <v>8009</v>
      </c>
      <c r="G538" s="3" t="s">
        <v>5993</v>
      </c>
      <c r="H538" s="3" t="s">
        <v>8051</v>
      </c>
      <c r="I538" s="3" t="s">
        <v>6836</v>
      </c>
      <c r="J538" s="5" t="s">
        <v>8052</v>
      </c>
      <c r="L538" s="3" t="s">
        <v>8053</v>
      </c>
      <c r="M538" s="3">
        <v>4</v>
      </c>
      <c r="N538" s="4" t="s">
        <v>8009</v>
      </c>
      <c r="O538" s="4">
        <v>26</v>
      </c>
      <c r="P538" s="11" t="s">
        <v>9979</v>
      </c>
      <c r="Q538" s="11" t="s">
        <v>9980</v>
      </c>
      <c r="S538" s="4" t="b">
        <f>ISNUMBER(MATCH(Q538,T:T,0))</f>
        <v>1</v>
      </c>
      <c r="T538" s="4" t="s">
        <v>11216</v>
      </c>
      <c r="U538" s="4" t="str">
        <f t="shared" si="24"/>
        <v>潘</v>
      </c>
    </row>
    <row r="539" spans="1:22">
      <c r="A539" s="3">
        <v>4004</v>
      </c>
      <c r="B539" s="3" t="s">
        <v>8008</v>
      </c>
      <c r="C539" s="3" t="s">
        <v>6076</v>
      </c>
      <c r="D539" s="3" t="s">
        <v>5990</v>
      </c>
      <c r="E539" s="3" t="s">
        <v>6212</v>
      </c>
      <c r="F539" s="3" t="s">
        <v>8009</v>
      </c>
      <c r="G539" s="3" t="s">
        <v>5993</v>
      </c>
      <c r="H539" s="3" t="s">
        <v>1314</v>
      </c>
      <c r="I539" s="3" t="s">
        <v>6836</v>
      </c>
      <c r="J539" s="5" t="s">
        <v>1315</v>
      </c>
      <c r="M539" s="3">
        <v>5</v>
      </c>
      <c r="N539" s="4" t="s">
        <v>8009</v>
      </c>
      <c r="O539" s="4">
        <v>26</v>
      </c>
      <c r="P539" s="11" t="s">
        <v>9766</v>
      </c>
      <c r="Q539" s="11" t="s">
        <v>9974</v>
      </c>
      <c r="R539" s="4" t="s">
        <v>13027</v>
      </c>
      <c r="S539" s="4" t="b">
        <f>ISNUMBER(MATCH(Q539,T:T,0))</f>
        <v>0</v>
      </c>
      <c r="T539" s="4" t="s">
        <v>12982</v>
      </c>
      <c r="U539" s="4" t="str">
        <f t="shared" si="24"/>
        <v>完</v>
      </c>
      <c r="V539" s="4" t="b">
        <f>ISNUMBER(MATCH(R539,T:T,0))</f>
        <v>1</v>
      </c>
    </row>
    <row r="540" spans="1:22">
      <c r="A540" s="3">
        <v>539</v>
      </c>
      <c r="B540" s="3" t="s">
        <v>8054</v>
      </c>
      <c r="C540" s="3" t="s">
        <v>6180</v>
      </c>
      <c r="D540" s="3" t="s">
        <v>6157</v>
      </c>
      <c r="E540" s="3" t="s">
        <v>5991</v>
      </c>
      <c r="F540" s="3" t="s">
        <v>8055</v>
      </c>
      <c r="G540" s="3" t="s">
        <v>5993</v>
      </c>
      <c r="H540" s="3" t="s">
        <v>8056</v>
      </c>
      <c r="I540" s="3" t="s">
        <v>6836</v>
      </c>
      <c r="J540" s="5" t="s">
        <v>8057</v>
      </c>
      <c r="L540" s="3" t="s">
        <v>8058</v>
      </c>
      <c r="M540" s="3">
        <v>5</v>
      </c>
      <c r="N540" s="4" t="s">
        <v>8055</v>
      </c>
      <c r="O540" s="4">
        <v>27</v>
      </c>
      <c r="P540" s="11" t="s">
        <v>9774</v>
      </c>
      <c r="Q540" s="11" t="s">
        <v>9981</v>
      </c>
      <c r="S540" s="4" t="b">
        <f>ISNUMBER(MATCH(Q540,T:T,0))</f>
        <v>1</v>
      </c>
      <c r="T540" s="4" t="s">
        <v>8055</v>
      </c>
      <c r="U540" s="4" t="str">
        <f t="shared" si="24"/>
        <v>姦</v>
      </c>
    </row>
    <row r="541" spans="1:22">
      <c r="A541" s="3">
        <v>540</v>
      </c>
      <c r="B541" s="3" t="s">
        <v>8054</v>
      </c>
      <c r="C541" s="3" t="s">
        <v>6025</v>
      </c>
      <c r="D541" s="3" t="s">
        <v>6157</v>
      </c>
      <c r="E541" s="3" t="s">
        <v>6212</v>
      </c>
      <c r="F541" s="3" t="s">
        <v>8055</v>
      </c>
      <c r="G541" s="3" t="s">
        <v>5993</v>
      </c>
      <c r="H541" s="3" t="s">
        <v>8059</v>
      </c>
      <c r="I541" s="3" t="s">
        <v>6836</v>
      </c>
      <c r="J541" s="5" t="s">
        <v>7694</v>
      </c>
      <c r="L541" s="3" t="s">
        <v>8034</v>
      </c>
      <c r="M541" s="3">
        <v>6</v>
      </c>
      <c r="N541" s="4" t="s">
        <v>8055</v>
      </c>
      <c r="O541" s="4">
        <v>27</v>
      </c>
      <c r="P541" s="11" t="s">
        <v>9729</v>
      </c>
      <c r="Q541" s="11" t="s">
        <v>9982</v>
      </c>
      <c r="S541" s="4" t="b">
        <f>ISNUMBER(MATCH(Q541,T:T,0))</f>
        <v>1</v>
      </c>
      <c r="T541" s="4" t="s">
        <v>9983</v>
      </c>
      <c r="U541" s="4" t="str">
        <f t="shared" si="24"/>
        <v>還</v>
      </c>
    </row>
    <row r="542" spans="1:22">
      <c r="A542" s="3">
        <v>541</v>
      </c>
      <c r="B542" s="3" t="s">
        <v>8054</v>
      </c>
      <c r="C542" s="3" t="s">
        <v>6072</v>
      </c>
      <c r="D542" s="3" t="s">
        <v>6157</v>
      </c>
      <c r="E542" s="3" t="s">
        <v>6212</v>
      </c>
      <c r="F542" s="3" t="s">
        <v>8055</v>
      </c>
      <c r="G542" s="3" t="s">
        <v>5993</v>
      </c>
      <c r="H542" s="3" t="s">
        <v>8060</v>
      </c>
      <c r="I542" s="3" t="s">
        <v>6836</v>
      </c>
      <c r="J542" s="5" t="s">
        <v>8061</v>
      </c>
      <c r="L542" s="3" t="s">
        <v>8019</v>
      </c>
      <c r="M542" s="3">
        <v>5</v>
      </c>
      <c r="N542" s="4" t="s">
        <v>8055</v>
      </c>
      <c r="O542" s="4">
        <v>27</v>
      </c>
      <c r="P542" s="11" t="s">
        <v>9734</v>
      </c>
      <c r="Q542" s="11" t="s">
        <v>9983</v>
      </c>
      <c r="S542" s="4" t="b">
        <f>ISNUMBER(MATCH(Q542,T:T,0))</f>
        <v>1</v>
      </c>
      <c r="T542" s="4" t="s">
        <v>11217</v>
      </c>
      <c r="U542" s="4" t="str">
        <f t="shared" si="24"/>
        <v>關</v>
      </c>
    </row>
    <row r="543" spans="1:22" ht="28.5">
      <c r="A543" s="3">
        <v>542</v>
      </c>
      <c r="B543" s="3" t="s">
        <v>8054</v>
      </c>
      <c r="C543" s="3" t="s">
        <v>6180</v>
      </c>
      <c r="D543" s="3" t="s">
        <v>6157</v>
      </c>
      <c r="E543" s="3" t="s">
        <v>6212</v>
      </c>
      <c r="F543" s="3" t="s">
        <v>8055</v>
      </c>
      <c r="G543" s="3" t="s">
        <v>5993</v>
      </c>
      <c r="H543" s="3" t="s">
        <v>8062</v>
      </c>
      <c r="I543" s="3" t="s">
        <v>6836</v>
      </c>
      <c r="J543" s="5" t="s">
        <v>8063</v>
      </c>
      <c r="L543" s="3" t="s">
        <v>8064</v>
      </c>
      <c r="M543" s="3">
        <v>1</v>
      </c>
      <c r="N543" s="4" t="s">
        <v>8055</v>
      </c>
      <c r="O543" s="4">
        <v>27</v>
      </c>
      <c r="P543" s="11" t="s">
        <v>9984</v>
      </c>
      <c r="Q543" s="11" t="s">
        <v>9982</v>
      </c>
      <c r="S543" s="4" t="b">
        <f>ISNUMBER(MATCH(Q543,T:T,0))</f>
        <v>1</v>
      </c>
      <c r="T543" s="4" t="s">
        <v>11218</v>
      </c>
      <c r="U543" s="4" t="str">
        <f t="shared" si="24"/>
        <v>還</v>
      </c>
    </row>
    <row r="544" spans="1:22" ht="39">
      <c r="A544" s="3">
        <v>543</v>
      </c>
      <c r="B544" s="3" t="s">
        <v>8054</v>
      </c>
      <c r="C544" s="3" t="s">
        <v>6067</v>
      </c>
      <c r="D544" s="3" t="s">
        <v>6157</v>
      </c>
      <c r="E544" s="3" t="s">
        <v>6212</v>
      </c>
      <c r="F544" s="3" t="s">
        <v>8055</v>
      </c>
      <c r="G544" s="3" t="s">
        <v>5993</v>
      </c>
      <c r="H544" s="7" t="s">
        <v>698</v>
      </c>
      <c r="I544" s="3" t="s">
        <v>6836</v>
      </c>
      <c r="J544" s="5" t="s">
        <v>7695</v>
      </c>
      <c r="L544" s="3" t="s">
        <v>8014</v>
      </c>
      <c r="M544" s="3">
        <v>20</v>
      </c>
      <c r="N544" s="4" t="s">
        <v>8055</v>
      </c>
      <c r="O544" s="4">
        <v>27</v>
      </c>
      <c r="P544" s="11" t="s">
        <v>9731</v>
      </c>
      <c r="Q544" s="11" t="s">
        <v>9983</v>
      </c>
      <c r="S544" s="4" t="b">
        <f>ISNUMBER(MATCH(Q544,T:T,0))</f>
        <v>1</v>
      </c>
      <c r="T544" s="4" t="s">
        <v>9982</v>
      </c>
      <c r="U544" s="4" t="str">
        <f t="shared" si="24"/>
        <v>關</v>
      </c>
    </row>
    <row r="545" spans="1:22">
      <c r="A545" s="3">
        <v>544</v>
      </c>
      <c r="B545" s="3" t="s">
        <v>8054</v>
      </c>
      <c r="C545" s="3" t="s">
        <v>6049</v>
      </c>
      <c r="D545" s="3" t="s">
        <v>6157</v>
      </c>
      <c r="E545" s="3" t="s">
        <v>5991</v>
      </c>
      <c r="F545" s="3" t="s">
        <v>8055</v>
      </c>
      <c r="G545" s="3" t="s">
        <v>5993</v>
      </c>
      <c r="H545" s="3" t="s">
        <v>8065</v>
      </c>
      <c r="I545" s="3" t="s">
        <v>6836</v>
      </c>
      <c r="J545" s="5" t="s">
        <v>7696</v>
      </c>
      <c r="L545" s="3" t="s">
        <v>8053</v>
      </c>
      <c r="M545" s="3">
        <v>13</v>
      </c>
      <c r="N545" s="4" t="s">
        <v>8055</v>
      </c>
      <c r="O545" s="4">
        <v>27</v>
      </c>
      <c r="P545" s="11" t="s">
        <v>9921</v>
      </c>
      <c r="Q545" s="11" t="s">
        <v>9982</v>
      </c>
      <c r="S545" s="4" t="b">
        <f>ISNUMBER(MATCH(Q545,T:T,0))</f>
        <v>1</v>
      </c>
      <c r="T545" s="4" t="s">
        <v>9986</v>
      </c>
      <c r="U545" s="4" t="str">
        <f t="shared" si="24"/>
        <v>還</v>
      </c>
    </row>
    <row r="546" spans="1:22">
      <c r="A546" s="3">
        <v>545</v>
      </c>
      <c r="B546" s="3" t="s">
        <v>8054</v>
      </c>
      <c r="C546" s="3" t="s">
        <v>6035</v>
      </c>
      <c r="D546" s="3" t="s">
        <v>6157</v>
      </c>
      <c r="E546" s="3" t="s">
        <v>5991</v>
      </c>
      <c r="F546" s="3" t="s">
        <v>8055</v>
      </c>
      <c r="G546" s="3" t="s">
        <v>5993</v>
      </c>
      <c r="H546" s="3" t="s">
        <v>8066</v>
      </c>
      <c r="I546" s="3" t="s">
        <v>6836</v>
      </c>
      <c r="J546" s="5" t="s">
        <v>8067</v>
      </c>
      <c r="L546" s="3" t="s">
        <v>8047</v>
      </c>
      <c r="M546" s="3">
        <v>7</v>
      </c>
      <c r="N546" s="4" t="s">
        <v>8055</v>
      </c>
      <c r="O546" s="4">
        <v>27</v>
      </c>
      <c r="P546" s="11" t="s">
        <v>9719</v>
      </c>
      <c r="Q546" s="11" t="s">
        <v>9982</v>
      </c>
      <c r="S546" s="4" t="b">
        <f>ISNUMBER(MATCH(Q546,T:T,0))</f>
        <v>1</v>
      </c>
      <c r="T546" s="4" t="s">
        <v>11219</v>
      </c>
      <c r="U546" s="4" t="str">
        <f t="shared" si="24"/>
        <v>還</v>
      </c>
    </row>
    <row r="547" spans="1:22">
      <c r="A547" s="3">
        <v>546</v>
      </c>
      <c r="B547" s="3" t="s">
        <v>8054</v>
      </c>
      <c r="C547" s="3" t="s">
        <v>6092</v>
      </c>
      <c r="D547" s="3" t="s">
        <v>6157</v>
      </c>
      <c r="E547" s="3" t="s">
        <v>5991</v>
      </c>
      <c r="F547" s="3" t="s">
        <v>8055</v>
      </c>
      <c r="G547" s="3" t="s">
        <v>5993</v>
      </c>
      <c r="H547" s="3" t="s">
        <v>8068</v>
      </c>
      <c r="I547" s="3" t="s">
        <v>6836</v>
      </c>
      <c r="J547" s="5" t="s">
        <v>7697</v>
      </c>
      <c r="L547" s="3" t="s">
        <v>6849</v>
      </c>
      <c r="M547" s="3">
        <v>2</v>
      </c>
      <c r="N547" s="4" t="s">
        <v>8055</v>
      </c>
      <c r="O547" s="4">
        <v>27</v>
      </c>
      <c r="P547" s="11" t="s">
        <v>9740</v>
      </c>
      <c r="Q547" s="11" t="s">
        <v>9981</v>
      </c>
      <c r="S547" s="4" t="b">
        <f>ISNUMBER(MATCH(Q547,T:T,0))</f>
        <v>1</v>
      </c>
      <c r="T547" s="4" t="s">
        <v>11220</v>
      </c>
      <c r="U547" s="4" t="str">
        <f t="shared" si="24"/>
        <v>姦</v>
      </c>
    </row>
    <row r="548" spans="1:22">
      <c r="A548" s="3">
        <v>547</v>
      </c>
      <c r="B548" s="3" t="s">
        <v>8054</v>
      </c>
      <c r="C548" s="3" t="s">
        <v>6025</v>
      </c>
      <c r="D548" s="3" t="s">
        <v>6157</v>
      </c>
      <c r="E548" s="3" t="s">
        <v>5991</v>
      </c>
      <c r="F548" s="3" t="s">
        <v>8055</v>
      </c>
      <c r="G548" s="3" t="s">
        <v>5993</v>
      </c>
      <c r="H548" s="3" t="s">
        <v>699</v>
      </c>
      <c r="I548" s="3" t="s">
        <v>6836</v>
      </c>
      <c r="J548" s="5" t="s">
        <v>8069</v>
      </c>
      <c r="L548" s="3" t="s">
        <v>6856</v>
      </c>
      <c r="M548" s="3">
        <v>4</v>
      </c>
      <c r="N548" s="4" t="s">
        <v>8055</v>
      </c>
      <c r="O548" s="4">
        <v>27</v>
      </c>
      <c r="P548" s="11" t="s">
        <v>9729</v>
      </c>
      <c r="Q548" s="11" t="s">
        <v>9985</v>
      </c>
      <c r="R548" s="4" t="s">
        <v>13028</v>
      </c>
      <c r="S548" s="4" t="b">
        <f>ISNUMBER(MATCH(Q548,T:T,0))</f>
        <v>0</v>
      </c>
      <c r="T548" s="4" t="s">
        <v>9981</v>
      </c>
      <c r="U548" s="4" t="str">
        <f t="shared" si="24"/>
        <v>顏</v>
      </c>
      <c r="V548" s="4" t="b">
        <f>ISNUMBER(MATCH(R548,T:T,0))</f>
        <v>1</v>
      </c>
    </row>
    <row r="549" spans="1:22">
      <c r="A549" s="3">
        <v>548</v>
      </c>
      <c r="B549" s="3" t="s">
        <v>8054</v>
      </c>
      <c r="C549" s="3" t="s">
        <v>6053</v>
      </c>
      <c r="D549" s="3" t="s">
        <v>6157</v>
      </c>
      <c r="E549" s="3" t="s">
        <v>5991</v>
      </c>
      <c r="F549" s="3" t="s">
        <v>8055</v>
      </c>
      <c r="G549" s="3" t="s">
        <v>5993</v>
      </c>
      <c r="H549" s="3" t="s">
        <v>8070</v>
      </c>
      <c r="I549" s="3" t="s">
        <v>6836</v>
      </c>
      <c r="J549" s="5" t="s">
        <v>8071</v>
      </c>
      <c r="L549" s="3" t="s">
        <v>8050</v>
      </c>
      <c r="M549" s="3">
        <v>3</v>
      </c>
      <c r="N549" s="4" t="s">
        <v>8055</v>
      </c>
      <c r="O549" s="4">
        <v>27</v>
      </c>
      <c r="P549" s="11" t="s">
        <v>9884</v>
      </c>
      <c r="Q549" s="11" t="s">
        <v>9986</v>
      </c>
      <c r="S549" s="4" t="b">
        <f>ISNUMBER(MATCH(Q549,T:T,0))</f>
        <v>1</v>
      </c>
      <c r="T549" s="4" t="s">
        <v>11221</v>
      </c>
      <c r="U549" s="4" t="str">
        <f t="shared" si="24"/>
        <v>班</v>
      </c>
    </row>
    <row r="550" spans="1:22">
      <c r="A550" s="3">
        <v>549</v>
      </c>
      <c r="B550" s="3" t="s">
        <v>8054</v>
      </c>
      <c r="C550" s="3" t="s">
        <v>6137</v>
      </c>
      <c r="D550" s="3" t="s">
        <v>6157</v>
      </c>
      <c r="E550" s="3" t="s">
        <v>6212</v>
      </c>
      <c r="F550" s="3" t="s">
        <v>8055</v>
      </c>
      <c r="G550" s="3" t="s">
        <v>5993</v>
      </c>
      <c r="H550" s="3" t="s">
        <v>8072</v>
      </c>
      <c r="I550" s="3" t="s">
        <v>6836</v>
      </c>
      <c r="J550" s="5" t="s">
        <v>8073</v>
      </c>
      <c r="L550" s="3" t="s">
        <v>8012</v>
      </c>
      <c r="M550" s="3">
        <v>1</v>
      </c>
      <c r="N550" s="4" t="s">
        <v>8055</v>
      </c>
      <c r="O550" s="4">
        <v>27</v>
      </c>
      <c r="P550" s="11" t="s">
        <v>9744</v>
      </c>
      <c r="Q550" s="11" t="s">
        <v>9982</v>
      </c>
      <c r="S550" s="4" t="b">
        <f>ISNUMBER(MATCH(Q550,T:T,0))</f>
        <v>1</v>
      </c>
      <c r="T550" s="4" t="s">
        <v>8073</v>
      </c>
      <c r="U550" s="4" t="str">
        <f t="shared" si="24"/>
        <v>還</v>
      </c>
    </row>
    <row r="551" spans="1:22">
      <c r="A551" s="3">
        <v>550</v>
      </c>
      <c r="B551" s="3" t="s">
        <v>8054</v>
      </c>
      <c r="C551" s="3" t="s">
        <v>6092</v>
      </c>
      <c r="D551" s="3" t="s">
        <v>6157</v>
      </c>
      <c r="E551" s="3" t="s">
        <v>6212</v>
      </c>
      <c r="F551" s="3" t="s">
        <v>8055</v>
      </c>
      <c r="G551" s="3" t="s">
        <v>5993</v>
      </c>
      <c r="H551" s="3" t="s">
        <v>8074</v>
      </c>
      <c r="I551" s="3" t="s">
        <v>6836</v>
      </c>
      <c r="J551" s="5" t="s">
        <v>8075</v>
      </c>
      <c r="L551" s="3" t="s">
        <v>6867</v>
      </c>
      <c r="M551" s="3">
        <v>2</v>
      </c>
      <c r="N551" s="4" t="s">
        <v>8055</v>
      </c>
      <c r="O551" s="4">
        <v>27</v>
      </c>
      <c r="P551" s="11" t="s">
        <v>9740</v>
      </c>
      <c r="Q551" s="11" t="s">
        <v>9982</v>
      </c>
      <c r="S551" s="4" t="b">
        <f>ISNUMBER(MATCH(Q551,T:T,0))</f>
        <v>1</v>
      </c>
      <c r="T551" s="4" t="s">
        <v>11222</v>
      </c>
      <c r="U551" s="4" t="str">
        <f t="shared" si="24"/>
        <v>還</v>
      </c>
    </row>
    <row r="552" spans="1:22">
      <c r="A552" s="3">
        <v>551</v>
      </c>
      <c r="B552" s="3" t="s">
        <v>8054</v>
      </c>
      <c r="C552" s="3" t="s">
        <v>6038</v>
      </c>
      <c r="D552" s="3" t="s">
        <v>6157</v>
      </c>
      <c r="E552" s="3" t="s">
        <v>5991</v>
      </c>
      <c r="F552" s="3" t="s">
        <v>8055</v>
      </c>
      <c r="G552" s="3" t="s">
        <v>5993</v>
      </c>
      <c r="H552" s="3" t="s">
        <v>8076</v>
      </c>
      <c r="I552" s="3" t="s">
        <v>6836</v>
      </c>
      <c r="J552" s="5" t="s">
        <v>8077</v>
      </c>
      <c r="L552" s="3" t="s">
        <v>6851</v>
      </c>
      <c r="M552" s="3">
        <v>1</v>
      </c>
      <c r="N552" s="4" t="s">
        <v>8055</v>
      </c>
      <c r="O552" s="4">
        <v>27</v>
      </c>
      <c r="P552" s="11" t="s">
        <v>9825</v>
      </c>
      <c r="Q552" s="11" t="s">
        <v>9981</v>
      </c>
      <c r="S552" s="4" t="b">
        <f>ISNUMBER(MATCH(Q552,T:T,0))</f>
        <v>1</v>
      </c>
      <c r="T552" s="4" t="s">
        <v>8077</v>
      </c>
      <c r="U552" s="4" t="str">
        <f t="shared" si="24"/>
        <v>姦</v>
      </c>
    </row>
    <row r="553" spans="1:22">
      <c r="A553" s="3">
        <v>552</v>
      </c>
      <c r="B553" s="3" t="s">
        <v>8054</v>
      </c>
      <c r="C553" s="3" t="s">
        <v>6038</v>
      </c>
      <c r="D553" s="3" t="s">
        <v>6157</v>
      </c>
      <c r="E553" s="3" t="s">
        <v>5991</v>
      </c>
      <c r="F553" s="3" t="s">
        <v>8055</v>
      </c>
      <c r="G553" s="3" t="s">
        <v>5993</v>
      </c>
      <c r="H553" s="3" t="s">
        <v>700</v>
      </c>
      <c r="I553" s="3" t="s">
        <v>6836</v>
      </c>
      <c r="J553" s="5" t="s">
        <v>7698</v>
      </c>
      <c r="L553" s="3" t="s">
        <v>6851</v>
      </c>
      <c r="M553" s="3">
        <v>2</v>
      </c>
      <c r="N553" s="4" t="s">
        <v>8055</v>
      </c>
      <c r="O553" s="4">
        <v>27</v>
      </c>
      <c r="P553" s="11" t="s">
        <v>9987</v>
      </c>
      <c r="Q553" s="11" t="s">
        <v>9985</v>
      </c>
      <c r="R553" s="4" t="s">
        <v>13028</v>
      </c>
      <c r="S553" s="4" t="b">
        <f>ISNUMBER(MATCH(Q553,T:T,0))</f>
        <v>0</v>
      </c>
      <c r="T553" s="4" t="s">
        <v>11192</v>
      </c>
      <c r="U553" s="4" t="str">
        <f t="shared" si="24"/>
        <v>顏</v>
      </c>
      <c r="V553" s="4" t="b">
        <f t="shared" ref="V553:V556" si="26">ISNUMBER(MATCH(R553,T:T,0))</f>
        <v>1</v>
      </c>
    </row>
    <row r="554" spans="1:22" ht="28.5">
      <c r="A554" s="3">
        <v>553</v>
      </c>
      <c r="B554" s="3" t="s">
        <v>8054</v>
      </c>
      <c r="C554" s="3" t="s">
        <v>6318</v>
      </c>
      <c r="D554" s="3" t="s">
        <v>6157</v>
      </c>
      <c r="E554" s="3" t="s">
        <v>6212</v>
      </c>
      <c r="F554" s="3" t="s">
        <v>8055</v>
      </c>
      <c r="G554" s="3" t="s">
        <v>5993</v>
      </c>
      <c r="H554" s="3" t="s">
        <v>8078</v>
      </c>
      <c r="I554" s="3" t="s">
        <v>6836</v>
      </c>
      <c r="J554" s="5" t="s">
        <v>8079</v>
      </c>
      <c r="L554" s="3" t="s">
        <v>8080</v>
      </c>
      <c r="M554" s="3">
        <v>1</v>
      </c>
      <c r="N554" s="4" t="s">
        <v>8055</v>
      </c>
      <c r="O554" s="4">
        <v>27</v>
      </c>
      <c r="P554" s="11" t="s">
        <v>9988</v>
      </c>
      <c r="Q554" s="11" t="s">
        <v>9989</v>
      </c>
      <c r="R554" s="12" t="s">
        <v>13029</v>
      </c>
      <c r="S554" s="4" t="b">
        <f>ISNUMBER(MATCH(Q554,T:T,0))</f>
        <v>0</v>
      </c>
      <c r="T554" s="4" t="s">
        <v>8079</v>
      </c>
      <c r="U554" s="4" t="str">
        <f t="shared" si="24"/>
        <v>𤸷</v>
      </c>
      <c r="V554" s="4" t="b">
        <f t="shared" si="26"/>
        <v>1</v>
      </c>
    </row>
    <row r="555" spans="1:22">
      <c r="A555" s="3">
        <v>554</v>
      </c>
      <c r="B555" s="3" t="s">
        <v>8081</v>
      </c>
      <c r="C555" s="3" t="s">
        <v>6180</v>
      </c>
      <c r="D555" s="3" t="s">
        <v>6157</v>
      </c>
      <c r="E555" s="3" t="s">
        <v>5991</v>
      </c>
      <c r="F555" s="3" t="s">
        <v>6836</v>
      </c>
      <c r="G555" s="3" t="s">
        <v>5993</v>
      </c>
      <c r="H555" s="3" t="s">
        <v>8082</v>
      </c>
      <c r="I555" s="3" t="s">
        <v>6836</v>
      </c>
      <c r="J555" s="5" t="s">
        <v>7699</v>
      </c>
      <c r="L555" s="3" t="s">
        <v>8058</v>
      </c>
      <c r="M555" s="3">
        <v>3</v>
      </c>
      <c r="N555" s="4" t="s">
        <v>6836</v>
      </c>
      <c r="O555" s="4">
        <v>28</v>
      </c>
      <c r="P555" s="11" t="s">
        <v>9774</v>
      </c>
      <c r="Q555" s="11" t="s">
        <v>9990</v>
      </c>
      <c r="R555" s="4" t="s">
        <v>13030</v>
      </c>
      <c r="S555" s="4" t="b">
        <f>ISNUMBER(MATCH(Q555,T:T,0))</f>
        <v>0</v>
      </c>
      <c r="T555" s="4" t="s">
        <v>6836</v>
      </c>
      <c r="U555" s="4" t="str">
        <f t="shared" si="24"/>
        <v>間閑</v>
      </c>
      <c r="V555" s="4" t="b">
        <f t="shared" si="26"/>
        <v>0</v>
      </c>
    </row>
    <row r="556" spans="1:22">
      <c r="A556" s="3">
        <v>555</v>
      </c>
      <c r="B556" s="3" t="s">
        <v>8081</v>
      </c>
      <c r="C556" s="3" t="s">
        <v>6025</v>
      </c>
      <c r="D556" s="3" t="s">
        <v>6157</v>
      </c>
      <c r="E556" s="3" t="s">
        <v>6212</v>
      </c>
      <c r="F556" s="3" t="s">
        <v>6836</v>
      </c>
      <c r="G556" s="3" t="s">
        <v>5993</v>
      </c>
      <c r="H556" s="3" t="s">
        <v>8083</v>
      </c>
      <c r="I556" s="3" t="s">
        <v>6836</v>
      </c>
      <c r="J556" s="5" t="s">
        <v>8084</v>
      </c>
      <c r="L556" s="3" t="s">
        <v>8034</v>
      </c>
      <c r="M556" s="3">
        <v>3</v>
      </c>
      <c r="N556" s="4" t="s">
        <v>6836</v>
      </c>
      <c r="O556" s="4">
        <v>28</v>
      </c>
      <c r="P556" s="11" t="s">
        <v>9729</v>
      </c>
      <c r="Q556" s="11" t="s">
        <v>9989</v>
      </c>
      <c r="S556" s="4" t="b">
        <f>ISNUMBER(MATCH(Q556,T:T,0))</f>
        <v>0</v>
      </c>
      <c r="T556" s="4" t="s">
        <v>2159</v>
      </c>
      <c r="U556" s="4" t="str">
        <f t="shared" si="24"/>
        <v>頑</v>
      </c>
      <c r="V556" s="4" t="b">
        <f t="shared" si="26"/>
        <v>0</v>
      </c>
    </row>
    <row r="557" spans="1:22">
      <c r="A557" s="3">
        <v>556</v>
      </c>
      <c r="B557" s="3" t="s">
        <v>8081</v>
      </c>
      <c r="C557" s="3" t="s">
        <v>6025</v>
      </c>
      <c r="D557" s="3" t="s">
        <v>6157</v>
      </c>
      <c r="E557" s="3" t="s">
        <v>5991</v>
      </c>
      <c r="F557" s="3" t="s">
        <v>6836</v>
      </c>
      <c r="G557" s="3" t="s">
        <v>5993</v>
      </c>
      <c r="H557" s="3" t="s">
        <v>8085</v>
      </c>
      <c r="I557" s="3" t="s">
        <v>6836</v>
      </c>
      <c r="J557" s="5" t="s">
        <v>7700</v>
      </c>
      <c r="L557" s="3" t="s">
        <v>6856</v>
      </c>
      <c r="M557" s="3">
        <v>6</v>
      </c>
      <c r="N557" s="4" t="s">
        <v>6836</v>
      </c>
      <c r="O557" s="4">
        <v>28</v>
      </c>
      <c r="P557" s="11" t="s">
        <v>9729</v>
      </c>
      <c r="Q557" s="11" t="s">
        <v>9991</v>
      </c>
      <c r="S557" s="4" t="b">
        <f>ISNUMBER(MATCH(Q557,T:T,0))</f>
        <v>1</v>
      </c>
      <c r="T557" s="4" t="s">
        <v>11223</v>
      </c>
      <c r="U557" s="4" t="str">
        <f t="shared" si="24"/>
        <v>閑</v>
      </c>
    </row>
    <row r="558" spans="1:22">
      <c r="A558" s="3">
        <v>557</v>
      </c>
      <c r="B558" s="3" t="s">
        <v>8081</v>
      </c>
      <c r="C558" s="3" t="s">
        <v>6067</v>
      </c>
      <c r="D558" s="3" t="s">
        <v>6157</v>
      </c>
      <c r="E558" s="3" t="s">
        <v>5991</v>
      </c>
      <c r="F558" s="3" t="s">
        <v>6836</v>
      </c>
      <c r="G558" s="3" t="s">
        <v>5993</v>
      </c>
      <c r="H558" s="7" t="s">
        <v>701</v>
      </c>
      <c r="I558" s="3" t="s">
        <v>6836</v>
      </c>
      <c r="J558" s="5" t="s">
        <v>7701</v>
      </c>
      <c r="L558" s="3" t="s">
        <v>8086</v>
      </c>
      <c r="M558" s="3">
        <v>9</v>
      </c>
      <c r="N558" s="4" t="s">
        <v>6836</v>
      </c>
      <c r="O558" s="4">
        <v>28</v>
      </c>
      <c r="P558" s="11" t="s">
        <v>9731</v>
      </c>
      <c r="Q558" s="11" t="s">
        <v>9990</v>
      </c>
      <c r="R558" s="4" t="s">
        <v>13030</v>
      </c>
      <c r="S558" s="4" t="b">
        <f>ISNUMBER(MATCH(Q558,T:T,0))</f>
        <v>0</v>
      </c>
      <c r="T558" s="4" t="s">
        <v>9991</v>
      </c>
      <c r="U558" s="4" t="str">
        <f t="shared" si="24"/>
        <v>間閑</v>
      </c>
      <c r="V558" s="4" t="b">
        <f>ISNUMBER(MATCH(R558,T:T,0))</f>
        <v>0</v>
      </c>
    </row>
    <row r="559" spans="1:22">
      <c r="A559" s="3">
        <v>558</v>
      </c>
      <c r="B559" s="3" t="s">
        <v>8081</v>
      </c>
      <c r="C559" s="3" t="s">
        <v>6038</v>
      </c>
      <c r="D559" s="3" t="s">
        <v>6157</v>
      </c>
      <c r="E559" s="3" t="s">
        <v>5991</v>
      </c>
      <c r="F559" s="3" t="s">
        <v>6836</v>
      </c>
      <c r="G559" s="3" t="s">
        <v>5993</v>
      </c>
      <c r="H559" s="3" t="s">
        <v>8087</v>
      </c>
      <c r="I559" s="3" t="s">
        <v>6836</v>
      </c>
      <c r="J559" s="5" t="s">
        <v>7702</v>
      </c>
      <c r="L559" s="3" t="s">
        <v>6851</v>
      </c>
      <c r="M559" s="3">
        <v>8</v>
      </c>
      <c r="N559" s="4" t="s">
        <v>6836</v>
      </c>
      <c r="O559" s="4">
        <v>28</v>
      </c>
      <c r="P559" s="11" t="s">
        <v>9728</v>
      </c>
      <c r="Q559" s="11" t="s">
        <v>9991</v>
      </c>
      <c r="S559" s="4" t="b">
        <f>ISNUMBER(MATCH(Q559,T:T,0))</f>
        <v>1</v>
      </c>
      <c r="T559" s="4" t="s">
        <v>11224</v>
      </c>
      <c r="U559" s="4" t="str">
        <f t="shared" si="24"/>
        <v>閑</v>
      </c>
    </row>
    <row r="560" spans="1:22">
      <c r="A560" s="3">
        <v>559</v>
      </c>
      <c r="B560" s="3" t="s">
        <v>8081</v>
      </c>
      <c r="C560" s="3" t="s">
        <v>6015</v>
      </c>
      <c r="D560" s="3" t="s">
        <v>6157</v>
      </c>
      <c r="E560" s="3" t="s">
        <v>5991</v>
      </c>
      <c r="F560" s="3" t="s">
        <v>6836</v>
      </c>
      <c r="G560" s="3" t="s">
        <v>5993</v>
      </c>
      <c r="H560" s="3" t="s">
        <v>8088</v>
      </c>
      <c r="I560" s="3" t="s">
        <v>6836</v>
      </c>
      <c r="J560" s="5" t="s">
        <v>8089</v>
      </c>
      <c r="L560" s="3" t="s">
        <v>8090</v>
      </c>
      <c r="M560" s="3">
        <v>7</v>
      </c>
      <c r="N560" s="4" t="s">
        <v>6836</v>
      </c>
      <c r="O560" s="4">
        <v>28</v>
      </c>
      <c r="P560" s="11" t="s">
        <v>9777</v>
      </c>
      <c r="Q560" s="11" t="s">
        <v>6836</v>
      </c>
      <c r="S560" s="4" t="b">
        <f>ISNUMBER(MATCH(Q560,T:T,0))</f>
        <v>1</v>
      </c>
      <c r="T560" s="4" t="s">
        <v>11225</v>
      </c>
      <c r="U560" s="4" t="str">
        <f t="shared" si="24"/>
        <v>山</v>
      </c>
    </row>
    <row r="561" spans="1:22">
      <c r="A561" s="3">
        <v>560</v>
      </c>
      <c r="B561" s="3" t="s">
        <v>8081</v>
      </c>
      <c r="C561" s="3" t="s">
        <v>6089</v>
      </c>
      <c r="D561" s="3" t="s">
        <v>6157</v>
      </c>
      <c r="E561" s="3" t="s">
        <v>5991</v>
      </c>
      <c r="F561" s="3" t="s">
        <v>6836</v>
      </c>
      <c r="G561" s="3" t="s">
        <v>5993</v>
      </c>
      <c r="H561" s="3" t="s">
        <v>8091</v>
      </c>
      <c r="I561" s="3" t="s">
        <v>6836</v>
      </c>
      <c r="J561" s="8" t="s">
        <v>8092</v>
      </c>
      <c r="L561" s="3" t="s">
        <v>6853</v>
      </c>
      <c r="M561" s="3">
        <v>1</v>
      </c>
      <c r="N561" s="4" t="s">
        <v>6836</v>
      </c>
      <c r="O561" s="4">
        <v>28</v>
      </c>
      <c r="P561" s="11" t="s">
        <v>9753</v>
      </c>
      <c r="Q561" s="11" t="s">
        <v>9990</v>
      </c>
      <c r="R561" s="4" t="s">
        <v>13030</v>
      </c>
      <c r="S561" s="4" t="b">
        <f>ISNUMBER(MATCH(Q561,T:T,0))</f>
        <v>0</v>
      </c>
      <c r="T561" s="4" t="s">
        <v>8092</v>
      </c>
      <c r="U561" s="4" t="str">
        <f t="shared" si="24"/>
        <v>間閑</v>
      </c>
      <c r="V561" s="4" t="b">
        <f>ISNUMBER(MATCH(R561,T:T,0))</f>
        <v>0</v>
      </c>
    </row>
    <row r="562" spans="1:22">
      <c r="A562" s="3">
        <v>561</v>
      </c>
      <c r="B562" s="3" t="s">
        <v>8081</v>
      </c>
      <c r="C562" s="3" t="s">
        <v>6092</v>
      </c>
      <c r="D562" s="3" t="s">
        <v>6157</v>
      </c>
      <c r="E562" s="3" t="s">
        <v>5991</v>
      </c>
      <c r="F562" s="3" t="s">
        <v>6836</v>
      </c>
      <c r="G562" s="3" t="s">
        <v>5993</v>
      </c>
      <c r="H562" s="3" t="s">
        <v>8093</v>
      </c>
      <c r="I562" s="3" t="s">
        <v>6836</v>
      </c>
      <c r="J562" s="8" t="s">
        <v>7703</v>
      </c>
      <c r="L562" s="3" t="s">
        <v>6849</v>
      </c>
      <c r="M562" s="3">
        <v>4</v>
      </c>
      <c r="N562" s="4" t="s">
        <v>6836</v>
      </c>
      <c r="O562" s="4">
        <v>28</v>
      </c>
      <c r="P562" s="11" t="s">
        <v>9740</v>
      </c>
      <c r="Q562" s="11" t="s">
        <v>9991</v>
      </c>
      <c r="S562" s="4" t="b">
        <f>ISNUMBER(MATCH(Q562,T:T,0))</f>
        <v>1</v>
      </c>
      <c r="T562" s="4" t="s">
        <v>11226</v>
      </c>
      <c r="U562" s="4" t="str">
        <f t="shared" si="24"/>
        <v>閑</v>
      </c>
    </row>
    <row r="563" spans="1:22">
      <c r="A563" s="3">
        <v>562</v>
      </c>
      <c r="B563" s="3" t="s">
        <v>8081</v>
      </c>
      <c r="C563" s="3" t="s">
        <v>6072</v>
      </c>
      <c r="D563" s="3" t="s">
        <v>6157</v>
      </c>
      <c r="E563" s="3" t="s">
        <v>5991</v>
      </c>
      <c r="F563" s="3" t="s">
        <v>6836</v>
      </c>
      <c r="G563" s="3" t="s">
        <v>5993</v>
      </c>
      <c r="H563" s="3" t="s">
        <v>8094</v>
      </c>
      <c r="I563" s="3" t="s">
        <v>6836</v>
      </c>
      <c r="J563" s="5" t="s">
        <v>8095</v>
      </c>
      <c r="L563" s="3" t="s">
        <v>6859</v>
      </c>
      <c r="M563" s="3">
        <v>5</v>
      </c>
      <c r="N563" s="4" t="s">
        <v>6836</v>
      </c>
      <c r="O563" s="4">
        <v>28</v>
      </c>
      <c r="P563" s="11" t="s">
        <v>9734</v>
      </c>
      <c r="Q563" s="11" t="s">
        <v>9991</v>
      </c>
      <c r="S563" s="4" t="b">
        <f>ISNUMBER(MATCH(Q563,T:T,0))</f>
        <v>1</v>
      </c>
      <c r="T563" s="4" t="s">
        <v>11227</v>
      </c>
      <c r="U563" s="4" t="str">
        <f t="shared" si="24"/>
        <v>閑</v>
      </c>
    </row>
    <row r="564" spans="1:22">
      <c r="A564" s="3">
        <v>563</v>
      </c>
      <c r="B564" s="3" t="s">
        <v>8081</v>
      </c>
      <c r="C564" s="3" t="s">
        <v>6049</v>
      </c>
      <c r="D564" s="3" t="s">
        <v>6157</v>
      </c>
      <c r="E564" s="3" t="s">
        <v>5991</v>
      </c>
      <c r="F564" s="3" t="s">
        <v>6836</v>
      </c>
      <c r="G564" s="3" t="s">
        <v>5993</v>
      </c>
      <c r="H564" s="3" t="s">
        <v>8096</v>
      </c>
      <c r="I564" s="3" t="s">
        <v>6836</v>
      </c>
      <c r="J564" s="5" t="s">
        <v>8097</v>
      </c>
      <c r="L564" s="3" t="s">
        <v>8053</v>
      </c>
      <c r="M564" s="3">
        <v>2</v>
      </c>
      <c r="N564" s="4" t="s">
        <v>6836</v>
      </c>
      <c r="O564" s="4">
        <v>28</v>
      </c>
      <c r="P564" s="11" t="s">
        <v>9723</v>
      </c>
      <c r="Q564" s="11" t="s">
        <v>9991</v>
      </c>
      <c r="S564" s="4" t="b">
        <f>ISNUMBER(MATCH(Q564,T:T,0))</f>
        <v>1</v>
      </c>
      <c r="T564" s="4" t="s">
        <v>11228</v>
      </c>
      <c r="U564" s="4" t="str">
        <f t="shared" si="24"/>
        <v>閑</v>
      </c>
    </row>
    <row r="565" spans="1:22">
      <c r="A565" s="3">
        <v>564</v>
      </c>
      <c r="B565" s="3" t="s">
        <v>8081</v>
      </c>
      <c r="C565" s="3" t="s">
        <v>6058</v>
      </c>
      <c r="D565" s="3" t="s">
        <v>6157</v>
      </c>
      <c r="E565" s="3" t="s">
        <v>5991</v>
      </c>
      <c r="F565" s="3" t="s">
        <v>6836</v>
      </c>
      <c r="G565" s="3" t="s">
        <v>5993</v>
      </c>
      <c r="H565" s="3" t="s">
        <v>8098</v>
      </c>
      <c r="I565" s="3" t="s">
        <v>6836</v>
      </c>
      <c r="J565" s="5" t="s">
        <v>8099</v>
      </c>
      <c r="L565" s="3" t="s">
        <v>6956</v>
      </c>
      <c r="M565" s="3">
        <v>4</v>
      </c>
      <c r="N565" s="4" t="s">
        <v>6836</v>
      </c>
      <c r="O565" s="4">
        <v>28</v>
      </c>
      <c r="P565" s="11" t="s">
        <v>9727</v>
      </c>
      <c r="Q565" s="11" t="s">
        <v>9991</v>
      </c>
      <c r="S565" s="4" t="b">
        <f>ISNUMBER(MATCH(Q565,T:T,0))</f>
        <v>1</v>
      </c>
      <c r="T565" s="4" t="s">
        <v>11229</v>
      </c>
      <c r="U565" s="4" t="str">
        <f t="shared" si="24"/>
        <v>閑</v>
      </c>
    </row>
    <row r="566" spans="1:22">
      <c r="A566" s="3">
        <v>565</v>
      </c>
      <c r="B566" s="3" t="s">
        <v>8081</v>
      </c>
      <c r="C566" s="3" t="s">
        <v>6137</v>
      </c>
      <c r="D566" s="3" t="s">
        <v>6157</v>
      </c>
      <c r="E566" s="3" t="s">
        <v>5991</v>
      </c>
      <c r="F566" s="3" t="s">
        <v>6836</v>
      </c>
      <c r="G566" s="3" t="s">
        <v>5993</v>
      </c>
      <c r="H566" s="3" t="s">
        <v>8100</v>
      </c>
      <c r="I566" s="3" t="s">
        <v>6836</v>
      </c>
      <c r="J566" s="8" t="s">
        <v>7704</v>
      </c>
      <c r="L566" s="3" t="s">
        <v>6940</v>
      </c>
      <c r="M566" s="3">
        <v>2</v>
      </c>
      <c r="N566" s="4" t="s">
        <v>6836</v>
      </c>
      <c r="O566" s="4">
        <v>28</v>
      </c>
      <c r="P566" s="11" t="s">
        <v>9755</v>
      </c>
      <c r="Q566" s="11" t="s">
        <v>9991</v>
      </c>
      <c r="S566" s="4" t="b">
        <f>ISNUMBER(MATCH(Q566,T:T,0))</f>
        <v>1</v>
      </c>
      <c r="T566" s="4" t="s">
        <v>11230</v>
      </c>
      <c r="U566" s="4" t="str">
        <f t="shared" si="24"/>
        <v>閑</v>
      </c>
    </row>
    <row r="567" spans="1:22">
      <c r="A567" s="3">
        <v>566</v>
      </c>
      <c r="B567" s="3" t="s">
        <v>8081</v>
      </c>
      <c r="C567" s="3" t="s">
        <v>6055</v>
      </c>
      <c r="D567" s="3" t="s">
        <v>6157</v>
      </c>
      <c r="E567" s="3" t="s">
        <v>5991</v>
      </c>
      <c r="F567" s="3" t="s">
        <v>6836</v>
      </c>
      <c r="G567" s="3" t="s">
        <v>5993</v>
      </c>
      <c r="H567" s="3" t="s">
        <v>8101</v>
      </c>
      <c r="I567" s="3" t="s">
        <v>6836</v>
      </c>
      <c r="J567" s="5" t="s">
        <v>8102</v>
      </c>
      <c r="M567" s="3">
        <v>1</v>
      </c>
      <c r="N567" s="4" t="s">
        <v>6836</v>
      </c>
      <c r="O567" s="4">
        <v>28</v>
      </c>
      <c r="P567" s="11" t="s">
        <v>9992</v>
      </c>
      <c r="Q567" s="11" t="s">
        <v>6836</v>
      </c>
      <c r="S567" s="4" t="b">
        <f>ISNUMBER(MATCH(Q567,T:T,0))</f>
        <v>1</v>
      </c>
      <c r="T567" s="4" t="s">
        <v>8102</v>
      </c>
      <c r="U567" s="4" t="str">
        <f t="shared" si="24"/>
        <v>山</v>
      </c>
    </row>
    <row r="568" spans="1:22">
      <c r="A568" s="3">
        <v>567</v>
      </c>
      <c r="B568" s="3" t="s">
        <v>8081</v>
      </c>
      <c r="C568" s="3" t="s">
        <v>6032</v>
      </c>
      <c r="D568" s="3" t="s">
        <v>6157</v>
      </c>
      <c r="E568" s="3" t="s">
        <v>6212</v>
      </c>
      <c r="F568" s="3" t="s">
        <v>6836</v>
      </c>
      <c r="G568" s="3" t="s">
        <v>5993</v>
      </c>
      <c r="H568" s="3" t="s">
        <v>8103</v>
      </c>
      <c r="I568" s="3" t="s">
        <v>6836</v>
      </c>
      <c r="J568" s="5" t="s">
        <v>8104</v>
      </c>
      <c r="M568" s="3">
        <v>1</v>
      </c>
      <c r="N568" s="4" t="s">
        <v>6836</v>
      </c>
      <c r="O568" s="4">
        <v>28</v>
      </c>
      <c r="P568" s="11" t="s">
        <v>9993</v>
      </c>
      <c r="Q568" s="11" t="s">
        <v>2159</v>
      </c>
      <c r="S568" s="4" t="b">
        <f>ISNUMBER(MATCH(Q568,T:T,0))</f>
        <v>1</v>
      </c>
      <c r="T568" s="4" t="s">
        <v>8104</v>
      </c>
      <c r="U568" s="4" t="str">
        <f t="shared" si="24"/>
        <v>鰥</v>
      </c>
    </row>
    <row r="569" spans="1:22">
      <c r="A569" s="3">
        <v>568</v>
      </c>
      <c r="B569" s="3" t="s">
        <v>8081</v>
      </c>
      <c r="C569" s="3" t="s">
        <v>5997</v>
      </c>
      <c r="D569" s="3" t="s">
        <v>6157</v>
      </c>
      <c r="E569" s="3" t="s">
        <v>6212</v>
      </c>
      <c r="F569" s="3" t="s">
        <v>6836</v>
      </c>
      <c r="G569" s="3" t="s">
        <v>5993</v>
      </c>
      <c r="H569" s="3" t="s">
        <v>8105</v>
      </c>
      <c r="I569" s="3" t="s">
        <v>6836</v>
      </c>
      <c r="J569" s="5" t="s">
        <v>8106</v>
      </c>
      <c r="M569" s="3">
        <v>1</v>
      </c>
      <c r="N569" s="4" t="s">
        <v>6836</v>
      </c>
      <c r="O569" s="4">
        <v>28</v>
      </c>
      <c r="P569" s="11" t="s">
        <v>9994</v>
      </c>
      <c r="Q569" s="11" t="s">
        <v>9989</v>
      </c>
      <c r="S569" s="4" t="b">
        <f>ISNUMBER(MATCH(Q569,T:T,0))</f>
        <v>0</v>
      </c>
      <c r="T569" s="4" t="s">
        <v>8106</v>
      </c>
      <c r="U569" s="4" t="str">
        <f t="shared" si="24"/>
        <v>頑</v>
      </c>
      <c r="V569" s="4" t="b">
        <f t="shared" ref="V569:V571" si="27">ISNUMBER(MATCH(R569,T:T,0))</f>
        <v>0</v>
      </c>
    </row>
    <row r="570" spans="1:22">
      <c r="A570" s="3">
        <v>569</v>
      </c>
      <c r="B570" s="3" t="s">
        <v>8081</v>
      </c>
      <c r="C570" s="3" t="s">
        <v>6058</v>
      </c>
      <c r="D570" s="3" t="s">
        <v>6157</v>
      </c>
      <c r="E570" s="3" t="s">
        <v>6212</v>
      </c>
      <c r="F570" s="3" t="s">
        <v>6836</v>
      </c>
      <c r="G570" s="3" t="s">
        <v>5993</v>
      </c>
      <c r="H570" s="3" t="s">
        <v>8107</v>
      </c>
      <c r="I570" s="3" t="s">
        <v>6836</v>
      </c>
      <c r="J570" s="5" t="s">
        <v>8108</v>
      </c>
      <c r="L570" s="3" t="s">
        <v>8036</v>
      </c>
      <c r="M570" s="3">
        <v>1</v>
      </c>
      <c r="N570" s="4" t="s">
        <v>6836</v>
      </c>
      <c r="O570" s="4">
        <v>28</v>
      </c>
      <c r="P570" s="11" t="s">
        <v>9727</v>
      </c>
      <c r="Q570" s="11" t="s">
        <v>9989</v>
      </c>
      <c r="S570" s="4" t="b">
        <f>ISNUMBER(MATCH(Q570,T:T,0))</f>
        <v>0</v>
      </c>
      <c r="T570" s="4" t="s">
        <v>8108</v>
      </c>
      <c r="U570" s="4" t="str">
        <f t="shared" si="24"/>
        <v>頑</v>
      </c>
      <c r="V570" s="4" t="b">
        <f t="shared" si="27"/>
        <v>0</v>
      </c>
    </row>
    <row r="571" spans="1:22">
      <c r="A571" s="3">
        <v>570</v>
      </c>
      <c r="B571" s="3" t="s">
        <v>8081</v>
      </c>
      <c r="C571" s="3" t="s">
        <v>6041</v>
      </c>
      <c r="D571" s="3" t="s">
        <v>6157</v>
      </c>
      <c r="E571" s="3" t="s">
        <v>6212</v>
      </c>
      <c r="F571" s="3" t="s">
        <v>6836</v>
      </c>
      <c r="G571" s="3" t="s">
        <v>5993</v>
      </c>
      <c r="H571" s="3" t="s">
        <v>8109</v>
      </c>
      <c r="I571" s="3" t="s">
        <v>6836</v>
      </c>
      <c r="J571" s="5" t="s">
        <v>8110</v>
      </c>
      <c r="M571" s="3">
        <v>1</v>
      </c>
      <c r="N571" s="4" t="s">
        <v>6836</v>
      </c>
      <c r="O571" s="4">
        <v>28</v>
      </c>
      <c r="P571" s="11" t="s">
        <v>8856</v>
      </c>
      <c r="Q571" s="11" t="s">
        <v>9989</v>
      </c>
      <c r="S571" s="4" t="b">
        <f>ISNUMBER(MATCH(Q571,T:T,0))</f>
        <v>0</v>
      </c>
      <c r="T571" s="4" t="s">
        <v>8110</v>
      </c>
      <c r="U571" s="4" t="str">
        <f t="shared" si="24"/>
        <v>頑</v>
      </c>
      <c r="V571" s="4" t="b">
        <f t="shared" si="27"/>
        <v>0</v>
      </c>
    </row>
    <row r="572" spans="1:22">
      <c r="A572" s="3">
        <v>571</v>
      </c>
      <c r="B572" s="3" t="s">
        <v>8081</v>
      </c>
      <c r="C572" s="3" t="s">
        <v>6000</v>
      </c>
      <c r="D572" s="3" t="s">
        <v>6157</v>
      </c>
      <c r="E572" s="3" t="s">
        <v>5991</v>
      </c>
      <c r="F572" s="3" t="s">
        <v>6836</v>
      </c>
      <c r="G572" s="3" t="s">
        <v>5993</v>
      </c>
      <c r="H572" s="3" t="s">
        <v>8111</v>
      </c>
      <c r="I572" s="3" t="s">
        <v>6836</v>
      </c>
      <c r="J572" s="5" t="s">
        <v>8112</v>
      </c>
      <c r="L572" s="3" t="s">
        <v>8113</v>
      </c>
      <c r="M572" s="3">
        <v>2</v>
      </c>
      <c r="N572" s="4" t="s">
        <v>6836</v>
      </c>
      <c r="O572" s="4">
        <v>28</v>
      </c>
      <c r="P572" s="11" t="s">
        <v>9707</v>
      </c>
      <c r="Q572" s="11" t="s">
        <v>6836</v>
      </c>
      <c r="S572" s="4" t="b">
        <f>ISNUMBER(MATCH(Q572,T:T,0))</f>
        <v>1</v>
      </c>
      <c r="T572" s="4" t="s">
        <v>11231</v>
      </c>
      <c r="U572" s="4" t="str">
        <f t="shared" si="24"/>
        <v>山</v>
      </c>
    </row>
    <row r="573" spans="1:22">
      <c r="A573" s="3">
        <v>572</v>
      </c>
      <c r="B573" s="3" t="s">
        <v>8081</v>
      </c>
      <c r="C573" s="3" t="s">
        <v>6005</v>
      </c>
      <c r="D573" s="3" t="s">
        <v>6157</v>
      </c>
      <c r="E573" s="3" t="s">
        <v>5991</v>
      </c>
      <c r="F573" s="3" t="s">
        <v>6836</v>
      </c>
      <c r="G573" s="3" t="s">
        <v>5993</v>
      </c>
      <c r="H573" s="3" t="s">
        <v>8114</v>
      </c>
      <c r="I573" s="3" t="s">
        <v>6836</v>
      </c>
      <c r="J573" s="5" t="s">
        <v>8115</v>
      </c>
      <c r="L573" s="3" t="s">
        <v>8090</v>
      </c>
      <c r="M573" s="3">
        <v>1</v>
      </c>
      <c r="N573" s="4" t="s">
        <v>6836</v>
      </c>
      <c r="O573" s="4">
        <v>28</v>
      </c>
      <c r="P573" s="11" t="s">
        <v>9709</v>
      </c>
      <c r="Q573" s="11" t="s">
        <v>9991</v>
      </c>
      <c r="S573" s="4" t="b">
        <f>ISNUMBER(MATCH(Q573,T:T,0))</f>
        <v>1</v>
      </c>
      <c r="T573" s="4" t="s">
        <v>8115</v>
      </c>
      <c r="U573" s="4" t="str">
        <f t="shared" si="24"/>
        <v>閑</v>
      </c>
    </row>
    <row r="574" spans="1:22">
      <c r="A574" s="3">
        <v>573</v>
      </c>
      <c r="B574" s="3" t="s">
        <v>8081</v>
      </c>
      <c r="C574" s="3" t="s">
        <v>6067</v>
      </c>
      <c r="D574" s="3" t="s">
        <v>6157</v>
      </c>
      <c r="E574" s="3" t="s">
        <v>6212</v>
      </c>
      <c r="F574" s="3" t="s">
        <v>6836</v>
      </c>
      <c r="G574" s="3" t="s">
        <v>5993</v>
      </c>
      <c r="H574" s="3" t="s">
        <v>8116</v>
      </c>
      <c r="I574" s="3" t="s">
        <v>6836</v>
      </c>
      <c r="J574" s="5" t="s">
        <v>8117</v>
      </c>
      <c r="L574" s="3" t="s">
        <v>8014</v>
      </c>
      <c r="M574" s="3">
        <v>1</v>
      </c>
      <c r="N574" s="4" t="s">
        <v>6836</v>
      </c>
      <c r="O574" s="4">
        <v>28</v>
      </c>
      <c r="P574" s="11" t="s">
        <v>9995</v>
      </c>
      <c r="Q574" s="11" t="s">
        <v>9989</v>
      </c>
      <c r="S574" s="4" t="b">
        <f>ISNUMBER(MATCH(Q574,T:T,0))</f>
        <v>0</v>
      </c>
      <c r="T574" s="4" t="s">
        <v>8117</v>
      </c>
      <c r="U574" s="4" t="str">
        <f t="shared" si="24"/>
        <v>頑</v>
      </c>
      <c r="V574" s="4" t="b">
        <f>ISNUMBER(MATCH(R574,T:T,0))</f>
        <v>0</v>
      </c>
    </row>
    <row r="575" spans="1:22">
      <c r="A575" s="3">
        <v>574</v>
      </c>
      <c r="B575" s="3" t="s">
        <v>8081</v>
      </c>
      <c r="C575" s="3" t="s">
        <v>6069</v>
      </c>
      <c r="D575" s="3" t="s">
        <v>6157</v>
      </c>
      <c r="E575" s="3" t="s">
        <v>5991</v>
      </c>
      <c r="F575" s="3" t="s">
        <v>6836</v>
      </c>
      <c r="G575" s="3" t="s">
        <v>5993</v>
      </c>
      <c r="H575" s="3" t="s">
        <v>8118</v>
      </c>
      <c r="I575" s="3" t="s">
        <v>6836</v>
      </c>
      <c r="J575" s="5" t="s">
        <v>8119</v>
      </c>
      <c r="M575" s="3">
        <v>2</v>
      </c>
      <c r="N575" s="4" t="s">
        <v>6836</v>
      </c>
      <c r="O575" s="4">
        <v>28</v>
      </c>
      <c r="P575" s="11" t="s">
        <v>9880</v>
      </c>
      <c r="Q575" s="11" t="s">
        <v>9991</v>
      </c>
      <c r="S575" s="4" t="b">
        <f>ISNUMBER(MATCH(Q575,T:T,0))</f>
        <v>1</v>
      </c>
      <c r="T575" s="4" t="s">
        <v>11225</v>
      </c>
      <c r="U575" s="4" t="str">
        <f t="shared" si="24"/>
        <v>閑</v>
      </c>
    </row>
    <row r="576" spans="1:22">
      <c r="A576" s="3">
        <v>575</v>
      </c>
      <c r="B576" s="3" t="s">
        <v>8120</v>
      </c>
      <c r="C576" s="3" t="s">
        <v>6017</v>
      </c>
      <c r="D576" s="3" t="s">
        <v>2843</v>
      </c>
      <c r="E576" s="3" t="s">
        <v>5991</v>
      </c>
      <c r="F576" s="3" t="s">
        <v>8121</v>
      </c>
      <c r="G576" s="3" t="s">
        <v>5993</v>
      </c>
      <c r="H576" s="3" t="s">
        <v>8122</v>
      </c>
      <c r="I576" s="3" t="s">
        <v>6836</v>
      </c>
      <c r="J576" s="5" t="s">
        <v>7705</v>
      </c>
      <c r="L576" s="3" t="s">
        <v>6853</v>
      </c>
      <c r="M576" s="3">
        <v>4</v>
      </c>
      <c r="N576" s="4" t="s">
        <v>8121</v>
      </c>
      <c r="O576" s="4">
        <v>29</v>
      </c>
      <c r="P576" s="11" t="s">
        <v>9741</v>
      </c>
      <c r="Q576" s="11" t="s">
        <v>9996</v>
      </c>
      <c r="S576" s="4" t="b">
        <f>ISNUMBER(MATCH(Q576,T:T,0))</f>
        <v>1</v>
      </c>
      <c r="T576" s="4" t="s">
        <v>8121</v>
      </c>
      <c r="U576" s="4" t="str">
        <f t="shared" si="24"/>
        <v>前</v>
      </c>
    </row>
    <row r="577" spans="1:21" ht="57">
      <c r="A577" s="3">
        <v>576</v>
      </c>
      <c r="B577" s="3" t="s">
        <v>8120</v>
      </c>
      <c r="C577" s="3" t="s">
        <v>6069</v>
      </c>
      <c r="D577" s="3" t="s">
        <v>2843</v>
      </c>
      <c r="E577" s="3" t="s">
        <v>5991</v>
      </c>
      <c r="F577" s="3" t="s">
        <v>8121</v>
      </c>
      <c r="G577" s="3" t="s">
        <v>5993</v>
      </c>
      <c r="H577" s="3" t="s">
        <v>8123</v>
      </c>
      <c r="I577" s="3" t="s">
        <v>6836</v>
      </c>
      <c r="J577" s="5" t="s">
        <v>7706</v>
      </c>
      <c r="K577" s="3" t="s">
        <v>579</v>
      </c>
      <c r="L577" s="3" t="s">
        <v>6864</v>
      </c>
      <c r="M577" s="3">
        <v>6</v>
      </c>
      <c r="N577" s="4" t="s">
        <v>8121</v>
      </c>
      <c r="O577" s="4">
        <v>29</v>
      </c>
      <c r="P577" s="11" t="s">
        <v>9880</v>
      </c>
      <c r="Q577" s="11" t="s">
        <v>8121</v>
      </c>
      <c r="S577" s="4" t="b">
        <f>ISNUMBER(MATCH(Q577,T:T,0))</f>
        <v>1</v>
      </c>
      <c r="T577" s="4" t="s">
        <v>9996</v>
      </c>
      <c r="U577" s="4" t="str">
        <f t="shared" si="24"/>
        <v>先</v>
      </c>
    </row>
    <row r="578" spans="1:21">
      <c r="A578" s="3">
        <v>577</v>
      </c>
      <c r="B578" s="3" t="s">
        <v>8120</v>
      </c>
      <c r="C578" s="3" t="s">
        <v>6076</v>
      </c>
      <c r="D578" s="3" t="s">
        <v>2843</v>
      </c>
      <c r="E578" s="3" t="s">
        <v>5991</v>
      </c>
      <c r="F578" s="3" t="s">
        <v>8121</v>
      </c>
      <c r="G578" s="3" t="s">
        <v>5993</v>
      </c>
      <c r="H578" s="3" t="s">
        <v>8124</v>
      </c>
      <c r="I578" s="3" t="s">
        <v>6836</v>
      </c>
      <c r="J578" s="5" t="s">
        <v>7707</v>
      </c>
      <c r="L578" s="3" t="s">
        <v>6851</v>
      </c>
      <c r="M578" s="3">
        <v>9</v>
      </c>
      <c r="N578" s="4" t="s">
        <v>8121</v>
      </c>
      <c r="O578" s="4">
        <v>29</v>
      </c>
      <c r="P578" s="11" t="s">
        <v>7388</v>
      </c>
      <c r="Q578" s="11" t="s">
        <v>8121</v>
      </c>
      <c r="S578" s="4" t="b">
        <f>ISNUMBER(MATCH(Q578,T:T,0))</f>
        <v>1</v>
      </c>
      <c r="T578" s="4" t="s">
        <v>10150</v>
      </c>
      <c r="U578" s="4" t="str">
        <f t="shared" si="24"/>
        <v>先</v>
      </c>
    </row>
    <row r="579" spans="1:21">
      <c r="A579" s="3">
        <v>578</v>
      </c>
      <c r="B579" s="3" t="s">
        <v>8120</v>
      </c>
      <c r="C579" s="3" t="s">
        <v>6083</v>
      </c>
      <c r="D579" s="3" t="s">
        <v>2843</v>
      </c>
      <c r="E579" s="3" t="s">
        <v>5991</v>
      </c>
      <c r="F579" s="3" t="s">
        <v>8121</v>
      </c>
      <c r="G579" s="3" t="s">
        <v>5993</v>
      </c>
      <c r="H579" s="3" t="s">
        <v>8125</v>
      </c>
      <c r="I579" s="3" t="s">
        <v>6836</v>
      </c>
      <c r="J579" s="5" t="s">
        <v>8126</v>
      </c>
      <c r="L579" s="3" t="s">
        <v>6856</v>
      </c>
      <c r="M579" s="3">
        <v>15</v>
      </c>
      <c r="N579" s="4" t="s">
        <v>8121</v>
      </c>
      <c r="O579" s="4">
        <v>29</v>
      </c>
      <c r="P579" s="11" t="s">
        <v>9875</v>
      </c>
      <c r="Q579" s="11" t="s">
        <v>9996</v>
      </c>
      <c r="S579" s="4" t="b">
        <f>ISNUMBER(MATCH(Q579,T:T,0))</f>
        <v>1</v>
      </c>
      <c r="T579" s="4" t="s">
        <v>11232</v>
      </c>
      <c r="U579" s="4" t="str">
        <f t="shared" ref="U579:U642" si="28">IF(ISBLANK(R579),Q579,R579)</f>
        <v>前</v>
      </c>
    </row>
    <row r="580" spans="1:21">
      <c r="A580" s="3">
        <v>579</v>
      </c>
      <c r="B580" s="3" t="s">
        <v>8120</v>
      </c>
      <c r="C580" s="3" t="s">
        <v>6079</v>
      </c>
      <c r="D580" s="3" t="s">
        <v>2843</v>
      </c>
      <c r="E580" s="3" t="s">
        <v>5991</v>
      </c>
      <c r="F580" s="3" t="s">
        <v>8121</v>
      </c>
      <c r="G580" s="3" t="s">
        <v>5993</v>
      </c>
      <c r="H580" s="3" t="s">
        <v>8127</v>
      </c>
      <c r="I580" s="3" t="s">
        <v>6836</v>
      </c>
      <c r="J580" s="5" t="s">
        <v>7708</v>
      </c>
      <c r="L580" s="3" t="s">
        <v>8128</v>
      </c>
      <c r="M580" s="3">
        <v>6</v>
      </c>
      <c r="N580" s="4" t="s">
        <v>8121</v>
      </c>
      <c r="O580" s="4">
        <v>29</v>
      </c>
      <c r="P580" s="11" t="s">
        <v>9736</v>
      </c>
      <c r="Q580" s="11" t="s">
        <v>9996</v>
      </c>
      <c r="S580" s="4" t="b">
        <f>ISNUMBER(MATCH(Q580,T:T,0))</f>
        <v>1</v>
      </c>
      <c r="T580" s="4" t="s">
        <v>10414</v>
      </c>
      <c r="U580" s="4" t="str">
        <f t="shared" si="28"/>
        <v>前</v>
      </c>
    </row>
    <row r="581" spans="1:21" ht="39">
      <c r="A581" s="3">
        <v>580</v>
      </c>
      <c r="B581" s="3" t="s">
        <v>8120</v>
      </c>
      <c r="C581" s="3" t="s">
        <v>6025</v>
      </c>
      <c r="D581" s="3" t="s">
        <v>2843</v>
      </c>
      <c r="E581" s="3" t="s">
        <v>5991</v>
      </c>
      <c r="F581" s="3" t="s">
        <v>8121</v>
      </c>
      <c r="G581" s="3" t="s">
        <v>5993</v>
      </c>
      <c r="H581" s="3" t="s">
        <v>8129</v>
      </c>
      <c r="I581" s="3" t="s">
        <v>6836</v>
      </c>
      <c r="J581" s="5" t="s">
        <v>7709</v>
      </c>
      <c r="L581" s="3" t="s">
        <v>6856</v>
      </c>
      <c r="M581" s="3">
        <v>17</v>
      </c>
      <c r="N581" s="4" t="s">
        <v>8121</v>
      </c>
      <c r="O581" s="4">
        <v>29</v>
      </c>
      <c r="P581" s="11" t="s">
        <v>9729</v>
      </c>
      <c r="Q581" s="11" t="s">
        <v>9997</v>
      </c>
      <c r="S581" s="4" t="b">
        <f>ISNUMBER(MATCH(Q581,T:T,0))</f>
        <v>1</v>
      </c>
      <c r="T581" s="4" t="s">
        <v>10001</v>
      </c>
      <c r="U581" s="4" t="str">
        <f t="shared" si="28"/>
        <v>賢</v>
      </c>
    </row>
    <row r="582" spans="1:21">
      <c r="A582" s="3">
        <v>581</v>
      </c>
      <c r="B582" s="3" t="s">
        <v>8120</v>
      </c>
      <c r="C582" s="3" t="s">
        <v>6067</v>
      </c>
      <c r="D582" s="3" t="s">
        <v>2843</v>
      </c>
      <c r="E582" s="3" t="s">
        <v>5991</v>
      </c>
      <c r="F582" s="3" t="s">
        <v>8121</v>
      </c>
      <c r="G582" s="3" t="s">
        <v>5993</v>
      </c>
      <c r="H582" s="3" t="s">
        <v>8130</v>
      </c>
      <c r="I582" s="3" t="s">
        <v>6836</v>
      </c>
      <c r="J582" s="5" t="s">
        <v>7710</v>
      </c>
      <c r="L582" s="3" t="s">
        <v>8086</v>
      </c>
      <c r="M582" s="3">
        <v>17</v>
      </c>
      <c r="N582" s="4" t="s">
        <v>8121</v>
      </c>
      <c r="O582" s="4">
        <v>29</v>
      </c>
      <c r="P582" s="11" t="s">
        <v>9870</v>
      </c>
      <c r="Q582" s="11" t="s">
        <v>9998</v>
      </c>
      <c r="S582" s="4" t="b">
        <f>ISNUMBER(MATCH(Q582,T:T,0))</f>
        <v>1</v>
      </c>
      <c r="T582" s="4" t="s">
        <v>9997</v>
      </c>
      <c r="U582" s="4" t="str">
        <f t="shared" si="28"/>
        <v>田</v>
      </c>
    </row>
    <row r="583" spans="1:21">
      <c r="A583" s="3">
        <v>582</v>
      </c>
      <c r="B583" s="3" t="s">
        <v>8120</v>
      </c>
      <c r="C583" s="3" t="s">
        <v>6072</v>
      </c>
      <c r="D583" s="3" t="s">
        <v>2843</v>
      </c>
      <c r="E583" s="3" t="s">
        <v>5991</v>
      </c>
      <c r="F583" s="3" t="s">
        <v>8121</v>
      </c>
      <c r="G583" s="3" t="s">
        <v>5993</v>
      </c>
      <c r="H583" s="3" t="s">
        <v>8131</v>
      </c>
      <c r="I583" s="3" t="s">
        <v>6836</v>
      </c>
      <c r="J583" s="5" t="s">
        <v>7711</v>
      </c>
      <c r="L583" s="3" t="s">
        <v>6859</v>
      </c>
      <c r="M583" s="3">
        <v>12</v>
      </c>
      <c r="N583" s="4" t="s">
        <v>8121</v>
      </c>
      <c r="O583" s="4">
        <v>29</v>
      </c>
      <c r="P583" s="11" t="s">
        <v>9734</v>
      </c>
      <c r="Q583" s="11" t="s">
        <v>9996</v>
      </c>
      <c r="S583" s="4" t="b">
        <f>ISNUMBER(MATCH(Q583,T:T,0))</f>
        <v>1</v>
      </c>
      <c r="T583" s="4" t="s">
        <v>10004</v>
      </c>
      <c r="U583" s="4" t="str">
        <f t="shared" si="28"/>
        <v>前</v>
      </c>
    </row>
    <row r="584" spans="1:21">
      <c r="A584" s="3">
        <v>583</v>
      </c>
      <c r="B584" s="3" t="s">
        <v>8120</v>
      </c>
      <c r="C584" s="3" t="s">
        <v>6058</v>
      </c>
      <c r="D584" s="3" t="s">
        <v>2843</v>
      </c>
      <c r="E584" s="3" t="s">
        <v>5991</v>
      </c>
      <c r="F584" s="3" t="s">
        <v>8121</v>
      </c>
      <c r="G584" s="3" t="s">
        <v>5993</v>
      </c>
      <c r="H584" s="3" t="s">
        <v>8132</v>
      </c>
      <c r="I584" s="3" t="s">
        <v>6836</v>
      </c>
      <c r="J584" s="5" t="s">
        <v>8133</v>
      </c>
      <c r="L584" s="3" t="s">
        <v>8134</v>
      </c>
      <c r="M584" s="3">
        <v>8</v>
      </c>
      <c r="N584" s="4" t="s">
        <v>8121</v>
      </c>
      <c r="O584" s="4">
        <v>29</v>
      </c>
      <c r="P584" s="11" t="s">
        <v>9877</v>
      </c>
      <c r="Q584" s="11" t="s">
        <v>9997</v>
      </c>
      <c r="S584" s="4" t="b">
        <f>ISNUMBER(MATCH(Q584,T:T,0))</f>
        <v>1</v>
      </c>
      <c r="T584" s="4" t="s">
        <v>11233</v>
      </c>
      <c r="U584" s="4" t="str">
        <f t="shared" si="28"/>
        <v>賢</v>
      </c>
    </row>
    <row r="585" spans="1:21" ht="39">
      <c r="A585" s="3">
        <v>584</v>
      </c>
      <c r="B585" s="3" t="s">
        <v>8120</v>
      </c>
      <c r="C585" s="3" t="s">
        <v>5997</v>
      </c>
      <c r="D585" s="3" t="s">
        <v>2843</v>
      </c>
      <c r="E585" s="3" t="s">
        <v>5991</v>
      </c>
      <c r="F585" s="3" t="s">
        <v>8121</v>
      </c>
      <c r="G585" s="3" t="s">
        <v>5993</v>
      </c>
      <c r="H585" s="3" t="s">
        <v>8135</v>
      </c>
      <c r="I585" s="3" t="s">
        <v>6836</v>
      </c>
      <c r="J585" s="5" t="s">
        <v>7712</v>
      </c>
      <c r="K585" s="3" t="s">
        <v>8136</v>
      </c>
      <c r="L585" s="3" t="s">
        <v>8137</v>
      </c>
      <c r="M585" s="3">
        <v>19</v>
      </c>
      <c r="N585" s="4" t="s">
        <v>8121</v>
      </c>
      <c r="O585" s="4">
        <v>29</v>
      </c>
      <c r="P585" s="11" t="s">
        <v>9706</v>
      </c>
      <c r="Q585" s="11" t="s">
        <v>9999</v>
      </c>
      <c r="S585" s="4" t="b">
        <f>ISNUMBER(MATCH(Q585,T:T,0))</f>
        <v>1</v>
      </c>
      <c r="T585" s="4" t="s">
        <v>9998</v>
      </c>
      <c r="U585" s="4" t="str">
        <f t="shared" si="28"/>
        <v>年</v>
      </c>
    </row>
    <row r="586" spans="1:21">
      <c r="A586" s="3">
        <v>585</v>
      </c>
      <c r="B586" s="3" t="s">
        <v>8120</v>
      </c>
      <c r="C586" s="3" t="s">
        <v>6102</v>
      </c>
      <c r="D586" s="3" t="s">
        <v>2843</v>
      </c>
      <c r="E586" s="3" t="s">
        <v>5991</v>
      </c>
      <c r="F586" s="3" t="s">
        <v>8121</v>
      </c>
      <c r="G586" s="3" t="s">
        <v>5993</v>
      </c>
      <c r="H586" s="3" t="s">
        <v>702</v>
      </c>
      <c r="I586" s="3" t="s">
        <v>6836</v>
      </c>
      <c r="J586" s="5" t="s">
        <v>7713</v>
      </c>
      <c r="L586" s="3" t="s">
        <v>8138</v>
      </c>
      <c r="M586" s="3">
        <v>3</v>
      </c>
      <c r="N586" s="4" t="s">
        <v>8121</v>
      </c>
      <c r="O586" s="4">
        <v>29</v>
      </c>
      <c r="P586" s="11" t="s">
        <v>9744</v>
      </c>
      <c r="Q586" s="11" t="s">
        <v>10000</v>
      </c>
      <c r="S586" s="4" t="b">
        <f>ISNUMBER(MATCH(Q586,T:T,0))</f>
        <v>1</v>
      </c>
      <c r="T586" s="4" t="s">
        <v>9999</v>
      </c>
      <c r="U586" s="4" t="str">
        <f t="shared" si="28"/>
        <v>顚</v>
      </c>
    </row>
    <row r="587" spans="1:21">
      <c r="A587" s="3">
        <v>586</v>
      </c>
      <c r="B587" s="3" t="s">
        <v>8120</v>
      </c>
      <c r="C587" s="3" t="s">
        <v>5989</v>
      </c>
      <c r="D587" s="3" t="s">
        <v>2843</v>
      </c>
      <c r="E587" s="3" t="s">
        <v>5991</v>
      </c>
      <c r="F587" s="3" t="s">
        <v>8121</v>
      </c>
      <c r="G587" s="3" t="s">
        <v>5993</v>
      </c>
      <c r="H587" s="3" t="s">
        <v>8139</v>
      </c>
      <c r="I587" s="3" t="s">
        <v>6836</v>
      </c>
      <c r="J587" s="8" t="s">
        <v>7714</v>
      </c>
      <c r="L587" s="3" t="s">
        <v>8140</v>
      </c>
      <c r="M587" s="3">
        <v>15</v>
      </c>
      <c r="N587" s="4" t="s">
        <v>8121</v>
      </c>
      <c r="O587" s="4">
        <v>29</v>
      </c>
      <c r="P587" s="11" t="s">
        <v>9742</v>
      </c>
      <c r="Q587" s="11" t="s">
        <v>9999</v>
      </c>
      <c r="S587" s="4" t="b">
        <f>ISNUMBER(MATCH(Q587,T:T,0))</f>
        <v>1</v>
      </c>
      <c r="T587" s="4" t="s">
        <v>10000</v>
      </c>
      <c r="U587" s="4" t="str">
        <f t="shared" si="28"/>
        <v>年</v>
      </c>
    </row>
    <row r="588" spans="1:21">
      <c r="A588" s="3">
        <v>587</v>
      </c>
      <c r="B588" s="3" t="s">
        <v>8120</v>
      </c>
      <c r="C588" s="3" t="s">
        <v>6038</v>
      </c>
      <c r="D588" s="3" t="s">
        <v>2843</v>
      </c>
      <c r="E588" s="3" t="s">
        <v>5991</v>
      </c>
      <c r="F588" s="3" t="s">
        <v>8121</v>
      </c>
      <c r="G588" s="3" t="s">
        <v>5993</v>
      </c>
      <c r="H588" s="3" t="s">
        <v>8141</v>
      </c>
      <c r="I588" s="3" t="s">
        <v>6836</v>
      </c>
      <c r="J588" s="5" t="s">
        <v>7715</v>
      </c>
      <c r="L588" s="3" t="s">
        <v>6851</v>
      </c>
      <c r="M588" s="3">
        <v>9</v>
      </c>
      <c r="N588" s="4" t="s">
        <v>8121</v>
      </c>
      <c r="O588" s="4">
        <v>29</v>
      </c>
      <c r="P588" s="11" t="s">
        <v>9728</v>
      </c>
      <c r="Q588" s="11" t="s">
        <v>10001</v>
      </c>
      <c r="S588" s="4" t="b">
        <f>ISNUMBER(MATCH(Q588,T:T,0))</f>
        <v>1</v>
      </c>
      <c r="T588" s="4" t="s">
        <v>10317</v>
      </c>
      <c r="U588" s="4" t="str">
        <f t="shared" si="28"/>
        <v>堅</v>
      </c>
    </row>
    <row r="589" spans="1:21">
      <c r="A589" s="3">
        <v>588</v>
      </c>
      <c r="B589" s="3" t="s">
        <v>8120</v>
      </c>
      <c r="C589" s="3" t="s">
        <v>6092</v>
      </c>
      <c r="D589" s="3" t="s">
        <v>2843</v>
      </c>
      <c r="E589" s="3" t="s">
        <v>5991</v>
      </c>
      <c r="F589" s="3" t="s">
        <v>8121</v>
      </c>
      <c r="G589" s="3" t="s">
        <v>5993</v>
      </c>
      <c r="H589" s="3" t="s">
        <v>8142</v>
      </c>
      <c r="I589" s="3" t="s">
        <v>6836</v>
      </c>
      <c r="J589" s="8" t="s">
        <v>7716</v>
      </c>
      <c r="L589" s="3" t="s">
        <v>6849</v>
      </c>
      <c r="M589" s="3">
        <v>8</v>
      </c>
      <c r="N589" s="4" t="s">
        <v>8121</v>
      </c>
      <c r="O589" s="4">
        <v>29</v>
      </c>
      <c r="P589" s="11" t="s">
        <v>9740</v>
      </c>
      <c r="Q589" s="11" t="s">
        <v>10001</v>
      </c>
      <c r="S589" s="4" t="b">
        <f>ISNUMBER(MATCH(Q589,T:T,0))</f>
        <v>1</v>
      </c>
      <c r="T589" s="4" t="s">
        <v>11234</v>
      </c>
      <c r="U589" s="4" t="str">
        <f t="shared" si="28"/>
        <v>堅</v>
      </c>
    </row>
    <row r="590" spans="1:21">
      <c r="A590" s="3">
        <v>589</v>
      </c>
      <c r="B590" s="3" t="s">
        <v>8120</v>
      </c>
      <c r="C590" s="3" t="s">
        <v>6035</v>
      </c>
      <c r="D590" s="3" t="s">
        <v>2843</v>
      </c>
      <c r="E590" s="3" t="s">
        <v>5991</v>
      </c>
      <c r="F590" s="3" t="s">
        <v>8121</v>
      </c>
      <c r="G590" s="3" t="s">
        <v>5993</v>
      </c>
      <c r="H590" s="3" t="s">
        <v>8143</v>
      </c>
      <c r="I590" s="3" t="s">
        <v>6836</v>
      </c>
      <c r="J590" s="5" t="s">
        <v>8144</v>
      </c>
      <c r="L590" s="3" t="s">
        <v>8145</v>
      </c>
      <c r="M590" s="3">
        <v>7</v>
      </c>
      <c r="N590" s="4" t="s">
        <v>8121</v>
      </c>
      <c r="O590" s="4">
        <v>29</v>
      </c>
      <c r="P590" s="11" t="s">
        <v>9719</v>
      </c>
      <c r="Q590" s="11" t="s">
        <v>9997</v>
      </c>
      <c r="S590" s="4" t="b">
        <f>ISNUMBER(MATCH(Q590,T:T,0))</f>
        <v>1</v>
      </c>
      <c r="T590" s="4" t="s">
        <v>11235</v>
      </c>
      <c r="U590" s="4" t="str">
        <f t="shared" si="28"/>
        <v>賢</v>
      </c>
    </row>
    <row r="591" spans="1:21">
      <c r="A591" s="3">
        <v>590</v>
      </c>
      <c r="B591" s="3" t="s">
        <v>8120</v>
      </c>
      <c r="C591" s="3" t="s">
        <v>6045</v>
      </c>
      <c r="D591" s="3" t="s">
        <v>2843</v>
      </c>
      <c r="E591" s="3" t="s">
        <v>5991</v>
      </c>
      <c r="F591" s="3" t="s">
        <v>8121</v>
      </c>
      <c r="G591" s="3" t="s">
        <v>5993</v>
      </c>
      <c r="H591" s="3" t="s">
        <v>8146</v>
      </c>
      <c r="I591" s="3" t="s">
        <v>6836</v>
      </c>
      <c r="J591" s="5" t="s">
        <v>7717</v>
      </c>
      <c r="L591" s="3" t="s">
        <v>8147</v>
      </c>
      <c r="M591" s="3">
        <v>12</v>
      </c>
      <c r="N591" s="4" t="s">
        <v>8121</v>
      </c>
      <c r="O591" s="4">
        <v>29</v>
      </c>
      <c r="P591" s="11" t="s">
        <v>9893</v>
      </c>
      <c r="Q591" s="11" t="s">
        <v>9998</v>
      </c>
      <c r="S591" s="4" t="b">
        <f>ISNUMBER(MATCH(Q591,T:T,0))</f>
        <v>1</v>
      </c>
      <c r="T591" s="4" t="s">
        <v>11236</v>
      </c>
      <c r="U591" s="4" t="str">
        <f t="shared" si="28"/>
        <v>田</v>
      </c>
    </row>
    <row r="592" spans="1:21">
      <c r="A592" s="3">
        <v>591</v>
      </c>
      <c r="B592" s="3" t="s">
        <v>8120</v>
      </c>
      <c r="C592" s="3" t="s">
        <v>6072</v>
      </c>
      <c r="D592" s="3" t="s">
        <v>2843</v>
      </c>
      <c r="E592" s="3" t="s">
        <v>6212</v>
      </c>
      <c r="F592" s="3" t="s">
        <v>8121</v>
      </c>
      <c r="G592" s="3" t="s">
        <v>5993</v>
      </c>
      <c r="H592" s="3" t="s">
        <v>8148</v>
      </c>
      <c r="I592" s="3" t="s">
        <v>6836</v>
      </c>
      <c r="J592" s="5" t="s">
        <v>7718</v>
      </c>
      <c r="L592" s="3" t="s">
        <v>6847</v>
      </c>
      <c r="M592" s="3">
        <v>10</v>
      </c>
      <c r="N592" s="4" t="s">
        <v>8121</v>
      </c>
      <c r="O592" s="4">
        <v>29</v>
      </c>
      <c r="P592" s="11" t="s">
        <v>9734</v>
      </c>
      <c r="Q592" s="11" t="s">
        <v>10002</v>
      </c>
      <c r="S592" s="4" t="b">
        <f>ISNUMBER(MATCH(Q592,T:T,0))</f>
        <v>1</v>
      </c>
      <c r="T592" s="4" t="s">
        <v>11237</v>
      </c>
      <c r="U592" s="4" t="str">
        <f t="shared" si="28"/>
        <v>玄</v>
      </c>
    </row>
    <row r="593" spans="1:21">
      <c r="A593" s="3">
        <v>592</v>
      </c>
      <c r="B593" s="3" t="s">
        <v>8120</v>
      </c>
      <c r="C593" s="3" t="s">
        <v>6025</v>
      </c>
      <c r="D593" s="3" t="s">
        <v>2843</v>
      </c>
      <c r="E593" s="3" t="s">
        <v>6212</v>
      </c>
      <c r="F593" s="3" t="s">
        <v>8121</v>
      </c>
      <c r="G593" s="3" t="s">
        <v>5993</v>
      </c>
      <c r="H593" s="3" t="s">
        <v>8149</v>
      </c>
      <c r="I593" s="3" t="s">
        <v>6836</v>
      </c>
      <c r="J593" s="5" t="s">
        <v>8150</v>
      </c>
      <c r="L593" s="3" t="s">
        <v>8151</v>
      </c>
      <c r="M593" s="3">
        <v>8</v>
      </c>
      <c r="N593" s="4" t="s">
        <v>8121</v>
      </c>
      <c r="O593" s="4">
        <v>29</v>
      </c>
      <c r="P593" s="11" t="s">
        <v>9729</v>
      </c>
      <c r="Q593" s="11" t="s">
        <v>10002</v>
      </c>
      <c r="S593" s="4" t="b">
        <f>ISNUMBER(MATCH(Q593,T:T,0))</f>
        <v>1</v>
      </c>
      <c r="T593" s="4" t="s">
        <v>10003</v>
      </c>
      <c r="U593" s="4" t="str">
        <f t="shared" si="28"/>
        <v>玄</v>
      </c>
    </row>
    <row r="594" spans="1:21">
      <c r="A594" s="3">
        <v>593</v>
      </c>
      <c r="B594" s="3" t="s">
        <v>8120</v>
      </c>
      <c r="C594" s="3" t="s">
        <v>6089</v>
      </c>
      <c r="D594" s="3" t="s">
        <v>2843</v>
      </c>
      <c r="E594" s="3" t="s">
        <v>6212</v>
      </c>
      <c r="F594" s="3" t="s">
        <v>8121</v>
      </c>
      <c r="G594" s="3" t="s">
        <v>5993</v>
      </c>
      <c r="H594" s="3" t="s">
        <v>8152</v>
      </c>
      <c r="I594" s="3" t="s">
        <v>6836</v>
      </c>
      <c r="J594" s="5" t="s">
        <v>8153</v>
      </c>
      <c r="L594" s="3" t="s">
        <v>6844</v>
      </c>
      <c r="M594" s="3">
        <v>5</v>
      </c>
      <c r="N594" s="4" t="s">
        <v>8121</v>
      </c>
      <c r="O594" s="4">
        <v>29</v>
      </c>
      <c r="P594" s="11" t="s">
        <v>9904</v>
      </c>
      <c r="Q594" s="11" t="s">
        <v>10002</v>
      </c>
      <c r="S594" s="4" t="b">
        <f>ISNUMBER(MATCH(Q594,T:T,0))</f>
        <v>1</v>
      </c>
      <c r="T594" s="4" t="s">
        <v>11238</v>
      </c>
      <c r="U594" s="4" t="str">
        <f t="shared" si="28"/>
        <v>玄</v>
      </c>
    </row>
    <row r="595" spans="1:21">
      <c r="A595" s="3">
        <v>594</v>
      </c>
      <c r="B595" s="3" t="s">
        <v>8120</v>
      </c>
      <c r="C595" s="3" t="s">
        <v>6049</v>
      </c>
      <c r="D595" s="3" t="s">
        <v>2843</v>
      </c>
      <c r="E595" s="3" t="s">
        <v>5991</v>
      </c>
      <c r="F595" s="3" t="s">
        <v>8121</v>
      </c>
      <c r="G595" s="3" t="s">
        <v>5993</v>
      </c>
      <c r="H595" s="3" t="s">
        <v>8154</v>
      </c>
      <c r="I595" s="3" t="s">
        <v>6836</v>
      </c>
      <c r="J595" s="5" t="s">
        <v>7719</v>
      </c>
      <c r="L595" s="3" t="s">
        <v>8155</v>
      </c>
      <c r="M595" s="3">
        <v>14</v>
      </c>
      <c r="N595" s="4" t="s">
        <v>8121</v>
      </c>
      <c r="O595" s="4">
        <v>29</v>
      </c>
      <c r="P595" s="11" t="s">
        <v>9921</v>
      </c>
      <c r="Q595" s="11" t="s">
        <v>10002</v>
      </c>
      <c r="S595" s="4" t="b">
        <f>ISNUMBER(MATCH(Q595,T:T,0))</f>
        <v>1</v>
      </c>
      <c r="T595" s="4" t="s">
        <v>9889</v>
      </c>
      <c r="U595" s="4" t="str">
        <f t="shared" si="28"/>
        <v>玄</v>
      </c>
    </row>
    <row r="596" spans="1:21" ht="28.5">
      <c r="A596" s="3">
        <v>595</v>
      </c>
      <c r="B596" s="3" t="s">
        <v>8120</v>
      </c>
      <c r="C596" s="3" t="s">
        <v>6067</v>
      </c>
      <c r="D596" s="3" t="s">
        <v>2843</v>
      </c>
      <c r="E596" s="3" t="s">
        <v>6212</v>
      </c>
      <c r="F596" s="3" t="s">
        <v>8121</v>
      </c>
      <c r="G596" s="3" t="s">
        <v>5993</v>
      </c>
      <c r="H596" s="3" t="s">
        <v>8156</v>
      </c>
      <c r="I596" s="3" t="s">
        <v>6836</v>
      </c>
      <c r="J596" s="5" t="s">
        <v>8157</v>
      </c>
      <c r="K596" s="3" t="s">
        <v>580</v>
      </c>
      <c r="L596" s="3" t="s">
        <v>8158</v>
      </c>
      <c r="M596" s="3">
        <v>13</v>
      </c>
      <c r="N596" s="4" t="s">
        <v>8121</v>
      </c>
      <c r="O596" s="4">
        <v>29</v>
      </c>
      <c r="P596" s="11" t="s">
        <v>9870</v>
      </c>
      <c r="Q596" s="11" t="s">
        <v>10003</v>
      </c>
      <c r="S596" s="4" t="b">
        <f>ISNUMBER(MATCH(Q596,T:T,0))</f>
        <v>1</v>
      </c>
      <c r="T596" s="4" t="s">
        <v>10002</v>
      </c>
      <c r="U596" s="4" t="str">
        <f t="shared" si="28"/>
        <v>涓</v>
      </c>
    </row>
    <row r="597" spans="1:21">
      <c r="A597" s="3">
        <v>596</v>
      </c>
      <c r="B597" s="3" t="s">
        <v>8120</v>
      </c>
      <c r="C597" s="3" t="s">
        <v>6089</v>
      </c>
      <c r="D597" s="3" t="s">
        <v>2843</v>
      </c>
      <c r="E597" s="3" t="s">
        <v>5991</v>
      </c>
      <c r="F597" s="3" t="s">
        <v>8121</v>
      </c>
      <c r="G597" s="3" t="s">
        <v>5993</v>
      </c>
      <c r="H597" s="3" t="s">
        <v>8159</v>
      </c>
      <c r="I597" s="3" t="s">
        <v>6836</v>
      </c>
      <c r="J597" s="5" t="s">
        <v>7720</v>
      </c>
      <c r="L597" s="3" t="s">
        <v>6853</v>
      </c>
      <c r="M597" s="3">
        <v>2</v>
      </c>
      <c r="N597" s="4" t="s">
        <v>8121</v>
      </c>
      <c r="O597" s="4">
        <v>29</v>
      </c>
      <c r="P597" s="11" t="s">
        <v>9739</v>
      </c>
      <c r="Q597" s="11" t="s">
        <v>10004</v>
      </c>
      <c r="S597" s="4" t="b">
        <f>ISNUMBER(MATCH(Q597,T:T,0))</f>
        <v>1</v>
      </c>
      <c r="T597" s="4" t="s">
        <v>11239</v>
      </c>
      <c r="U597" s="4" t="str">
        <f t="shared" si="28"/>
        <v>煙</v>
      </c>
    </row>
    <row r="598" spans="1:21">
      <c r="A598" s="3">
        <v>597</v>
      </c>
      <c r="B598" s="3" t="s">
        <v>8120</v>
      </c>
      <c r="C598" s="3" t="s">
        <v>6015</v>
      </c>
      <c r="D598" s="3" t="s">
        <v>2843</v>
      </c>
      <c r="E598" s="3" t="s">
        <v>5991</v>
      </c>
      <c r="F598" s="3" t="s">
        <v>8121</v>
      </c>
      <c r="G598" s="3" t="s">
        <v>5993</v>
      </c>
      <c r="H598" s="3" t="s">
        <v>8160</v>
      </c>
      <c r="I598" s="3" t="s">
        <v>6836</v>
      </c>
      <c r="J598" s="5" t="s">
        <v>8161</v>
      </c>
      <c r="M598" s="3">
        <v>1</v>
      </c>
      <c r="N598" s="4" t="s">
        <v>8121</v>
      </c>
      <c r="O598" s="4">
        <v>29</v>
      </c>
      <c r="P598" s="11" t="s">
        <v>6015</v>
      </c>
      <c r="Q598" s="11" t="s">
        <v>10002</v>
      </c>
      <c r="S598" s="4" t="b">
        <f>ISNUMBER(MATCH(Q598,T:T,0))</f>
        <v>1</v>
      </c>
      <c r="T598" s="4" t="s">
        <v>8161</v>
      </c>
      <c r="U598" s="4" t="str">
        <f t="shared" si="28"/>
        <v>玄</v>
      </c>
    </row>
    <row r="599" spans="1:21">
      <c r="A599" s="3">
        <v>598</v>
      </c>
      <c r="B599" s="3" t="s">
        <v>8162</v>
      </c>
      <c r="C599" s="3" t="s">
        <v>6017</v>
      </c>
      <c r="D599" s="3" t="s">
        <v>6001</v>
      </c>
      <c r="E599" s="3" t="s">
        <v>5991</v>
      </c>
      <c r="F599" s="3" t="s">
        <v>8163</v>
      </c>
      <c r="G599" s="3" t="s">
        <v>5993</v>
      </c>
      <c r="H599" s="3" t="s">
        <v>8164</v>
      </c>
      <c r="I599" s="3" t="s">
        <v>6836</v>
      </c>
      <c r="J599" s="5" t="s">
        <v>7721</v>
      </c>
      <c r="L599" s="3" t="s">
        <v>6853</v>
      </c>
      <c r="M599" s="3">
        <v>12</v>
      </c>
      <c r="N599" s="4" t="s">
        <v>9630</v>
      </c>
      <c r="O599" s="4">
        <v>30</v>
      </c>
      <c r="P599" s="11" t="s">
        <v>2555</v>
      </c>
      <c r="Q599" s="11" t="s">
        <v>10005</v>
      </c>
      <c r="S599" s="4" t="b">
        <f>ISNUMBER(MATCH(Q599,T:T,0))</f>
        <v>1</v>
      </c>
      <c r="T599" s="4" t="s">
        <v>9630</v>
      </c>
      <c r="U599" s="4" t="str">
        <f t="shared" si="28"/>
        <v>然</v>
      </c>
    </row>
    <row r="600" spans="1:21">
      <c r="A600" s="3">
        <v>599</v>
      </c>
      <c r="B600" s="3" t="s">
        <v>8162</v>
      </c>
      <c r="C600" s="3" t="s">
        <v>6069</v>
      </c>
      <c r="D600" s="3" t="s">
        <v>6001</v>
      </c>
      <c r="E600" s="3" t="s">
        <v>5991</v>
      </c>
      <c r="F600" s="3" t="s">
        <v>8163</v>
      </c>
      <c r="G600" s="3" t="s">
        <v>5993</v>
      </c>
      <c r="H600" s="3" t="s">
        <v>8165</v>
      </c>
      <c r="I600" s="3" t="s">
        <v>6836</v>
      </c>
      <c r="J600" s="5" t="s">
        <v>8166</v>
      </c>
      <c r="L600" s="3" t="s">
        <v>6864</v>
      </c>
      <c r="M600" s="3">
        <v>2</v>
      </c>
      <c r="N600" s="4" t="s">
        <v>9630</v>
      </c>
      <c r="O600" s="4">
        <v>30</v>
      </c>
      <c r="P600" s="11" t="s">
        <v>9880</v>
      </c>
      <c r="Q600" s="11" t="s">
        <v>9630</v>
      </c>
      <c r="S600" s="4" t="b">
        <f>ISNUMBER(MATCH(Q600,T:T,0))</f>
        <v>1</v>
      </c>
      <c r="T600" s="4" t="s">
        <v>11240</v>
      </c>
      <c r="U600" s="4" t="str">
        <f t="shared" si="28"/>
        <v>仙</v>
      </c>
    </row>
    <row r="601" spans="1:21">
      <c r="A601" s="3">
        <v>600</v>
      </c>
      <c r="B601" s="3" t="s">
        <v>8162</v>
      </c>
      <c r="C601" s="3" t="s">
        <v>6076</v>
      </c>
      <c r="D601" s="3" t="s">
        <v>6001</v>
      </c>
      <c r="E601" s="3" t="s">
        <v>5991</v>
      </c>
      <c r="F601" s="3" t="s">
        <v>8163</v>
      </c>
      <c r="G601" s="3" t="s">
        <v>5993</v>
      </c>
      <c r="H601" s="3" t="s">
        <v>8167</v>
      </c>
      <c r="I601" s="3" t="s">
        <v>6836</v>
      </c>
      <c r="J601" s="5" t="s">
        <v>8168</v>
      </c>
      <c r="L601" s="3" t="s">
        <v>6851</v>
      </c>
      <c r="M601" s="3">
        <v>8</v>
      </c>
      <c r="N601" s="4" t="s">
        <v>9630</v>
      </c>
      <c r="O601" s="4">
        <v>30</v>
      </c>
      <c r="P601" s="11" t="s">
        <v>9766</v>
      </c>
      <c r="Q601" s="11" t="s">
        <v>10005</v>
      </c>
      <c r="S601" s="4" t="b">
        <f>ISNUMBER(MATCH(Q601,T:T,0))</f>
        <v>1</v>
      </c>
      <c r="T601" s="4" t="s">
        <v>10672</v>
      </c>
      <c r="U601" s="4" t="str">
        <f t="shared" si="28"/>
        <v>然</v>
      </c>
    </row>
    <row r="602" spans="1:21">
      <c r="A602" s="3">
        <v>601</v>
      </c>
      <c r="B602" s="3" t="s">
        <v>8162</v>
      </c>
      <c r="C602" s="3" t="s">
        <v>6083</v>
      </c>
      <c r="D602" s="3" t="s">
        <v>6001</v>
      </c>
      <c r="E602" s="3" t="s">
        <v>5991</v>
      </c>
      <c r="F602" s="3" t="s">
        <v>8163</v>
      </c>
      <c r="G602" s="3" t="s">
        <v>5993</v>
      </c>
      <c r="H602" s="3" t="s">
        <v>8169</v>
      </c>
      <c r="I602" s="3" t="s">
        <v>6836</v>
      </c>
      <c r="J602" s="5" t="s">
        <v>7722</v>
      </c>
      <c r="L602" s="3" t="s">
        <v>6856</v>
      </c>
      <c r="M602" s="3">
        <v>4</v>
      </c>
      <c r="N602" s="4" t="s">
        <v>9630</v>
      </c>
      <c r="O602" s="4">
        <v>30</v>
      </c>
      <c r="P602" s="11" t="s">
        <v>9737</v>
      </c>
      <c r="Q602" s="11" t="s">
        <v>9630</v>
      </c>
      <c r="S602" s="4" t="b">
        <f>ISNUMBER(MATCH(Q602,T:T,0))</f>
        <v>1</v>
      </c>
      <c r="T602" s="4" t="s">
        <v>11241</v>
      </c>
      <c r="U602" s="4" t="str">
        <f t="shared" si="28"/>
        <v>仙</v>
      </c>
    </row>
    <row r="603" spans="1:21">
      <c r="A603" s="3">
        <v>602</v>
      </c>
      <c r="B603" s="3" t="s">
        <v>8162</v>
      </c>
      <c r="C603" s="3" t="s">
        <v>6021</v>
      </c>
      <c r="D603" s="3" t="s">
        <v>6001</v>
      </c>
      <c r="E603" s="3" t="s">
        <v>5991</v>
      </c>
      <c r="F603" s="3" t="s">
        <v>8163</v>
      </c>
      <c r="G603" s="3" t="s">
        <v>5993</v>
      </c>
      <c r="H603" s="3" t="s">
        <v>8170</v>
      </c>
      <c r="I603" s="3" t="s">
        <v>6836</v>
      </c>
      <c r="J603" s="5" t="s">
        <v>7723</v>
      </c>
      <c r="L603" s="3" t="s">
        <v>8171</v>
      </c>
      <c r="M603" s="3">
        <v>9</v>
      </c>
      <c r="N603" s="4" t="s">
        <v>9630</v>
      </c>
      <c r="O603" s="4">
        <v>30</v>
      </c>
      <c r="P603" s="11" t="s">
        <v>9715</v>
      </c>
      <c r="Q603" s="11" t="s">
        <v>10006</v>
      </c>
      <c r="S603" s="4" t="b">
        <f>ISNUMBER(MATCH(Q603,T:T,0))</f>
        <v>1</v>
      </c>
      <c r="T603" s="4" t="s">
        <v>10005</v>
      </c>
      <c r="U603" s="4" t="str">
        <f t="shared" si="28"/>
        <v>延</v>
      </c>
    </row>
    <row r="604" spans="1:21">
      <c r="A604" s="3">
        <v>603</v>
      </c>
      <c r="B604" s="3" t="s">
        <v>8162</v>
      </c>
      <c r="C604" s="3" t="s">
        <v>6028</v>
      </c>
      <c r="D604" s="3" t="s">
        <v>6001</v>
      </c>
      <c r="E604" s="3" t="s">
        <v>5991</v>
      </c>
      <c r="F604" s="3" t="s">
        <v>8163</v>
      </c>
      <c r="G604" s="3" t="s">
        <v>5993</v>
      </c>
      <c r="H604" s="3" t="s">
        <v>8172</v>
      </c>
      <c r="I604" s="3" t="s">
        <v>6836</v>
      </c>
      <c r="J604" s="5" t="s">
        <v>8173</v>
      </c>
      <c r="L604" s="3" t="s">
        <v>6849</v>
      </c>
      <c r="M604" s="3">
        <v>13</v>
      </c>
      <c r="N604" s="4" t="s">
        <v>9630</v>
      </c>
      <c r="O604" s="4">
        <v>30</v>
      </c>
      <c r="P604" s="11" t="s">
        <v>6028</v>
      </c>
      <c r="Q604" s="11" t="s">
        <v>10005</v>
      </c>
      <c r="S604" s="4" t="b">
        <f>ISNUMBER(MATCH(Q604,T:T,0))</f>
        <v>1</v>
      </c>
      <c r="T604" s="4" t="s">
        <v>10006</v>
      </c>
      <c r="U604" s="4" t="str">
        <f t="shared" si="28"/>
        <v>然</v>
      </c>
    </row>
    <row r="605" spans="1:21">
      <c r="A605" s="3">
        <v>604</v>
      </c>
      <c r="B605" s="3" t="s">
        <v>8162</v>
      </c>
      <c r="C605" s="3" t="s">
        <v>6009</v>
      </c>
      <c r="D605" s="3" t="s">
        <v>6001</v>
      </c>
      <c r="E605" s="3" t="s">
        <v>5991</v>
      </c>
      <c r="F605" s="3" t="s">
        <v>8163</v>
      </c>
      <c r="G605" s="3" t="s">
        <v>5993</v>
      </c>
      <c r="H605" s="3" t="s">
        <v>8174</v>
      </c>
      <c r="I605" s="3" t="s">
        <v>6836</v>
      </c>
      <c r="J605" s="5" t="s">
        <v>7724</v>
      </c>
      <c r="L605" s="3" t="s">
        <v>8113</v>
      </c>
      <c r="M605" s="3">
        <v>8</v>
      </c>
      <c r="N605" s="4" t="s">
        <v>9630</v>
      </c>
      <c r="O605" s="4">
        <v>30</v>
      </c>
      <c r="P605" s="11" t="s">
        <v>9849</v>
      </c>
      <c r="Q605" s="11" t="s">
        <v>10006</v>
      </c>
      <c r="S605" s="4" t="b">
        <f>ISNUMBER(MATCH(Q605,T:T,0))</f>
        <v>1</v>
      </c>
      <c r="T605" s="4" t="s">
        <v>11242</v>
      </c>
      <c r="U605" s="4" t="str">
        <f t="shared" si="28"/>
        <v>延</v>
      </c>
    </row>
    <row r="606" spans="1:21">
      <c r="A606" s="3">
        <v>605</v>
      </c>
      <c r="B606" s="3" t="s">
        <v>8162</v>
      </c>
      <c r="C606" s="3" t="s">
        <v>6025</v>
      </c>
      <c r="D606" s="3" t="s">
        <v>6001</v>
      </c>
      <c r="E606" s="3" t="s">
        <v>5991</v>
      </c>
      <c r="F606" s="3" t="s">
        <v>8163</v>
      </c>
      <c r="G606" s="3" t="s">
        <v>5993</v>
      </c>
      <c r="H606" s="3" t="s">
        <v>8175</v>
      </c>
      <c r="I606" s="3" t="s">
        <v>6836</v>
      </c>
      <c r="J606" s="5" t="s">
        <v>8176</v>
      </c>
      <c r="L606" s="3" t="s">
        <v>6856</v>
      </c>
      <c r="M606" s="3">
        <v>3</v>
      </c>
      <c r="N606" s="4" t="s">
        <v>9630</v>
      </c>
      <c r="O606" s="4">
        <v>30</v>
      </c>
      <c r="P606" s="11" t="s">
        <v>9717</v>
      </c>
      <c r="Q606" s="11" t="s">
        <v>10006</v>
      </c>
      <c r="S606" s="4" t="b">
        <f>ISNUMBER(MATCH(Q606,T:T,0))</f>
        <v>1</v>
      </c>
      <c r="T606" s="4" t="s">
        <v>11243</v>
      </c>
      <c r="U606" s="4" t="str">
        <f t="shared" si="28"/>
        <v>延</v>
      </c>
    </row>
    <row r="607" spans="1:21">
      <c r="A607" s="3">
        <v>606</v>
      </c>
      <c r="B607" s="3" t="s">
        <v>8162</v>
      </c>
      <c r="C607" s="3" t="s">
        <v>6000</v>
      </c>
      <c r="D607" s="3" t="s">
        <v>6001</v>
      </c>
      <c r="E607" s="3" t="s">
        <v>5991</v>
      </c>
      <c r="F607" s="3" t="s">
        <v>8177</v>
      </c>
      <c r="G607" s="3" t="s">
        <v>5993</v>
      </c>
      <c r="H607" s="3" t="s">
        <v>8178</v>
      </c>
      <c r="I607" s="3" t="s">
        <v>6836</v>
      </c>
      <c r="J607" s="5" t="s">
        <v>8179</v>
      </c>
      <c r="L607" s="3" t="s">
        <v>8113</v>
      </c>
      <c r="M607" s="3">
        <v>5</v>
      </c>
      <c r="N607" s="4" t="s">
        <v>9630</v>
      </c>
      <c r="O607" s="4">
        <v>30</v>
      </c>
      <c r="P607" s="11" t="s">
        <v>10007</v>
      </c>
      <c r="Q607" s="11" t="s">
        <v>10008</v>
      </c>
      <c r="S607" s="4" t="b">
        <f>ISNUMBER(MATCH(Q607,T:T,0))</f>
        <v>1</v>
      </c>
      <c r="T607" s="4" t="s">
        <v>6959</v>
      </c>
      <c r="U607" s="4" t="str">
        <f t="shared" si="28"/>
        <v>連</v>
      </c>
    </row>
    <row r="608" spans="1:21">
      <c r="A608" s="3">
        <v>607</v>
      </c>
      <c r="B608" s="3" t="s">
        <v>8162</v>
      </c>
      <c r="C608" s="3" t="s">
        <v>6015</v>
      </c>
      <c r="D608" s="3" t="s">
        <v>6001</v>
      </c>
      <c r="E608" s="3" t="s">
        <v>5991</v>
      </c>
      <c r="F608" s="3" t="s">
        <v>8177</v>
      </c>
      <c r="G608" s="3" t="s">
        <v>5993</v>
      </c>
      <c r="H608" s="3" t="s">
        <v>8180</v>
      </c>
      <c r="I608" s="3" t="s">
        <v>6836</v>
      </c>
      <c r="J608" s="5" t="s">
        <v>8181</v>
      </c>
      <c r="L608" s="3" t="s">
        <v>8090</v>
      </c>
      <c r="M608" s="3">
        <v>5</v>
      </c>
      <c r="N608" s="4" t="s">
        <v>9630</v>
      </c>
      <c r="O608" s="4">
        <v>30</v>
      </c>
      <c r="P608" s="11" t="s">
        <v>9777</v>
      </c>
      <c r="Q608" s="11" t="s">
        <v>10008</v>
      </c>
      <c r="S608" s="4" t="b">
        <f>ISNUMBER(MATCH(Q608,T:T,0))</f>
        <v>1</v>
      </c>
      <c r="T608" s="4" t="s">
        <v>11244</v>
      </c>
      <c r="U608" s="4" t="str">
        <f t="shared" si="28"/>
        <v>連</v>
      </c>
    </row>
    <row r="609" spans="1:22">
      <c r="A609" s="3">
        <v>608</v>
      </c>
      <c r="B609" s="3" t="s">
        <v>8162</v>
      </c>
      <c r="C609" s="3" t="s">
        <v>6120</v>
      </c>
      <c r="D609" s="3" t="s">
        <v>6001</v>
      </c>
      <c r="E609" s="3" t="s">
        <v>5991</v>
      </c>
      <c r="F609" s="3" t="s">
        <v>8163</v>
      </c>
      <c r="G609" s="3" t="s">
        <v>5993</v>
      </c>
      <c r="H609" s="3" t="s">
        <v>8182</v>
      </c>
      <c r="I609" s="3" t="s">
        <v>6836</v>
      </c>
      <c r="J609" s="5" t="s">
        <v>7725</v>
      </c>
      <c r="L609" s="3" t="s">
        <v>8058</v>
      </c>
      <c r="M609" s="3">
        <v>8</v>
      </c>
      <c r="N609" s="4" t="s">
        <v>9630</v>
      </c>
      <c r="O609" s="4">
        <v>30</v>
      </c>
      <c r="P609" s="11" t="s">
        <v>9793</v>
      </c>
      <c r="Q609" s="11" t="s">
        <v>10008</v>
      </c>
      <c r="S609" s="4" t="b">
        <f>ISNUMBER(MATCH(Q609,T:T,0))</f>
        <v>1</v>
      </c>
      <c r="T609" s="4" t="s">
        <v>11245</v>
      </c>
      <c r="U609" s="4" t="str">
        <f t="shared" si="28"/>
        <v>連</v>
      </c>
    </row>
    <row r="610" spans="1:22">
      <c r="A610" s="3">
        <v>609</v>
      </c>
      <c r="B610" s="3" t="s">
        <v>8162</v>
      </c>
      <c r="C610" s="3" t="s">
        <v>6011</v>
      </c>
      <c r="D610" s="3" t="s">
        <v>6001</v>
      </c>
      <c r="E610" s="3" t="s">
        <v>5991</v>
      </c>
      <c r="F610" s="3" t="s">
        <v>8177</v>
      </c>
      <c r="G610" s="3" t="s">
        <v>5993</v>
      </c>
      <c r="H610" s="3" t="s">
        <v>8183</v>
      </c>
      <c r="I610" s="3" t="s">
        <v>6836</v>
      </c>
      <c r="J610" s="8" t="s">
        <v>7726</v>
      </c>
      <c r="L610" s="3" t="s">
        <v>8184</v>
      </c>
      <c r="M610" s="3">
        <v>4</v>
      </c>
      <c r="N610" s="4" t="s">
        <v>9630</v>
      </c>
      <c r="O610" s="4">
        <v>30</v>
      </c>
      <c r="P610" s="11" t="s">
        <v>9757</v>
      </c>
      <c r="Q610" s="11" t="s">
        <v>10006</v>
      </c>
      <c r="S610" s="4" t="b">
        <f>ISNUMBER(MATCH(Q610,T:T,0))</f>
        <v>1</v>
      </c>
      <c r="T610" s="4" t="s">
        <v>11246</v>
      </c>
      <c r="U610" s="4" t="str">
        <f t="shared" si="28"/>
        <v>延</v>
      </c>
    </row>
    <row r="611" spans="1:22">
      <c r="A611" s="3">
        <v>610</v>
      </c>
      <c r="B611" s="3" t="s">
        <v>8162</v>
      </c>
      <c r="C611" s="3" t="s">
        <v>6148</v>
      </c>
      <c r="D611" s="3" t="s">
        <v>6001</v>
      </c>
      <c r="E611" s="3" t="s">
        <v>5991</v>
      </c>
      <c r="F611" s="3" t="s">
        <v>8163</v>
      </c>
      <c r="G611" s="3" t="s">
        <v>5993</v>
      </c>
      <c r="H611" s="3" t="s">
        <v>8185</v>
      </c>
      <c r="I611" s="3" t="s">
        <v>6836</v>
      </c>
      <c r="J611" s="5" t="s">
        <v>8186</v>
      </c>
      <c r="L611" s="3" t="s">
        <v>8090</v>
      </c>
      <c r="M611" s="3">
        <v>9</v>
      </c>
      <c r="N611" s="4" t="s">
        <v>9630</v>
      </c>
      <c r="O611" s="4">
        <v>30</v>
      </c>
      <c r="P611" s="11" t="s">
        <v>9829</v>
      </c>
      <c r="Q611" s="11" t="s">
        <v>10008</v>
      </c>
      <c r="S611" s="4" t="b">
        <f>ISNUMBER(MATCH(Q611,T:T,0))</f>
        <v>1</v>
      </c>
      <c r="T611" s="4" t="s">
        <v>11247</v>
      </c>
      <c r="U611" s="4" t="str">
        <f t="shared" si="28"/>
        <v>連</v>
      </c>
    </row>
    <row r="612" spans="1:22">
      <c r="A612" s="3">
        <v>611</v>
      </c>
      <c r="B612" s="3" t="s">
        <v>8162</v>
      </c>
      <c r="C612" s="3" t="s">
        <v>6005</v>
      </c>
      <c r="D612" s="3" t="s">
        <v>6001</v>
      </c>
      <c r="E612" s="3" t="s">
        <v>5991</v>
      </c>
      <c r="F612" s="3" t="s">
        <v>8177</v>
      </c>
      <c r="G612" s="3" t="s">
        <v>5993</v>
      </c>
      <c r="H612" s="3" t="s">
        <v>8187</v>
      </c>
      <c r="I612" s="3" t="s">
        <v>6836</v>
      </c>
      <c r="J612" s="5" t="s">
        <v>7727</v>
      </c>
      <c r="L612" s="3" t="s">
        <v>8090</v>
      </c>
      <c r="M612" s="3">
        <v>10</v>
      </c>
      <c r="N612" s="4" t="s">
        <v>9630</v>
      </c>
      <c r="O612" s="4">
        <v>30</v>
      </c>
      <c r="P612" s="11" t="s">
        <v>9709</v>
      </c>
      <c r="Q612" s="11" t="s">
        <v>10008</v>
      </c>
      <c r="S612" s="4" t="b">
        <f>ISNUMBER(MATCH(Q612,T:T,0))</f>
        <v>1</v>
      </c>
      <c r="T612" s="4" t="s">
        <v>11248</v>
      </c>
      <c r="U612" s="4" t="str">
        <f t="shared" si="28"/>
        <v>連</v>
      </c>
    </row>
    <row r="613" spans="1:22">
      <c r="A613" s="3">
        <v>612</v>
      </c>
      <c r="B613" s="3" t="s">
        <v>8162</v>
      </c>
      <c r="C613" s="3" t="s">
        <v>6089</v>
      </c>
      <c r="D613" s="3" t="s">
        <v>6001</v>
      </c>
      <c r="E613" s="3" t="s">
        <v>5991</v>
      </c>
      <c r="F613" s="3" t="s">
        <v>8163</v>
      </c>
      <c r="G613" s="3" t="s">
        <v>5993</v>
      </c>
      <c r="H613" s="3" t="s">
        <v>8188</v>
      </c>
      <c r="I613" s="3" t="s">
        <v>6836</v>
      </c>
      <c r="J613" s="5" t="s">
        <v>8189</v>
      </c>
      <c r="L613" s="3" t="s">
        <v>6853</v>
      </c>
      <c r="M613" s="3">
        <v>4</v>
      </c>
      <c r="N613" s="4" t="s">
        <v>9630</v>
      </c>
      <c r="O613" s="4">
        <v>30</v>
      </c>
      <c r="P613" s="11" t="s">
        <v>9753</v>
      </c>
      <c r="Q613" s="11" t="s">
        <v>10006</v>
      </c>
      <c r="S613" s="4" t="b">
        <f>ISNUMBER(MATCH(Q613,T:T,0))</f>
        <v>1</v>
      </c>
      <c r="T613" s="4" t="s">
        <v>11249</v>
      </c>
      <c r="U613" s="4" t="str">
        <f t="shared" si="28"/>
        <v>延</v>
      </c>
    </row>
    <row r="614" spans="1:22">
      <c r="A614" s="3">
        <v>613</v>
      </c>
      <c r="B614" s="3" t="s">
        <v>8162</v>
      </c>
      <c r="C614" s="3" t="s">
        <v>6058</v>
      </c>
      <c r="D614" s="3" t="s">
        <v>6001</v>
      </c>
      <c r="E614" s="3" t="s">
        <v>5991</v>
      </c>
      <c r="F614" s="3" t="s">
        <v>8163</v>
      </c>
      <c r="G614" s="3" t="s">
        <v>5993</v>
      </c>
      <c r="H614" s="3" t="s">
        <v>8190</v>
      </c>
      <c r="I614" s="3" t="s">
        <v>6836</v>
      </c>
      <c r="J614" s="5" t="s">
        <v>7728</v>
      </c>
      <c r="L614" s="3" t="s">
        <v>8134</v>
      </c>
      <c r="M614" s="3">
        <v>13</v>
      </c>
      <c r="N614" s="4" t="s">
        <v>9630</v>
      </c>
      <c r="O614" s="4">
        <v>30</v>
      </c>
      <c r="P614" s="11" t="s">
        <v>9727</v>
      </c>
      <c r="Q614" s="11" t="s">
        <v>10006</v>
      </c>
      <c r="S614" s="4" t="b">
        <f>ISNUMBER(MATCH(Q614,T:T,0))</f>
        <v>1</v>
      </c>
      <c r="T614" s="4" t="s">
        <v>10008</v>
      </c>
      <c r="U614" s="4" t="str">
        <f t="shared" si="28"/>
        <v>延</v>
      </c>
    </row>
    <row r="615" spans="1:22">
      <c r="A615" s="3">
        <v>614</v>
      </c>
      <c r="B615" s="3" t="s">
        <v>8162</v>
      </c>
      <c r="C615" s="3" t="s">
        <v>6053</v>
      </c>
      <c r="D615" s="3" t="s">
        <v>6001</v>
      </c>
      <c r="E615" s="3" t="s">
        <v>5991</v>
      </c>
      <c r="F615" s="3" t="s">
        <v>8163</v>
      </c>
      <c r="G615" s="3" t="s">
        <v>5993</v>
      </c>
      <c r="H615" s="3" t="s">
        <v>8191</v>
      </c>
      <c r="I615" s="3" t="s">
        <v>6836</v>
      </c>
      <c r="J615" s="5" t="s">
        <v>7729</v>
      </c>
      <c r="L615" s="3" t="s">
        <v>8192</v>
      </c>
      <c r="M615" s="3">
        <v>7</v>
      </c>
      <c r="N615" s="4" t="s">
        <v>9630</v>
      </c>
      <c r="O615" s="4">
        <v>30</v>
      </c>
      <c r="P615" s="11" t="s">
        <v>9841</v>
      </c>
      <c r="Q615" s="11" t="s">
        <v>10008</v>
      </c>
      <c r="S615" s="4" t="b">
        <f>ISNUMBER(MATCH(Q615,T:T,0))</f>
        <v>1</v>
      </c>
      <c r="T615" s="4" t="s">
        <v>11250</v>
      </c>
      <c r="U615" s="4" t="str">
        <f t="shared" si="28"/>
        <v>連</v>
      </c>
    </row>
    <row r="616" spans="1:22">
      <c r="A616" s="3">
        <v>615</v>
      </c>
      <c r="B616" s="3" t="s">
        <v>8162</v>
      </c>
      <c r="C616" s="3" t="s">
        <v>6045</v>
      </c>
      <c r="D616" s="3" t="s">
        <v>6001</v>
      </c>
      <c r="E616" s="3" t="s">
        <v>5991</v>
      </c>
      <c r="F616" s="3" t="s">
        <v>8163</v>
      </c>
      <c r="G616" s="3" t="s">
        <v>5993</v>
      </c>
      <c r="H616" s="3" t="s">
        <v>8193</v>
      </c>
      <c r="I616" s="3" t="s">
        <v>6836</v>
      </c>
      <c r="J616" s="5" t="s">
        <v>8194</v>
      </c>
      <c r="L616" s="3" t="s">
        <v>8147</v>
      </c>
      <c r="M616" s="3">
        <v>9</v>
      </c>
      <c r="N616" s="4" t="s">
        <v>9630</v>
      </c>
      <c r="O616" s="4">
        <v>30</v>
      </c>
      <c r="P616" s="11" t="s">
        <v>9722</v>
      </c>
      <c r="Q616" s="11" t="s">
        <v>10008</v>
      </c>
      <c r="S616" s="4" t="b">
        <f>ISNUMBER(MATCH(Q616,T:T,0))</f>
        <v>1</v>
      </c>
      <c r="T616" s="4" t="s">
        <v>2262</v>
      </c>
      <c r="U616" s="4" t="str">
        <f t="shared" si="28"/>
        <v>連</v>
      </c>
    </row>
    <row r="617" spans="1:22">
      <c r="A617" s="3">
        <v>616</v>
      </c>
      <c r="B617" s="3" t="s">
        <v>8162</v>
      </c>
      <c r="C617" s="3" t="s">
        <v>6035</v>
      </c>
      <c r="D617" s="3" t="s">
        <v>6001</v>
      </c>
      <c r="E617" s="3" t="s">
        <v>5991</v>
      </c>
      <c r="F617" s="3" t="s">
        <v>8163</v>
      </c>
      <c r="G617" s="3" t="s">
        <v>5993</v>
      </c>
      <c r="H617" s="3" t="s">
        <v>8195</v>
      </c>
      <c r="I617" s="3" t="s">
        <v>6836</v>
      </c>
      <c r="J617" s="8" t="s">
        <v>7730</v>
      </c>
      <c r="L617" s="3" t="s">
        <v>8145</v>
      </c>
      <c r="M617" s="3">
        <v>17</v>
      </c>
      <c r="N617" s="4" t="s">
        <v>9630</v>
      </c>
      <c r="O617" s="4">
        <v>30</v>
      </c>
      <c r="P617" s="11" t="s">
        <v>9794</v>
      </c>
      <c r="Q617" s="11" t="s">
        <v>10006</v>
      </c>
      <c r="S617" s="4" t="b">
        <f>ISNUMBER(MATCH(Q617,T:T,0))</f>
        <v>1</v>
      </c>
      <c r="T617" s="4" t="s">
        <v>11251</v>
      </c>
      <c r="U617" s="4" t="str">
        <f t="shared" si="28"/>
        <v>延</v>
      </c>
    </row>
    <row r="618" spans="1:22">
      <c r="A618" s="3">
        <v>617</v>
      </c>
      <c r="B618" s="3" t="s">
        <v>8162</v>
      </c>
      <c r="C618" s="3" t="s">
        <v>6069</v>
      </c>
      <c r="D618" s="3" t="s">
        <v>6001</v>
      </c>
      <c r="E618" s="3" t="s">
        <v>6212</v>
      </c>
      <c r="F618" s="3" t="s">
        <v>8163</v>
      </c>
      <c r="G618" s="3" t="s">
        <v>5993</v>
      </c>
      <c r="H618" s="3" t="s">
        <v>8196</v>
      </c>
      <c r="I618" s="3" t="s">
        <v>6836</v>
      </c>
      <c r="J618" s="5" t="s">
        <v>7731</v>
      </c>
      <c r="L618" s="3" t="s">
        <v>8197</v>
      </c>
      <c r="M618" s="3">
        <v>7</v>
      </c>
      <c r="N618" s="4" t="s">
        <v>9630</v>
      </c>
      <c r="O618" s="4">
        <v>30</v>
      </c>
      <c r="P618" s="11" t="s">
        <v>9756</v>
      </c>
      <c r="Q618" s="11" t="s">
        <v>10009</v>
      </c>
      <c r="R618" s="4" t="s">
        <v>13031</v>
      </c>
      <c r="S618" s="4" t="b">
        <f>ISNUMBER(MATCH(Q618,T:T,0))</f>
        <v>0</v>
      </c>
      <c r="T618" s="4" t="s">
        <v>10023</v>
      </c>
      <c r="U618" s="4" t="str">
        <f t="shared" si="28"/>
        <v>沿</v>
      </c>
      <c r="V618" s="4" t="b">
        <f t="shared" ref="V618:V623" si="29">ISNUMBER(MATCH(R618,T:T,0))</f>
        <v>1</v>
      </c>
    </row>
    <row r="619" spans="1:22">
      <c r="A619" s="3">
        <v>618</v>
      </c>
      <c r="B619" s="3" t="s">
        <v>8162</v>
      </c>
      <c r="C619" s="3" t="s">
        <v>6017</v>
      </c>
      <c r="D619" s="3" t="s">
        <v>6001</v>
      </c>
      <c r="E619" s="3" t="s">
        <v>6212</v>
      </c>
      <c r="F619" s="3" t="s">
        <v>8163</v>
      </c>
      <c r="G619" s="3" t="s">
        <v>5993</v>
      </c>
      <c r="H619" s="3" t="s">
        <v>8198</v>
      </c>
      <c r="I619" s="3" t="s">
        <v>6836</v>
      </c>
      <c r="J619" s="5" t="s">
        <v>8199</v>
      </c>
      <c r="L619" s="3" t="s">
        <v>6844</v>
      </c>
      <c r="M619" s="3">
        <v>9</v>
      </c>
      <c r="N619" s="4" t="s">
        <v>9630</v>
      </c>
      <c r="O619" s="4">
        <v>30</v>
      </c>
      <c r="P619" s="11" t="s">
        <v>10010</v>
      </c>
      <c r="Q619" s="11" t="s">
        <v>10009</v>
      </c>
      <c r="R619" s="4" t="s">
        <v>13031</v>
      </c>
      <c r="S619" s="4" t="b">
        <f>ISNUMBER(MATCH(Q619,T:T,0))</f>
        <v>0</v>
      </c>
      <c r="T619" s="4" t="s">
        <v>10013</v>
      </c>
      <c r="U619" s="4" t="str">
        <f t="shared" si="28"/>
        <v>沿</v>
      </c>
      <c r="V619" s="4" t="b">
        <f t="shared" si="29"/>
        <v>1</v>
      </c>
    </row>
    <row r="620" spans="1:22">
      <c r="A620" s="3">
        <v>619</v>
      </c>
      <c r="B620" s="3" t="s">
        <v>8162</v>
      </c>
      <c r="C620" s="3" t="s">
        <v>6083</v>
      </c>
      <c r="D620" s="3" t="s">
        <v>6001</v>
      </c>
      <c r="E620" s="3" t="s">
        <v>6212</v>
      </c>
      <c r="F620" s="3" t="s">
        <v>8163</v>
      </c>
      <c r="G620" s="3" t="s">
        <v>5993</v>
      </c>
      <c r="H620" s="3" t="s">
        <v>8200</v>
      </c>
      <c r="I620" s="3" t="s">
        <v>6836</v>
      </c>
      <c r="J620" s="5" t="s">
        <v>7732</v>
      </c>
      <c r="L620" s="3" t="s">
        <v>8151</v>
      </c>
      <c r="M620" s="3">
        <v>4</v>
      </c>
      <c r="N620" s="4" t="s">
        <v>9630</v>
      </c>
      <c r="O620" s="4">
        <v>30</v>
      </c>
      <c r="P620" s="11" t="s">
        <v>9737</v>
      </c>
      <c r="Q620" s="11" t="s">
        <v>10011</v>
      </c>
      <c r="R620" s="4" t="s">
        <v>13032</v>
      </c>
      <c r="S620" s="4" t="b">
        <f>ISNUMBER(MATCH(Q620,T:T,0))</f>
        <v>0</v>
      </c>
      <c r="T620" s="4" t="s">
        <v>11252</v>
      </c>
      <c r="U620" s="4" t="str">
        <f t="shared" si="28"/>
        <v>全</v>
      </c>
      <c r="V620" s="4" t="b">
        <f t="shared" si="29"/>
        <v>1</v>
      </c>
    </row>
    <row r="621" spans="1:22">
      <c r="A621" s="3">
        <v>620</v>
      </c>
      <c r="B621" s="3" t="s">
        <v>8162</v>
      </c>
      <c r="C621" s="3" t="s">
        <v>6089</v>
      </c>
      <c r="D621" s="3" t="s">
        <v>6001</v>
      </c>
      <c r="E621" s="3" t="s">
        <v>6212</v>
      </c>
      <c r="F621" s="3" t="s">
        <v>8163</v>
      </c>
      <c r="G621" s="3" t="s">
        <v>5993</v>
      </c>
      <c r="H621" s="3" t="s">
        <v>8201</v>
      </c>
      <c r="I621" s="3" t="s">
        <v>6836</v>
      </c>
      <c r="J621" s="5" t="s">
        <v>7733</v>
      </c>
      <c r="L621" s="3" t="s">
        <v>6844</v>
      </c>
      <c r="M621" s="3">
        <v>9</v>
      </c>
      <c r="N621" s="4" t="s">
        <v>9630</v>
      </c>
      <c r="O621" s="4">
        <v>30</v>
      </c>
      <c r="P621" s="11" t="s">
        <v>9753</v>
      </c>
      <c r="Q621" s="11" t="s">
        <v>10009</v>
      </c>
      <c r="R621" s="4" t="s">
        <v>13031</v>
      </c>
      <c r="S621" s="4" t="b">
        <f>ISNUMBER(MATCH(Q621,T:T,0))</f>
        <v>0</v>
      </c>
      <c r="T621" s="4" t="s">
        <v>11253</v>
      </c>
      <c r="U621" s="4" t="str">
        <f t="shared" si="28"/>
        <v>沿</v>
      </c>
      <c r="V621" s="4" t="b">
        <f t="shared" si="29"/>
        <v>1</v>
      </c>
    </row>
    <row r="622" spans="1:22">
      <c r="A622" s="3">
        <v>621</v>
      </c>
      <c r="B622" s="3" t="s">
        <v>8162</v>
      </c>
      <c r="C622" s="3" t="s">
        <v>6021</v>
      </c>
      <c r="D622" s="3" t="s">
        <v>6001</v>
      </c>
      <c r="E622" s="3" t="s">
        <v>6212</v>
      </c>
      <c r="F622" s="3" t="s">
        <v>8163</v>
      </c>
      <c r="G622" s="3" t="s">
        <v>5993</v>
      </c>
      <c r="H622" s="3" t="s">
        <v>8202</v>
      </c>
      <c r="I622" s="3" t="s">
        <v>6836</v>
      </c>
      <c r="J622" s="5" t="s">
        <v>7734</v>
      </c>
      <c r="L622" s="3" t="s">
        <v>8203</v>
      </c>
      <c r="M622" s="3">
        <v>6</v>
      </c>
      <c r="N622" s="4" t="s">
        <v>9630</v>
      </c>
      <c r="O622" s="4">
        <v>30</v>
      </c>
      <c r="P622" s="11" t="s">
        <v>9761</v>
      </c>
      <c r="Q622" s="11" t="s">
        <v>10009</v>
      </c>
      <c r="R622" s="4" t="s">
        <v>13031</v>
      </c>
      <c r="S622" s="4" t="b">
        <f>ISNUMBER(MATCH(Q622,T:T,0))</f>
        <v>0</v>
      </c>
      <c r="T622" s="4" t="s">
        <v>11254</v>
      </c>
      <c r="U622" s="4" t="str">
        <f t="shared" si="28"/>
        <v>沿</v>
      </c>
      <c r="V622" s="4" t="b">
        <f t="shared" si="29"/>
        <v>1</v>
      </c>
    </row>
    <row r="623" spans="1:22" ht="28.5">
      <c r="A623" s="3">
        <v>622</v>
      </c>
      <c r="B623" s="3" t="s">
        <v>8162</v>
      </c>
      <c r="C623" s="3" t="s">
        <v>6055</v>
      </c>
      <c r="D623" s="3" t="s">
        <v>6001</v>
      </c>
      <c r="E623" s="3" t="s">
        <v>6212</v>
      </c>
      <c r="F623" s="3" t="s">
        <v>8163</v>
      </c>
      <c r="G623" s="3" t="s">
        <v>5993</v>
      </c>
      <c r="H623" s="3" t="s">
        <v>8204</v>
      </c>
      <c r="I623" s="3" t="s">
        <v>6836</v>
      </c>
      <c r="J623" s="5" t="s">
        <v>8205</v>
      </c>
      <c r="L623" s="3" t="s">
        <v>8206</v>
      </c>
      <c r="M623" s="3">
        <v>3</v>
      </c>
      <c r="N623" s="4" t="s">
        <v>9630</v>
      </c>
      <c r="O623" s="4">
        <v>30</v>
      </c>
      <c r="P623" s="11" t="s">
        <v>6055</v>
      </c>
      <c r="Q623" s="11" t="s">
        <v>10009</v>
      </c>
      <c r="R623" s="4" t="s">
        <v>13031</v>
      </c>
      <c r="S623" s="4" t="b">
        <f>ISNUMBER(MATCH(Q623,T:T,0))</f>
        <v>0</v>
      </c>
      <c r="T623" s="4" t="s">
        <v>11255</v>
      </c>
      <c r="U623" s="4" t="str">
        <f t="shared" si="28"/>
        <v>沿</v>
      </c>
      <c r="V623" s="4" t="b">
        <f t="shared" si="29"/>
        <v>1</v>
      </c>
    </row>
    <row r="624" spans="1:22">
      <c r="A624" s="3">
        <v>623</v>
      </c>
      <c r="B624" s="3" t="s">
        <v>8162</v>
      </c>
      <c r="C624" s="3" t="s">
        <v>6028</v>
      </c>
      <c r="D624" s="3" t="s">
        <v>6001</v>
      </c>
      <c r="E624" s="3" t="s">
        <v>6212</v>
      </c>
      <c r="F624" s="3" t="s">
        <v>8163</v>
      </c>
      <c r="G624" s="3" t="s">
        <v>5993</v>
      </c>
      <c r="H624" s="3" t="s">
        <v>8207</v>
      </c>
      <c r="I624" s="3" t="s">
        <v>6836</v>
      </c>
      <c r="J624" s="5" t="s">
        <v>8208</v>
      </c>
      <c r="L624" s="3" t="s">
        <v>6837</v>
      </c>
      <c r="M624" s="3">
        <v>12</v>
      </c>
      <c r="N624" s="4" t="s">
        <v>9630</v>
      </c>
      <c r="O624" s="4">
        <v>30</v>
      </c>
      <c r="P624" s="11" t="s">
        <v>9828</v>
      </c>
      <c r="Q624" s="11" t="s">
        <v>10012</v>
      </c>
      <c r="S624" s="4" t="b">
        <f>ISNUMBER(MATCH(Q624,T:T,0))</f>
        <v>1</v>
      </c>
      <c r="T624" s="4" t="s">
        <v>11256</v>
      </c>
      <c r="U624" s="4" t="str">
        <f t="shared" si="28"/>
        <v>專</v>
      </c>
    </row>
    <row r="625" spans="1:22">
      <c r="A625" s="3">
        <v>624</v>
      </c>
      <c r="B625" s="3" t="s">
        <v>8162</v>
      </c>
      <c r="C625" s="3" t="s">
        <v>6123</v>
      </c>
      <c r="D625" s="3" t="s">
        <v>6001</v>
      </c>
      <c r="E625" s="3" t="s">
        <v>6212</v>
      </c>
      <c r="F625" s="3" t="s">
        <v>8163</v>
      </c>
      <c r="G625" s="3" t="s">
        <v>5993</v>
      </c>
      <c r="H625" s="3" t="s">
        <v>8209</v>
      </c>
      <c r="I625" s="3" t="s">
        <v>6836</v>
      </c>
      <c r="J625" s="5" t="s">
        <v>7735</v>
      </c>
      <c r="L625" s="3" t="s">
        <v>8158</v>
      </c>
      <c r="M625" s="3">
        <v>17</v>
      </c>
      <c r="N625" s="4" t="s">
        <v>9630</v>
      </c>
      <c r="O625" s="4">
        <v>30</v>
      </c>
      <c r="P625" s="11" t="s">
        <v>9833</v>
      </c>
      <c r="Q625" s="11" t="s">
        <v>10013</v>
      </c>
      <c r="S625" s="4" t="b">
        <f>ISNUMBER(MATCH(Q625,T:T,0))</f>
        <v>1</v>
      </c>
      <c r="T625" s="4" t="s">
        <v>11257</v>
      </c>
      <c r="U625" s="4" t="str">
        <f t="shared" si="28"/>
        <v>宣</v>
      </c>
    </row>
    <row r="626" spans="1:22">
      <c r="A626" s="3">
        <v>625</v>
      </c>
      <c r="B626" s="3" t="s">
        <v>8162</v>
      </c>
      <c r="C626" s="3" t="s">
        <v>6072</v>
      </c>
      <c r="D626" s="3" t="s">
        <v>6001</v>
      </c>
      <c r="E626" s="3" t="s">
        <v>6212</v>
      </c>
      <c r="F626" s="3" t="s">
        <v>8163</v>
      </c>
      <c r="G626" s="3" t="s">
        <v>5993</v>
      </c>
      <c r="H626" s="3" t="s">
        <v>8210</v>
      </c>
      <c r="I626" s="3" t="s">
        <v>6836</v>
      </c>
      <c r="J626" s="5" t="s">
        <v>8211</v>
      </c>
      <c r="L626" s="3" t="s">
        <v>6847</v>
      </c>
      <c r="M626" s="3">
        <v>7</v>
      </c>
      <c r="N626" s="4" t="s">
        <v>9630</v>
      </c>
      <c r="O626" s="4">
        <v>30</v>
      </c>
      <c r="P626" s="11" t="s">
        <v>9754</v>
      </c>
      <c r="Q626" s="11" t="s">
        <v>10009</v>
      </c>
      <c r="R626" s="4" t="s">
        <v>13031</v>
      </c>
      <c r="S626" s="4" t="b">
        <f>ISNUMBER(MATCH(Q626,T:T,0))</f>
        <v>0</v>
      </c>
      <c r="T626" s="4" t="s">
        <v>11258</v>
      </c>
      <c r="U626" s="4" t="str">
        <f t="shared" si="28"/>
        <v>沿</v>
      </c>
      <c r="V626" s="4" t="b">
        <f t="shared" ref="V626:V627" si="30">ISNUMBER(MATCH(R626,T:T,0))</f>
        <v>1</v>
      </c>
    </row>
    <row r="627" spans="1:22" ht="28.5">
      <c r="A627" s="3">
        <v>626</v>
      </c>
      <c r="B627" s="3" t="s">
        <v>8162</v>
      </c>
      <c r="C627" s="3" t="s">
        <v>3093</v>
      </c>
      <c r="D627" s="3" t="s">
        <v>6001</v>
      </c>
      <c r="E627" s="3" t="s">
        <v>6212</v>
      </c>
      <c r="F627" s="3" t="s">
        <v>8163</v>
      </c>
      <c r="G627" s="3" t="s">
        <v>5993</v>
      </c>
      <c r="H627" s="3" t="s">
        <v>8212</v>
      </c>
      <c r="I627" s="3" t="s">
        <v>6836</v>
      </c>
      <c r="J627" s="5" t="s">
        <v>7736</v>
      </c>
      <c r="L627" s="3" t="s">
        <v>8213</v>
      </c>
      <c r="M627" s="3">
        <v>2</v>
      </c>
      <c r="N627" s="4" t="s">
        <v>9630</v>
      </c>
      <c r="O627" s="4">
        <v>30</v>
      </c>
      <c r="P627" s="11" t="s">
        <v>9929</v>
      </c>
      <c r="Q627" s="11" t="s">
        <v>10014</v>
      </c>
      <c r="R627" s="4" t="s">
        <v>13033</v>
      </c>
      <c r="S627" s="4" t="b">
        <f>ISNUMBER(MATCH(Q627,T:T,0))</f>
        <v>0</v>
      </c>
      <c r="T627" s="4" t="s">
        <v>3093</v>
      </c>
      <c r="U627" s="4" t="str">
        <f t="shared" si="28"/>
        <v>穿</v>
      </c>
      <c r="V627" s="4" t="b">
        <f t="shared" si="30"/>
        <v>1</v>
      </c>
    </row>
    <row r="628" spans="1:22">
      <c r="A628" s="3">
        <v>627</v>
      </c>
      <c r="B628" s="3" t="s">
        <v>8162</v>
      </c>
      <c r="C628" s="3" t="s">
        <v>6049</v>
      </c>
      <c r="D628" s="3" t="s">
        <v>6001</v>
      </c>
      <c r="E628" s="3" t="s">
        <v>5991</v>
      </c>
      <c r="F628" s="3" t="s">
        <v>8163</v>
      </c>
      <c r="G628" s="3" t="s">
        <v>5993</v>
      </c>
      <c r="H628" s="3" t="s">
        <v>8214</v>
      </c>
      <c r="I628" s="3" t="s">
        <v>6836</v>
      </c>
      <c r="J628" s="5" t="s">
        <v>7737</v>
      </c>
      <c r="L628" s="3" t="s">
        <v>8155</v>
      </c>
      <c r="M628" s="3">
        <v>6</v>
      </c>
      <c r="N628" s="4" t="s">
        <v>9630</v>
      </c>
      <c r="O628" s="4">
        <v>30</v>
      </c>
      <c r="P628" s="11" t="s">
        <v>10015</v>
      </c>
      <c r="Q628" s="11" t="s">
        <v>10008</v>
      </c>
      <c r="S628" s="4" t="b">
        <f>ISNUMBER(MATCH(Q628,T:T,0))</f>
        <v>1</v>
      </c>
      <c r="T628" s="4" t="s">
        <v>11259</v>
      </c>
      <c r="U628" s="4" t="str">
        <f t="shared" si="28"/>
        <v>連</v>
      </c>
    </row>
    <row r="629" spans="1:22">
      <c r="A629" s="3">
        <v>628</v>
      </c>
      <c r="B629" s="3" t="s">
        <v>8162</v>
      </c>
      <c r="C629" s="3" t="s">
        <v>6123</v>
      </c>
      <c r="D629" s="3" t="s">
        <v>6001</v>
      </c>
      <c r="E629" s="3" t="s">
        <v>5991</v>
      </c>
      <c r="F629" s="3" t="s">
        <v>8163</v>
      </c>
      <c r="G629" s="3" t="s">
        <v>5993</v>
      </c>
      <c r="H629" s="3" t="s">
        <v>8215</v>
      </c>
      <c r="I629" s="3" t="s">
        <v>6836</v>
      </c>
      <c r="J629" s="5" t="s">
        <v>8216</v>
      </c>
      <c r="L629" s="3" t="s">
        <v>8086</v>
      </c>
      <c r="M629" s="3">
        <v>2</v>
      </c>
      <c r="N629" s="4" t="s">
        <v>9630</v>
      </c>
      <c r="O629" s="4">
        <v>30</v>
      </c>
      <c r="P629" s="11" t="s">
        <v>10016</v>
      </c>
      <c r="Q629" s="11" t="s">
        <v>10008</v>
      </c>
      <c r="S629" s="4" t="b">
        <f>ISNUMBER(MATCH(Q629,T:T,0))</f>
        <v>1</v>
      </c>
      <c r="T629" s="4" t="s">
        <v>11260</v>
      </c>
      <c r="U629" s="4" t="str">
        <f t="shared" si="28"/>
        <v>連</v>
      </c>
    </row>
    <row r="630" spans="1:22" ht="39">
      <c r="A630" s="3">
        <v>629</v>
      </c>
      <c r="B630" s="3" t="s">
        <v>8162</v>
      </c>
      <c r="C630" s="3" t="s">
        <v>6076</v>
      </c>
      <c r="D630" s="3" t="s">
        <v>6001</v>
      </c>
      <c r="E630" s="3" t="s">
        <v>6212</v>
      </c>
      <c r="F630" s="3" t="s">
        <v>8163</v>
      </c>
      <c r="G630" s="3" t="s">
        <v>5993</v>
      </c>
      <c r="H630" s="3" t="s">
        <v>8217</v>
      </c>
      <c r="I630" s="3" t="s">
        <v>6836</v>
      </c>
      <c r="J630" s="5" t="s">
        <v>7738</v>
      </c>
      <c r="L630" s="3" t="s">
        <v>8218</v>
      </c>
      <c r="M630" s="3">
        <v>19</v>
      </c>
      <c r="N630" s="4" t="s">
        <v>9630</v>
      </c>
      <c r="O630" s="4">
        <v>30</v>
      </c>
      <c r="P630" s="11" t="s">
        <v>9795</v>
      </c>
      <c r="Q630" s="11" t="s">
        <v>10009</v>
      </c>
      <c r="R630" s="4" t="s">
        <v>13031</v>
      </c>
      <c r="S630" s="4" t="b">
        <f>ISNUMBER(MATCH(Q630,T:T,0))</f>
        <v>0</v>
      </c>
      <c r="T630" s="4" t="s">
        <v>11261</v>
      </c>
      <c r="U630" s="4" t="str">
        <f t="shared" si="28"/>
        <v>沿</v>
      </c>
      <c r="V630" s="4" t="b">
        <f t="shared" ref="V630:V632" si="31">ISNUMBER(MATCH(R630,T:T,0))</f>
        <v>1</v>
      </c>
    </row>
    <row r="631" spans="1:22" ht="39">
      <c r="A631" s="3">
        <v>630</v>
      </c>
      <c r="B631" s="3" t="s">
        <v>8162</v>
      </c>
      <c r="C631" s="3" t="s">
        <v>6009</v>
      </c>
      <c r="D631" s="3" t="s">
        <v>6001</v>
      </c>
      <c r="E631" s="3" t="s">
        <v>6212</v>
      </c>
      <c r="F631" s="3" t="s">
        <v>8163</v>
      </c>
      <c r="G631" s="3" t="s">
        <v>5993</v>
      </c>
      <c r="H631" s="3" t="s">
        <v>8219</v>
      </c>
      <c r="I631" s="3" t="s">
        <v>6836</v>
      </c>
      <c r="J631" s="5" t="s">
        <v>7739</v>
      </c>
      <c r="L631" s="3" t="s">
        <v>8080</v>
      </c>
      <c r="M631" s="3">
        <v>12</v>
      </c>
      <c r="N631" s="4" t="s">
        <v>9630</v>
      </c>
      <c r="O631" s="4">
        <v>30</v>
      </c>
      <c r="P631" s="11" t="s">
        <v>1726</v>
      </c>
      <c r="Q631" s="11" t="s">
        <v>10009</v>
      </c>
      <c r="R631" s="4" t="s">
        <v>13031</v>
      </c>
      <c r="S631" s="4" t="b">
        <f>ISNUMBER(MATCH(Q631,T:T,0))</f>
        <v>0</v>
      </c>
      <c r="T631" s="4" t="s">
        <v>10012</v>
      </c>
      <c r="U631" s="4" t="str">
        <f t="shared" si="28"/>
        <v>沿</v>
      </c>
      <c r="V631" s="4" t="b">
        <f t="shared" si="31"/>
        <v>1</v>
      </c>
    </row>
    <row r="632" spans="1:22" ht="28.5">
      <c r="A632" s="3">
        <v>631</v>
      </c>
      <c r="B632" s="3" t="s">
        <v>8162</v>
      </c>
      <c r="C632" s="3" t="s">
        <v>6148</v>
      </c>
      <c r="D632" s="3" t="s">
        <v>6001</v>
      </c>
      <c r="E632" s="3" t="s">
        <v>6212</v>
      </c>
      <c r="F632" s="3" t="s">
        <v>8163</v>
      </c>
      <c r="G632" s="3" t="s">
        <v>5993</v>
      </c>
      <c r="H632" s="3" t="s">
        <v>8220</v>
      </c>
      <c r="I632" s="3" t="s">
        <v>6836</v>
      </c>
      <c r="J632" s="5" t="s">
        <v>7740</v>
      </c>
      <c r="L632" s="3" t="s">
        <v>8213</v>
      </c>
      <c r="M632" s="3">
        <v>8</v>
      </c>
      <c r="N632" s="4" t="s">
        <v>9630</v>
      </c>
      <c r="O632" s="4">
        <v>30</v>
      </c>
      <c r="P632" s="11" t="s">
        <v>9829</v>
      </c>
      <c r="Q632" s="11" t="s">
        <v>10009</v>
      </c>
      <c r="R632" s="4" t="s">
        <v>13031</v>
      </c>
      <c r="S632" s="4" t="b">
        <f>ISNUMBER(MATCH(Q632,T:T,0))</f>
        <v>0</v>
      </c>
      <c r="T632" s="4" t="s">
        <v>11262</v>
      </c>
      <c r="U632" s="4" t="str">
        <f t="shared" si="28"/>
        <v>沿</v>
      </c>
      <c r="V632" s="4" t="b">
        <f t="shared" si="31"/>
        <v>1</v>
      </c>
    </row>
    <row r="633" spans="1:22">
      <c r="A633" s="3">
        <v>632</v>
      </c>
      <c r="B633" s="3" t="s">
        <v>8162</v>
      </c>
      <c r="C633" s="3" t="s">
        <v>6032</v>
      </c>
      <c r="D633" s="3" t="s">
        <v>6001</v>
      </c>
      <c r="E633" s="3" t="s">
        <v>6212</v>
      </c>
      <c r="F633" s="3" t="s">
        <v>8177</v>
      </c>
      <c r="G633" s="3" t="s">
        <v>5993</v>
      </c>
      <c r="H633" s="3" t="s">
        <v>8221</v>
      </c>
      <c r="I633" s="3" t="s">
        <v>6836</v>
      </c>
      <c r="J633" s="5" t="s">
        <v>8222</v>
      </c>
      <c r="L633" s="3" t="s">
        <v>6837</v>
      </c>
      <c r="M633" s="3">
        <v>4</v>
      </c>
      <c r="N633" s="4" t="s">
        <v>9630</v>
      </c>
      <c r="O633" s="4">
        <v>30</v>
      </c>
      <c r="P633" s="11" t="s">
        <v>9949</v>
      </c>
      <c r="Q633" s="11" t="s">
        <v>10017</v>
      </c>
      <c r="S633" s="4" t="b">
        <f>ISNUMBER(MATCH(Q633,T:T,0))</f>
        <v>1</v>
      </c>
      <c r="T633" s="4" t="s">
        <v>10018</v>
      </c>
      <c r="U633" s="4" t="str">
        <f t="shared" si="28"/>
        <v>權</v>
      </c>
    </row>
    <row r="634" spans="1:22" ht="28.5">
      <c r="A634" s="3">
        <v>633</v>
      </c>
      <c r="B634" s="3" t="s">
        <v>8162</v>
      </c>
      <c r="C634" s="3" t="s">
        <v>6318</v>
      </c>
      <c r="D634" s="3" t="s">
        <v>6001</v>
      </c>
      <c r="E634" s="3" t="s">
        <v>6212</v>
      </c>
      <c r="F634" s="3" t="s">
        <v>8177</v>
      </c>
      <c r="G634" s="3" t="s">
        <v>5993</v>
      </c>
      <c r="H634" s="3" t="s">
        <v>8223</v>
      </c>
      <c r="I634" s="3" t="s">
        <v>6836</v>
      </c>
      <c r="J634" s="5" t="s">
        <v>8224</v>
      </c>
      <c r="L634" s="3" t="s">
        <v>8080</v>
      </c>
      <c r="M634" s="3">
        <v>4</v>
      </c>
      <c r="N634" s="4" t="s">
        <v>9630</v>
      </c>
      <c r="O634" s="4">
        <v>30</v>
      </c>
      <c r="P634" s="11" t="s">
        <v>6318</v>
      </c>
      <c r="Q634" s="11" t="s">
        <v>10009</v>
      </c>
      <c r="R634" s="4" t="s">
        <v>13031</v>
      </c>
      <c r="S634" s="4" t="b">
        <f>ISNUMBER(MATCH(Q634,T:T,0))</f>
        <v>0</v>
      </c>
      <c r="T634" s="4" t="s">
        <v>11263</v>
      </c>
      <c r="U634" s="4" t="str">
        <f t="shared" si="28"/>
        <v>沿</v>
      </c>
      <c r="V634" s="4" t="b">
        <f>ISNUMBER(MATCH(R634,T:T,0))</f>
        <v>1</v>
      </c>
    </row>
    <row r="635" spans="1:22" ht="28.5">
      <c r="A635" s="3">
        <v>634</v>
      </c>
      <c r="B635" s="3" t="s">
        <v>8162</v>
      </c>
      <c r="C635" s="3" t="s">
        <v>6180</v>
      </c>
      <c r="D635" s="3" t="s">
        <v>6001</v>
      </c>
      <c r="E635" s="3" t="s">
        <v>6212</v>
      </c>
      <c r="F635" s="3" t="s">
        <v>8177</v>
      </c>
      <c r="G635" s="3" t="s">
        <v>5993</v>
      </c>
      <c r="H635" s="3" t="s">
        <v>8225</v>
      </c>
      <c r="I635" s="3" t="s">
        <v>6836</v>
      </c>
      <c r="J635" s="5" t="s">
        <v>8226</v>
      </c>
      <c r="L635" s="3" t="s">
        <v>8064</v>
      </c>
      <c r="M635" s="3">
        <v>2</v>
      </c>
      <c r="N635" s="4" t="s">
        <v>9630</v>
      </c>
      <c r="O635" s="4">
        <v>30</v>
      </c>
      <c r="P635" s="11" t="s">
        <v>6836</v>
      </c>
      <c r="Q635" s="11" t="s">
        <v>10018</v>
      </c>
      <c r="S635" s="4" t="b">
        <f>ISNUMBER(MATCH(Q635,T:T,0))</f>
        <v>1</v>
      </c>
      <c r="T635" s="4" t="s">
        <v>11264</v>
      </c>
      <c r="U635" s="4" t="str">
        <f t="shared" si="28"/>
        <v>員</v>
      </c>
    </row>
    <row r="636" spans="1:22" ht="28.5">
      <c r="A636" s="3">
        <v>635</v>
      </c>
      <c r="B636" s="3" t="s">
        <v>8162</v>
      </c>
      <c r="C636" s="3" t="s">
        <v>6011</v>
      </c>
      <c r="D636" s="3" t="s">
        <v>6001</v>
      </c>
      <c r="E636" s="3" t="s">
        <v>6212</v>
      </c>
      <c r="F636" s="3" t="s">
        <v>8177</v>
      </c>
      <c r="G636" s="3" t="s">
        <v>5993</v>
      </c>
      <c r="H636" s="3" t="s">
        <v>8227</v>
      </c>
      <c r="I636" s="3" t="s">
        <v>6836</v>
      </c>
      <c r="J636" s="5" t="s">
        <v>7741</v>
      </c>
      <c r="L636" s="3" t="s">
        <v>8206</v>
      </c>
      <c r="M636" s="3">
        <v>2</v>
      </c>
      <c r="N636" s="4" t="s">
        <v>9630</v>
      </c>
      <c r="O636" s="4">
        <v>30</v>
      </c>
      <c r="P636" s="11" t="s">
        <v>9757</v>
      </c>
      <c r="Q636" s="11" t="s">
        <v>10009</v>
      </c>
      <c r="R636" s="4" t="s">
        <v>13031</v>
      </c>
      <c r="S636" s="4" t="b">
        <f>ISNUMBER(MATCH(Q636,T:T,0))</f>
        <v>0</v>
      </c>
      <c r="T636" s="4" t="s">
        <v>11265</v>
      </c>
      <c r="U636" s="4" t="str">
        <f t="shared" si="28"/>
        <v>沿</v>
      </c>
      <c r="V636" s="4" t="b">
        <f>ISNUMBER(MATCH(R636,T:T,0))</f>
        <v>1</v>
      </c>
    </row>
    <row r="637" spans="1:22">
      <c r="A637" s="3">
        <v>636</v>
      </c>
      <c r="B637" s="3" t="s">
        <v>8162</v>
      </c>
      <c r="C637" s="3" t="s">
        <v>6041</v>
      </c>
      <c r="D637" s="3" t="s">
        <v>6001</v>
      </c>
      <c r="E637" s="3" t="s">
        <v>5991</v>
      </c>
      <c r="F637" s="3" t="s">
        <v>8177</v>
      </c>
      <c r="G637" s="3" t="s">
        <v>5993</v>
      </c>
      <c r="H637" s="3" t="s">
        <v>8228</v>
      </c>
      <c r="I637" s="3" t="s">
        <v>6836</v>
      </c>
      <c r="J637" s="5" t="s">
        <v>8229</v>
      </c>
      <c r="L637" s="3" t="s">
        <v>6864</v>
      </c>
      <c r="M637" s="3">
        <v>9</v>
      </c>
      <c r="N637" s="4" t="s">
        <v>9630</v>
      </c>
      <c r="O637" s="4">
        <v>30</v>
      </c>
      <c r="P637" s="11" t="s">
        <v>9721</v>
      </c>
      <c r="Q637" s="11" t="s">
        <v>10019</v>
      </c>
      <c r="S637" s="4" t="b">
        <f>ISNUMBER(MATCH(Q637,T:T,0))</f>
        <v>1</v>
      </c>
      <c r="T637" s="4" t="s">
        <v>10020</v>
      </c>
      <c r="U637" s="4" t="str">
        <f t="shared" si="28"/>
        <v>焉</v>
      </c>
    </row>
    <row r="638" spans="1:22">
      <c r="A638" s="3">
        <v>637</v>
      </c>
      <c r="B638" s="3" t="s">
        <v>8162</v>
      </c>
      <c r="C638" s="3" t="s">
        <v>6038</v>
      </c>
      <c r="D638" s="3" t="s">
        <v>6001</v>
      </c>
      <c r="E638" s="3" t="s">
        <v>5991</v>
      </c>
      <c r="F638" s="3" t="s">
        <v>8177</v>
      </c>
      <c r="G638" s="3" t="s">
        <v>5993</v>
      </c>
      <c r="H638" s="3" t="s">
        <v>8230</v>
      </c>
      <c r="I638" s="3" t="s">
        <v>6836</v>
      </c>
      <c r="J638" s="5" t="s">
        <v>7742</v>
      </c>
      <c r="L638" s="3" t="s">
        <v>6851</v>
      </c>
      <c r="M638" s="3">
        <v>10</v>
      </c>
      <c r="N638" s="4" t="s">
        <v>9630</v>
      </c>
      <c r="O638" s="4">
        <v>30</v>
      </c>
      <c r="P638" s="11" t="s">
        <v>4210</v>
      </c>
      <c r="Q638" s="11" t="s">
        <v>10020</v>
      </c>
      <c r="S638" s="4" t="b">
        <f>ISNUMBER(MATCH(Q638,T:T,0))</f>
        <v>1</v>
      </c>
      <c r="T638" s="4" t="s">
        <v>11266</v>
      </c>
      <c r="U638" s="4" t="str">
        <f t="shared" si="28"/>
        <v>乾</v>
      </c>
    </row>
    <row r="639" spans="1:22" ht="39">
      <c r="A639" s="3">
        <v>638</v>
      </c>
      <c r="B639" s="3" t="s">
        <v>8162</v>
      </c>
      <c r="C639" s="3" t="s">
        <v>6041</v>
      </c>
      <c r="D639" s="3" t="s">
        <v>6001</v>
      </c>
      <c r="E639" s="3" t="s">
        <v>6212</v>
      </c>
      <c r="F639" s="3" t="s">
        <v>8177</v>
      </c>
      <c r="G639" s="3" t="s">
        <v>5993</v>
      </c>
      <c r="H639" s="3" t="s">
        <v>8231</v>
      </c>
      <c r="I639" s="3" t="s">
        <v>6836</v>
      </c>
      <c r="J639" s="5" t="s">
        <v>7743</v>
      </c>
      <c r="K639" s="3" t="s">
        <v>581</v>
      </c>
      <c r="L639" s="3" t="s">
        <v>8197</v>
      </c>
      <c r="M639" s="3">
        <v>23</v>
      </c>
      <c r="N639" s="4" t="s">
        <v>9630</v>
      </c>
      <c r="O639" s="4">
        <v>30</v>
      </c>
      <c r="P639" s="11" t="s">
        <v>9789</v>
      </c>
      <c r="Q639" s="11" t="s">
        <v>10018</v>
      </c>
      <c r="S639" s="4" t="b">
        <f>ISNUMBER(MATCH(Q639,T:T,0))</f>
        <v>1</v>
      </c>
      <c r="T639" s="4" t="s">
        <v>10017</v>
      </c>
      <c r="U639" s="4" t="str">
        <f t="shared" si="28"/>
        <v>員</v>
      </c>
    </row>
    <row r="640" spans="1:22" ht="28.5">
      <c r="A640" s="3">
        <v>639</v>
      </c>
      <c r="B640" s="3" t="s">
        <v>8162</v>
      </c>
      <c r="C640" s="3" t="s">
        <v>6005</v>
      </c>
      <c r="D640" s="3" t="s">
        <v>6001</v>
      </c>
      <c r="E640" s="3" t="s">
        <v>6212</v>
      </c>
      <c r="F640" s="3" t="s">
        <v>8177</v>
      </c>
      <c r="G640" s="3" t="s">
        <v>5993</v>
      </c>
      <c r="H640" s="3" t="s">
        <v>8232</v>
      </c>
      <c r="I640" s="3" t="s">
        <v>6836</v>
      </c>
      <c r="J640" s="5" t="s">
        <v>8233</v>
      </c>
      <c r="L640" s="3" t="s">
        <v>8213</v>
      </c>
      <c r="M640" s="3">
        <v>2</v>
      </c>
      <c r="N640" s="4" t="s">
        <v>9630</v>
      </c>
      <c r="O640" s="4">
        <v>30</v>
      </c>
      <c r="P640" s="11" t="s">
        <v>9709</v>
      </c>
      <c r="Q640" s="11" t="s">
        <v>10021</v>
      </c>
      <c r="S640" s="4" t="b">
        <f>ISNUMBER(MATCH(Q640,T:T,0))</f>
        <v>1</v>
      </c>
      <c r="T640" s="4" t="s">
        <v>11267</v>
      </c>
      <c r="U640" s="4" t="str">
        <f t="shared" si="28"/>
        <v>攣</v>
      </c>
    </row>
    <row r="641" spans="1:22">
      <c r="A641" s="3">
        <v>640</v>
      </c>
      <c r="B641" s="3" t="s">
        <v>8162</v>
      </c>
      <c r="C641" s="3" t="s">
        <v>6058</v>
      </c>
      <c r="D641" s="3" t="s">
        <v>6001</v>
      </c>
      <c r="E641" s="3" t="s">
        <v>6212</v>
      </c>
      <c r="F641" s="3" t="s">
        <v>8163</v>
      </c>
      <c r="G641" s="3" t="s">
        <v>5993</v>
      </c>
      <c r="H641" s="3" t="s">
        <v>8234</v>
      </c>
      <c r="I641" s="3" t="s">
        <v>6836</v>
      </c>
      <c r="J641" s="5" t="s">
        <v>8235</v>
      </c>
      <c r="L641" s="3" t="s">
        <v>8036</v>
      </c>
      <c r="M641" s="3">
        <v>4</v>
      </c>
      <c r="N641" s="4" t="s">
        <v>9630</v>
      </c>
      <c r="O641" s="4">
        <v>30</v>
      </c>
      <c r="P641" s="11" t="s">
        <v>9773</v>
      </c>
      <c r="Q641" s="11" t="s">
        <v>10018</v>
      </c>
      <c r="S641" s="4" t="b">
        <f>ISNUMBER(MATCH(Q641,T:T,0))</f>
        <v>1</v>
      </c>
      <c r="T641" s="4" t="s">
        <v>10021</v>
      </c>
      <c r="U641" s="4" t="str">
        <f t="shared" si="28"/>
        <v>員</v>
      </c>
    </row>
    <row r="642" spans="1:22">
      <c r="A642" s="3">
        <v>641</v>
      </c>
      <c r="B642" s="3" t="s">
        <v>8162</v>
      </c>
      <c r="C642" s="3" t="s">
        <v>6038</v>
      </c>
      <c r="D642" s="3" t="s">
        <v>6001</v>
      </c>
      <c r="E642" s="3" t="s">
        <v>6212</v>
      </c>
      <c r="F642" s="3" t="s">
        <v>8177</v>
      </c>
      <c r="G642" s="3" t="s">
        <v>5993</v>
      </c>
      <c r="H642" s="3" t="s">
        <v>8236</v>
      </c>
      <c r="I642" s="3" t="s">
        <v>6836</v>
      </c>
      <c r="J642" s="5" t="s">
        <v>8237</v>
      </c>
      <c r="L642" s="3" t="s">
        <v>8218</v>
      </c>
      <c r="M642" s="3">
        <v>5</v>
      </c>
      <c r="N642" s="4" t="s">
        <v>9630</v>
      </c>
      <c r="O642" s="4">
        <v>30</v>
      </c>
      <c r="P642" s="11" t="s">
        <v>9825</v>
      </c>
      <c r="Q642" s="11" t="s">
        <v>10022</v>
      </c>
      <c r="R642" s="4" t="s">
        <v>13034</v>
      </c>
      <c r="S642" s="4" t="b">
        <f>ISNUMBER(MATCH(Q642,T:T,0))</f>
        <v>0</v>
      </c>
      <c r="T642" s="4" t="s">
        <v>11268</v>
      </c>
      <c r="U642" s="4" t="str">
        <f t="shared" si="28"/>
        <v>旋員</v>
      </c>
      <c r="V642" s="4" t="b">
        <f>ISNUMBER(MATCH(R642,T:T,0))</f>
        <v>0</v>
      </c>
    </row>
    <row r="643" spans="1:22">
      <c r="A643" s="3">
        <v>642</v>
      </c>
      <c r="B643" s="3" t="s">
        <v>8162</v>
      </c>
      <c r="C643" s="3" t="s">
        <v>6072</v>
      </c>
      <c r="D643" s="3" t="s">
        <v>6001</v>
      </c>
      <c r="E643" s="3" t="s">
        <v>5991</v>
      </c>
      <c r="F643" s="3" t="s">
        <v>8177</v>
      </c>
      <c r="G643" s="3" t="s">
        <v>5993</v>
      </c>
      <c r="H643" s="3" t="s">
        <v>8238</v>
      </c>
      <c r="I643" s="3" t="s">
        <v>6836</v>
      </c>
      <c r="J643" s="5" t="s">
        <v>8239</v>
      </c>
      <c r="L643" s="3" t="s">
        <v>6859</v>
      </c>
      <c r="M643" s="3">
        <v>5</v>
      </c>
      <c r="N643" s="4" t="s">
        <v>9630</v>
      </c>
      <c r="O643" s="4">
        <v>30</v>
      </c>
      <c r="P643" s="11" t="s">
        <v>9754</v>
      </c>
      <c r="Q643" s="11" t="s">
        <v>10020</v>
      </c>
      <c r="S643" s="4" t="b">
        <f>ISNUMBER(MATCH(Q643,T:T,0))</f>
        <v>1</v>
      </c>
      <c r="T643" s="4" t="s">
        <v>10019</v>
      </c>
      <c r="U643" s="4" t="str">
        <f t="shared" ref="U643:U706" si="32">IF(ISBLANK(R643),Q643,R643)</f>
        <v>乾</v>
      </c>
    </row>
    <row r="644" spans="1:22">
      <c r="A644" s="3">
        <v>643</v>
      </c>
      <c r="B644" s="3" t="s">
        <v>8162</v>
      </c>
      <c r="C644" s="3" t="s">
        <v>6032</v>
      </c>
      <c r="D644" s="3" t="s">
        <v>6001</v>
      </c>
      <c r="E644" s="3" t="s">
        <v>5991</v>
      </c>
      <c r="F644" s="3" t="s">
        <v>8177</v>
      </c>
      <c r="G644" s="3" t="s">
        <v>5993</v>
      </c>
      <c r="H644" s="3" t="s">
        <v>8240</v>
      </c>
      <c r="I644" s="3" t="s">
        <v>6836</v>
      </c>
      <c r="J644" s="5" t="s">
        <v>8241</v>
      </c>
      <c r="L644" s="3" t="s">
        <v>6849</v>
      </c>
      <c r="M644" s="3">
        <v>3</v>
      </c>
      <c r="N644" s="4" t="s">
        <v>9630</v>
      </c>
      <c r="O644" s="4">
        <v>30</v>
      </c>
      <c r="P644" s="11" t="s">
        <v>3888</v>
      </c>
      <c r="Q644" s="11" t="s">
        <v>10020</v>
      </c>
      <c r="S644" s="4" t="b">
        <f>ISNUMBER(MATCH(Q644,T:T,0))</f>
        <v>1</v>
      </c>
      <c r="T644" s="4" t="s">
        <v>11269</v>
      </c>
      <c r="U644" s="4" t="str">
        <f t="shared" si="32"/>
        <v>乾</v>
      </c>
    </row>
    <row r="645" spans="1:22">
      <c r="A645" s="3">
        <v>644</v>
      </c>
      <c r="B645" s="3" t="s">
        <v>8162</v>
      </c>
      <c r="C645" s="3" t="s">
        <v>6072</v>
      </c>
      <c r="D645" s="3" t="s">
        <v>6001</v>
      </c>
      <c r="E645" s="3" t="s">
        <v>6212</v>
      </c>
      <c r="F645" s="3" t="s">
        <v>8177</v>
      </c>
      <c r="G645" s="3" t="s">
        <v>5993</v>
      </c>
      <c r="H645" s="3" t="s">
        <v>8242</v>
      </c>
      <c r="I645" s="3" t="s">
        <v>6836</v>
      </c>
      <c r="J645" s="5" t="s">
        <v>8243</v>
      </c>
      <c r="L645" s="3" t="s">
        <v>6847</v>
      </c>
      <c r="M645" s="3">
        <v>2</v>
      </c>
      <c r="N645" s="4" t="s">
        <v>9630</v>
      </c>
      <c r="O645" s="4">
        <v>30</v>
      </c>
      <c r="P645" s="11" t="s">
        <v>9754</v>
      </c>
      <c r="Q645" s="11" t="s">
        <v>10017</v>
      </c>
      <c r="S645" s="4" t="b">
        <f>ISNUMBER(MATCH(Q645,T:T,0))</f>
        <v>1</v>
      </c>
      <c r="T645" s="4" t="s">
        <v>8104</v>
      </c>
      <c r="U645" s="4" t="str">
        <f t="shared" si="32"/>
        <v>權</v>
      </c>
    </row>
    <row r="646" spans="1:22">
      <c r="A646" s="3">
        <v>645</v>
      </c>
      <c r="B646" s="3" t="s">
        <v>8162</v>
      </c>
      <c r="C646" s="3" t="s">
        <v>6055</v>
      </c>
      <c r="D646" s="3" t="s">
        <v>6001</v>
      </c>
      <c r="E646" s="3" t="s">
        <v>5991</v>
      </c>
      <c r="F646" s="3" t="s">
        <v>8163</v>
      </c>
      <c r="G646" s="3" t="s">
        <v>5993</v>
      </c>
      <c r="H646" s="3" t="s">
        <v>8244</v>
      </c>
      <c r="I646" s="3" t="s">
        <v>6836</v>
      </c>
      <c r="J646" s="5" t="s">
        <v>8245</v>
      </c>
      <c r="L646" s="3" t="s">
        <v>8090</v>
      </c>
      <c r="M646" s="3">
        <v>1</v>
      </c>
      <c r="N646" s="4" t="s">
        <v>9630</v>
      </c>
      <c r="O646" s="4">
        <v>30</v>
      </c>
      <c r="P646" s="11" t="s">
        <v>9749</v>
      </c>
      <c r="Q646" s="11" t="s">
        <v>10006</v>
      </c>
      <c r="S646" s="4" t="b">
        <f>ISNUMBER(MATCH(Q646,T:T,0))</f>
        <v>1</v>
      </c>
      <c r="T646" s="4" t="s">
        <v>8245</v>
      </c>
      <c r="U646" s="4" t="str">
        <f t="shared" si="32"/>
        <v>延</v>
      </c>
    </row>
    <row r="647" spans="1:22" ht="28.5">
      <c r="A647" s="3">
        <v>646</v>
      </c>
      <c r="B647" s="3" t="s">
        <v>8162</v>
      </c>
      <c r="C647" s="3" t="s">
        <v>6000</v>
      </c>
      <c r="D647" s="3" t="s">
        <v>6001</v>
      </c>
      <c r="E647" s="3" t="s">
        <v>6212</v>
      </c>
      <c r="F647" s="3" t="s">
        <v>8177</v>
      </c>
      <c r="G647" s="3" t="s">
        <v>5993</v>
      </c>
      <c r="H647" s="3" t="s">
        <v>8246</v>
      </c>
      <c r="I647" s="3" t="s">
        <v>6836</v>
      </c>
      <c r="J647" s="5" t="s">
        <v>8110</v>
      </c>
      <c r="L647" s="3" t="s">
        <v>8080</v>
      </c>
      <c r="M647" s="3">
        <v>1</v>
      </c>
      <c r="N647" s="4" t="s">
        <v>9630</v>
      </c>
      <c r="O647" s="4">
        <v>30</v>
      </c>
      <c r="P647" s="11" t="s">
        <v>9822</v>
      </c>
      <c r="Q647" s="11" t="s">
        <v>10023</v>
      </c>
      <c r="S647" s="4" t="b">
        <f>ISNUMBER(MATCH(Q647,T:T,0))</f>
        <v>1</v>
      </c>
      <c r="T647" s="4" t="s">
        <v>8110</v>
      </c>
      <c r="U647" s="4" t="str">
        <f t="shared" si="32"/>
        <v>全</v>
      </c>
    </row>
    <row r="648" spans="1:22">
      <c r="A648" s="3">
        <v>647</v>
      </c>
      <c r="B648" s="3" t="s">
        <v>8162</v>
      </c>
      <c r="C648" s="3" t="s">
        <v>6025</v>
      </c>
      <c r="D648" s="3" t="s">
        <v>6001</v>
      </c>
      <c r="E648" s="3" t="s">
        <v>6212</v>
      </c>
      <c r="F648" s="3" t="s">
        <v>8177</v>
      </c>
      <c r="G648" s="3" t="s">
        <v>5993</v>
      </c>
      <c r="H648" s="3" t="s">
        <v>8247</v>
      </c>
      <c r="I648" s="3" t="s">
        <v>6836</v>
      </c>
      <c r="J648" s="8" t="s">
        <v>8248</v>
      </c>
      <c r="L648" s="3" t="s">
        <v>8151</v>
      </c>
      <c r="M648" s="3">
        <v>1</v>
      </c>
      <c r="N648" s="4" t="s">
        <v>9630</v>
      </c>
      <c r="O648" s="4">
        <v>30</v>
      </c>
      <c r="P648" s="11" t="s">
        <v>9717</v>
      </c>
      <c r="Q648" s="11" t="s">
        <v>10018</v>
      </c>
      <c r="S648" s="4" t="b">
        <f>ISNUMBER(MATCH(Q648,T:T,0))</f>
        <v>1</v>
      </c>
      <c r="T648" s="4" t="s">
        <v>8248</v>
      </c>
      <c r="U648" s="4" t="str">
        <f t="shared" si="32"/>
        <v>員</v>
      </c>
    </row>
    <row r="649" spans="1:22" ht="39">
      <c r="A649" s="3">
        <v>648</v>
      </c>
      <c r="B649" s="3" t="s">
        <v>8249</v>
      </c>
      <c r="C649" s="3" t="s">
        <v>6017</v>
      </c>
      <c r="D649" s="3" t="s">
        <v>2843</v>
      </c>
      <c r="E649" s="3" t="s">
        <v>5991</v>
      </c>
      <c r="F649" s="3" t="s">
        <v>8250</v>
      </c>
      <c r="G649" s="3" t="s">
        <v>5993</v>
      </c>
      <c r="H649" s="3" t="s">
        <v>8251</v>
      </c>
      <c r="I649" s="3" t="s">
        <v>8252</v>
      </c>
      <c r="J649" s="5" t="s">
        <v>7744</v>
      </c>
      <c r="L649" s="3" t="s">
        <v>8253</v>
      </c>
      <c r="M649" s="3">
        <v>16</v>
      </c>
      <c r="N649" s="4" t="s">
        <v>8250</v>
      </c>
      <c r="O649" s="4">
        <v>31</v>
      </c>
      <c r="P649" s="11" t="s">
        <v>9741</v>
      </c>
      <c r="Q649" s="11" t="s">
        <v>10024</v>
      </c>
      <c r="R649" s="4" t="s">
        <v>13035</v>
      </c>
      <c r="S649" s="4" t="b">
        <f>ISNUMBER(MATCH(Q649,T:T,0))</f>
        <v>0</v>
      </c>
      <c r="T649" s="4" t="s">
        <v>8250</v>
      </c>
      <c r="U649" s="4" t="str">
        <f t="shared" si="32"/>
        <v>刁</v>
      </c>
      <c r="V649" s="4" t="b">
        <f t="shared" ref="V649:V650" si="33">ISNUMBER(MATCH(R649,T:T,0))</f>
        <v>1</v>
      </c>
    </row>
    <row r="650" spans="1:22">
      <c r="A650" s="3">
        <v>649</v>
      </c>
      <c r="B650" s="3" t="s">
        <v>8249</v>
      </c>
      <c r="C650" s="3" t="s">
        <v>6079</v>
      </c>
      <c r="D650" s="3" t="s">
        <v>2843</v>
      </c>
      <c r="E650" s="3" t="s">
        <v>5991</v>
      </c>
      <c r="F650" s="3" t="s">
        <v>8250</v>
      </c>
      <c r="G650" s="3" t="s">
        <v>5993</v>
      </c>
      <c r="H650" s="3" t="s">
        <v>8254</v>
      </c>
      <c r="I650" s="3" t="s">
        <v>8252</v>
      </c>
      <c r="J650" s="5" t="s">
        <v>7745</v>
      </c>
      <c r="L650" s="3" t="s">
        <v>8255</v>
      </c>
      <c r="M650" s="3">
        <v>11</v>
      </c>
      <c r="N650" s="4" t="s">
        <v>8250</v>
      </c>
      <c r="O650" s="4">
        <v>31</v>
      </c>
      <c r="P650" s="11" t="s">
        <v>9967</v>
      </c>
      <c r="Q650" s="11" t="s">
        <v>10024</v>
      </c>
      <c r="R650" s="4" t="s">
        <v>13035</v>
      </c>
      <c r="S650" s="4" t="b">
        <f>ISNUMBER(MATCH(Q650,T:T,0))</f>
        <v>0</v>
      </c>
      <c r="T650" s="4" t="s">
        <v>11270</v>
      </c>
      <c r="U650" s="4" t="str">
        <f t="shared" si="32"/>
        <v>刁</v>
      </c>
      <c r="V650" s="4" t="b">
        <f t="shared" si="33"/>
        <v>1</v>
      </c>
    </row>
    <row r="651" spans="1:22" ht="39">
      <c r="A651" s="3">
        <v>650</v>
      </c>
      <c r="B651" s="3" t="s">
        <v>8249</v>
      </c>
      <c r="C651" s="3" t="s">
        <v>5989</v>
      </c>
      <c r="D651" s="3" t="s">
        <v>2843</v>
      </c>
      <c r="E651" s="3" t="s">
        <v>5991</v>
      </c>
      <c r="F651" s="3" t="s">
        <v>8250</v>
      </c>
      <c r="G651" s="3" t="s">
        <v>5993</v>
      </c>
      <c r="H651" s="3" t="s">
        <v>8256</v>
      </c>
      <c r="I651" s="3" t="s">
        <v>8252</v>
      </c>
      <c r="J651" s="5" t="s">
        <v>7746</v>
      </c>
      <c r="K651" s="3" t="s">
        <v>582</v>
      </c>
      <c r="L651" s="3" t="s">
        <v>8257</v>
      </c>
      <c r="M651" s="3">
        <v>22</v>
      </c>
      <c r="N651" s="4" t="s">
        <v>8250</v>
      </c>
      <c r="O651" s="4">
        <v>31</v>
      </c>
      <c r="P651" s="11" t="s">
        <v>9742</v>
      </c>
      <c r="Q651" s="11" t="s">
        <v>10025</v>
      </c>
      <c r="S651" s="4" t="b">
        <f>ISNUMBER(MATCH(Q651,T:T,0))</f>
        <v>1</v>
      </c>
      <c r="T651" s="4" t="s">
        <v>11271</v>
      </c>
      <c r="U651" s="4" t="str">
        <f t="shared" si="32"/>
        <v>聊</v>
      </c>
    </row>
    <row r="652" spans="1:22" ht="39">
      <c r="A652" s="3">
        <v>651</v>
      </c>
      <c r="B652" s="3" t="s">
        <v>8249</v>
      </c>
      <c r="C652" s="3" t="s">
        <v>5997</v>
      </c>
      <c r="D652" s="3" t="s">
        <v>2843</v>
      </c>
      <c r="E652" s="3" t="s">
        <v>5991</v>
      </c>
      <c r="F652" s="3" t="s">
        <v>8250</v>
      </c>
      <c r="G652" s="3" t="s">
        <v>5993</v>
      </c>
      <c r="H652" s="3" t="s">
        <v>8258</v>
      </c>
      <c r="I652" s="3" t="s">
        <v>8252</v>
      </c>
      <c r="J652" s="5" t="s">
        <v>7747</v>
      </c>
      <c r="L652" s="3" t="s">
        <v>8259</v>
      </c>
      <c r="M652" s="3">
        <v>22</v>
      </c>
      <c r="N652" s="4" t="s">
        <v>8250</v>
      </c>
      <c r="O652" s="4">
        <v>31</v>
      </c>
      <c r="P652" s="11" t="s">
        <v>9706</v>
      </c>
      <c r="Q652" s="11" t="s">
        <v>10025</v>
      </c>
      <c r="S652" s="4" t="b">
        <f>ISNUMBER(MATCH(Q652,T:T,0))</f>
        <v>1</v>
      </c>
      <c r="T652" s="4" t="s">
        <v>11272</v>
      </c>
      <c r="U652" s="4" t="str">
        <f t="shared" si="32"/>
        <v>聊</v>
      </c>
    </row>
    <row r="653" spans="1:22">
      <c r="A653" s="3">
        <v>652</v>
      </c>
      <c r="B653" s="3" t="s">
        <v>8249</v>
      </c>
      <c r="C653" s="3" t="s">
        <v>6025</v>
      </c>
      <c r="D653" s="3" t="s">
        <v>2843</v>
      </c>
      <c r="E653" s="3" t="s">
        <v>5991</v>
      </c>
      <c r="F653" s="3" t="s">
        <v>8250</v>
      </c>
      <c r="G653" s="3" t="s">
        <v>5993</v>
      </c>
      <c r="H653" s="3" t="s">
        <v>8260</v>
      </c>
      <c r="I653" s="3" t="s">
        <v>8252</v>
      </c>
      <c r="J653" s="5" t="s">
        <v>8261</v>
      </c>
      <c r="L653" s="3" t="s">
        <v>8262</v>
      </c>
      <c r="M653" s="3">
        <v>9</v>
      </c>
      <c r="N653" s="4" t="s">
        <v>8250</v>
      </c>
      <c r="O653" s="4">
        <v>31</v>
      </c>
      <c r="P653" s="11" t="s">
        <v>9729</v>
      </c>
      <c r="Q653" s="11" t="s">
        <v>10026</v>
      </c>
      <c r="S653" s="4" t="b">
        <f>ISNUMBER(MATCH(Q653,T:T,0))</f>
        <v>1</v>
      </c>
      <c r="T653" s="4" t="s">
        <v>11273</v>
      </c>
      <c r="U653" s="4" t="str">
        <f t="shared" si="32"/>
        <v>堯</v>
      </c>
    </row>
    <row r="654" spans="1:22" ht="58.5">
      <c r="A654" s="3">
        <v>653</v>
      </c>
      <c r="B654" s="3" t="s">
        <v>8249</v>
      </c>
      <c r="C654" s="3" t="s">
        <v>6058</v>
      </c>
      <c r="D654" s="3" t="s">
        <v>2843</v>
      </c>
      <c r="E654" s="3" t="s">
        <v>5991</v>
      </c>
      <c r="F654" s="3" t="s">
        <v>8250</v>
      </c>
      <c r="G654" s="3" t="s">
        <v>5993</v>
      </c>
      <c r="H654" s="3" t="s">
        <v>8263</v>
      </c>
      <c r="I654" s="3" t="s">
        <v>8252</v>
      </c>
      <c r="J654" s="5" t="s">
        <v>7748</v>
      </c>
      <c r="L654" s="3" t="s">
        <v>8264</v>
      </c>
      <c r="M654" s="3">
        <v>42</v>
      </c>
      <c r="N654" s="4" t="s">
        <v>8250</v>
      </c>
      <c r="O654" s="4">
        <v>31</v>
      </c>
      <c r="P654" s="11" t="s">
        <v>9877</v>
      </c>
      <c r="Q654" s="11" t="s">
        <v>8250</v>
      </c>
      <c r="S654" s="4" t="b">
        <f>ISNUMBER(MATCH(Q654,T:T,0))</f>
        <v>1</v>
      </c>
      <c r="T654" s="4" t="s">
        <v>10025</v>
      </c>
      <c r="U654" s="4" t="str">
        <f t="shared" si="32"/>
        <v>蕭</v>
      </c>
    </row>
    <row r="655" spans="1:22">
      <c r="A655" s="3">
        <v>654</v>
      </c>
      <c r="B655" s="3" t="s">
        <v>8249</v>
      </c>
      <c r="C655" s="3" t="s">
        <v>6092</v>
      </c>
      <c r="D655" s="3" t="s">
        <v>2843</v>
      </c>
      <c r="E655" s="3" t="s">
        <v>5991</v>
      </c>
      <c r="F655" s="3" t="s">
        <v>8250</v>
      </c>
      <c r="G655" s="3" t="s">
        <v>5993</v>
      </c>
      <c r="H655" s="3" t="s">
        <v>8265</v>
      </c>
      <c r="I655" s="3" t="s">
        <v>8252</v>
      </c>
      <c r="J655" s="5" t="s">
        <v>8266</v>
      </c>
      <c r="L655" s="3" t="s">
        <v>8267</v>
      </c>
      <c r="M655" s="3">
        <v>5</v>
      </c>
      <c r="N655" s="4" t="s">
        <v>8250</v>
      </c>
      <c r="O655" s="4">
        <v>31</v>
      </c>
      <c r="P655" s="11" t="s">
        <v>9740</v>
      </c>
      <c r="Q655" s="11" t="s">
        <v>10025</v>
      </c>
      <c r="S655" s="4" t="b">
        <f>ISNUMBER(MATCH(Q655,T:T,0))</f>
        <v>1</v>
      </c>
      <c r="T655" s="4" t="s">
        <v>10026</v>
      </c>
      <c r="U655" s="4" t="str">
        <f t="shared" si="32"/>
        <v>聊</v>
      </c>
    </row>
    <row r="656" spans="1:22">
      <c r="A656" s="3">
        <v>655</v>
      </c>
      <c r="B656" s="3" t="s">
        <v>8249</v>
      </c>
      <c r="C656" s="3" t="s">
        <v>6089</v>
      </c>
      <c r="D656" s="3" t="s">
        <v>2843</v>
      </c>
      <c r="E656" s="3" t="s">
        <v>5991</v>
      </c>
      <c r="F656" s="3" t="s">
        <v>8250</v>
      </c>
      <c r="G656" s="3" t="s">
        <v>5993</v>
      </c>
      <c r="H656" s="3" t="s">
        <v>703</v>
      </c>
      <c r="I656" s="3" t="s">
        <v>8252</v>
      </c>
      <c r="J656" s="5" t="s">
        <v>8268</v>
      </c>
      <c r="L656" s="3" t="s">
        <v>8253</v>
      </c>
      <c r="M656" s="3">
        <v>7</v>
      </c>
      <c r="N656" s="4" t="s">
        <v>8250</v>
      </c>
      <c r="O656" s="4">
        <v>31</v>
      </c>
      <c r="P656" s="11" t="s">
        <v>9753</v>
      </c>
      <c r="Q656" s="11" t="s">
        <v>10027</v>
      </c>
      <c r="S656" s="4" t="b">
        <f>ISNUMBER(MATCH(Q656,T:T,0))</f>
        <v>1</v>
      </c>
      <c r="T656" s="4" t="s">
        <v>11274</v>
      </c>
      <c r="U656" s="4" t="str">
        <f t="shared" si="32"/>
        <v>幺</v>
      </c>
    </row>
    <row r="657" spans="1:22">
      <c r="A657" s="3">
        <v>656</v>
      </c>
      <c r="B657" s="3" t="s">
        <v>8249</v>
      </c>
      <c r="C657" s="3" t="s">
        <v>6072</v>
      </c>
      <c r="D657" s="3" t="s">
        <v>2843</v>
      </c>
      <c r="E657" s="3" t="s">
        <v>5991</v>
      </c>
      <c r="F657" s="3" t="s">
        <v>8250</v>
      </c>
      <c r="G657" s="3" t="s">
        <v>5993</v>
      </c>
      <c r="H657" s="3" t="s">
        <v>8269</v>
      </c>
      <c r="I657" s="3" t="s">
        <v>8252</v>
      </c>
      <c r="J657" s="8" t="s">
        <v>7749</v>
      </c>
      <c r="L657" s="3" t="s">
        <v>8270</v>
      </c>
      <c r="M657" s="3">
        <v>5</v>
      </c>
      <c r="N657" s="4" t="s">
        <v>8250</v>
      </c>
      <c r="O657" s="4">
        <v>31</v>
      </c>
      <c r="P657" s="11" t="s">
        <v>9754</v>
      </c>
      <c r="Q657" s="11" t="s">
        <v>10026</v>
      </c>
      <c r="S657" s="4" t="b">
        <f>ISNUMBER(MATCH(Q657,T:T,0))</f>
        <v>1</v>
      </c>
      <c r="T657" s="4" t="s">
        <v>10027</v>
      </c>
      <c r="U657" s="4" t="str">
        <f t="shared" si="32"/>
        <v>堯</v>
      </c>
    </row>
    <row r="658" spans="1:22">
      <c r="A658" s="3">
        <v>657</v>
      </c>
      <c r="B658" s="3" t="s">
        <v>8249</v>
      </c>
      <c r="C658" s="3" t="s">
        <v>6038</v>
      </c>
      <c r="D658" s="3" t="s">
        <v>2843</v>
      </c>
      <c r="E658" s="3" t="s">
        <v>5991</v>
      </c>
      <c r="F658" s="3" t="s">
        <v>8250</v>
      </c>
      <c r="G658" s="3" t="s">
        <v>5993</v>
      </c>
      <c r="H658" s="3" t="s">
        <v>704</v>
      </c>
      <c r="I658" s="3" t="s">
        <v>8252</v>
      </c>
      <c r="J658" s="5" t="s">
        <v>8271</v>
      </c>
      <c r="L658" s="3" t="s">
        <v>8272</v>
      </c>
      <c r="M658" s="3">
        <v>5</v>
      </c>
      <c r="N658" s="4" t="s">
        <v>8250</v>
      </c>
      <c r="O658" s="4">
        <v>31</v>
      </c>
      <c r="P658" s="11" t="s">
        <v>9728</v>
      </c>
      <c r="Q658" s="11" t="s">
        <v>10027</v>
      </c>
      <c r="S658" s="4" t="b">
        <f>ISNUMBER(MATCH(Q658,T:T,0))</f>
        <v>1</v>
      </c>
      <c r="T658" s="4" t="s">
        <v>11275</v>
      </c>
      <c r="U658" s="4" t="str">
        <f t="shared" si="32"/>
        <v>幺</v>
      </c>
    </row>
    <row r="659" spans="1:22" ht="39">
      <c r="A659" s="3">
        <v>658</v>
      </c>
      <c r="B659" s="3" t="s">
        <v>8273</v>
      </c>
      <c r="C659" s="3" t="s">
        <v>6017</v>
      </c>
      <c r="D659" s="3" t="s">
        <v>6001</v>
      </c>
      <c r="E659" s="3" t="s">
        <v>5991</v>
      </c>
      <c r="F659" s="3" t="s">
        <v>8274</v>
      </c>
      <c r="G659" s="3" t="s">
        <v>5993</v>
      </c>
      <c r="H659" s="3" t="s">
        <v>8275</v>
      </c>
      <c r="I659" s="3" t="s">
        <v>8252</v>
      </c>
      <c r="J659" s="5" t="s">
        <v>7750</v>
      </c>
      <c r="L659" s="3" t="s">
        <v>8253</v>
      </c>
      <c r="M659" s="3">
        <v>20</v>
      </c>
      <c r="N659" s="4" t="s">
        <v>9631</v>
      </c>
      <c r="O659" s="4">
        <v>32</v>
      </c>
      <c r="P659" s="11" t="s">
        <v>2555</v>
      </c>
      <c r="Q659" s="11" t="s">
        <v>10028</v>
      </c>
      <c r="R659" s="4" t="s">
        <v>13036</v>
      </c>
      <c r="S659" s="4" t="b">
        <f>ISNUMBER(MATCH(Q659,T:T,0))</f>
        <v>0</v>
      </c>
      <c r="T659" s="4" t="s">
        <v>10033</v>
      </c>
      <c r="U659" s="4" t="str">
        <f t="shared" si="32"/>
        <v>要</v>
      </c>
      <c r="V659" s="4" t="b">
        <f t="shared" ref="V659:V663" si="34">ISNUMBER(MATCH(R659,T:T,0))</f>
        <v>1</v>
      </c>
    </row>
    <row r="660" spans="1:22">
      <c r="A660" s="3">
        <v>659</v>
      </c>
      <c r="B660" s="3" t="s">
        <v>8273</v>
      </c>
      <c r="C660" s="3" t="s">
        <v>6011</v>
      </c>
      <c r="D660" s="3" t="s">
        <v>6001</v>
      </c>
      <c r="E660" s="3" t="s">
        <v>5991</v>
      </c>
      <c r="F660" s="3" t="s">
        <v>8276</v>
      </c>
      <c r="G660" s="3" t="s">
        <v>5993</v>
      </c>
      <c r="H660" s="3" t="s">
        <v>8277</v>
      </c>
      <c r="I660" s="3" t="s">
        <v>8252</v>
      </c>
      <c r="J660" s="5" t="s">
        <v>7751</v>
      </c>
      <c r="L660" s="3" t="s">
        <v>8278</v>
      </c>
      <c r="M660" s="3">
        <v>6</v>
      </c>
      <c r="N660" s="4" t="s">
        <v>9631</v>
      </c>
      <c r="O660" s="4">
        <v>32</v>
      </c>
      <c r="P660" s="11" t="s">
        <v>9711</v>
      </c>
      <c r="Q660" s="11" t="s">
        <v>9631</v>
      </c>
      <c r="R660" s="4" t="s">
        <v>13037</v>
      </c>
      <c r="S660" s="4" t="b">
        <f>ISNUMBER(MATCH(Q660,T:T,0))</f>
        <v>0</v>
      </c>
      <c r="T660" s="4" t="s">
        <v>11276</v>
      </c>
      <c r="U660" s="4" t="str">
        <f t="shared" si="32"/>
        <v>消</v>
      </c>
      <c r="V660" s="4" t="b">
        <f t="shared" si="34"/>
        <v>1</v>
      </c>
    </row>
    <row r="661" spans="1:22">
      <c r="A661" s="3">
        <v>660</v>
      </c>
      <c r="B661" s="3" t="s">
        <v>8273</v>
      </c>
      <c r="C661" s="3" t="s">
        <v>6000</v>
      </c>
      <c r="D661" s="3" t="s">
        <v>6001</v>
      </c>
      <c r="E661" s="3" t="s">
        <v>5991</v>
      </c>
      <c r="F661" s="3" t="s">
        <v>8276</v>
      </c>
      <c r="G661" s="3" t="s">
        <v>5993</v>
      </c>
      <c r="H661" s="3" t="s">
        <v>8279</v>
      </c>
      <c r="I661" s="3" t="s">
        <v>8252</v>
      </c>
      <c r="J661" s="5" t="s">
        <v>8280</v>
      </c>
      <c r="L661" s="3" t="s">
        <v>8281</v>
      </c>
      <c r="M661" s="3">
        <v>2</v>
      </c>
      <c r="N661" s="4" t="s">
        <v>9631</v>
      </c>
      <c r="O661" s="4">
        <v>32</v>
      </c>
      <c r="P661" s="11" t="s">
        <v>9707</v>
      </c>
      <c r="Q661" s="11" t="s">
        <v>10029</v>
      </c>
      <c r="R661" s="4" t="s">
        <v>13038</v>
      </c>
      <c r="S661" s="4" t="b">
        <f>ISNUMBER(MATCH(Q661,T:T,0))</f>
        <v>0</v>
      </c>
      <c r="T661" s="4" t="s">
        <v>11277</v>
      </c>
      <c r="U661" s="4" t="str">
        <f t="shared" si="32"/>
        <v>遥</v>
      </c>
      <c r="V661" s="4" t="b">
        <f t="shared" si="34"/>
        <v>1</v>
      </c>
    </row>
    <row r="662" spans="1:22">
      <c r="A662" s="3">
        <v>661</v>
      </c>
      <c r="B662" s="3" t="s">
        <v>8273</v>
      </c>
      <c r="C662" s="3" t="s">
        <v>6005</v>
      </c>
      <c r="D662" s="3" t="s">
        <v>6001</v>
      </c>
      <c r="E662" s="3" t="s">
        <v>5991</v>
      </c>
      <c r="F662" s="3" t="s">
        <v>8276</v>
      </c>
      <c r="G662" s="3" t="s">
        <v>5993</v>
      </c>
      <c r="H662" s="3" t="s">
        <v>8282</v>
      </c>
      <c r="I662" s="3" t="s">
        <v>8252</v>
      </c>
      <c r="J662" s="5" t="s">
        <v>7752</v>
      </c>
      <c r="L662" s="3" t="s">
        <v>8283</v>
      </c>
      <c r="M662" s="3">
        <v>5</v>
      </c>
      <c r="N662" s="4" t="s">
        <v>9631</v>
      </c>
      <c r="O662" s="4">
        <v>32</v>
      </c>
      <c r="P662" s="11" t="s">
        <v>9709</v>
      </c>
      <c r="Q662" s="11" t="s">
        <v>10029</v>
      </c>
      <c r="R662" s="4" t="s">
        <v>13038</v>
      </c>
      <c r="S662" s="4" t="b">
        <f>ISNUMBER(MATCH(Q662,T:T,0))</f>
        <v>0</v>
      </c>
      <c r="T662" s="4" t="s">
        <v>11277</v>
      </c>
      <c r="U662" s="4" t="str">
        <f t="shared" si="32"/>
        <v>遥</v>
      </c>
      <c r="V662" s="4" t="b">
        <f t="shared" si="34"/>
        <v>1</v>
      </c>
    </row>
    <row r="663" spans="1:22">
      <c r="A663" s="3">
        <v>662</v>
      </c>
      <c r="B663" s="3" t="s">
        <v>8273</v>
      </c>
      <c r="C663" s="3" t="s">
        <v>6089</v>
      </c>
      <c r="D663" s="3" t="s">
        <v>6001</v>
      </c>
      <c r="E663" s="3" t="s">
        <v>5991</v>
      </c>
      <c r="F663" s="3" t="s">
        <v>8276</v>
      </c>
      <c r="G663" s="3" t="s">
        <v>5993</v>
      </c>
      <c r="H663" s="3" t="s">
        <v>8284</v>
      </c>
      <c r="I663" s="3" t="s">
        <v>8252</v>
      </c>
      <c r="J663" s="5" t="s">
        <v>7753</v>
      </c>
      <c r="L663" s="3" t="s">
        <v>8253</v>
      </c>
      <c r="M663" s="3">
        <v>10</v>
      </c>
      <c r="N663" s="4" t="s">
        <v>9631</v>
      </c>
      <c r="O663" s="4">
        <v>32</v>
      </c>
      <c r="P663" s="11" t="s">
        <v>9753</v>
      </c>
      <c r="Q663" s="11" t="s">
        <v>10030</v>
      </c>
      <c r="R663" s="4" t="s">
        <v>13039</v>
      </c>
      <c r="S663" s="4" t="b">
        <f>ISNUMBER(MATCH(Q663,T:T,0))</f>
        <v>0</v>
      </c>
      <c r="T663" s="4" t="s">
        <v>11278</v>
      </c>
      <c r="U663" s="4" t="str">
        <f t="shared" si="32"/>
        <v>驕喬</v>
      </c>
      <c r="V663" s="4" t="b">
        <f t="shared" si="34"/>
        <v>0</v>
      </c>
    </row>
    <row r="664" spans="1:22" ht="42.75">
      <c r="A664" s="3">
        <v>663</v>
      </c>
      <c r="B664" s="3" t="s">
        <v>8273</v>
      </c>
      <c r="C664" s="3" t="s">
        <v>6069</v>
      </c>
      <c r="D664" s="3" t="s">
        <v>6001</v>
      </c>
      <c r="E664" s="3" t="s">
        <v>5991</v>
      </c>
      <c r="F664" s="3" t="s">
        <v>8274</v>
      </c>
      <c r="G664" s="3" t="s">
        <v>5993</v>
      </c>
      <c r="H664" s="3" t="s">
        <v>8285</v>
      </c>
      <c r="I664" s="3" t="s">
        <v>8252</v>
      </c>
      <c r="J664" s="5" t="s">
        <v>7754</v>
      </c>
      <c r="K664" s="3" t="s">
        <v>583</v>
      </c>
      <c r="L664" s="3" t="s">
        <v>8286</v>
      </c>
      <c r="M664" s="3">
        <v>15</v>
      </c>
      <c r="N664" s="4" t="s">
        <v>9631</v>
      </c>
      <c r="O664" s="4">
        <v>32</v>
      </c>
      <c r="P664" s="11" t="s">
        <v>9880</v>
      </c>
      <c r="Q664" s="11" t="s">
        <v>10031</v>
      </c>
      <c r="S664" s="4" t="b">
        <f>ISNUMBER(MATCH(Q664,T:T,0))</f>
        <v>1</v>
      </c>
      <c r="T664" s="4" t="s">
        <v>11279</v>
      </c>
      <c r="U664" s="4" t="str">
        <f t="shared" si="32"/>
        <v>焦</v>
      </c>
    </row>
    <row r="665" spans="1:22">
      <c r="A665" s="3">
        <v>664</v>
      </c>
      <c r="B665" s="3" t="s">
        <v>8273</v>
      </c>
      <c r="C665" s="3" t="s">
        <v>6025</v>
      </c>
      <c r="D665" s="3" t="s">
        <v>6001</v>
      </c>
      <c r="E665" s="3" t="s">
        <v>5991</v>
      </c>
      <c r="F665" s="3" t="s">
        <v>8276</v>
      </c>
      <c r="G665" s="3" t="s">
        <v>5993</v>
      </c>
      <c r="H665" s="3" t="s">
        <v>8287</v>
      </c>
      <c r="I665" s="3" t="s">
        <v>8252</v>
      </c>
      <c r="J665" s="5" t="s">
        <v>8288</v>
      </c>
      <c r="L665" s="3" t="s">
        <v>8262</v>
      </c>
      <c r="M665" s="3">
        <v>9</v>
      </c>
      <c r="N665" s="4" t="s">
        <v>9631</v>
      </c>
      <c r="O665" s="4">
        <v>32</v>
      </c>
      <c r="P665" s="11" t="s">
        <v>9846</v>
      </c>
      <c r="Q665" s="11" t="s">
        <v>10032</v>
      </c>
      <c r="S665" s="4" t="b">
        <f>ISNUMBER(MATCH(Q665,T:T,0))</f>
        <v>1</v>
      </c>
      <c r="T665" s="4" t="s">
        <v>11280</v>
      </c>
      <c r="U665" s="4" t="str">
        <f t="shared" si="32"/>
        <v>喬</v>
      </c>
    </row>
    <row r="666" spans="1:22" ht="39">
      <c r="A666" s="3">
        <v>665</v>
      </c>
      <c r="B666" s="3" t="s">
        <v>8273</v>
      </c>
      <c r="C666" s="3" t="s">
        <v>6083</v>
      </c>
      <c r="D666" s="3" t="s">
        <v>6001</v>
      </c>
      <c r="E666" s="3" t="s">
        <v>5991</v>
      </c>
      <c r="F666" s="3" t="s">
        <v>8274</v>
      </c>
      <c r="G666" s="3" t="s">
        <v>5993</v>
      </c>
      <c r="H666" s="3" t="s">
        <v>8289</v>
      </c>
      <c r="I666" s="3" t="s">
        <v>8252</v>
      </c>
      <c r="J666" s="5" t="s">
        <v>7755</v>
      </c>
      <c r="L666" s="3" t="s">
        <v>8262</v>
      </c>
      <c r="M666" s="3">
        <v>17</v>
      </c>
      <c r="N666" s="4" t="s">
        <v>9631</v>
      </c>
      <c r="O666" s="4">
        <v>32</v>
      </c>
      <c r="P666" s="11" t="s">
        <v>9760</v>
      </c>
      <c r="Q666" s="11" t="s">
        <v>10033</v>
      </c>
      <c r="S666" s="4" t="b">
        <f>ISNUMBER(MATCH(Q666,T:T,0))</f>
        <v>1</v>
      </c>
      <c r="T666" s="4" t="s">
        <v>10031</v>
      </c>
      <c r="U666" s="4" t="str">
        <f t="shared" si="32"/>
        <v>消</v>
      </c>
    </row>
    <row r="667" spans="1:22">
      <c r="A667" s="3">
        <v>666</v>
      </c>
      <c r="B667" s="3" t="s">
        <v>8273</v>
      </c>
      <c r="C667" s="3" t="s">
        <v>6021</v>
      </c>
      <c r="D667" s="3" t="s">
        <v>6001</v>
      </c>
      <c r="E667" s="3" t="s">
        <v>5991</v>
      </c>
      <c r="F667" s="3" t="s">
        <v>8274</v>
      </c>
      <c r="G667" s="3" t="s">
        <v>5993</v>
      </c>
      <c r="H667" s="3" t="s">
        <v>8290</v>
      </c>
      <c r="I667" s="3" t="s">
        <v>8252</v>
      </c>
      <c r="J667" s="5" t="s">
        <v>8291</v>
      </c>
      <c r="L667" s="3" t="s">
        <v>8292</v>
      </c>
      <c r="M667" s="3">
        <v>6</v>
      </c>
      <c r="N667" s="4" t="s">
        <v>9631</v>
      </c>
      <c r="O667" s="4">
        <v>32</v>
      </c>
      <c r="P667" s="11" t="s">
        <v>9715</v>
      </c>
      <c r="Q667" s="11" t="s">
        <v>10034</v>
      </c>
      <c r="R667" s="4" t="s">
        <v>13040</v>
      </c>
      <c r="S667" s="4" t="b">
        <f>ISNUMBER(MATCH(Q667,T:T,0))</f>
        <v>0</v>
      </c>
      <c r="T667" s="4" t="s">
        <v>11281</v>
      </c>
      <c r="U667" s="4" t="str">
        <f t="shared" si="32"/>
        <v>昭</v>
      </c>
      <c r="V667" s="4" t="b">
        <f t="shared" ref="V667:V668" si="35">ISNUMBER(MATCH(R667,T:T,0))</f>
        <v>1</v>
      </c>
    </row>
    <row r="668" spans="1:22">
      <c r="A668" s="3">
        <v>667</v>
      </c>
      <c r="B668" s="3" t="s">
        <v>8273</v>
      </c>
      <c r="C668" s="3" t="s">
        <v>6120</v>
      </c>
      <c r="D668" s="3" t="s">
        <v>6001</v>
      </c>
      <c r="E668" s="3" t="s">
        <v>5991</v>
      </c>
      <c r="F668" s="3" t="s">
        <v>8274</v>
      </c>
      <c r="G668" s="3" t="s">
        <v>5993</v>
      </c>
      <c r="H668" s="3" t="s">
        <v>8293</v>
      </c>
      <c r="I668" s="3" t="s">
        <v>8252</v>
      </c>
      <c r="J668" s="5" t="s">
        <v>8294</v>
      </c>
      <c r="L668" s="3" t="s">
        <v>8295</v>
      </c>
      <c r="M668" s="3">
        <v>2</v>
      </c>
      <c r="N668" s="4" t="s">
        <v>9631</v>
      </c>
      <c r="O668" s="4">
        <v>32</v>
      </c>
      <c r="P668" s="11" t="s">
        <v>9793</v>
      </c>
      <c r="Q668" s="11" t="s">
        <v>10034</v>
      </c>
      <c r="R668" s="4" t="s">
        <v>13040</v>
      </c>
      <c r="S668" s="4" t="b">
        <f>ISNUMBER(MATCH(Q668,T:T,0))</f>
        <v>0</v>
      </c>
      <c r="T668" s="4" t="s">
        <v>11282</v>
      </c>
      <c r="U668" s="4" t="str">
        <f t="shared" si="32"/>
        <v>昭</v>
      </c>
      <c r="V668" s="4" t="b">
        <f t="shared" si="35"/>
        <v>1</v>
      </c>
    </row>
    <row r="669" spans="1:22" ht="58.5">
      <c r="A669" s="3">
        <v>668</v>
      </c>
      <c r="B669" s="3" t="s">
        <v>8273</v>
      </c>
      <c r="C669" s="3" t="s">
        <v>6028</v>
      </c>
      <c r="D669" s="3" t="s">
        <v>6001</v>
      </c>
      <c r="E669" s="3" t="s">
        <v>5991</v>
      </c>
      <c r="F669" s="3" t="s">
        <v>8274</v>
      </c>
      <c r="G669" s="3" t="s">
        <v>5993</v>
      </c>
      <c r="H669" s="3" t="s">
        <v>8296</v>
      </c>
      <c r="I669" s="3" t="s">
        <v>8252</v>
      </c>
      <c r="J669" s="8" t="s">
        <v>7756</v>
      </c>
      <c r="L669" s="3" t="s">
        <v>8267</v>
      </c>
      <c r="M669" s="3">
        <v>36</v>
      </c>
      <c r="N669" s="4" t="s">
        <v>9631</v>
      </c>
      <c r="O669" s="4">
        <v>32</v>
      </c>
      <c r="P669" s="11" t="s">
        <v>9750</v>
      </c>
      <c r="Q669" s="11" t="s">
        <v>10035</v>
      </c>
      <c r="S669" s="4" t="b">
        <f>ISNUMBER(MATCH(Q669,T:T,0))</f>
        <v>1</v>
      </c>
      <c r="T669" s="4" t="s">
        <v>11283</v>
      </c>
      <c r="U669" s="4" t="str">
        <f t="shared" si="32"/>
        <v>昭</v>
      </c>
    </row>
    <row r="670" spans="1:22" ht="28.5">
      <c r="A670" s="3">
        <v>669</v>
      </c>
      <c r="B670" s="3" t="s">
        <v>8273</v>
      </c>
      <c r="C670" s="3" t="s">
        <v>6148</v>
      </c>
      <c r="D670" s="3" t="s">
        <v>6001</v>
      </c>
      <c r="E670" s="3" t="s">
        <v>5991</v>
      </c>
      <c r="F670" s="3" t="s">
        <v>8274</v>
      </c>
      <c r="G670" s="3" t="s">
        <v>5993</v>
      </c>
      <c r="H670" s="3" t="s">
        <v>8297</v>
      </c>
      <c r="I670" s="3" t="s">
        <v>8252</v>
      </c>
      <c r="J670" s="5" t="s">
        <v>7757</v>
      </c>
      <c r="K670" s="3" t="s">
        <v>584</v>
      </c>
      <c r="L670" s="3" t="s">
        <v>8283</v>
      </c>
      <c r="M670" s="3">
        <v>10</v>
      </c>
      <c r="N670" s="4" t="s">
        <v>9631</v>
      </c>
      <c r="O670" s="4">
        <v>32</v>
      </c>
      <c r="P670" s="11" t="s">
        <v>9829</v>
      </c>
      <c r="Q670" s="11" t="s">
        <v>10035</v>
      </c>
      <c r="S670" s="4" t="b">
        <f>ISNUMBER(MATCH(Q670,T:T,0))</f>
        <v>1</v>
      </c>
      <c r="T670" s="4" t="s">
        <v>11284</v>
      </c>
      <c r="U670" s="4" t="str">
        <f t="shared" si="32"/>
        <v>昭</v>
      </c>
    </row>
    <row r="671" spans="1:22">
      <c r="A671" s="3">
        <v>670</v>
      </c>
      <c r="B671" s="3" t="s">
        <v>8273</v>
      </c>
      <c r="C671" s="3" t="s">
        <v>6009</v>
      </c>
      <c r="D671" s="3" t="s">
        <v>6001</v>
      </c>
      <c r="E671" s="3" t="s">
        <v>5991</v>
      </c>
      <c r="F671" s="3" t="s">
        <v>8274</v>
      </c>
      <c r="G671" s="3" t="s">
        <v>5993</v>
      </c>
      <c r="H671" s="3" t="s">
        <v>8298</v>
      </c>
      <c r="I671" s="3" t="s">
        <v>8252</v>
      </c>
      <c r="J671" s="5" t="s">
        <v>8299</v>
      </c>
      <c r="L671" s="3" t="s">
        <v>8281</v>
      </c>
      <c r="M671" s="3">
        <v>7</v>
      </c>
      <c r="N671" s="4" t="s">
        <v>9631</v>
      </c>
      <c r="O671" s="4">
        <v>32</v>
      </c>
      <c r="P671" s="11" t="s">
        <v>6207</v>
      </c>
      <c r="Q671" s="11" t="s">
        <v>10029</v>
      </c>
      <c r="R671" s="4" t="s">
        <v>13038</v>
      </c>
      <c r="S671" s="4" t="b">
        <f>ISNUMBER(MATCH(Q671,T:T,0))</f>
        <v>0</v>
      </c>
      <c r="T671" s="4" t="s">
        <v>10035</v>
      </c>
      <c r="U671" s="4" t="str">
        <f t="shared" si="32"/>
        <v>遥</v>
      </c>
      <c r="V671" s="4" t="b">
        <f t="shared" ref="V671:V680" si="36">ISNUMBER(MATCH(R671,T:T,0))</f>
        <v>1</v>
      </c>
    </row>
    <row r="672" spans="1:22">
      <c r="A672" s="3">
        <v>671</v>
      </c>
      <c r="B672" s="3" t="s">
        <v>8273</v>
      </c>
      <c r="C672" s="3" t="s">
        <v>6049</v>
      </c>
      <c r="D672" s="3" t="s">
        <v>6001</v>
      </c>
      <c r="E672" s="3" t="s">
        <v>5991</v>
      </c>
      <c r="F672" s="3" t="s">
        <v>8274</v>
      </c>
      <c r="G672" s="3" t="s">
        <v>5993</v>
      </c>
      <c r="H672" s="3" t="s">
        <v>8300</v>
      </c>
      <c r="I672" s="3" t="s">
        <v>8252</v>
      </c>
      <c r="J672" s="8" t="s">
        <v>7758</v>
      </c>
      <c r="L672" s="3" t="s">
        <v>8301</v>
      </c>
      <c r="M672" s="3">
        <v>15</v>
      </c>
      <c r="N672" s="4" t="s">
        <v>9631</v>
      </c>
      <c r="O672" s="4">
        <v>32</v>
      </c>
      <c r="P672" s="11" t="s">
        <v>9842</v>
      </c>
      <c r="Q672" s="11" t="s">
        <v>10029</v>
      </c>
      <c r="R672" s="4" t="s">
        <v>13038</v>
      </c>
      <c r="S672" s="4" t="b">
        <f>ISNUMBER(MATCH(Q672,T:T,0))</f>
        <v>0</v>
      </c>
      <c r="T672" s="4" t="s">
        <v>11285</v>
      </c>
      <c r="U672" s="4" t="str">
        <f t="shared" si="32"/>
        <v>遥</v>
      </c>
      <c r="V672" s="4" t="b">
        <f t="shared" si="36"/>
        <v>1</v>
      </c>
    </row>
    <row r="673" spans="1:22">
      <c r="A673" s="3">
        <v>672</v>
      </c>
      <c r="B673" s="3" t="s">
        <v>8273</v>
      </c>
      <c r="C673" s="3" t="s">
        <v>6049</v>
      </c>
      <c r="D673" s="3" t="s">
        <v>6001</v>
      </c>
      <c r="E673" s="3" t="s">
        <v>5991</v>
      </c>
      <c r="F673" s="3" t="s">
        <v>8276</v>
      </c>
      <c r="G673" s="3" t="s">
        <v>5993</v>
      </c>
      <c r="H673" s="3" t="s">
        <v>8302</v>
      </c>
      <c r="I673" s="3" t="s">
        <v>8252</v>
      </c>
      <c r="J673" s="5" t="s">
        <v>8303</v>
      </c>
      <c r="L673" s="3" t="s">
        <v>8301</v>
      </c>
      <c r="M673" s="3">
        <v>7</v>
      </c>
      <c r="N673" s="4" t="s">
        <v>9631</v>
      </c>
      <c r="O673" s="4">
        <v>32</v>
      </c>
      <c r="P673" s="11" t="s">
        <v>9842</v>
      </c>
      <c r="Q673" s="11" t="s">
        <v>10030</v>
      </c>
      <c r="R673" s="4" t="s">
        <v>13039</v>
      </c>
      <c r="S673" s="4" t="b">
        <f>ISNUMBER(MATCH(Q673,T:T,0))</f>
        <v>0</v>
      </c>
      <c r="T673" s="4" t="s">
        <v>11286</v>
      </c>
      <c r="U673" s="4" t="str">
        <f t="shared" si="32"/>
        <v>驕喬</v>
      </c>
      <c r="V673" s="4" t="b">
        <f t="shared" si="36"/>
        <v>0</v>
      </c>
    </row>
    <row r="674" spans="1:22">
      <c r="A674" s="3">
        <v>673</v>
      </c>
      <c r="B674" s="3" t="s">
        <v>8273</v>
      </c>
      <c r="C674" s="3" t="s">
        <v>6045</v>
      </c>
      <c r="D674" s="3" t="s">
        <v>6001</v>
      </c>
      <c r="E674" s="3" t="s">
        <v>5991</v>
      </c>
      <c r="F674" s="3" t="s">
        <v>8274</v>
      </c>
      <c r="G674" s="3" t="s">
        <v>5993</v>
      </c>
      <c r="H674" s="3" t="s">
        <v>8304</v>
      </c>
      <c r="I674" s="3" t="s">
        <v>8252</v>
      </c>
      <c r="J674" s="5" t="s">
        <v>8305</v>
      </c>
      <c r="L674" s="3" t="s">
        <v>8306</v>
      </c>
      <c r="M674" s="3">
        <v>6</v>
      </c>
      <c r="N674" s="4" t="s">
        <v>9631</v>
      </c>
      <c r="O674" s="4">
        <v>32</v>
      </c>
      <c r="P674" s="11" t="s">
        <v>9759</v>
      </c>
      <c r="Q674" s="11" t="s">
        <v>10036</v>
      </c>
      <c r="R674" s="4" t="s">
        <v>13037</v>
      </c>
      <c r="S674" s="4" t="b">
        <f>ISNUMBER(MATCH(Q674,T:T,0))</f>
        <v>0</v>
      </c>
      <c r="T674" s="4" t="s">
        <v>11287</v>
      </c>
      <c r="U674" s="4" t="str">
        <f t="shared" si="32"/>
        <v>消</v>
      </c>
      <c r="V674" s="4" t="b">
        <f t="shared" si="36"/>
        <v>1</v>
      </c>
    </row>
    <row r="675" spans="1:22">
      <c r="A675" s="3">
        <v>674</v>
      </c>
      <c r="B675" s="3" t="s">
        <v>8273</v>
      </c>
      <c r="C675" s="3" t="s">
        <v>6035</v>
      </c>
      <c r="D675" s="3" t="s">
        <v>6001</v>
      </c>
      <c r="E675" s="3" t="s">
        <v>5991</v>
      </c>
      <c r="F675" s="3" t="s">
        <v>8274</v>
      </c>
      <c r="G675" s="3" t="s">
        <v>5993</v>
      </c>
      <c r="H675" s="3" t="s">
        <v>8307</v>
      </c>
      <c r="I675" s="3" t="s">
        <v>8252</v>
      </c>
      <c r="J675" s="5" t="s">
        <v>8308</v>
      </c>
      <c r="L675" s="3" t="s">
        <v>8309</v>
      </c>
      <c r="M675" s="3">
        <v>5</v>
      </c>
      <c r="N675" s="4" t="s">
        <v>9631</v>
      </c>
      <c r="O675" s="4">
        <v>32</v>
      </c>
      <c r="P675" s="11" t="s">
        <v>9941</v>
      </c>
      <c r="Q675" s="11" t="s">
        <v>10029</v>
      </c>
      <c r="R675" s="4" t="s">
        <v>13038</v>
      </c>
      <c r="S675" s="4" t="b">
        <f>ISNUMBER(MATCH(Q675,T:T,0))</f>
        <v>0</v>
      </c>
      <c r="T675" s="4" t="s">
        <v>11288</v>
      </c>
      <c r="U675" s="4" t="str">
        <f t="shared" si="32"/>
        <v>遥</v>
      </c>
      <c r="V675" s="4" t="b">
        <f t="shared" si="36"/>
        <v>1</v>
      </c>
    </row>
    <row r="676" spans="1:22">
      <c r="A676" s="3">
        <v>675</v>
      </c>
      <c r="B676" s="3" t="s">
        <v>8273</v>
      </c>
      <c r="C676" s="3" t="s">
        <v>6035</v>
      </c>
      <c r="D676" s="3" t="s">
        <v>6001</v>
      </c>
      <c r="E676" s="3" t="s">
        <v>5991</v>
      </c>
      <c r="F676" s="3" t="s">
        <v>8276</v>
      </c>
      <c r="G676" s="3" t="s">
        <v>5993</v>
      </c>
      <c r="H676" s="3" t="s">
        <v>8310</v>
      </c>
      <c r="I676" s="3" t="s">
        <v>8252</v>
      </c>
      <c r="J676" s="5" t="s">
        <v>7759</v>
      </c>
      <c r="L676" s="3" t="s">
        <v>8309</v>
      </c>
      <c r="M676" s="3">
        <v>5</v>
      </c>
      <c r="N676" s="4" t="s">
        <v>9631</v>
      </c>
      <c r="O676" s="4">
        <v>32</v>
      </c>
      <c r="P676" s="11" t="s">
        <v>9794</v>
      </c>
      <c r="Q676" s="11" t="s">
        <v>10037</v>
      </c>
      <c r="R676" s="4" t="s">
        <v>13041</v>
      </c>
      <c r="S676" s="4" t="b">
        <f>ISNUMBER(MATCH(Q676,T:T,0))</f>
        <v>0</v>
      </c>
      <c r="T676" s="4" t="s">
        <v>11289</v>
      </c>
      <c r="U676" s="4" t="str">
        <f t="shared" si="32"/>
        <v>鑣</v>
      </c>
      <c r="V676" s="4" t="b">
        <f t="shared" si="36"/>
        <v>1</v>
      </c>
    </row>
    <row r="677" spans="1:22">
      <c r="A677" s="3">
        <v>676</v>
      </c>
      <c r="B677" s="3" t="s">
        <v>8273</v>
      </c>
      <c r="C677" s="3" t="s">
        <v>6072</v>
      </c>
      <c r="D677" s="3" t="s">
        <v>6001</v>
      </c>
      <c r="E677" s="3" t="s">
        <v>5991</v>
      </c>
      <c r="F677" s="3" t="s">
        <v>8274</v>
      </c>
      <c r="G677" s="3" t="s">
        <v>5993</v>
      </c>
      <c r="H677" s="3" t="s">
        <v>8311</v>
      </c>
      <c r="I677" s="3" t="s">
        <v>8252</v>
      </c>
      <c r="J677" s="5" t="s">
        <v>8312</v>
      </c>
      <c r="L677" s="3" t="s">
        <v>8270</v>
      </c>
      <c r="M677" s="3">
        <v>9</v>
      </c>
      <c r="N677" s="4" t="s">
        <v>9631</v>
      </c>
      <c r="O677" s="4">
        <v>32</v>
      </c>
      <c r="P677" s="11" t="s">
        <v>9754</v>
      </c>
      <c r="Q677" s="11" t="s">
        <v>10036</v>
      </c>
      <c r="R677" s="4" t="s">
        <v>13037</v>
      </c>
      <c r="S677" s="4" t="b">
        <f>ISNUMBER(MATCH(Q677,T:T,0))</f>
        <v>0</v>
      </c>
      <c r="T677" s="4" t="s">
        <v>10647</v>
      </c>
      <c r="U677" s="4" t="str">
        <f t="shared" si="32"/>
        <v>消</v>
      </c>
      <c r="V677" s="4" t="b">
        <f t="shared" si="36"/>
        <v>1</v>
      </c>
    </row>
    <row r="678" spans="1:22">
      <c r="A678" s="3">
        <v>677</v>
      </c>
      <c r="B678" s="3" t="s">
        <v>8273</v>
      </c>
      <c r="C678" s="3" t="s">
        <v>6032</v>
      </c>
      <c r="D678" s="3" t="s">
        <v>6001</v>
      </c>
      <c r="E678" s="3" t="s">
        <v>5991</v>
      </c>
      <c r="F678" s="3" t="s">
        <v>8276</v>
      </c>
      <c r="G678" s="3" t="s">
        <v>5993</v>
      </c>
      <c r="H678" s="3" t="s">
        <v>8313</v>
      </c>
      <c r="I678" s="3" t="s">
        <v>8252</v>
      </c>
      <c r="J678" s="5" t="s">
        <v>8314</v>
      </c>
      <c r="L678" s="3" t="s">
        <v>8267</v>
      </c>
      <c r="M678" s="3">
        <v>2</v>
      </c>
      <c r="N678" s="4" t="s">
        <v>9631</v>
      </c>
      <c r="O678" s="4">
        <v>32</v>
      </c>
      <c r="P678" s="11" t="s">
        <v>9859</v>
      </c>
      <c r="Q678" s="11" t="s">
        <v>10030</v>
      </c>
      <c r="R678" s="4" t="s">
        <v>13039</v>
      </c>
      <c r="S678" s="4" t="b">
        <f>ISNUMBER(MATCH(Q678,T:T,0))</f>
        <v>0</v>
      </c>
      <c r="T678" s="4" t="s">
        <v>11290</v>
      </c>
      <c r="U678" s="4" t="str">
        <f t="shared" si="32"/>
        <v>驕喬</v>
      </c>
      <c r="V678" s="4" t="b">
        <f t="shared" si="36"/>
        <v>0</v>
      </c>
    </row>
    <row r="679" spans="1:22" ht="28.5">
      <c r="A679" s="3">
        <v>678</v>
      </c>
      <c r="B679" s="3" t="s">
        <v>8273</v>
      </c>
      <c r="C679" s="3" t="s">
        <v>6041</v>
      </c>
      <c r="D679" s="3" t="s">
        <v>6001</v>
      </c>
      <c r="E679" s="3" t="s">
        <v>5991</v>
      </c>
      <c r="F679" s="3" t="s">
        <v>8276</v>
      </c>
      <c r="G679" s="3" t="s">
        <v>5993</v>
      </c>
      <c r="H679" s="3" t="s">
        <v>8315</v>
      </c>
      <c r="I679" s="3" t="s">
        <v>8252</v>
      </c>
      <c r="J679" s="5" t="s">
        <v>7760</v>
      </c>
      <c r="K679" s="3" t="s">
        <v>585</v>
      </c>
      <c r="L679" s="3" t="s">
        <v>8286</v>
      </c>
      <c r="M679" s="3">
        <v>16</v>
      </c>
      <c r="N679" s="4" t="s">
        <v>9631</v>
      </c>
      <c r="O679" s="4">
        <v>32</v>
      </c>
      <c r="P679" s="11" t="s">
        <v>9789</v>
      </c>
      <c r="Q679" s="11" t="s">
        <v>10030</v>
      </c>
      <c r="R679" s="4" t="s">
        <v>13039</v>
      </c>
      <c r="S679" s="4" t="b">
        <f>ISNUMBER(MATCH(Q679,T:T,0))</f>
        <v>0</v>
      </c>
      <c r="T679" s="4" t="s">
        <v>10032</v>
      </c>
      <c r="U679" s="4" t="str">
        <f t="shared" si="32"/>
        <v>驕喬</v>
      </c>
      <c r="V679" s="4" t="b">
        <f t="shared" si="36"/>
        <v>0</v>
      </c>
    </row>
    <row r="680" spans="1:22">
      <c r="A680" s="3">
        <v>679</v>
      </c>
      <c r="B680" s="3" t="s">
        <v>8273</v>
      </c>
      <c r="C680" s="3" t="s">
        <v>6076</v>
      </c>
      <c r="D680" s="3" t="s">
        <v>6001</v>
      </c>
      <c r="E680" s="3" t="s">
        <v>5991</v>
      </c>
      <c r="F680" s="3" t="s">
        <v>8274</v>
      </c>
      <c r="G680" s="3" t="s">
        <v>5993</v>
      </c>
      <c r="H680" s="3" t="s">
        <v>8316</v>
      </c>
      <c r="I680" s="3" t="s">
        <v>8252</v>
      </c>
      <c r="J680" s="8" t="s">
        <v>7761</v>
      </c>
      <c r="L680" s="3" t="s">
        <v>8272</v>
      </c>
      <c r="M680" s="3">
        <v>7</v>
      </c>
      <c r="N680" s="4" t="s">
        <v>9631</v>
      </c>
      <c r="O680" s="4">
        <v>32</v>
      </c>
      <c r="P680" s="11" t="s">
        <v>9766</v>
      </c>
      <c r="Q680" s="11" t="s">
        <v>10029</v>
      </c>
      <c r="R680" s="4" t="s">
        <v>13038</v>
      </c>
      <c r="S680" s="4" t="b">
        <f>ISNUMBER(MATCH(Q680,T:T,0))</f>
        <v>0</v>
      </c>
      <c r="T680" s="4" t="s">
        <v>11291</v>
      </c>
      <c r="U680" s="4" t="str">
        <f t="shared" si="32"/>
        <v>遥</v>
      </c>
      <c r="V680" s="4" t="b">
        <f t="shared" si="36"/>
        <v>1</v>
      </c>
    </row>
    <row r="681" spans="1:22">
      <c r="A681" s="3">
        <v>680</v>
      </c>
      <c r="B681" s="3" t="s">
        <v>8273</v>
      </c>
      <c r="C681" s="3" t="s">
        <v>6072</v>
      </c>
      <c r="D681" s="3" t="s">
        <v>6001</v>
      </c>
      <c r="E681" s="3" t="s">
        <v>5991</v>
      </c>
      <c r="F681" s="3" t="s">
        <v>8276</v>
      </c>
      <c r="G681" s="3" t="s">
        <v>5993</v>
      </c>
      <c r="H681" s="3" t="s">
        <v>8317</v>
      </c>
      <c r="I681" s="3" t="s">
        <v>8252</v>
      </c>
      <c r="J681" s="5" t="s">
        <v>7762</v>
      </c>
      <c r="L681" s="3" t="s">
        <v>8270</v>
      </c>
      <c r="M681" s="3">
        <v>5</v>
      </c>
      <c r="N681" s="4" t="s">
        <v>9631</v>
      </c>
      <c r="O681" s="4">
        <v>32</v>
      </c>
      <c r="P681" s="11" t="s">
        <v>9754</v>
      </c>
      <c r="Q681" s="11" t="s">
        <v>10032</v>
      </c>
      <c r="S681" s="4" t="b">
        <f>ISNUMBER(MATCH(Q681,T:T,0))</f>
        <v>1</v>
      </c>
      <c r="T681" s="4" t="s">
        <v>11292</v>
      </c>
      <c r="U681" s="4" t="str">
        <f t="shared" si="32"/>
        <v>喬</v>
      </c>
    </row>
    <row r="682" spans="1:22">
      <c r="A682" s="3">
        <v>681</v>
      </c>
      <c r="B682" s="3" t="s">
        <v>8273</v>
      </c>
      <c r="C682" s="3" t="s">
        <v>6038</v>
      </c>
      <c r="D682" s="3" t="s">
        <v>6001</v>
      </c>
      <c r="E682" s="3" t="s">
        <v>5991</v>
      </c>
      <c r="F682" s="3" t="s">
        <v>8274</v>
      </c>
      <c r="G682" s="3" t="s">
        <v>5993</v>
      </c>
      <c r="H682" s="3" t="s">
        <v>8318</v>
      </c>
      <c r="I682" s="3" t="s">
        <v>8252</v>
      </c>
      <c r="J682" s="5" t="s">
        <v>8319</v>
      </c>
      <c r="L682" s="3" t="s">
        <v>8272</v>
      </c>
      <c r="M682" s="3">
        <v>6</v>
      </c>
      <c r="N682" s="4" t="s">
        <v>9631</v>
      </c>
      <c r="O682" s="4">
        <v>32</v>
      </c>
      <c r="P682" s="11" t="s">
        <v>4210</v>
      </c>
      <c r="Q682" s="11" t="s">
        <v>10029</v>
      </c>
      <c r="R682" s="4" t="s">
        <v>13038</v>
      </c>
      <c r="S682" s="4" t="b">
        <f>ISNUMBER(MATCH(Q682,T:T,0))</f>
        <v>0</v>
      </c>
      <c r="T682" s="4" t="s">
        <v>11293</v>
      </c>
      <c r="U682" s="4" t="str">
        <f t="shared" si="32"/>
        <v>遥</v>
      </c>
      <c r="V682" s="4" t="b">
        <f t="shared" ref="V682:V685" si="37">ISNUMBER(MATCH(R682,T:T,0))</f>
        <v>1</v>
      </c>
    </row>
    <row r="683" spans="1:22">
      <c r="A683" s="3">
        <v>682</v>
      </c>
      <c r="B683" s="3" t="s">
        <v>8273</v>
      </c>
      <c r="C683" s="3" t="s">
        <v>6055</v>
      </c>
      <c r="D683" s="3" t="s">
        <v>6001</v>
      </c>
      <c r="E683" s="3" t="s">
        <v>5991</v>
      </c>
      <c r="F683" s="3" t="s">
        <v>8274</v>
      </c>
      <c r="G683" s="3" t="s">
        <v>5993</v>
      </c>
      <c r="H683" s="3" t="s">
        <v>8320</v>
      </c>
      <c r="I683" s="3" t="s">
        <v>8252</v>
      </c>
      <c r="J683" s="5" t="s">
        <v>8321</v>
      </c>
      <c r="L683" s="3" t="s">
        <v>8278</v>
      </c>
      <c r="M683" s="3">
        <v>2</v>
      </c>
      <c r="N683" s="4" t="s">
        <v>9631</v>
      </c>
      <c r="O683" s="4">
        <v>32</v>
      </c>
      <c r="P683" s="11" t="s">
        <v>9749</v>
      </c>
      <c r="Q683" s="11" t="s">
        <v>10034</v>
      </c>
      <c r="R683" s="4" t="s">
        <v>13040</v>
      </c>
      <c r="S683" s="4" t="b">
        <f>ISNUMBER(MATCH(Q683,T:T,0))</f>
        <v>0</v>
      </c>
      <c r="T683" s="4" t="s">
        <v>11294</v>
      </c>
      <c r="U683" s="4" t="str">
        <f t="shared" si="32"/>
        <v>昭</v>
      </c>
      <c r="V683" s="4" t="b">
        <f t="shared" si="37"/>
        <v>1</v>
      </c>
    </row>
    <row r="684" spans="1:22" ht="39">
      <c r="A684" s="3">
        <v>683</v>
      </c>
      <c r="B684" s="3" t="s">
        <v>8273</v>
      </c>
      <c r="C684" s="3" t="s">
        <v>6053</v>
      </c>
      <c r="D684" s="3" t="s">
        <v>6001</v>
      </c>
      <c r="E684" s="3" t="s">
        <v>5991</v>
      </c>
      <c r="F684" s="3" t="s">
        <v>8274</v>
      </c>
      <c r="G684" s="3" t="s">
        <v>5993</v>
      </c>
      <c r="H684" s="3" t="s">
        <v>8322</v>
      </c>
      <c r="I684" s="3" t="s">
        <v>8252</v>
      </c>
      <c r="J684" s="5" t="s">
        <v>8323</v>
      </c>
      <c r="L684" s="3" t="s">
        <v>8324</v>
      </c>
      <c r="M684" s="3">
        <v>21</v>
      </c>
      <c r="N684" s="4" t="s">
        <v>9631</v>
      </c>
      <c r="O684" s="4">
        <v>32</v>
      </c>
      <c r="P684" s="11" t="s">
        <v>9950</v>
      </c>
      <c r="Q684" s="11" t="s">
        <v>10034</v>
      </c>
      <c r="R684" s="4" t="s">
        <v>13040</v>
      </c>
      <c r="S684" s="4" t="b">
        <f>ISNUMBER(MATCH(Q684,T:T,0))</f>
        <v>0</v>
      </c>
      <c r="T684" s="4" t="s">
        <v>11295</v>
      </c>
      <c r="U684" s="4" t="str">
        <f t="shared" si="32"/>
        <v>昭</v>
      </c>
      <c r="V684" s="4" t="b">
        <f t="shared" si="37"/>
        <v>1</v>
      </c>
    </row>
    <row r="685" spans="1:22">
      <c r="A685" s="3">
        <v>684</v>
      </c>
      <c r="B685" s="3" t="s">
        <v>8273</v>
      </c>
      <c r="C685" s="3" t="s">
        <v>6041</v>
      </c>
      <c r="D685" s="3" t="s">
        <v>6001</v>
      </c>
      <c r="E685" s="3" t="s">
        <v>5991</v>
      </c>
      <c r="F685" s="3" t="s">
        <v>8274</v>
      </c>
      <c r="G685" s="3" t="s">
        <v>5993</v>
      </c>
      <c r="H685" s="3" t="s">
        <v>8325</v>
      </c>
      <c r="I685" s="3" t="s">
        <v>8252</v>
      </c>
      <c r="J685" s="5" t="s">
        <v>8326</v>
      </c>
      <c r="L685" s="3" t="s">
        <v>8286</v>
      </c>
      <c r="M685" s="3">
        <v>6</v>
      </c>
      <c r="N685" s="4" t="s">
        <v>9631</v>
      </c>
      <c r="O685" s="4">
        <v>32</v>
      </c>
      <c r="P685" s="11" t="s">
        <v>9721</v>
      </c>
      <c r="Q685" s="11" t="s">
        <v>10029</v>
      </c>
      <c r="R685" s="4" t="s">
        <v>13038</v>
      </c>
      <c r="S685" s="4" t="b">
        <f>ISNUMBER(MATCH(Q685,T:T,0))</f>
        <v>0</v>
      </c>
      <c r="T685" s="4" t="s">
        <v>2329</v>
      </c>
      <c r="U685" s="4" t="str">
        <f t="shared" si="32"/>
        <v>遥</v>
      </c>
      <c r="V685" s="4" t="b">
        <f t="shared" si="37"/>
        <v>1</v>
      </c>
    </row>
    <row r="686" spans="1:22">
      <c r="A686" s="3">
        <v>685</v>
      </c>
      <c r="B686" s="3" t="s">
        <v>8273</v>
      </c>
      <c r="C686" s="3" t="s">
        <v>6058</v>
      </c>
      <c r="D686" s="3" t="s">
        <v>6001</v>
      </c>
      <c r="E686" s="3" t="s">
        <v>5991</v>
      </c>
      <c r="F686" s="3" t="s">
        <v>8274</v>
      </c>
      <c r="G686" s="3" t="s">
        <v>5993</v>
      </c>
      <c r="H686" s="3" t="s">
        <v>8327</v>
      </c>
      <c r="I686" s="3" t="s">
        <v>8252</v>
      </c>
      <c r="J686" s="5" t="s">
        <v>7763</v>
      </c>
      <c r="L686" s="3" t="s">
        <v>8264</v>
      </c>
      <c r="M686" s="3">
        <v>2</v>
      </c>
      <c r="N686" s="4" t="s">
        <v>9631</v>
      </c>
      <c r="O686" s="4">
        <v>32</v>
      </c>
      <c r="P686" s="11" t="s">
        <v>9727</v>
      </c>
      <c r="Q686" s="11" t="s">
        <v>10035</v>
      </c>
      <c r="S686" s="4" t="b">
        <f>ISNUMBER(MATCH(Q686,T:T,0))</f>
        <v>1</v>
      </c>
      <c r="T686" s="4" t="s">
        <v>11296</v>
      </c>
      <c r="U686" s="4" t="str">
        <f t="shared" si="32"/>
        <v>昭</v>
      </c>
    </row>
    <row r="687" spans="1:22">
      <c r="A687" s="3">
        <v>686</v>
      </c>
      <c r="B687" s="3" t="s">
        <v>8273</v>
      </c>
      <c r="C687" s="3" t="s">
        <v>6038</v>
      </c>
      <c r="D687" s="3" t="s">
        <v>6001</v>
      </c>
      <c r="E687" s="3" t="s">
        <v>5991</v>
      </c>
      <c r="F687" s="3" t="s">
        <v>8276</v>
      </c>
      <c r="G687" s="3" t="s">
        <v>5993</v>
      </c>
      <c r="H687" s="3" t="s">
        <v>705</v>
      </c>
      <c r="I687" s="3" t="s">
        <v>8252</v>
      </c>
      <c r="J687" s="5" t="s">
        <v>7764</v>
      </c>
      <c r="L687" s="3" t="s">
        <v>8272</v>
      </c>
      <c r="M687" s="3">
        <v>4</v>
      </c>
      <c r="N687" s="4" t="s">
        <v>9631</v>
      </c>
      <c r="O687" s="4">
        <v>32</v>
      </c>
      <c r="P687" s="11" t="s">
        <v>10038</v>
      </c>
      <c r="Q687" s="11" t="s">
        <v>10039</v>
      </c>
      <c r="R687" s="4" t="s">
        <v>13042</v>
      </c>
      <c r="S687" s="4" t="b">
        <f>ISNUMBER(MATCH(Q687,T:T,0))</f>
        <v>0</v>
      </c>
      <c r="T687" s="4" t="s">
        <v>11297</v>
      </c>
      <c r="U687" s="4" t="str">
        <f t="shared" si="32"/>
        <v>囂</v>
      </c>
      <c r="V687" s="4" t="b">
        <f>ISNUMBER(MATCH(R687,T:T,0))</f>
        <v>1</v>
      </c>
    </row>
    <row r="688" spans="1:22" ht="39">
      <c r="A688" s="3">
        <v>687</v>
      </c>
      <c r="B688" s="3" t="s">
        <v>8328</v>
      </c>
      <c r="C688" s="3" t="s">
        <v>6067</v>
      </c>
      <c r="D688" s="3" t="s">
        <v>6157</v>
      </c>
      <c r="E688" s="3" t="s">
        <v>5991</v>
      </c>
      <c r="F688" s="3" t="s">
        <v>8329</v>
      </c>
      <c r="G688" s="3" t="s">
        <v>5993</v>
      </c>
      <c r="H688" s="3" t="s">
        <v>8330</v>
      </c>
      <c r="I688" s="3" t="s">
        <v>8252</v>
      </c>
      <c r="J688" s="5" t="s">
        <v>7765</v>
      </c>
      <c r="K688" s="3" t="s">
        <v>586</v>
      </c>
      <c r="L688" s="3" t="s">
        <v>8331</v>
      </c>
      <c r="M688" s="3">
        <v>19</v>
      </c>
      <c r="N688" s="4" t="s">
        <v>8329</v>
      </c>
      <c r="O688" s="4">
        <v>33</v>
      </c>
      <c r="P688" s="11" t="s">
        <v>9870</v>
      </c>
      <c r="Q688" s="11" t="s">
        <v>10040</v>
      </c>
      <c r="S688" s="4" t="b">
        <f>ISNUMBER(MATCH(Q688,T:T,0))</f>
        <v>1</v>
      </c>
      <c r="T688" s="4" t="s">
        <v>8329</v>
      </c>
      <c r="U688" s="4" t="str">
        <f t="shared" si="32"/>
        <v>茅</v>
      </c>
    </row>
    <row r="689" spans="1:21" ht="39">
      <c r="A689" s="3">
        <v>688</v>
      </c>
      <c r="B689" s="3" t="s">
        <v>8328</v>
      </c>
      <c r="C689" s="3" t="s">
        <v>6025</v>
      </c>
      <c r="D689" s="3" t="s">
        <v>6157</v>
      </c>
      <c r="E689" s="3" t="s">
        <v>5991</v>
      </c>
      <c r="F689" s="3" t="s">
        <v>8329</v>
      </c>
      <c r="G689" s="3" t="s">
        <v>5993</v>
      </c>
      <c r="H689" s="3" t="s">
        <v>8332</v>
      </c>
      <c r="I689" s="3" t="s">
        <v>8252</v>
      </c>
      <c r="J689" s="5" t="s">
        <v>7766</v>
      </c>
      <c r="L689" s="3" t="s">
        <v>8262</v>
      </c>
      <c r="M689" s="3">
        <v>22</v>
      </c>
      <c r="N689" s="4" t="s">
        <v>8329</v>
      </c>
      <c r="O689" s="4">
        <v>33</v>
      </c>
      <c r="P689" s="11" t="s">
        <v>9729</v>
      </c>
      <c r="Q689" s="11" t="s">
        <v>8329</v>
      </c>
      <c r="S689" s="4" t="b">
        <f>ISNUMBER(MATCH(Q689,T:T,0))</f>
        <v>1</v>
      </c>
      <c r="T689" s="4" t="s">
        <v>10042</v>
      </c>
      <c r="U689" s="4" t="str">
        <f t="shared" si="32"/>
        <v>肴</v>
      </c>
    </row>
    <row r="690" spans="1:21">
      <c r="A690" s="3">
        <v>689</v>
      </c>
      <c r="B690" s="3" t="s">
        <v>8328</v>
      </c>
      <c r="C690" s="3" t="s">
        <v>6015</v>
      </c>
      <c r="D690" s="3" t="s">
        <v>6157</v>
      </c>
      <c r="E690" s="3" t="s">
        <v>5991</v>
      </c>
      <c r="F690" s="3" t="s">
        <v>8329</v>
      </c>
      <c r="G690" s="3" t="s">
        <v>5993</v>
      </c>
      <c r="H690" s="3" t="s">
        <v>8333</v>
      </c>
      <c r="I690" s="3" t="s">
        <v>8252</v>
      </c>
      <c r="J690" s="5" t="s">
        <v>8334</v>
      </c>
      <c r="L690" s="3" t="s">
        <v>8283</v>
      </c>
      <c r="M690" s="3">
        <v>8</v>
      </c>
      <c r="N690" s="4" t="s">
        <v>8329</v>
      </c>
      <c r="O690" s="4">
        <v>33</v>
      </c>
      <c r="P690" s="11" t="s">
        <v>10041</v>
      </c>
      <c r="Q690" s="11" t="s">
        <v>10042</v>
      </c>
      <c r="S690" s="4" t="b">
        <f>ISNUMBER(MATCH(Q690,T:T,0))</f>
        <v>1</v>
      </c>
      <c r="T690" s="4" t="s">
        <v>2346</v>
      </c>
      <c r="U690" s="4" t="str">
        <f t="shared" si="32"/>
        <v>交</v>
      </c>
    </row>
    <row r="691" spans="1:21">
      <c r="A691" s="3">
        <v>690</v>
      </c>
      <c r="B691" s="3" t="s">
        <v>8328</v>
      </c>
      <c r="C691" s="3" t="s">
        <v>6137</v>
      </c>
      <c r="D691" s="3" t="s">
        <v>6157</v>
      </c>
      <c r="E691" s="3" t="s">
        <v>5991</v>
      </c>
      <c r="F691" s="3" t="s">
        <v>8329</v>
      </c>
      <c r="G691" s="3" t="s">
        <v>5993</v>
      </c>
      <c r="H691" s="3" t="s">
        <v>8335</v>
      </c>
      <c r="I691" s="3" t="s">
        <v>8252</v>
      </c>
      <c r="J691" s="5" t="s">
        <v>7767</v>
      </c>
      <c r="L691" s="3" t="s">
        <v>8336</v>
      </c>
      <c r="M691" s="3">
        <v>9</v>
      </c>
      <c r="N691" s="4" t="s">
        <v>8329</v>
      </c>
      <c r="O691" s="4">
        <v>33</v>
      </c>
      <c r="P691" s="11" t="s">
        <v>9755</v>
      </c>
      <c r="Q691" s="11" t="s">
        <v>10042</v>
      </c>
      <c r="S691" s="4" t="b">
        <f>ISNUMBER(MATCH(Q691,T:T,0))</f>
        <v>1</v>
      </c>
      <c r="T691" s="4" t="s">
        <v>11298</v>
      </c>
      <c r="U691" s="4" t="str">
        <f t="shared" si="32"/>
        <v>交</v>
      </c>
    </row>
    <row r="692" spans="1:21" ht="39">
      <c r="A692" s="3">
        <v>691</v>
      </c>
      <c r="B692" s="3" t="s">
        <v>8328</v>
      </c>
      <c r="C692" s="3" t="s">
        <v>6180</v>
      </c>
      <c r="D692" s="3" t="s">
        <v>6157</v>
      </c>
      <c r="E692" s="3" t="s">
        <v>5991</v>
      </c>
      <c r="F692" s="3" t="s">
        <v>8329</v>
      </c>
      <c r="G692" s="3" t="s">
        <v>5993</v>
      </c>
      <c r="H692" s="3" t="s">
        <v>8337</v>
      </c>
      <c r="I692" s="3" t="s">
        <v>8252</v>
      </c>
      <c r="J692" s="5" t="s">
        <v>7768</v>
      </c>
      <c r="L692" s="3" t="s">
        <v>8295</v>
      </c>
      <c r="M692" s="3">
        <v>17</v>
      </c>
      <c r="N692" s="4" t="s">
        <v>8329</v>
      </c>
      <c r="O692" s="4">
        <v>33</v>
      </c>
      <c r="P692" s="11" t="s">
        <v>9774</v>
      </c>
      <c r="Q692" s="11" t="s">
        <v>10042</v>
      </c>
      <c r="S692" s="4" t="b">
        <f>ISNUMBER(MATCH(Q692,T:T,0))</f>
        <v>1</v>
      </c>
      <c r="T692" s="4" t="s">
        <v>11299</v>
      </c>
      <c r="U692" s="4" t="str">
        <f t="shared" si="32"/>
        <v>交</v>
      </c>
    </row>
    <row r="693" spans="1:21">
      <c r="A693" s="3">
        <v>692</v>
      </c>
      <c r="B693" s="3" t="s">
        <v>8328</v>
      </c>
      <c r="C693" s="3" t="s">
        <v>6035</v>
      </c>
      <c r="D693" s="3" t="s">
        <v>6157</v>
      </c>
      <c r="E693" s="3" t="s">
        <v>5991</v>
      </c>
      <c r="F693" s="3" t="s">
        <v>8329</v>
      </c>
      <c r="G693" s="3" t="s">
        <v>5993</v>
      </c>
      <c r="H693" s="3" t="s">
        <v>8338</v>
      </c>
      <c r="I693" s="3" t="s">
        <v>8252</v>
      </c>
      <c r="J693" s="5" t="s">
        <v>8339</v>
      </c>
      <c r="L693" s="3" t="s">
        <v>8340</v>
      </c>
      <c r="M693" s="3">
        <v>8</v>
      </c>
      <c r="N693" s="4" t="s">
        <v>8329</v>
      </c>
      <c r="O693" s="4">
        <v>33</v>
      </c>
      <c r="P693" s="11" t="s">
        <v>9719</v>
      </c>
      <c r="Q693" s="11" t="s">
        <v>10042</v>
      </c>
      <c r="S693" s="4" t="b">
        <f>ISNUMBER(MATCH(Q693,T:T,0))</f>
        <v>1</v>
      </c>
      <c r="T693" s="4" t="s">
        <v>10040</v>
      </c>
      <c r="U693" s="4" t="str">
        <f t="shared" si="32"/>
        <v>交</v>
      </c>
    </row>
    <row r="694" spans="1:21">
      <c r="A694" s="3">
        <v>693</v>
      </c>
      <c r="B694" s="3" t="s">
        <v>8328</v>
      </c>
      <c r="C694" s="3" t="s">
        <v>6089</v>
      </c>
      <c r="D694" s="3" t="s">
        <v>6157</v>
      </c>
      <c r="E694" s="3" t="s">
        <v>5991</v>
      </c>
      <c r="F694" s="3" t="s">
        <v>8329</v>
      </c>
      <c r="G694" s="3" t="s">
        <v>5993</v>
      </c>
      <c r="H694" s="3" t="s">
        <v>8341</v>
      </c>
      <c r="I694" s="3" t="s">
        <v>8252</v>
      </c>
      <c r="J694" s="5" t="s">
        <v>8342</v>
      </c>
      <c r="L694" s="3" t="s">
        <v>8253</v>
      </c>
      <c r="M694" s="3">
        <v>16</v>
      </c>
      <c r="N694" s="4" t="s">
        <v>8329</v>
      </c>
      <c r="O694" s="4">
        <v>33</v>
      </c>
      <c r="P694" s="11" t="s">
        <v>9753</v>
      </c>
      <c r="Q694" s="11" t="s">
        <v>10042</v>
      </c>
      <c r="S694" s="4" t="b">
        <f>ISNUMBER(MATCH(Q694,T:T,0))</f>
        <v>1</v>
      </c>
      <c r="T694" s="4" t="s">
        <v>11300</v>
      </c>
      <c r="U694" s="4" t="str">
        <f t="shared" si="32"/>
        <v>交</v>
      </c>
    </row>
    <row r="695" spans="1:21">
      <c r="A695" s="3">
        <v>694</v>
      </c>
      <c r="B695" s="3" t="s">
        <v>8328</v>
      </c>
      <c r="C695" s="3" t="s">
        <v>6049</v>
      </c>
      <c r="D695" s="3" t="s">
        <v>6157</v>
      </c>
      <c r="E695" s="3" t="s">
        <v>5991</v>
      </c>
      <c r="F695" s="3" t="s">
        <v>8329</v>
      </c>
      <c r="G695" s="3" t="s">
        <v>5993</v>
      </c>
      <c r="H695" s="3" t="s">
        <v>8343</v>
      </c>
      <c r="I695" s="3" t="s">
        <v>8252</v>
      </c>
      <c r="J695" s="5" t="s">
        <v>7769</v>
      </c>
      <c r="L695" s="3" t="s">
        <v>8344</v>
      </c>
      <c r="M695" s="3">
        <v>5</v>
      </c>
      <c r="N695" s="4" t="s">
        <v>8329</v>
      </c>
      <c r="O695" s="4">
        <v>33</v>
      </c>
      <c r="P695" s="11" t="s">
        <v>9921</v>
      </c>
      <c r="Q695" s="11" t="s">
        <v>10042</v>
      </c>
      <c r="S695" s="4" t="b">
        <f>ISNUMBER(MATCH(Q695,T:T,0))</f>
        <v>1</v>
      </c>
      <c r="T695" s="4" t="s">
        <v>11301</v>
      </c>
      <c r="U695" s="4" t="str">
        <f t="shared" si="32"/>
        <v>交</v>
      </c>
    </row>
    <row r="696" spans="1:21">
      <c r="A696" s="3">
        <v>695</v>
      </c>
      <c r="B696" s="3" t="s">
        <v>8328</v>
      </c>
      <c r="C696" s="3" t="s">
        <v>6053</v>
      </c>
      <c r="D696" s="3" t="s">
        <v>6157</v>
      </c>
      <c r="E696" s="3" t="s">
        <v>5991</v>
      </c>
      <c r="F696" s="3" t="s">
        <v>8329</v>
      </c>
      <c r="G696" s="3" t="s">
        <v>5993</v>
      </c>
      <c r="H696" s="3" t="s">
        <v>8345</v>
      </c>
      <c r="I696" s="3" t="s">
        <v>8252</v>
      </c>
      <c r="J696" s="5" t="s">
        <v>7770</v>
      </c>
      <c r="L696" s="3" t="s">
        <v>8346</v>
      </c>
      <c r="M696" s="3">
        <v>9</v>
      </c>
      <c r="N696" s="4" t="s">
        <v>8329</v>
      </c>
      <c r="O696" s="4">
        <v>33</v>
      </c>
      <c r="P696" s="11" t="s">
        <v>9772</v>
      </c>
      <c r="Q696" s="11" t="s">
        <v>10042</v>
      </c>
      <c r="S696" s="4" t="b">
        <f>ISNUMBER(MATCH(Q696,T:T,0))</f>
        <v>1</v>
      </c>
      <c r="T696" s="4" t="s">
        <v>11302</v>
      </c>
      <c r="U696" s="4" t="str">
        <f t="shared" si="32"/>
        <v>交</v>
      </c>
    </row>
    <row r="697" spans="1:21">
      <c r="A697" s="3">
        <v>696</v>
      </c>
      <c r="B697" s="3" t="s">
        <v>8328</v>
      </c>
      <c r="C697" s="3" t="s">
        <v>6038</v>
      </c>
      <c r="D697" s="3" t="s">
        <v>6157</v>
      </c>
      <c r="E697" s="3" t="s">
        <v>5991</v>
      </c>
      <c r="F697" s="3" t="s">
        <v>8329</v>
      </c>
      <c r="G697" s="3" t="s">
        <v>5993</v>
      </c>
      <c r="H697" s="3" t="s">
        <v>8347</v>
      </c>
      <c r="I697" s="3" t="s">
        <v>8252</v>
      </c>
      <c r="J697" s="5" t="s">
        <v>8348</v>
      </c>
      <c r="L697" s="3" t="s">
        <v>8272</v>
      </c>
      <c r="M697" s="3">
        <v>11</v>
      </c>
      <c r="N697" s="4" t="s">
        <v>8329</v>
      </c>
      <c r="O697" s="4">
        <v>33</v>
      </c>
      <c r="P697" s="11" t="s">
        <v>9915</v>
      </c>
      <c r="Q697" s="11" t="s">
        <v>10042</v>
      </c>
      <c r="S697" s="4" t="b">
        <f>ISNUMBER(MATCH(Q697,T:T,0))</f>
        <v>1</v>
      </c>
      <c r="T697" s="4" t="s">
        <v>11303</v>
      </c>
      <c r="U697" s="4" t="str">
        <f t="shared" si="32"/>
        <v>交</v>
      </c>
    </row>
    <row r="698" spans="1:21">
      <c r="A698" s="3">
        <v>697</v>
      </c>
      <c r="B698" s="3" t="s">
        <v>8328</v>
      </c>
      <c r="C698" s="3" t="s">
        <v>6092</v>
      </c>
      <c r="D698" s="3" t="s">
        <v>6157</v>
      </c>
      <c r="E698" s="3" t="s">
        <v>5991</v>
      </c>
      <c r="F698" s="3" t="s">
        <v>8329</v>
      </c>
      <c r="G698" s="3" t="s">
        <v>5993</v>
      </c>
      <c r="H698" s="3" t="s">
        <v>8349</v>
      </c>
      <c r="I698" s="3" t="s">
        <v>8252</v>
      </c>
      <c r="J698" s="5" t="s">
        <v>8350</v>
      </c>
      <c r="L698" s="3" t="s">
        <v>8267</v>
      </c>
      <c r="M698" s="3">
        <v>4</v>
      </c>
      <c r="N698" s="4" t="s">
        <v>8329</v>
      </c>
      <c r="O698" s="4">
        <v>33</v>
      </c>
      <c r="P698" s="11" t="s">
        <v>9740</v>
      </c>
      <c r="Q698" s="11" t="s">
        <v>10042</v>
      </c>
      <c r="S698" s="4" t="b">
        <f>ISNUMBER(MATCH(Q698,T:T,0))</f>
        <v>1</v>
      </c>
      <c r="T698" s="4" t="s">
        <v>5115</v>
      </c>
      <c r="U698" s="4" t="str">
        <f t="shared" si="32"/>
        <v>交</v>
      </c>
    </row>
    <row r="699" spans="1:21">
      <c r="A699" s="3">
        <v>698</v>
      </c>
      <c r="B699" s="3" t="s">
        <v>8328</v>
      </c>
      <c r="C699" s="3" t="s">
        <v>6318</v>
      </c>
      <c r="D699" s="3" t="s">
        <v>6157</v>
      </c>
      <c r="E699" s="3" t="s">
        <v>5991</v>
      </c>
      <c r="F699" s="3" t="s">
        <v>8329</v>
      </c>
      <c r="G699" s="3" t="s">
        <v>5993</v>
      </c>
      <c r="H699" s="3" t="s">
        <v>8351</v>
      </c>
      <c r="I699" s="3" t="s">
        <v>8252</v>
      </c>
      <c r="J699" s="5" t="s">
        <v>8352</v>
      </c>
      <c r="L699" s="3" t="s">
        <v>8281</v>
      </c>
      <c r="M699" s="3">
        <v>5</v>
      </c>
      <c r="N699" s="4" t="s">
        <v>8329</v>
      </c>
      <c r="O699" s="4">
        <v>33</v>
      </c>
      <c r="P699" s="11" t="s">
        <v>9804</v>
      </c>
      <c r="Q699" s="11" t="s">
        <v>10042</v>
      </c>
      <c r="S699" s="4" t="b">
        <f>ISNUMBER(MATCH(Q699,T:T,0))</f>
        <v>1</v>
      </c>
      <c r="T699" s="4" t="s">
        <v>11304</v>
      </c>
      <c r="U699" s="4" t="str">
        <f t="shared" si="32"/>
        <v>交</v>
      </c>
    </row>
    <row r="700" spans="1:21">
      <c r="A700" s="3">
        <v>699</v>
      </c>
      <c r="B700" s="3" t="s">
        <v>8328</v>
      </c>
      <c r="C700" s="3" t="s">
        <v>6000</v>
      </c>
      <c r="D700" s="3" t="s">
        <v>6157</v>
      </c>
      <c r="E700" s="3" t="s">
        <v>5991</v>
      </c>
      <c r="F700" s="3" t="s">
        <v>8329</v>
      </c>
      <c r="G700" s="3" t="s">
        <v>5993</v>
      </c>
      <c r="H700" s="3" t="s">
        <v>8353</v>
      </c>
      <c r="I700" s="3" t="s">
        <v>8252</v>
      </c>
      <c r="J700" s="5" t="s">
        <v>8354</v>
      </c>
      <c r="L700" s="3" t="s">
        <v>8281</v>
      </c>
      <c r="M700" s="3">
        <v>5</v>
      </c>
      <c r="N700" s="4" t="s">
        <v>8329</v>
      </c>
      <c r="O700" s="4">
        <v>33</v>
      </c>
      <c r="P700" s="11" t="s">
        <v>9707</v>
      </c>
      <c r="Q700" s="11" t="s">
        <v>10042</v>
      </c>
      <c r="S700" s="4" t="b">
        <f>ISNUMBER(MATCH(Q700,T:T,0))</f>
        <v>1</v>
      </c>
      <c r="T700" s="4" t="s">
        <v>10043</v>
      </c>
      <c r="U700" s="4" t="str">
        <f t="shared" si="32"/>
        <v>交</v>
      </c>
    </row>
    <row r="701" spans="1:21">
      <c r="A701" s="3">
        <v>700</v>
      </c>
      <c r="B701" s="3" t="s">
        <v>8328</v>
      </c>
      <c r="C701" s="3" t="s">
        <v>6167</v>
      </c>
      <c r="D701" s="3" t="s">
        <v>6157</v>
      </c>
      <c r="E701" s="3" t="s">
        <v>5991</v>
      </c>
      <c r="F701" s="3" t="s">
        <v>8329</v>
      </c>
      <c r="G701" s="3" t="s">
        <v>5993</v>
      </c>
      <c r="H701" s="3" t="s">
        <v>8355</v>
      </c>
      <c r="I701" s="3" t="s">
        <v>8252</v>
      </c>
      <c r="J701" s="5" t="s">
        <v>8356</v>
      </c>
      <c r="L701" s="3" t="s">
        <v>8278</v>
      </c>
      <c r="M701" s="3">
        <v>6</v>
      </c>
      <c r="N701" s="4" t="s">
        <v>8329</v>
      </c>
      <c r="O701" s="4">
        <v>33</v>
      </c>
      <c r="P701" s="11" t="s">
        <v>9769</v>
      </c>
      <c r="Q701" s="11" t="s">
        <v>10042</v>
      </c>
      <c r="S701" s="4" t="b">
        <f>ISNUMBER(MATCH(Q701,T:T,0))</f>
        <v>1</v>
      </c>
      <c r="T701" s="4" t="s">
        <v>11305</v>
      </c>
      <c r="U701" s="4" t="str">
        <f t="shared" si="32"/>
        <v>交</v>
      </c>
    </row>
    <row r="702" spans="1:21" ht="38.25">
      <c r="A702" s="3">
        <v>701</v>
      </c>
      <c r="B702" s="3" t="s">
        <v>8328</v>
      </c>
      <c r="C702" s="3" t="s">
        <v>6045</v>
      </c>
      <c r="D702" s="3" t="s">
        <v>6157</v>
      </c>
      <c r="E702" s="3" t="s">
        <v>5991</v>
      </c>
      <c r="F702" s="3" t="s">
        <v>8329</v>
      </c>
      <c r="G702" s="3" t="s">
        <v>5993</v>
      </c>
      <c r="H702" s="3" t="s">
        <v>8357</v>
      </c>
      <c r="I702" s="3" t="s">
        <v>8252</v>
      </c>
      <c r="J702" s="5" t="s">
        <v>7771</v>
      </c>
      <c r="L702" s="3" t="s">
        <v>8358</v>
      </c>
      <c r="M702" s="3">
        <v>17</v>
      </c>
      <c r="N702" s="4" t="s">
        <v>8329</v>
      </c>
      <c r="O702" s="4">
        <v>33</v>
      </c>
      <c r="P702" s="11" t="s">
        <v>9738</v>
      </c>
      <c r="Q702" s="11" t="s">
        <v>10042</v>
      </c>
      <c r="S702" s="4" t="b">
        <f>ISNUMBER(MATCH(Q702,T:T,0))</f>
        <v>1</v>
      </c>
      <c r="T702" s="4" t="s">
        <v>11306</v>
      </c>
      <c r="U702" s="4" t="str">
        <f t="shared" si="32"/>
        <v>交</v>
      </c>
    </row>
    <row r="703" spans="1:21">
      <c r="A703" s="3">
        <v>702</v>
      </c>
      <c r="B703" s="3" t="s">
        <v>8328</v>
      </c>
      <c r="C703" s="3" t="s">
        <v>6072</v>
      </c>
      <c r="D703" s="3" t="s">
        <v>6157</v>
      </c>
      <c r="E703" s="3" t="s">
        <v>5991</v>
      </c>
      <c r="F703" s="3" t="s">
        <v>8329</v>
      </c>
      <c r="G703" s="3" t="s">
        <v>5993</v>
      </c>
      <c r="H703" s="3" t="s">
        <v>8359</v>
      </c>
      <c r="I703" s="3" t="s">
        <v>8252</v>
      </c>
      <c r="J703" s="5" t="s">
        <v>7772</v>
      </c>
      <c r="L703" s="3" t="s">
        <v>8270</v>
      </c>
      <c r="M703" s="3">
        <v>9</v>
      </c>
      <c r="N703" s="4" t="s">
        <v>8329</v>
      </c>
      <c r="O703" s="4">
        <v>33</v>
      </c>
      <c r="P703" s="11" t="s">
        <v>9754</v>
      </c>
      <c r="Q703" s="11" t="s">
        <v>10042</v>
      </c>
      <c r="S703" s="4" t="b">
        <f>ISNUMBER(MATCH(Q703,T:T,0))</f>
        <v>1</v>
      </c>
      <c r="T703" s="4" t="s">
        <v>11307</v>
      </c>
      <c r="U703" s="4" t="str">
        <f t="shared" si="32"/>
        <v>交</v>
      </c>
    </row>
    <row r="704" spans="1:21">
      <c r="A704" s="3">
        <v>703</v>
      </c>
      <c r="B704" s="3" t="s">
        <v>8328</v>
      </c>
      <c r="C704" s="3" t="s">
        <v>6011</v>
      </c>
      <c r="D704" s="3" t="s">
        <v>6157</v>
      </c>
      <c r="E704" s="3" t="s">
        <v>5991</v>
      </c>
      <c r="F704" s="3" t="s">
        <v>8329</v>
      </c>
      <c r="G704" s="3" t="s">
        <v>5993</v>
      </c>
      <c r="H704" s="3" t="s">
        <v>8360</v>
      </c>
      <c r="I704" s="3" t="s">
        <v>8252</v>
      </c>
      <c r="J704" s="5" t="s">
        <v>8361</v>
      </c>
      <c r="L704" s="3" t="s">
        <v>8278</v>
      </c>
      <c r="M704" s="3">
        <v>2</v>
      </c>
      <c r="N704" s="4" t="s">
        <v>8329</v>
      </c>
      <c r="O704" s="4">
        <v>33</v>
      </c>
      <c r="P704" s="11" t="s">
        <v>9711</v>
      </c>
      <c r="Q704" s="11" t="s">
        <v>10042</v>
      </c>
      <c r="S704" s="4" t="b">
        <f>ISNUMBER(MATCH(Q704,T:T,0))</f>
        <v>1</v>
      </c>
      <c r="T704" s="4" t="s">
        <v>11308</v>
      </c>
      <c r="U704" s="4" t="str">
        <f t="shared" si="32"/>
        <v>交</v>
      </c>
    </row>
    <row r="705" spans="1:22">
      <c r="A705" s="3">
        <v>704</v>
      </c>
      <c r="B705" s="3" t="s">
        <v>8328</v>
      </c>
      <c r="C705" s="3" t="s">
        <v>6058</v>
      </c>
      <c r="D705" s="3" t="s">
        <v>6157</v>
      </c>
      <c r="E705" s="3" t="s">
        <v>5991</v>
      </c>
      <c r="F705" s="3" t="s">
        <v>8329</v>
      </c>
      <c r="G705" s="3" t="s">
        <v>5993</v>
      </c>
      <c r="H705" s="3" t="s">
        <v>8362</v>
      </c>
      <c r="I705" s="3" t="s">
        <v>8252</v>
      </c>
      <c r="J705" s="5" t="s">
        <v>7773</v>
      </c>
      <c r="L705" s="3" t="s">
        <v>8363</v>
      </c>
      <c r="M705" s="3">
        <v>4</v>
      </c>
      <c r="N705" s="4" t="s">
        <v>8329</v>
      </c>
      <c r="O705" s="4">
        <v>33</v>
      </c>
      <c r="P705" s="11" t="s">
        <v>9727</v>
      </c>
      <c r="Q705" s="11" t="s">
        <v>10043</v>
      </c>
      <c r="S705" s="4" t="b">
        <f>ISNUMBER(MATCH(Q705,T:T,0))</f>
        <v>1</v>
      </c>
      <c r="T705" s="4" t="s">
        <v>11309</v>
      </c>
      <c r="U705" s="4" t="str">
        <f t="shared" si="32"/>
        <v>嘲</v>
      </c>
    </row>
    <row r="706" spans="1:22">
      <c r="A706" s="3">
        <v>705</v>
      </c>
      <c r="B706" s="3" t="s">
        <v>8328</v>
      </c>
      <c r="C706" s="3" t="s">
        <v>6005</v>
      </c>
      <c r="D706" s="3" t="s">
        <v>6157</v>
      </c>
      <c r="E706" s="3" t="s">
        <v>5991</v>
      </c>
      <c r="F706" s="3" t="s">
        <v>8329</v>
      </c>
      <c r="G706" s="3" t="s">
        <v>5993</v>
      </c>
      <c r="H706" s="3" t="s">
        <v>8364</v>
      </c>
      <c r="I706" s="3" t="s">
        <v>8252</v>
      </c>
      <c r="J706" s="5" t="s">
        <v>8365</v>
      </c>
      <c r="L706" s="3" t="s">
        <v>8283</v>
      </c>
      <c r="M706" s="3">
        <v>1</v>
      </c>
      <c r="N706" s="4" t="s">
        <v>8329</v>
      </c>
      <c r="O706" s="4">
        <v>33</v>
      </c>
      <c r="P706" s="11" t="s">
        <v>9709</v>
      </c>
      <c r="Q706" s="11" t="s">
        <v>10042</v>
      </c>
      <c r="S706" s="4" t="b">
        <f>ISNUMBER(MATCH(Q706,T:T,0))</f>
        <v>1</v>
      </c>
      <c r="T706" s="4" t="s">
        <v>8365</v>
      </c>
      <c r="U706" s="4" t="str">
        <f t="shared" si="32"/>
        <v>交</v>
      </c>
    </row>
    <row r="707" spans="1:22" ht="39">
      <c r="A707" s="3">
        <v>706</v>
      </c>
      <c r="B707" s="3" t="s">
        <v>8366</v>
      </c>
      <c r="C707" s="3" t="s">
        <v>6067</v>
      </c>
      <c r="D707" s="3" t="s">
        <v>5990</v>
      </c>
      <c r="E707" s="3" t="s">
        <v>5991</v>
      </c>
      <c r="F707" s="3" t="s">
        <v>8367</v>
      </c>
      <c r="G707" s="3" t="s">
        <v>5993</v>
      </c>
      <c r="H707" s="3" t="s">
        <v>8368</v>
      </c>
      <c r="I707" s="3" t="s">
        <v>8252</v>
      </c>
      <c r="J707" s="5" t="s">
        <v>7774</v>
      </c>
      <c r="L707" s="3" t="s">
        <v>8369</v>
      </c>
      <c r="M707" s="3">
        <v>13</v>
      </c>
      <c r="N707" s="4" t="s">
        <v>8367</v>
      </c>
      <c r="O707" s="4">
        <v>34</v>
      </c>
      <c r="P707" s="11" t="s">
        <v>9870</v>
      </c>
      <c r="Q707" s="11" t="s">
        <v>10044</v>
      </c>
      <c r="S707" s="4" t="b">
        <f>ISNUMBER(MATCH(Q707,T:T,0))</f>
        <v>1</v>
      </c>
      <c r="T707" s="4" t="s">
        <v>8367</v>
      </c>
      <c r="U707" s="4" t="str">
        <f t="shared" ref="U707:U770" si="38">IF(ISBLANK(R707),Q707,R707)</f>
        <v>刀</v>
      </c>
    </row>
    <row r="708" spans="1:22" ht="58.5">
      <c r="A708" s="3">
        <v>707</v>
      </c>
      <c r="B708" s="3" t="s">
        <v>8366</v>
      </c>
      <c r="C708" s="3" t="s">
        <v>6025</v>
      </c>
      <c r="D708" s="3" t="s">
        <v>5990</v>
      </c>
      <c r="E708" s="3" t="s">
        <v>5991</v>
      </c>
      <c r="F708" s="3" t="s">
        <v>8367</v>
      </c>
      <c r="G708" s="3" t="s">
        <v>5993</v>
      </c>
      <c r="H708" s="3" t="s">
        <v>8370</v>
      </c>
      <c r="I708" s="3" t="s">
        <v>8252</v>
      </c>
      <c r="J708" s="5" t="s">
        <v>7775</v>
      </c>
      <c r="L708" s="3" t="s">
        <v>4512</v>
      </c>
      <c r="M708" s="3">
        <v>21</v>
      </c>
      <c r="N708" s="4" t="s">
        <v>8367</v>
      </c>
      <c r="O708" s="4">
        <v>34</v>
      </c>
      <c r="P708" s="11" t="s">
        <v>9729</v>
      </c>
      <c r="Q708" s="11" t="s">
        <v>10045</v>
      </c>
      <c r="S708" s="4" t="b">
        <f>ISNUMBER(MATCH(Q708,T:T,0))</f>
        <v>1</v>
      </c>
      <c r="T708" s="4" t="s">
        <v>11310</v>
      </c>
      <c r="U708" s="4" t="str">
        <f t="shared" si="38"/>
        <v>勞</v>
      </c>
    </row>
    <row r="709" spans="1:22" ht="39">
      <c r="A709" s="3">
        <v>708</v>
      </c>
      <c r="B709" s="3" t="s">
        <v>8366</v>
      </c>
      <c r="C709" s="3" t="s">
        <v>6058</v>
      </c>
      <c r="D709" s="3" t="s">
        <v>5990</v>
      </c>
      <c r="E709" s="3" t="s">
        <v>5991</v>
      </c>
      <c r="F709" s="3" t="s">
        <v>8367</v>
      </c>
      <c r="G709" s="3" t="s">
        <v>5993</v>
      </c>
      <c r="H709" s="3" t="s">
        <v>4513</v>
      </c>
      <c r="I709" s="3" t="s">
        <v>8252</v>
      </c>
      <c r="J709" s="5" t="s">
        <v>7776</v>
      </c>
      <c r="L709" s="3" t="s">
        <v>8363</v>
      </c>
      <c r="M709" s="3">
        <v>22</v>
      </c>
      <c r="N709" s="4" t="s">
        <v>8367</v>
      </c>
      <c r="O709" s="4">
        <v>34</v>
      </c>
      <c r="P709" s="11" t="s">
        <v>9920</v>
      </c>
      <c r="Q709" s="11" t="s">
        <v>10044</v>
      </c>
      <c r="S709" s="4" t="b">
        <f>ISNUMBER(MATCH(Q709,T:T,0))</f>
        <v>1</v>
      </c>
      <c r="T709" s="4" t="s">
        <v>10045</v>
      </c>
      <c r="U709" s="4" t="str">
        <f t="shared" si="38"/>
        <v>刀</v>
      </c>
    </row>
    <row r="710" spans="1:22">
      <c r="A710" s="3">
        <v>709</v>
      </c>
      <c r="B710" s="3" t="s">
        <v>8366</v>
      </c>
      <c r="C710" s="3" t="s">
        <v>6089</v>
      </c>
      <c r="D710" s="3" t="s">
        <v>5990</v>
      </c>
      <c r="E710" s="3" t="s">
        <v>5991</v>
      </c>
      <c r="F710" s="3" t="s">
        <v>8367</v>
      </c>
      <c r="G710" s="3" t="s">
        <v>5993</v>
      </c>
      <c r="H710" s="3" t="s">
        <v>4514</v>
      </c>
      <c r="I710" s="3" t="s">
        <v>8252</v>
      </c>
      <c r="J710" s="5" t="s">
        <v>4515</v>
      </c>
      <c r="L710" s="3" t="s">
        <v>4516</v>
      </c>
      <c r="M710" s="3">
        <v>7</v>
      </c>
      <c r="N710" s="4" t="s">
        <v>8367</v>
      </c>
      <c r="O710" s="4">
        <v>34</v>
      </c>
      <c r="P710" s="11" t="s">
        <v>9739</v>
      </c>
      <c r="Q710" s="11" t="s">
        <v>10046</v>
      </c>
      <c r="S710" s="4" t="b">
        <f>ISNUMBER(MATCH(Q710,T:T,0))</f>
        <v>1</v>
      </c>
      <c r="T710" s="4" t="s">
        <v>11311</v>
      </c>
      <c r="U710" s="4" t="str">
        <f t="shared" si="38"/>
        <v>毛</v>
      </c>
    </row>
    <row r="711" spans="1:22">
      <c r="A711" s="3">
        <v>710</v>
      </c>
      <c r="B711" s="3" t="s">
        <v>8366</v>
      </c>
      <c r="C711" s="3" t="s">
        <v>6035</v>
      </c>
      <c r="D711" s="3" t="s">
        <v>5990</v>
      </c>
      <c r="E711" s="3" t="s">
        <v>5991</v>
      </c>
      <c r="F711" s="3" t="s">
        <v>8367</v>
      </c>
      <c r="G711" s="3" t="s">
        <v>5993</v>
      </c>
      <c r="H711" s="3" t="s">
        <v>4517</v>
      </c>
      <c r="I711" s="3" t="s">
        <v>8252</v>
      </c>
      <c r="J711" s="5" t="s">
        <v>4518</v>
      </c>
      <c r="L711" s="3" t="s">
        <v>8340</v>
      </c>
      <c r="M711" s="3">
        <v>10</v>
      </c>
      <c r="N711" s="4" t="s">
        <v>8367</v>
      </c>
      <c r="O711" s="4">
        <v>34</v>
      </c>
      <c r="P711" s="11" t="s">
        <v>9719</v>
      </c>
      <c r="Q711" s="11" t="s">
        <v>10047</v>
      </c>
      <c r="S711" s="4" t="b">
        <f>ISNUMBER(MATCH(Q711,T:T,0))</f>
        <v>1</v>
      </c>
      <c r="T711" s="4" t="s">
        <v>10046</v>
      </c>
      <c r="U711" s="4" t="str">
        <f t="shared" si="38"/>
        <v>袍</v>
      </c>
    </row>
    <row r="712" spans="1:22" ht="39">
      <c r="A712" s="3">
        <v>711</v>
      </c>
      <c r="B712" s="3" t="s">
        <v>8366</v>
      </c>
      <c r="C712" s="3" t="s">
        <v>6079</v>
      </c>
      <c r="D712" s="3" t="s">
        <v>5990</v>
      </c>
      <c r="E712" s="3" t="s">
        <v>5991</v>
      </c>
      <c r="F712" s="3" t="s">
        <v>8367</v>
      </c>
      <c r="G712" s="3" t="s">
        <v>5993</v>
      </c>
      <c r="H712" s="3" t="s">
        <v>4519</v>
      </c>
      <c r="I712" s="3" t="s">
        <v>8252</v>
      </c>
      <c r="J712" s="5" t="s">
        <v>7777</v>
      </c>
      <c r="L712" s="3" t="s">
        <v>4520</v>
      </c>
      <c r="M712" s="3">
        <v>28</v>
      </c>
      <c r="N712" s="4" t="s">
        <v>8367</v>
      </c>
      <c r="O712" s="4">
        <v>34</v>
      </c>
      <c r="P712" s="11" t="s">
        <v>9892</v>
      </c>
      <c r="Q712" s="11" t="s">
        <v>10044</v>
      </c>
      <c r="S712" s="4" t="b">
        <f>ISNUMBER(MATCH(Q712,T:T,0))</f>
        <v>1</v>
      </c>
      <c r="T712" s="4" t="s">
        <v>11312</v>
      </c>
      <c r="U712" s="4" t="str">
        <f t="shared" si="38"/>
        <v>刀</v>
      </c>
    </row>
    <row r="713" spans="1:22">
      <c r="A713" s="3">
        <v>712</v>
      </c>
      <c r="B713" s="3" t="s">
        <v>8366</v>
      </c>
      <c r="C713" s="3" t="s">
        <v>5989</v>
      </c>
      <c r="D713" s="3" t="s">
        <v>5990</v>
      </c>
      <c r="E713" s="3" t="s">
        <v>5991</v>
      </c>
      <c r="F713" s="3" t="s">
        <v>8367</v>
      </c>
      <c r="G713" s="3" t="s">
        <v>5993</v>
      </c>
      <c r="H713" s="3" t="s">
        <v>4521</v>
      </c>
      <c r="I713" s="3" t="s">
        <v>8252</v>
      </c>
      <c r="J713" s="5" t="s">
        <v>7778</v>
      </c>
      <c r="L713" s="3" t="s">
        <v>4522</v>
      </c>
      <c r="M713" s="3">
        <v>7</v>
      </c>
      <c r="N713" s="4" t="s">
        <v>8367</v>
      </c>
      <c r="O713" s="4">
        <v>34</v>
      </c>
      <c r="P713" s="11" t="s">
        <v>9742</v>
      </c>
      <c r="Q713" s="11" t="s">
        <v>10045</v>
      </c>
      <c r="S713" s="4" t="b">
        <f>ISNUMBER(MATCH(Q713,T:T,0))</f>
        <v>1</v>
      </c>
      <c r="T713" s="4" t="s">
        <v>10044</v>
      </c>
      <c r="U713" s="4" t="str">
        <f t="shared" si="38"/>
        <v>勞</v>
      </c>
    </row>
    <row r="714" spans="1:22">
      <c r="A714" s="3">
        <v>713</v>
      </c>
      <c r="B714" s="3" t="s">
        <v>8366</v>
      </c>
      <c r="C714" s="3" t="s">
        <v>6017</v>
      </c>
      <c r="D714" s="3" t="s">
        <v>5990</v>
      </c>
      <c r="E714" s="3" t="s">
        <v>5991</v>
      </c>
      <c r="F714" s="3" t="s">
        <v>8367</v>
      </c>
      <c r="G714" s="3" t="s">
        <v>5993</v>
      </c>
      <c r="H714" s="3" t="s">
        <v>4523</v>
      </c>
      <c r="I714" s="3" t="s">
        <v>8252</v>
      </c>
      <c r="J714" s="5" t="s">
        <v>7779</v>
      </c>
      <c r="K714" s="3" t="s">
        <v>587</v>
      </c>
      <c r="L714" s="3" t="s">
        <v>4524</v>
      </c>
      <c r="M714" s="3">
        <v>13</v>
      </c>
      <c r="N714" s="4" t="s">
        <v>8367</v>
      </c>
      <c r="O714" s="4">
        <v>34</v>
      </c>
      <c r="P714" s="11" t="s">
        <v>9741</v>
      </c>
      <c r="Q714" s="11" t="s">
        <v>10048</v>
      </c>
      <c r="R714" s="4" t="s">
        <v>13043</v>
      </c>
      <c r="S714" s="4" t="b">
        <f>ISNUMBER(MATCH(Q714,T:T,0))</f>
        <v>0</v>
      </c>
      <c r="T714" s="4" t="s">
        <v>11313</v>
      </c>
      <c r="U714" s="4" t="str">
        <f t="shared" si="38"/>
        <v>糟</v>
      </c>
      <c r="V714" s="4" t="b">
        <f>ISNUMBER(MATCH(R714,T:T,0))</f>
        <v>1</v>
      </c>
    </row>
    <row r="715" spans="1:22">
      <c r="A715" s="3">
        <v>714</v>
      </c>
      <c r="B715" s="3" t="s">
        <v>8366</v>
      </c>
      <c r="C715" s="3" t="s">
        <v>6045</v>
      </c>
      <c r="D715" s="3" t="s">
        <v>5990</v>
      </c>
      <c r="E715" s="3" t="s">
        <v>5991</v>
      </c>
      <c r="F715" s="3" t="s">
        <v>8367</v>
      </c>
      <c r="G715" s="3" t="s">
        <v>5993</v>
      </c>
      <c r="H715" s="3" t="s">
        <v>706</v>
      </c>
      <c r="I715" s="3" t="s">
        <v>8252</v>
      </c>
      <c r="J715" s="5" t="s">
        <v>7780</v>
      </c>
      <c r="L715" s="3" t="s">
        <v>8358</v>
      </c>
      <c r="M715" s="3">
        <v>3</v>
      </c>
      <c r="N715" s="4" t="s">
        <v>8367</v>
      </c>
      <c r="O715" s="4">
        <v>34</v>
      </c>
      <c r="P715" s="11" t="s">
        <v>9738</v>
      </c>
      <c r="Q715" s="11" t="s">
        <v>10049</v>
      </c>
      <c r="S715" s="4" t="b">
        <f>ISNUMBER(MATCH(Q715,T:T,0))</f>
        <v>1</v>
      </c>
      <c r="T715" s="4" t="s">
        <v>10047</v>
      </c>
      <c r="U715" s="4" t="str">
        <f t="shared" si="38"/>
        <v>襃</v>
      </c>
    </row>
    <row r="716" spans="1:22">
      <c r="A716" s="3">
        <v>715</v>
      </c>
      <c r="B716" s="3" t="s">
        <v>8366</v>
      </c>
      <c r="C716" s="3" t="s">
        <v>6049</v>
      </c>
      <c r="D716" s="3" t="s">
        <v>5990</v>
      </c>
      <c r="E716" s="3" t="s">
        <v>5991</v>
      </c>
      <c r="F716" s="3" t="s">
        <v>8367</v>
      </c>
      <c r="G716" s="3" t="s">
        <v>5993</v>
      </c>
      <c r="H716" s="3" t="s">
        <v>4525</v>
      </c>
      <c r="I716" s="3" t="s">
        <v>8252</v>
      </c>
      <c r="J716" s="8" t="s">
        <v>7781</v>
      </c>
      <c r="L716" s="3" t="s">
        <v>8344</v>
      </c>
      <c r="M716" s="3">
        <v>4</v>
      </c>
      <c r="N716" s="4" t="s">
        <v>8367</v>
      </c>
      <c r="O716" s="4">
        <v>34</v>
      </c>
      <c r="P716" s="11" t="s">
        <v>9770</v>
      </c>
      <c r="Q716" s="11" t="s">
        <v>10046</v>
      </c>
      <c r="S716" s="4" t="b">
        <f>ISNUMBER(MATCH(Q716,T:T,0))</f>
        <v>1</v>
      </c>
      <c r="T716" s="4" t="s">
        <v>10049</v>
      </c>
      <c r="U716" s="4" t="str">
        <f t="shared" si="38"/>
        <v>毛</v>
      </c>
    </row>
    <row r="717" spans="1:22" ht="39">
      <c r="A717" s="3">
        <v>716</v>
      </c>
      <c r="B717" s="3" t="s">
        <v>8366</v>
      </c>
      <c r="C717" s="3" t="s">
        <v>5997</v>
      </c>
      <c r="D717" s="3" t="s">
        <v>5990</v>
      </c>
      <c r="E717" s="3" t="s">
        <v>5991</v>
      </c>
      <c r="F717" s="3" t="s">
        <v>8367</v>
      </c>
      <c r="G717" s="3" t="s">
        <v>5993</v>
      </c>
      <c r="H717" s="3" t="s">
        <v>4526</v>
      </c>
      <c r="I717" s="3" t="s">
        <v>8252</v>
      </c>
      <c r="J717" s="5" t="s">
        <v>7782</v>
      </c>
      <c r="L717" s="3" t="s">
        <v>4527</v>
      </c>
      <c r="M717" s="3">
        <v>25</v>
      </c>
      <c r="N717" s="4" t="s">
        <v>8367</v>
      </c>
      <c r="O717" s="4">
        <v>34</v>
      </c>
      <c r="P717" s="11" t="s">
        <v>9706</v>
      </c>
      <c r="Q717" s="11" t="s">
        <v>10044</v>
      </c>
      <c r="S717" s="4" t="b">
        <f>ISNUMBER(MATCH(Q717,T:T,0))</f>
        <v>1</v>
      </c>
      <c r="T717" s="4" t="s">
        <v>11314</v>
      </c>
      <c r="U717" s="4" t="str">
        <f t="shared" si="38"/>
        <v>刀</v>
      </c>
    </row>
    <row r="718" spans="1:22">
      <c r="A718" s="3">
        <v>717</v>
      </c>
      <c r="B718" s="3" t="s">
        <v>8366</v>
      </c>
      <c r="C718" s="3" t="s">
        <v>6083</v>
      </c>
      <c r="D718" s="3" t="s">
        <v>5990</v>
      </c>
      <c r="E718" s="3" t="s">
        <v>5991</v>
      </c>
      <c r="F718" s="3" t="s">
        <v>8367</v>
      </c>
      <c r="G718" s="3" t="s">
        <v>5993</v>
      </c>
      <c r="H718" s="3" t="s">
        <v>4528</v>
      </c>
      <c r="I718" s="3" t="s">
        <v>8252</v>
      </c>
      <c r="J718" s="5" t="s">
        <v>7783</v>
      </c>
      <c r="L718" s="3" t="s">
        <v>4529</v>
      </c>
      <c r="M718" s="3">
        <v>9</v>
      </c>
      <c r="N718" s="4" t="s">
        <v>8367</v>
      </c>
      <c r="O718" s="4">
        <v>34</v>
      </c>
      <c r="P718" s="11" t="s">
        <v>9745</v>
      </c>
      <c r="Q718" s="11" t="s">
        <v>10050</v>
      </c>
      <c r="S718" s="4" t="b">
        <f>ISNUMBER(MATCH(Q718,T:T,0))</f>
        <v>1</v>
      </c>
      <c r="T718" s="4" t="s">
        <v>11315</v>
      </c>
      <c r="U718" s="4" t="str">
        <f t="shared" si="38"/>
        <v>曹</v>
      </c>
    </row>
    <row r="719" spans="1:22" ht="39">
      <c r="A719" s="3">
        <v>718</v>
      </c>
      <c r="B719" s="3" t="s">
        <v>8366</v>
      </c>
      <c r="C719" s="3" t="s">
        <v>6092</v>
      </c>
      <c r="D719" s="3" t="s">
        <v>5990</v>
      </c>
      <c r="E719" s="3" t="s">
        <v>5991</v>
      </c>
      <c r="F719" s="3" t="s">
        <v>8367</v>
      </c>
      <c r="G719" s="3" t="s">
        <v>5993</v>
      </c>
      <c r="H719" s="3" t="s">
        <v>4530</v>
      </c>
      <c r="I719" s="3" t="s">
        <v>8252</v>
      </c>
      <c r="J719" s="5" t="s">
        <v>7784</v>
      </c>
      <c r="K719" s="3" t="s">
        <v>588</v>
      </c>
      <c r="L719" s="3" t="s">
        <v>4531</v>
      </c>
      <c r="M719" s="3">
        <v>25</v>
      </c>
      <c r="N719" s="4" t="s">
        <v>8367</v>
      </c>
      <c r="O719" s="4">
        <v>34</v>
      </c>
      <c r="P719" s="11" t="s">
        <v>9740</v>
      </c>
      <c r="Q719" s="11" t="s">
        <v>10045</v>
      </c>
      <c r="S719" s="4" t="b">
        <f>ISNUMBER(MATCH(Q719,T:T,0))</f>
        <v>1</v>
      </c>
      <c r="T719" s="4" t="s">
        <v>11316</v>
      </c>
      <c r="U719" s="4" t="str">
        <f t="shared" si="38"/>
        <v>勞</v>
      </c>
    </row>
    <row r="720" spans="1:22">
      <c r="A720" s="3">
        <v>719</v>
      </c>
      <c r="B720" s="3" t="s">
        <v>8366</v>
      </c>
      <c r="C720" s="3" t="s">
        <v>6069</v>
      </c>
      <c r="D720" s="3" t="s">
        <v>5990</v>
      </c>
      <c r="E720" s="3" t="s">
        <v>5991</v>
      </c>
      <c r="F720" s="3" t="s">
        <v>8367</v>
      </c>
      <c r="G720" s="3" t="s">
        <v>5993</v>
      </c>
      <c r="H720" s="3" t="s">
        <v>4532</v>
      </c>
      <c r="I720" s="3" t="s">
        <v>8252</v>
      </c>
      <c r="J720" s="5" t="s">
        <v>7785</v>
      </c>
      <c r="L720" s="3" t="s">
        <v>4533</v>
      </c>
      <c r="M720" s="3">
        <v>14</v>
      </c>
      <c r="N720" s="4" t="s">
        <v>8367</v>
      </c>
      <c r="O720" s="4">
        <v>34</v>
      </c>
      <c r="P720" s="11" t="s">
        <v>9880</v>
      </c>
      <c r="Q720" s="11" t="s">
        <v>10045</v>
      </c>
      <c r="S720" s="4" t="b">
        <f>ISNUMBER(MATCH(Q720,T:T,0))</f>
        <v>1</v>
      </c>
      <c r="T720" s="4" t="s">
        <v>10050</v>
      </c>
      <c r="U720" s="4" t="str">
        <f t="shared" si="38"/>
        <v>勞</v>
      </c>
    </row>
    <row r="721" spans="1:22">
      <c r="A721" s="3">
        <v>720</v>
      </c>
      <c r="B721" s="3" t="s">
        <v>8366</v>
      </c>
      <c r="C721" s="3" t="s">
        <v>6072</v>
      </c>
      <c r="D721" s="3" t="s">
        <v>5990</v>
      </c>
      <c r="E721" s="3" t="s">
        <v>5991</v>
      </c>
      <c r="F721" s="3" t="s">
        <v>8367</v>
      </c>
      <c r="G721" s="3" t="s">
        <v>5993</v>
      </c>
      <c r="H721" s="3" t="s">
        <v>4534</v>
      </c>
      <c r="I721" s="3" t="s">
        <v>8252</v>
      </c>
      <c r="J721" s="5" t="s">
        <v>4535</v>
      </c>
      <c r="L721" s="3" t="s">
        <v>4536</v>
      </c>
      <c r="M721" s="3">
        <v>3</v>
      </c>
      <c r="N721" s="4" t="s">
        <v>8367</v>
      </c>
      <c r="O721" s="4">
        <v>34</v>
      </c>
      <c r="P721" s="11" t="s">
        <v>9754</v>
      </c>
      <c r="Q721" s="11" t="s">
        <v>10044</v>
      </c>
      <c r="S721" s="4" t="b">
        <f>ISNUMBER(MATCH(Q721,T:T,0))</f>
        <v>1</v>
      </c>
      <c r="T721" s="4" t="s">
        <v>11317</v>
      </c>
      <c r="U721" s="4" t="str">
        <f t="shared" si="38"/>
        <v>刀</v>
      </c>
    </row>
    <row r="722" spans="1:22">
      <c r="A722" s="3">
        <v>721</v>
      </c>
      <c r="B722" s="3" t="s">
        <v>8366</v>
      </c>
      <c r="C722" s="3" t="s">
        <v>6102</v>
      </c>
      <c r="D722" s="3" t="s">
        <v>5990</v>
      </c>
      <c r="E722" s="3" t="s">
        <v>5991</v>
      </c>
      <c r="F722" s="3" t="s">
        <v>8367</v>
      </c>
      <c r="G722" s="3" t="s">
        <v>5993</v>
      </c>
      <c r="H722" s="3" t="s">
        <v>4537</v>
      </c>
      <c r="I722" s="3" t="s">
        <v>8252</v>
      </c>
      <c r="J722" s="5" t="s">
        <v>7786</v>
      </c>
      <c r="L722" s="3" t="s">
        <v>8336</v>
      </c>
      <c r="M722" s="3">
        <v>8</v>
      </c>
      <c r="N722" s="4" t="s">
        <v>8367</v>
      </c>
      <c r="O722" s="4">
        <v>34</v>
      </c>
      <c r="P722" s="11" t="s">
        <v>9744</v>
      </c>
      <c r="Q722" s="11" t="s">
        <v>10044</v>
      </c>
      <c r="S722" s="4" t="b">
        <f>ISNUMBER(MATCH(Q722,T:T,0))</f>
        <v>1</v>
      </c>
      <c r="T722" s="4" t="s">
        <v>11318</v>
      </c>
      <c r="U722" s="4" t="str">
        <f t="shared" si="38"/>
        <v>刀</v>
      </c>
    </row>
    <row r="723" spans="1:22">
      <c r="A723" s="3">
        <v>722</v>
      </c>
      <c r="B723" s="3" t="s">
        <v>8366</v>
      </c>
      <c r="C723" s="3" t="s">
        <v>6038</v>
      </c>
      <c r="D723" s="3" t="s">
        <v>5990</v>
      </c>
      <c r="E723" s="3" t="s">
        <v>5991</v>
      </c>
      <c r="F723" s="3" t="s">
        <v>8367</v>
      </c>
      <c r="G723" s="3" t="s">
        <v>5993</v>
      </c>
      <c r="H723" s="3" t="s">
        <v>4538</v>
      </c>
      <c r="I723" s="3" t="s">
        <v>8252</v>
      </c>
      <c r="J723" s="5" t="s">
        <v>4539</v>
      </c>
      <c r="L723" s="3" t="s">
        <v>4540</v>
      </c>
      <c r="M723" s="3">
        <v>2</v>
      </c>
      <c r="N723" s="4" t="s">
        <v>8367</v>
      </c>
      <c r="O723" s="4">
        <v>34</v>
      </c>
      <c r="P723" s="11" t="s">
        <v>9728</v>
      </c>
      <c r="Q723" s="11" t="s">
        <v>10044</v>
      </c>
      <c r="S723" s="4" t="b">
        <f>ISNUMBER(MATCH(Q723,T:T,0))</f>
        <v>1</v>
      </c>
      <c r="T723" s="4" t="s">
        <v>11319</v>
      </c>
      <c r="U723" s="4" t="str">
        <f t="shared" si="38"/>
        <v>刀</v>
      </c>
    </row>
    <row r="724" spans="1:22">
      <c r="A724" s="3">
        <v>723</v>
      </c>
      <c r="B724" s="3" t="s">
        <v>8366</v>
      </c>
      <c r="C724" s="3" t="s">
        <v>6076</v>
      </c>
      <c r="D724" s="3" t="s">
        <v>5990</v>
      </c>
      <c r="E724" s="3" t="s">
        <v>5991</v>
      </c>
      <c r="F724" s="3" t="s">
        <v>8367</v>
      </c>
      <c r="G724" s="3" t="s">
        <v>5993</v>
      </c>
      <c r="H724" s="3" t="s">
        <v>4541</v>
      </c>
      <c r="I724" s="3" t="s">
        <v>8252</v>
      </c>
      <c r="J724" s="5" t="s">
        <v>4542</v>
      </c>
      <c r="L724" s="3" t="s">
        <v>4543</v>
      </c>
      <c r="M724" s="3">
        <v>4</v>
      </c>
      <c r="N724" s="4" t="s">
        <v>8367</v>
      </c>
      <c r="O724" s="4">
        <v>34</v>
      </c>
      <c r="P724" s="11" t="s">
        <v>9766</v>
      </c>
      <c r="Q724" s="11" t="s">
        <v>10044</v>
      </c>
      <c r="S724" s="4" t="b">
        <f>ISNUMBER(MATCH(Q724,T:T,0))</f>
        <v>1</v>
      </c>
      <c r="T724" s="4" t="s">
        <v>11320</v>
      </c>
      <c r="U724" s="4" t="str">
        <f t="shared" si="38"/>
        <v>刀</v>
      </c>
    </row>
    <row r="725" spans="1:22">
      <c r="A725" s="3">
        <v>724</v>
      </c>
      <c r="B725" s="3" t="s">
        <v>8366</v>
      </c>
      <c r="C725" s="3" t="s">
        <v>6053</v>
      </c>
      <c r="D725" s="3" t="s">
        <v>5990</v>
      </c>
      <c r="E725" s="3" t="s">
        <v>5991</v>
      </c>
      <c r="F725" s="3" t="s">
        <v>8367</v>
      </c>
      <c r="G725" s="3" t="s">
        <v>5993</v>
      </c>
      <c r="H725" s="3" t="s">
        <v>4544</v>
      </c>
      <c r="I725" s="3" t="s">
        <v>8252</v>
      </c>
      <c r="J725" s="5" t="s">
        <v>4545</v>
      </c>
      <c r="L725" s="3" t="s">
        <v>8346</v>
      </c>
      <c r="M725" s="3">
        <v>4</v>
      </c>
      <c r="N725" s="4" t="s">
        <v>8367</v>
      </c>
      <c r="O725" s="4">
        <v>34</v>
      </c>
      <c r="P725" s="11" t="s">
        <v>9884</v>
      </c>
      <c r="Q725" s="11" t="s">
        <v>10047</v>
      </c>
      <c r="S725" s="4" t="b">
        <f>ISNUMBER(MATCH(Q725,T:T,0))</f>
        <v>1</v>
      </c>
      <c r="T725" s="4" t="s">
        <v>11321</v>
      </c>
      <c r="U725" s="4" t="str">
        <f t="shared" si="38"/>
        <v>袍</v>
      </c>
    </row>
    <row r="726" spans="1:22">
      <c r="A726" s="3">
        <v>725</v>
      </c>
      <c r="B726" s="3" t="s">
        <v>4546</v>
      </c>
      <c r="C726" s="3" t="s">
        <v>6025</v>
      </c>
      <c r="D726" s="3" t="s">
        <v>5990</v>
      </c>
      <c r="E726" s="3" t="s">
        <v>5991</v>
      </c>
      <c r="F726" s="3" t="s">
        <v>4547</v>
      </c>
      <c r="G726" s="3" t="s">
        <v>5993</v>
      </c>
      <c r="H726" s="3" t="s">
        <v>4548</v>
      </c>
      <c r="I726" s="3" t="s">
        <v>4549</v>
      </c>
      <c r="J726" s="5" t="s">
        <v>7787</v>
      </c>
      <c r="L726" s="3" t="s">
        <v>4550</v>
      </c>
      <c r="M726" s="3">
        <v>11</v>
      </c>
      <c r="N726" s="4" t="s">
        <v>4547</v>
      </c>
      <c r="O726" s="4">
        <v>35</v>
      </c>
      <c r="P726" s="11" t="s">
        <v>9729</v>
      </c>
      <c r="Q726" s="11" t="s">
        <v>9970</v>
      </c>
      <c r="R726" s="4" t="s">
        <v>13044</v>
      </c>
      <c r="S726" s="4" t="b">
        <f>ISNUMBER(MATCH(Q726,T:T,0))</f>
        <v>0</v>
      </c>
      <c r="T726" s="4" t="s">
        <v>4547</v>
      </c>
      <c r="U726" s="4" t="str">
        <f t="shared" si="38"/>
        <v>莪</v>
      </c>
      <c r="V726" s="4" t="b">
        <f>ISNUMBER(MATCH(R726,T:T,0))</f>
        <v>1</v>
      </c>
    </row>
    <row r="727" spans="1:22">
      <c r="A727" s="3">
        <v>726</v>
      </c>
      <c r="B727" s="3" t="s">
        <v>4546</v>
      </c>
      <c r="C727" s="3" t="s">
        <v>6076</v>
      </c>
      <c r="D727" s="3" t="s">
        <v>5990</v>
      </c>
      <c r="E727" s="3" t="s">
        <v>5991</v>
      </c>
      <c r="F727" s="3" t="s">
        <v>4547</v>
      </c>
      <c r="G727" s="3" t="s">
        <v>5993</v>
      </c>
      <c r="H727" s="3" t="s">
        <v>4551</v>
      </c>
      <c r="I727" s="3" t="s">
        <v>4549</v>
      </c>
      <c r="J727" s="5" t="s">
        <v>4552</v>
      </c>
      <c r="L727" s="3" t="s">
        <v>4555</v>
      </c>
      <c r="M727" s="3">
        <v>7</v>
      </c>
      <c r="N727" s="4" t="s">
        <v>4547</v>
      </c>
      <c r="O727" s="4">
        <v>35</v>
      </c>
      <c r="P727" s="11" t="s">
        <v>9766</v>
      </c>
      <c r="Q727" s="11" t="s">
        <v>10051</v>
      </c>
      <c r="S727" s="4" t="b">
        <f>ISNUMBER(MATCH(Q727,T:T,0))</f>
        <v>1</v>
      </c>
      <c r="T727" s="4" t="s">
        <v>11322</v>
      </c>
      <c r="U727" s="4" t="str">
        <f t="shared" si="38"/>
        <v>何</v>
      </c>
    </row>
    <row r="728" spans="1:22">
      <c r="A728" s="3">
        <v>727</v>
      </c>
      <c r="B728" s="3" t="s">
        <v>4546</v>
      </c>
      <c r="C728" s="3" t="s">
        <v>5989</v>
      </c>
      <c r="D728" s="3" t="s">
        <v>5990</v>
      </c>
      <c r="E728" s="3" t="s">
        <v>5991</v>
      </c>
      <c r="F728" s="3" t="s">
        <v>4547</v>
      </c>
      <c r="G728" s="3" t="s">
        <v>5993</v>
      </c>
      <c r="H728" s="3" t="s">
        <v>4556</v>
      </c>
      <c r="I728" s="3" t="s">
        <v>4549</v>
      </c>
      <c r="J728" s="5" t="s">
        <v>4557</v>
      </c>
      <c r="K728" s="3" t="s">
        <v>589</v>
      </c>
      <c r="L728" s="3" t="s">
        <v>4559</v>
      </c>
      <c r="M728" s="3">
        <v>3</v>
      </c>
      <c r="N728" s="4" t="s">
        <v>4547</v>
      </c>
      <c r="O728" s="4">
        <v>35</v>
      </c>
      <c r="P728" s="11" t="s">
        <v>10052</v>
      </c>
      <c r="Q728" s="11" t="s">
        <v>10051</v>
      </c>
      <c r="S728" s="4" t="b">
        <f>ISNUMBER(MATCH(Q728,T:T,0))</f>
        <v>1</v>
      </c>
      <c r="T728" s="4" t="s">
        <v>9975</v>
      </c>
      <c r="U728" s="4" t="str">
        <f t="shared" si="38"/>
        <v>何</v>
      </c>
    </row>
    <row r="729" spans="1:22">
      <c r="A729" s="3">
        <v>728</v>
      </c>
      <c r="B729" s="3" t="s">
        <v>4546</v>
      </c>
      <c r="C729" s="3" t="s">
        <v>6017</v>
      </c>
      <c r="D729" s="3" t="s">
        <v>5990</v>
      </c>
      <c r="E729" s="3" t="s">
        <v>5991</v>
      </c>
      <c r="F729" s="3" t="s">
        <v>4547</v>
      </c>
      <c r="G729" s="3" t="s">
        <v>5993</v>
      </c>
      <c r="H729" s="3" t="s">
        <v>4560</v>
      </c>
      <c r="I729" s="3" t="s">
        <v>4549</v>
      </c>
      <c r="J729" s="5" t="s">
        <v>7788</v>
      </c>
      <c r="L729" s="3" t="s">
        <v>4562</v>
      </c>
      <c r="M729" s="3">
        <v>11</v>
      </c>
      <c r="N729" s="4" t="s">
        <v>4547</v>
      </c>
      <c r="O729" s="4">
        <v>35</v>
      </c>
      <c r="P729" s="11" t="s">
        <v>9878</v>
      </c>
      <c r="Q729" s="11" t="s">
        <v>10051</v>
      </c>
      <c r="S729" s="4" t="b">
        <f>ISNUMBER(MATCH(Q729,T:T,0))</f>
        <v>1</v>
      </c>
      <c r="T729" s="4" t="s">
        <v>11323</v>
      </c>
      <c r="U729" s="4" t="str">
        <f t="shared" si="38"/>
        <v>何</v>
      </c>
    </row>
    <row r="730" spans="1:22" ht="39">
      <c r="A730" s="3">
        <v>729</v>
      </c>
      <c r="B730" s="3" t="s">
        <v>4546</v>
      </c>
      <c r="C730" s="3" t="s">
        <v>5997</v>
      </c>
      <c r="D730" s="3" t="s">
        <v>5990</v>
      </c>
      <c r="E730" s="3" t="s">
        <v>5991</v>
      </c>
      <c r="F730" s="3" t="s">
        <v>4547</v>
      </c>
      <c r="G730" s="3" t="s">
        <v>5993</v>
      </c>
      <c r="H730" s="3" t="s">
        <v>4563</v>
      </c>
      <c r="I730" s="3" t="s">
        <v>4549</v>
      </c>
      <c r="J730" s="5" t="s">
        <v>7789</v>
      </c>
      <c r="L730" s="3" t="s">
        <v>4565</v>
      </c>
      <c r="M730" s="3">
        <v>23</v>
      </c>
      <c r="N730" s="4" t="s">
        <v>4547</v>
      </c>
      <c r="O730" s="4">
        <v>35</v>
      </c>
      <c r="P730" s="11" t="s">
        <v>9706</v>
      </c>
      <c r="Q730" s="11" t="s">
        <v>10053</v>
      </c>
      <c r="R730" s="4" t="s">
        <v>13045</v>
      </c>
      <c r="S730" s="4" t="b">
        <f>ISNUMBER(MATCH(Q730,T:T,0))</f>
        <v>0</v>
      </c>
      <c r="T730" s="4" t="s">
        <v>11324</v>
      </c>
      <c r="U730" s="4" t="str">
        <f t="shared" si="38"/>
        <v>何</v>
      </c>
      <c r="V730" s="4" t="b">
        <f>ISNUMBER(MATCH(R730,T:T,0))</f>
        <v>1</v>
      </c>
    </row>
    <row r="731" spans="1:22" ht="39">
      <c r="A731" s="3">
        <v>730</v>
      </c>
      <c r="B731" s="3" t="s">
        <v>4546</v>
      </c>
      <c r="C731" s="3" t="s">
        <v>6069</v>
      </c>
      <c r="D731" s="3" t="s">
        <v>5990</v>
      </c>
      <c r="E731" s="3" t="s">
        <v>5991</v>
      </c>
      <c r="F731" s="3" t="s">
        <v>4547</v>
      </c>
      <c r="G731" s="3" t="s">
        <v>5993</v>
      </c>
      <c r="H731" s="3" t="s">
        <v>4566</v>
      </c>
      <c r="I731" s="3" t="s">
        <v>4549</v>
      </c>
      <c r="J731" s="5" t="s">
        <v>7790</v>
      </c>
      <c r="L731" s="3" t="s">
        <v>4568</v>
      </c>
      <c r="M731" s="3">
        <v>19</v>
      </c>
      <c r="N731" s="4" t="s">
        <v>4547</v>
      </c>
      <c r="O731" s="4">
        <v>35</v>
      </c>
      <c r="P731" s="11" t="s">
        <v>9880</v>
      </c>
      <c r="Q731" s="11" t="s">
        <v>10051</v>
      </c>
      <c r="S731" s="4" t="b">
        <f>ISNUMBER(MATCH(Q731,T:T,0))</f>
        <v>1</v>
      </c>
      <c r="T731" s="4" t="s">
        <v>11325</v>
      </c>
      <c r="U731" s="4" t="str">
        <f t="shared" si="38"/>
        <v>何</v>
      </c>
    </row>
    <row r="732" spans="1:22">
      <c r="A732" s="3">
        <v>731</v>
      </c>
      <c r="B732" s="3" t="s">
        <v>4546</v>
      </c>
      <c r="C732" s="3" t="s">
        <v>6092</v>
      </c>
      <c r="D732" s="3" t="s">
        <v>5990</v>
      </c>
      <c r="E732" s="3" t="s">
        <v>5991</v>
      </c>
      <c r="F732" s="3" t="s">
        <v>4547</v>
      </c>
      <c r="G732" s="3" t="s">
        <v>5993</v>
      </c>
      <c r="H732" s="3" t="s">
        <v>4569</v>
      </c>
      <c r="I732" s="3" t="s">
        <v>4549</v>
      </c>
      <c r="J732" s="5" t="s">
        <v>7791</v>
      </c>
      <c r="L732" s="3" t="s">
        <v>4570</v>
      </c>
      <c r="M732" s="3">
        <v>13</v>
      </c>
      <c r="N732" s="4" t="s">
        <v>4547</v>
      </c>
      <c r="O732" s="4">
        <v>35</v>
      </c>
      <c r="P732" s="11" t="s">
        <v>9740</v>
      </c>
      <c r="Q732" s="11" t="s">
        <v>10051</v>
      </c>
      <c r="S732" s="4" t="b">
        <f>ISNUMBER(MATCH(Q732,T:T,0))</f>
        <v>1</v>
      </c>
      <c r="T732" s="4" t="s">
        <v>11326</v>
      </c>
      <c r="U732" s="4" t="str">
        <f t="shared" si="38"/>
        <v>何</v>
      </c>
    </row>
    <row r="733" spans="1:22">
      <c r="A733" s="3">
        <v>732</v>
      </c>
      <c r="B733" s="3" t="s">
        <v>4546</v>
      </c>
      <c r="C733" s="3" t="s">
        <v>6079</v>
      </c>
      <c r="D733" s="3" t="s">
        <v>5990</v>
      </c>
      <c r="E733" s="3" t="s">
        <v>5991</v>
      </c>
      <c r="F733" s="3" t="s">
        <v>4547</v>
      </c>
      <c r="G733" s="3" t="s">
        <v>5993</v>
      </c>
      <c r="H733" s="3" t="s">
        <v>4571</v>
      </c>
      <c r="I733" s="3" t="s">
        <v>4549</v>
      </c>
      <c r="J733" s="5" t="s">
        <v>7792</v>
      </c>
      <c r="L733" s="3" t="s">
        <v>4572</v>
      </c>
      <c r="M733" s="3">
        <v>7</v>
      </c>
      <c r="N733" s="4" t="s">
        <v>4547</v>
      </c>
      <c r="O733" s="4">
        <v>35</v>
      </c>
      <c r="P733" s="11" t="s">
        <v>10054</v>
      </c>
      <c r="Q733" s="11" t="s">
        <v>10051</v>
      </c>
      <c r="S733" s="4" t="b">
        <f>ISNUMBER(MATCH(Q733,T:T,0))</f>
        <v>1</v>
      </c>
      <c r="T733" s="4" t="s">
        <v>2402</v>
      </c>
      <c r="U733" s="4" t="str">
        <f t="shared" si="38"/>
        <v>何</v>
      </c>
    </row>
    <row r="734" spans="1:22">
      <c r="A734" s="3">
        <v>733</v>
      </c>
      <c r="B734" s="3" t="s">
        <v>4546</v>
      </c>
      <c r="C734" s="3" t="s">
        <v>6058</v>
      </c>
      <c r="D734" s="3" t="s">
        <v>5990</v>
      </c>
      <c r="E734" s="3" t="s">
        <v>5991</v>
      </c>
      <c r="F734" s="3" t="s">
        <v>4547</v>
      </c>
      <c r="G734" s="3" t="s">
        <v>5993</v>
      </c>
      <c r="H734" s="3" t="s">
        <v>4573</v>
      </c>
      <c r="I734" s="3" t="s">
        <v>4549</v>
      </c>
      <c r="J734" s="5" t="s">
        <v>7793</v>
      </c>
      <c r="L734" s="3" t="s">
        <v>4574</v>
      </c>
      <c r="M734" s="3">
        <v>10</v>
      </c>
      <c r="N734" s="4" t="s">
        <v>4547</v>
      </c>
      <c r="O734" s="4">
        <v>35</v>
      </c>
      <c r="P734" s="11" t="s">
        <v>9920</v>
      </c>
      <c r="Q734" s="11" t="s">
        <v>10051</v>
      </c>
      <c r="S734" s="4" t="b">
        <f>ISNUMBER(MATCH(Q734,T:T,0))</f>
        <v>1</v>
      </c>
      <c r="T734" s="4" t="s">
        <v>11327</v>
      </c>
      <c r="U734" s="4" t="str">
        <f t="shared" si="38"/>
        <v>何</v>
      </c>
    </row>
    <row r="735" spans="1:22">
      <c r="A735" s="3">
        <v>734</v>
      </c>
      <c r="B735" s="3" t="s">
        <v>4546</v>
      </c>
      <c r="C735" s="3" t="s">
        <v>6102</v>
      </c>
      <c r="D735" s="3" t="s">
        <v>5990</v>
      </c>
      <c r="E735" s="3" t="s">
        <v>5991</v>
      </c>
      <c r="F735" s="3" t="s">
        <v>4547</v>
      </c>
      <c r="G735" s="3" t="s">
        <v>5993</v>
      </c>
      <c r="H735" s="3" t="s">
        <v>4575</v>
      </c>
      <c r="I735" s="3" t="s">
        <v>4549</v>
      </c>
      <c r="J735" s="5" t="s">
        <v>4576</v>
      </c>
      <c r="L735" s="3" t="s">
        <v>4577</v>
      </c>
      <c r="M735" s="3">
        <v>9</v>
      </c>
      <c r="N735" s="4" t="s">
        <v>4547</v>
      </c>
      <c r="O735" s="4">
        <v>35</v>
      </c>
      <c r="P735" s="11" t="s">
        <v>1561</v>
      </c>
      <c r="Q735" s="11" t="s">
        <v>10051</v>
      </c>
      <c r="S735" s="4" t="b">
        <f>ISNUMBER(MATCH(Q735,T:T,0))</f>
        <v>1</v>
      </c>
      <c r="T735" s="4" t="s">
        <v>11328</v>
      </c>
      <c r="U735" s="4" t="str">
        <f t="shared" si="38"/>
        <v>何</v>
      </c>
    </row>
    <row r="736" spans="1:22">
      <c r="A736" s="3">
        <v>735</v>
      </c>
      <c r="B736" s="3" t="s">
        <v>4546</v>
      </c>
      <c r="C736" s="3" t="s">
        <v>6067</v>
      </c>
      <c r="D736" s="3" t="s">
        <v>5990</v>
      </c>
      <c r="E736" s="3" t="s">
        <v>5991</v>
      </c>
      <c r="F736" s="3" t="s">
        <v>4547</v>
      </c>
      <c r="G736" s="3" t="s">
        <v>5993</v>
      </c>
      <c r="H736" s="3" t="s">
        <v>4578</v>
      </c>
      <c r="I736" s="3" t="s">
        <v>4549</v>
      </c>
      <c r="J736" s="5" t="s">
        <v>7794</v>
      </c>
      <c r="L736" s="3" t="s">
        <v>4579</v>
      </c>
      <c r="M736" s="3">
        <v>7</v>
      </c>
      <c r="N736" s="4" t="s">
        <v>4547</v>
      </c>
      <c r="O736" s="4">
        <v>35</v>
      </c>
      <c r="P736" s="11" t="s">
        <v>9870</v>
      </c>
      <c r="Q736" s="11" t="s">
        <v>4547</v>
      </c>
      <c r="S736" s="4" t="b">
        <f>ISNUMBER(MATCH(Q736,T:T,0))</f>
        <v>1</v>
      </c>
      <c r="T736" s="4" t="s">
        <v>10051</v>
      </c>
      <c r="U736" s="4" t="str">
        <f t="shared" si="38"/>
        <v>歌</v>
      </c>
    </row>
    <row r="737" spans="1:22">
      <c r="A737" s="3">
        <v>736</v>
      </c>
      <c r="B737" s="3" t="s">
        <v>4546</v>
      </c>
      <c r="C737" s="3" t="s">
        <v>6089</v>
      </c>
      <c r="D737" s="3" t="s">
        <v>5990</v>
      </c>
      <c r="E737" s="3" t="s">
        <v>5991</v>
      </c>
      <c r="F737" s="3" t="s">
        <v>4547</v>
      </c>
      <c r="G737" s="3" t="s">
        <v>5993</v>
      </c>
      <c r="H737" s="3" t="s">
        <v>4580</v>
      </c>
      <c r="I737" s="3" t="s">
        <v>4549</v>
      </c>
      <c r="J737" s="5" t="s">
        <v>7795</v>
      </c>
      <c r="L737" s="3" t="s">
        <v>4581</v>
      </c>
      <c r="M737" s="3">
        <v>5</v>
      </c>
      <c r="N737" s="4" t="s">
        <v>4547</v>
      </c>
      <c r="O737" s="4">
        <v>35</v>
      </c>
      <c r="P737" s="11" t="s">
        <v>10055</v>
      </c>
      <c r="Q737" s="11" t="s">
        <v>10051</v>
      </c>
      <c r="S737" s="4" t="b">
        <f>ISNUMBER(MATCH(Q737,T:T,0))</f>
        <v>1</v>
      </c>
      <c r="T737" s="4" t="s">
        <v>11329</v>
      </c>
      <c r="U737" s="4" t="str">
        <f t="shared" si="38"/>
        <v>何</v>
      </c>
    </row>
    <row r="738" spans="1:22">
      <c r="A738" s="3">
        <v>737</v>
      </c>
      <c r="B738" s="3" t="s">
        <v>4546</v>
      </c>
      <c r="C738" s="3" t="s">
        <v>6038</v>
      </c>
      <c r="D738" s="3" t="s">
        <v>5990</v>
      </c>
      <c r="E738" s="3" t="s">
        <v>5991</v>
      </c>
      <c r="F738" s="3" t="s">
        <v>4547</v>
      </c>
      <c r="G738" s="3" t="s">
        <v>5993</v>
      </c>
      <c r="H738" s="3" t="s">
        <v>4582</v>
      </c>
      <c r="I738" s="3" t="s">
        <v>4549</v>
      </c>
      <c r="J738" s="5" t="s">
        <v>4583</v>
      </c>
      <c r="L738" s="3" t="s">
        <v>4584</v>
      </c>
      <c r="M738" s="3">
        <v>4</v>
      </c>
      <c r="N738" s="4" t="s">
        <v>4547</v>
      </c>
      <c r="O738" s="4">
        <v>35</v>
      </c>
      <c r="P738" s="11" t="s">
        <v>9728</v>
      </c>
      <c r="Q738" s="11" t="s">
        <v>10051</v>
      </c>
      <c r="S738" s="4" t="b">
        <f>ISNUMBER(MATCH(Q738,T:T,0))</f>
        <v>1</v>
      </c>
      <c r="T738" s="4" t="s">
        <v>11330</v>
      </c>
      <c r="U738" s="4" t="str">
        <f t="shared" si="38"/>
        <v>何</v>
      </c>
    </row>
    <row r="739" spans="1:22">
      <c r="A739" s="3">
        <v>738</v>
      </c>
      <c r="B739" s="3" t="s">
        <v>4546</v>
      </c>
      <c r="C739" s="3" t="s">
        <v>6072</v>
      </c>
      <c r="D739" s="3" t="s">
        <v>5990</v>
      </c>
      <c r="E739" s="3" t="s">
        <v>5991</v>
      </c>
      <c r="F739" s="3" t="s">
        <v>4547</v>
      </c>
      <c r="G739" s="3" t="s">
        <v>5993</v>
      </c>
      <c r="H739" s="3" t="s">
        <v>4585</v>
      </c>
      <c r="I739" s="3" t="s">
        <v>4549</v>
      </c>
      <c r="J739" s="5" t="s">
        <v>7796</v>
      </c>
      <c r="L739" s="3" t="s">
        <v>4586</v>
      </c>
      <c r="M739" s="3">
        <v>7</v>
      </c>
      <c r="N739" s="4" t="s">
        <v>4547</v>
      </c>
      <c r="O739" s="4">
        <v>35</v>
      </c>
      <c r="P739" s="11" t="s">
        <v>9734</v>
      </c>
      <c r="Q739" s="11" t="s">
        <v>10051</v>
      </c>
      <c r="S739" s="4" t="b">
        <f>ISNUMBER(MATCH(Q739,T:T,0))</f>
        <v>1</v>
      </c>
      <c r="T739" s="4" t="s">
        <v>11331</v>
      </c>
      <c r="U739" s="4" t="str">
        <f t="shared" si="38"/>
        <v>何</v>
      </c>
    </row>
    <row r="740" spans="1:22">
      <c r="A740" s="3">
        <v>739</v>
      </c>
      <c r="B740" s="3" t="s">
        <v>4587</v>
      </c>
      <c r="C740" s="3" t="s">
        <v>6025</v>
      </c>
      <c r="D740" s="3" t="s">
        <v>5990</v>
      </c>
      <c r="E740" s="3" t="s">
        <v>6212</v>
      </c>
      <c r="F740" s="3" t="s">
        <v>4588</v>
      </c>
      <c r="G740" s="3" t="s">
        <v>5993</v>
      </c>
      <c r="H740" s="3" t="s">
        <v>4589</v>
      </c>
      <c r="I740" s="3" t="s">
        <v>4549</v>
      </c>
      <c r="J740" s="5" t="s">
        <v>7797</v>
      </c>
      <c r="L740" s="3" t="s">
        <v>4591</v>
      </c>
      <c r="M740" s="3">
        <v>15</v>
      </c>
      <c r="N740" s="4" t="s">
        <v>4588</v>
      </c>
      <c r="O740" s="4">
        <v>36</v>
      </c>
      <c r="P740" s="11" t="s">
        <v>9729</v>
      </c>
      <c r="Q740" s="11" t="s">
        <v>10056</v>
      </c>
      <c r="R740" s="4" t="s">
        <v>13046</v>
      </c>
      <c r="S740" s="4" t="b">
        <f>ISNUMBER(MATCH(Q740,T:T,0))</f>
        <v>0</v>
      </c>
      <c r="T740" s="4" t="s">
        <v>4588</v>
      </c>
      <c r="U740" s="4" t="str">
        <f t="shared" si="38"/>
        <v>和</v>
      </c>
      <c r="V740" s="4" t="b">
        <f>ISNUMBER(MATCH(R740,T:T,0))</f>
        <v>1</v>
      </c>
    </row>
    <row r="741" spans="1:22">
      <c r="A741" s="3">
        <v>740</v>
      </c>
      <c r="B741" s="3" t="s">
        <v>4587</v>
      </c>
      <c r="C741" s="3" t="s">
        <v>6076</v>
      </c>
      <c r="D741" s="3" t="s">
        <v>5990</v>
      </c>
      <c r="E741" s="3" t="s">
        <v>6212</v>
      </c>
      <c r="F741" s="3" t="s">
        <v>4588</v>
      </c>
      <c r="G741" s="3" t="s">
        <v>5993</v>
      </c>
      <c r="H741" s="3" t="s">
        <v>4592</v>
      </c>
      <c r="I741" s="3" t="s">
        <v>4549</v>
      </c>
      <c r="J741" s="5" t="s">
        <v>4593</v>
      </c>
      <c r="L741" s="3" t="s">
        <v>4555</v>
      </c>
      <c r="M741" s="3">
        <v>1</v>
      </c>
      <c r="N741" s="4" t="s">
        <v>4588</v>
      </c>
      <c r="O741" s="4">
        <v>36</v>
      </c>
      <c r="P741" s="11" t="s">
        <v>9766</v>
      </c>
      <c r="Q741" s="11" t="s">
        <v>4588</v>
      </c>
      <c r="S741" s="4" t="b">
        <f>ISNUMBER(MATCH(Q741,T:T,0))</f>
        <v>1</v>
      </c>
      <c r="T741" s="4" t="s">
        <v>4593</v>
      </c>
      <c r="U741" s="4" t="str">
        <f t="shared" si="38"/>
        <v>戈</v>
      </c>
    </row>
    <row r="742" spans="1:22">
      <c r="A742" s="3">
        <v>741</v>
      </c>
      <c r="B742" s="3" t="s">
        <v>4587</v>
      </c>
      <c r="C742" s="3" t="s">
        <v>5989</v>
      </c>
      <c r="D742" s="3" t="s">
        <v>5990</v>
      </c>
      <c r="E742" s="3" t="s">
        <v>6212</v>
      </c>
      <c r="F742" s="3" t="s">
        <v>4588</v>
      </c>
      <c r="G742" s="3" t="s">
        <v>5993</v>
      </c>
      <c r="H742" s="3" t="s">
        <v>4595</v>
      </c>
      <c r="I742" s="3" t="s">
        <v>4549</v>
      </c>
      <c r="J742" s="5" t="s">
        <v>7798</v>
      </c>
      <c r="L742" s="3" t="s">
        <v>4559</v>
      </c>
      <c r="M742" s="3">
        <v>2</v>
      </c>
      <c r="N742" s="4" t="s">
        <v>4588</v>
      </c>
      <c r="O742" s="4">
        <v>36</v>
      </c>
      <c r="P742" s="11" t="s">
        <v>9822</v>
      </c>
      <c r="Q742" s="11" t="s">
        <v>4588</v>
      </c>
      <c r="S742" s="4" t="b">
        <f>ISNUMBER(MATCH(Q742,T:T,0))</f>
        <v>1</v>
      </c>
      <c r="T742" s="4" t="s">
        <v>11332</v>
      </c>
      <c r="U742" s="4" t="str">
        <f t="shared" si="38"/>
        <v>戈</v>
      </c>
    </row>
    <row r="743" spans="1:22">
      <c r="A743" s="3">
        <v>742</v>
      </c>
      <c r="B743" s="3" t="s">
        <v>4587</v>
      </c>
      <c r="C743" s="3" t="s">
        <v>6017</v>
      </c>
      <c r="D743" s="3" t="s">
        <v>5990</v>
      </c>
      <c r="E743" s="3" t="s">
        <v>6212</v>
      </c>
      <c r="F743" s="3" t="s">
        <v>4588</v>
      </c>
      <c r="G743" s="3" t="s">
        <v>5993</v>
      </c>
      <c r="H743" s="3" t="s">
        <v>4596</v>
      </c>
      <c r="I743" s="3" t="s">
        <v>4549</v>
      </c>
      <c r="J743" s="5" t="s">
        <v>7799</v>
      </c>
      <c r="K743" s="3" t="s">
        <v>4597</v>
      </c>
      <c r="L743" s="3" t="s">
        <v>4562</v>
      </c>
      <c r="M743" s="3">
        <v>12</v>
      </c>
      <c r="N743" s="4" t="s">
        <v>4588</v>
      </c>
      <c r="O743" s="4">
        <v>36</v>
      </c>
      <c r="P743" s="11" t="s">
        <v>9741</v>
      </c>
      <c r="Q743" s="11" t="s">
        <v>10056</v>
      </c>
      <c r="R743" s="4" t="s">
        <v>13046</v>
      </c>
      <c r="S743" s="4" t="b">
        <f>ISNUMBER(MATCH(Q743,T:T,0))</f>
        <v>0</v>
      </c>
      <c r="T743" s="4" t="s">
        <v>11333</v>
      </c>
      <c r="U743" s="4" t="str">
        <f t="shared" si="38"/>
        <v>和</v>
      </c>
      <c r="V743" s="4" t="b">
        <f>ISNUMBER(MATCH(R743,T:T,0))</f>
        <v>1</v>
      </c>
    </row>
    <row r="744" spans="1:22">
      <c r="A744" s="3">
        <v>743</v>
      </c>
      <c r="B744" s="3" t="s">
        <v>4587</v>
      </c>
      <c r="C744" s="3" t="s">
        <v>6045</v>
      </c>
      <c r="D744" s="3" t="s">
        <v>5990</v>
      </c>
      <c r="E744" s="3" t="s">
        <v>6212</v>
      </c>
      <c r="F744" s="3" t="s">
        <v>4588</v>
      </c>
      <c r="G744" s="3" t="s">
        <v>5993</v>
      </c>
      <c r="H744" s="3" t="s">
        <v>4598</v>
      </c>
      <c r="I744" s="3" t="s">
        <v>4549</v>
      </c>
      <c r="J744" s="5" t="s">
        <v>7800</v>
      </c>
      <c r="L744" s="3" t="s">
        <v>4599</v>
      </c>
      <c r="M744" s="3">
        <v>9</v>
      </c>
      <c r="N744" s="4" t="s">
        <v>4588</v>
      </c>
      <c r="O744" s="4">
        <v>36</v>
      </c>
      <c r="P744" s="11" t="s">
        <v>9738</v>
      </c>
      <c r="Q744" s="11" t="s">
        <v>10057</v>
      </c>
      <c r="S744" s="4" t="b">
        <f>ISNUMBER(MATCH(Q744,T:T,0))</f>
        <v>1</v>
      </c>
      <c r="T744" s="4" t="s">
        <v>10059</v>
      </c>
      <c r="U744" s="4" t="str">
        <f t="shared" si="38"/>
        <v>波</v>
      </c>
    </row>
    <row r="745" spans="1:22">
      <c r="A745" s="3">
        <v>744</v>
      </c>
      <c r="B745" s="3" t="s">
        <v>4587</v>
      </c>
      <c r="C745" s="3" t="s">
        <v>5997</v>
      </c>
      <c r="D745" s="3" t="s">
        <v>5990</v>
      </c>
      <c r="E745" s="3" t="s">
        <v>6212</v>
      </c>
      <c r="F745" s="3" t="s">
        <v>4588</v>
      </c>
      <c r="G745" s="3" t="s">
        <v>5993</v>
      </c>
      <c r="H745" s="3" t="s">
        <v>4600</v>
      </c>
      <c r="I745" s="3" t="s">
        <v>4549</v>
      </c>
      <c r="J745" s="5" t="s">
        <v>4601</v>
      </c>
      <c r="L745" s="3" t="s">
        <v>4565</v>
      </c>
      <c r="M745" s="3">
        <v>3</v>
      </c>
      <c r="N745" s="4" t="s">
        <v>4588</v>
      </c>
      <c r="O745" s="4">
        <v>36</v>
      </c>
      <c r="P745" s="11" t="s">
        <v>9706</v>
      </c>
      <c r="Q745" s="11" t="s">
        <v>10058</v>
      </c>
      <c r="S745" s="4" t="b">
        <f>ISNUMBER(MATCH(Q745,T:T,0))</f>
        <v>1</v>
      </c>
      <c r="T745" s="4" t="s">
        <v>11334</v>
      </c>
      <c r="U745" s="4" t="str">
        <f t="shared" si="38"/>
        <v>和</v>
      </c>
    </row>
    <row r="746" spans="1:22">
      <c r="A746" s="3">
        <v>745</v>
      </c>
      <c r="B746" s="3" t="s">
        <v>4587</v>
      </c>
      <c r="C746" s="3" t="s">
        <v>6035</v>
      </c>
      <c r="D746" s="3" t="s">
        <v>5990</v>
      </c>
      <c r="E746" s="3" t="s">
        <v>6212</v>
      </c>
      <c r="F746" s="3" t="s">
        <v>4588</v>
      </c>
      <c r="G746" s="3" t="s">
        <v>5993</v>
      </c>
      <c r="H746" s="3" t="s">
        <v>4602</v>
      </c>
      <c r="I746" s="3" t="s">
        <v>4549</v>
      </c>
      <c r="J746" s="5" t="s">
        <v>4603</v>
      </c>
      <c r="L746" s="3" t="s">
        <v>4604</v>
      </c>
      <c r="M746" s="3">
        <v>11</v>
      </c>
      <c r="N746" s="4" t="s">
        <v>4588</v>
      </c>
      <c r="O746" s="4">
        <v>36</v>
      </c>
      <c r="P746" s="11" t="s">
        <v>9719</v>
      </c>
      <c r="Q746" s="11" t="s">
        <v>10059</v>
      </c>
      <c r="S746" s="4" t="b">
        <f>ISNUMBER(MATCH(Q746,T:T,0))</f>
        <v>1</v>
      </c>
      <c r="T746" s="4" t="s">
        <v>11335</v>
      </c>
      <c r="U746" s="4" t="str">
        <f t="shared" si="38"/>
        <v>婆</v>
      </c>
    </row>
    <row r="747" spans="1:22">
      <c r="A747" s="3">
        <v>746</v>
      </c>
      <c r="B747" s="3" t="s">
        <v>4587</v>
      </c>
      <c r="C747" s="3" t="s">
        <v>6069</v>
      </c>
      <c r="D747" s="3" t="s">
        <v>5990</v>
      </c>
      <c r="E747" s="3" t="s">
        <v>6212</v>
      </c>
      <c r="F747" s="3" t="s">
        <v>4588</v>
      </c>
      <c r="G747" s="3" t="s">
        <v>5993</v>
      </c>
      <c r="H747" s="3" t="s">
        <v>4605</v>
      </c>
      <c r="I747" s="3" t="s">
        <v>4549</v>
      </c>
      <c r="J747" s="5" t="s">
        <v>7801</v>
      </c>
      <c r="L747" s="3" t="s">
        <v>4568</v>
      </c>
      <c r="M747" s="3">
        <v>5</v>
      </c>
      <c r="N747" s="4" t="s">
        <v>4588</v>
      </c>
      <c r="O747" s="4">
        <v>36</v>
      </c>
      <c r="P747" s="11" t="s">
        <v>9880</v>
      </c>
      <c r="Q747" s="11" t="s">
        <v>10056</v>
      </c>
      <c r="R747" s="4" t="s">
        <v>13046</v>
      </c>
      <c r="S747" s="4" t="b">
        <f>ISNUMBER(MATCH(Q747,T:T,0))</f>
        <v>0</v>
      </c>
      <c r="T747" s="4" t="s">
        <v>11336</v>
      </c>
      <c r="U747" s="4" t="str">
        <f t="shared" si="38"/>
        <v>和</v>
      </c>
      <c r="V747" s="4" t="b">
        <f t="shared" ref="V747:V749" si="39">ISNUMBER(MATCH(R747,T:T,0))</f>
        <v>1</v>
      </c>
    </row>
    <row r="748" spans="1:22">
      <c r="A748" s="3">
        <v>747</v>
      </c>
      <c r="B748" s="3" t="s">
        <v>4587</v>
      </c>
      <c r="C748" s="3" t="s">
        <v>6092</v>
      </c>
      <c r="D748" s="3" t="s">
        <v>5990</v>
      </c>
      <c r="E748" s="3" t="s">
        <v>6212</v>
      </c>
      <c r="F748" s="3" t="s">
        <v>4588</v>
      </c>
      <c r="G748" s="3" t="s">
        <v>5993</v>
      </c>
      <c r="H748" s="3" t="s">
        <v>4606</v>
      </c>
      <c r="I748" s="3" t="s">
        <v>4549</v>
      </c>
      <c r="J748" s="5" t="s">
        <v>7802</v>
      </c>
      <c r="L748" s="3" t="s">
        <v>4607</v>
      </c>
      <c r="M748" s="3">
        <v>7</v>
      </c>
      <c r="N748" s="4" t="s">
        <v>4588</v>
      </c>
      <c r="O748" s="4">
        <v>36</v>
      </c>
      <c r="P748" s="11" t="s">
        <v>9740</v>
      </c>
      <c r="Q748" s="11" t="s">
        <v>10056</v>
      </c>
      <c r="R748" s="4" t="s">
        <v>13046</v>
      </c>
      <c r="S748" s="4" t="b">
        <f>ISNUMBER(MATCH(Q748,T:T,0))</f>
        <v>0</v>
      </c>
      <c r="T748" s="4" t="s">
        <v>11337</v>
      </c>
      <c r="U748" s="4" t="str">
        <f t="shared" si="38"/>
        <v>和</v>
      </c>
      <c r="V748" s="4" t="b">
        <f t="shared" si="39"/>
        <v>1</v>
      </c>
    </row>
    <row r="749" spans="1:22">
      <c r="A749" s="3">
        <v>748</v>
      </c>
      <c r="B749" s="3" t="s">
        <v>4587</v>
      </c>
      <c r="C749" s="3" t="s">
        <v>6079</v>
      </c>
      <c r="D749" s="3" t="s">
        <v>5990</v>
      </c>
      <c r="E749" s="3" t="s">
        <v>6212</v>
      </c>
      <c r="F749" s="3" t="s">
        <v>4588</v>
      </c>
      <c r="G749" s="3" t="s">
        <v>5993</v>
      </c>
      <c r="H749" s="3" t="s">
        <v>4608</v>
      </c>
      <c r="I749" s="3" t="s">
        <v>4549</v>
      </c>
      <c r="J749" s="5" t="s">
        <v>7803</v>
      </c>
      <c r="L749" s="3" t="s">
        <v>4572</v>
      </c>
      <c r="M749" s="3">
        <v>5</v>
      </c>
      <c r="N749" s="4" t="s">
        <v>4588</v>
      </c>
      <c r="O749" s="4">
        <v>36</v>
      </c>
      <c r="P749" s="11" t="s">
        <v>9892</v>
      </c>
      <c r="Q749" s="11" t="s">
        <v>10056</v>
      </c>
      <c r="R749" s="4" t="s">
        <v>13046</v>
      </c>
      <c r="S749" s="4" t="b">
        <f>ISNUMBER(MATCH(Q749,T:T,0))</f>
        <v>0</v>
      </c>
      <c r="T749" s="4" t="s">
        <v>10985</v>
      </c>
      <c r="U749" s="4" t="str">
        <f t="shared" si="38"/>
        <v>和</v>
      </c>
      <c r="V749" s="4" t="b">
        <f t="shared" si="39"/>
        <v>1</v>
      </c>
    </row>
    <row r="750" spans="1:22" ht="39">
      <c r="A750" s="3">
        <v>749</v>
      </c>
      <c r="B750" s="3" t="s">
        <v>4587</v>
      </c>
      <c r="C750" s="3" t="s">
        <v>6058</v>
      </c>
      <c r="D750" s="3" t="s">
        <v>5990</v>
      </c>
      <c r="E750" s="3" t="s">
        <v>6212</v>
      </c>
      <c r="F750" s="3" t="s">
        <v>4588</v>
      </c>
      <c r="G750" s="3" t="s">
        <v>5993</v>
      </c>
      <c r="H750" s="3" t="s">
        <v>4609</v>
      </c>
      <c r="I750" s="3" t="s">
        <v>4549</v>
      </c>
      <c r="J750" s="5" t="s">
        <v>7804</v>
      </c>
      <c r="L750" s="3" t="s">
        <v>4574</v>
      </c>
      <c r="M750" s="3">
        <v>16</v>
      </c>
      <c r="N750" s="4" t="s">
        <v>4588</v>
      </c>
      <c r="O750" s="4">
        <v>36</v>
      </c>
      <c r="P750" s="11" t="s">
        <v>9877</v>
      </c>
      <c r="Q750" s="11" t="s">
        <v>4588</v>
      </c>
      <c r="S750" s="4" t="b">
        <f>ISNUMBER(MATCH(Q750,T:T,0))</f>
        <v>1</v>
      </c>
      <c r="T750" s="4" t="s">
        <v>11338</v>
      </c>
      <c r="U750" s="4" t="str">
        <f t="shared" si="38"/>
        <v>戈</v>
      </c>
    </row>
    <row r="751" spans="1:22">
      <c r="A751" s="3">
        <v>750</v>
      </c>
      <c r="B751" s="3" t="s">
        <v>4587</v>
      </c>
      <c r="C751" s="3" t="s">
        <v>6102</v>
      </c>
      <c r="D751" s="3" t="s">
        <v>5990</v>
      </c>
      <c r="E751" s="3" t="s">
        <v>6212</v>
      </c>
      <c r="F751" s="3" t="s">
        <v>4588</v>
      </c>
      <c r="G751" s="3" t="s">
        <v>5993</v>
      </c>
      <c r="H751" s="3" t="s">
        <v>4610</v>
      </c>
      <c r="I751" s="3" t="s">
        <v>4549</v>
      </c>
      <c r="J751" s="5" t="s">
        <v>4611</v>
      </c>
      <c r="L751" s="3" t="s">
        <v>4577</v>
      </c>
      <c r="M751" s="3">
        <v>2</v>
      </c>
      <c r="N751" s="4" t="s">
        <v>4588</v>
      </c>
      <c r="O751" s="4">
        <v>36</v>
      </c>
      <c r="P751" s="11" t="s">
        <v>9744</v>
      </c>
      <c r="Q751" s="11" t="s">
        <v>10056</v>
      </c>
      <c r="R751" s="4" t="s">
        <v>13046</v>
      </c>
      <c r="S751" s="4" t="b">
        <f>ISNUMBER(MATCH(Q751,T:T,0))</f>
        <v>0</v>
      </c>
      <c r="T751" s="4" t="s">
        <v>11339</v>
      </c>
      <c r="U751" s="4" t="str">
        <f t="shared" si="38"/>
        <v>和</v>
      </c>
      <c r="V751" s="4" t="b">
        <f t="shared" ref="V751:V753" si="40">ISNUMBER(MATCH(R751,T:T,0))</f>
        <v>1</v>
      </c>
    </row>
    <row r="752" spans="1:22">
      <c r="A752" s="3">
        <v>751</v>
      </c>
      <c r="B752" s="3" t="s">
        <v>4587</v>
      </c>
      <c r="C752" s="3" t="s">
        <v>6049</v>
      </c>
      <c r="D752" s="3" t="s">
        <v>5990</v>
      </c>
      <c r="E752" s="3" t="s">
        <v>6212</v>
      </c>
      <c r="F752" s="3" t="s">
        <v>4588</v>
      </c>
      <c r="G752" s="3" t="s">
        <v>5993</v>
      </c>
      <c r="H752" s="3" t="s">
        <v>4612</v>
      </c>
      <c r="I752" s="3" t="s">
        <v>4549</v>
      </c>
      <c r="J752" s="5" t="s">
        <v>7805</v>
      </c>
      <c r="L752" s="3" t="s">
        <v>4613</v>
      </c>
      <c r="M752" s="3">
        <v>6</v>
      </c>
      <c r="N752" s="4" t="s">
        <v>4588</v>
      </c>
      <c r="O752" s="4">
        <v>36</v>
      </c>
      <c r="P752" s="11" t="s">
        <v>9770</v>
      </c>
      <c r="Q752" s="11" t="s">
        <v>10056</v>
      </c>
      <c r="R752" s="4" t="s">
        <v>13046</v>
      </c>
      <c r="S752" s="4" t="b">
        <f>ISNUMBER(MATCH(Q752,T:T,0))</f>
        <v>0</v>
      </c>
      <c r="T752" s="4" t="s">
        <v>10057</v>
      </c>
      <c r="U752" s="4" t="str">
        <f t="shared" si="38"/>
        <v>和</v>
      </c>
      <c r="V752" s="4" t="b">
        <f t="shared" si="40"/>
        <v>1</v>
      </c>
    </row>
    <row r="753" spans="1:22">
      <c r="A753" s="3">
        <v>752</v>
      </c>
      <c r="B753" s="3" t="s">
        <v>4587</v>
      </c>
      <c r="C753" s="3" t="s">
        <v>6053</v>
      </c>
      <c r="D753" s="3" t="s">
        <v>5990</v>
      </c>
      <c r="E753" s="3" t="s">
        <v>6212</v>
      </c>
      <c r="F753" s="3" t="s">
        <v>4588</v>
      </c>
      <c r="G753" s="3" t="s">
        <v>5993</v>
      </c>
      <c r="H753" s="3" t="s">
        <v>4614</v>
      </c>
      <c r="I753" s="3" t="s">
        <v>4549</v>
      </c>
      <c r="J753" s="5" t="s">
        <v>4615</v>
      </c>
      <c r="L753" s="3" t="s">
        <v>4616</v>
      </c>
      <c r="M753" s="3">
        <v>4</v>
      </c>
      <c r="N753" s="4" t="s">
        <v>4588</v>
      </c>
      <c r="O753" s="4">
        <v>36</v>
      </c>
      <c r="P753" s="11" t="s">
        <v>6053</v>
      </c>
      <c r="Q753" s="11" t="s">
        <v>10056</v>
      </c>
      <c r="R753" s="4" t="s">
        <v>13046</v>
      </c>
      <c r="S753" s="4" t="b">
        <f>ISNUMBER(MATCH(Q753,T:T,0))</f>
        <v>0</v>
      </c>
      <c r="T753" s="4" t="s">
        <v>11340</v>
      </c>
      <c r="U753" s="4" t="str">
        <f t="shared" si="38"/>
        <v>和</v>
      </c>
      <c r="V753" s="4" t="b">
        <f t="shared" si="40"/>
        <v>1</v>
      </c>
    </row>
    <row r="754" spans="1:22">
      <c r="A754" s="3">
        <v>753</v>
      </c>
      <c r="B754" s="3" t="s">
        <v>4587</v>
      </c>
      <c r="C754" s="3" t="s">
        <v>6067</v>
      </c>
      <c r="D754" s="3" t="s">
        <v>5990</v>
      </c>
      <c r="E754" s="3" t="s">
        <v>6212</v>
      </c>
      <c r="F754" s="3" t="s">
        <v>4588</v>
      </c>
      <c r="G754" s="3" t="s">
        <v>5993</v>
      </c>
      <c r="H754" s="7" t="s">
        <v>707</v>
      </c>
      <c r="I754" s="3" t="s">
        <v>4549</v>
      </c>
      <c r="J754" s="5" t="s">
        <v>7806</v>
      </c>
      <c r="L754" s="3" t="s">
        <v>4617</v>
      </c>
      <c r="M754" s="3">
        <v>9</v>
      </c>
      <c r="N754" s="4" t="s">
        <v>4588</v>
      </c>
      <c r="O754" s="4">
        <v>36</v>
      </c>
      <c r="P754" s="11" t="s">
        <v>9731</v>
      </c>
      <c r="Q754" s="11" t="s">
        <v>4588</v>
      </c>
      <c r="S754" s="4" t="b">
        <f>ISNUMBER(MATCH(Q754,T:T,0))</f>
        <v>1</v>
      </c>
      <c r="T754" s="4" t="s">
        <v>10058</v>
      </c>
      <c r="U754" s="4" t="str">
        <f t="shared" si="38"/>
        <v>戈</v>
      </c>
    </row>
    <row r="755" spans="1:22">
      <c r="A755" s="3">
        <v>754</v>
      </c>
      <c r="B755" s="3" t="s">
        <v>4587</v>
      </c>
      <c r="C755" s="3" t="s">
        <v>6038</v>
      </c>
      <c r="D755" s="3" t="s">
        <v>5990</v>
      </c>
      <c r="E755" s="3" t="s">
        <v>6212</v>
      </c>
      <c r="F755" s="3" t="s">
        <v>4588</v>
      </c>
      <c r="G755" s="3" t="s">
        <v>5993</v>
      </c>
      <c r="H755" s="3" t="s">
        <v>4618</v>
      </c>
      <c r="I755" s="3" t="s">
        <v>4549</v>
      </c>
      <c r="J755" s="5" t="s">
        <v>7807</v>
      </c>
      <c r="L755" s="3" t="s">
        <v>4619</v>
      </c>
      <c r="M755" s="3">
        <v>14</v>
      </c>
      <c r="N755" s="4" t="s">
        <v>4588</v>
      </c>
      <c r="O755" s="4">
        <v>36</v>
      </c>
      <c r="P755" s="11" t="s">
        <v>9728</v>
      </c>
      <c r="Q755" s="11" t="s">
        <v>10056</v>
      </c>
      <c r="R755" s="4" t="s">
        <v>13046</v>
      </c>
      <c r="S755" s="4" t="b">
        <f>ISNUMBER(MATCH(Q755,T:T,0))</f>
        <v>0</v>
      </c>
      <c r="T755" s="4" t="s">
        <v>11341</v>
      </c>
      <c r="U755" s="4" t="str">
        <f t="shared" si="38"/>
        <v>和</v>
      </c>
      <c r="V755" s="4" t="b">
        <f t="shared" ref="V755:V756" si="41">ISNUMBER(MATCH(R755,T:T,0))</f>
        <v>1</v>
      </c>
    </row>
    <row r="756" spans="1:22">
      <c r="A756" s="3">
        <v>755</v>
      </c>
      <c r="B756" s="3" t="s">
        <v>4587</v>
      </c>
      <c r="C756" s="3" t="s">
        <v>6072</v>
      </c>
      <c r="D756" s="3" t="s">
        <v>5990</v>
      </c>
      <c r="E756" s="3" t="s">
        <v>6212</v>
      </c>
      <c r="F756" s="3" t="s">
        <v>4588</v>
      </c>
      <c r="G756" s="3" t="s">
        <v>5993</v>
      </c>
      <c r="H756" s="3" t="s">
        <v>4620</v>
      </c>
      <c r="I756" s="3" t="s">
        <v>4549</v>
      </c>
      <c r="J756" s="5" t="s">
        <v>7808</v>
      </c>
      <c r="L756" s="3" t="s">
        <v>4621</v>
      </c>
      <c r="M756" s="3">
        <v>7</v>
      </c>
      <c r="N756" s="4" t="s">
        <v>4588</v>
      </c>
      <c r="O756" s="4">
        <v>36</v>
      </c>
      <c r="P756" s="11" t="s">
        <v>9734</v>
      </c>
      <c r="Q756" s="11" t="s">
        <v>10056</v>
      </c>
      <c r="R756" s="4" t="s">
        <v>13046</v>
      </c>
      <c r="S756" s="4" t="b">
        <f>ISNUMBER(MATCH(Q756,T:T,0))</f>
        <v>0</v>
      </c>
      <c r="T756" s="4" t="s">
        <v>11342</v>
      </c>
      <c r="U756" s="4" t="str">
        <f t="shared" si="38"/>
        <v>和</v>
      </c>
      <c r="V756" s="4" t="b">
        <f t="shared" si="41"/>
        <v>1</v>
      </c>
    </row>
    <row r="757" spans="1:22">
      <c r="A757" s="3">
        <v>756</v>
      </c>
      <c r="B757" s="3" t="s">
        <v>4587</v>
      </c>
      <c r="C757" s="3" t="s">
        <v>6089</v>
      </c>
      <c r="D757" s="3" t="s">
        <v>6001</v>
      </c>
      <c r="E757" s="3" t="s">
        <v>6212</v>
      </c>
      <c r="F757" s="3" t="s">
        <v>4588</v>
      </c>
      <c r="G757" s="3" t="s">
        <v>5993</v>
      </c>
      <c r="H757" s="3" t="s">
        <v>4622</v>
      </c>
      <c r="I757" s="3" t="s">
        <v>4549</v>
      </c>
      <c r="J757" s="5" t="s">
        <v>7809</v>
      </c>
      <c r="L757" s="3" t="s">
        <v>4623</v>
      </c>
      <c r="M757" s="3">
        <v>4</v>
      </c>
      <c r="N757" s="4" t="s">
        <v>4588</v>
      </c>
      <c r="O757" s="4">
        <v>36</v>
      </c>
      <c r="P757" s="11" t="s">
        <v>9753</v>
      </c>
      <c r="Q757" s="11" t="s">
        <v>10060</v>
      </c>
      <c r="S757" s="4" t="b">
        <f>ISNUMBER(MATCH(Q757,T:T,0))</f>
        <v>1</v>
      </c>
      <c r="T757" s="4" t="s">
        <v>10061</v>
      </c>
      <c r="U757" s="4" t="str">
        <f t="shared" si="38"/>
        <v>𦚢</v>
      </c>
    </row>
    <row r="758" spans="1:22">
      <c r="A758" s="3">
        <v>757</v>
      </c>
      <c r="B758" s="3" t="s">
        <v>4587</v>
      </c>
      <c r="C758" s="3" t="s">
        <v>6072</v>
      </c>
      <c r="D758" s="3" t="s">
        <v>6001</v>
      </c>
      <c r="E758" s="3" t="s">
        <v>6212</v>
      </c>
      <c r="F758" s="3" t="s">
        <v>4588</v>
      </c>
      <c r="G758" s="3" t="s">
        <v>5993</v>
      </c>
      <c r="H758" s="3" t="s">
        <v>4624</v>
      </c>
      <c r="I758" s="3" t="s">
        <v>4549</v>
      </c>
      <c r="J758" s="5" t="s">
        <v>4625</v>
      </c>
      <c r="L758" s="3" t="s">
        <v>4626</v>
      </c>
      <c r="M758" s="3">
        <v>2</v>
      </c>
      <c r="N758" s="4" t="s">
        <v>4588</v>
      </c>
      <c r="O758" s="4">
        <v>36</v>
      </c>
      <c r="P758" s="11" t="s">
        <v>9754</v>
      </c>
      <c r="Q758" s="11" t="s">
        <v>10061</v>
      </c>
      <c r="S758" s="4" t="b">
        <f>ISNUMBER(MATCH(Q758,T:T,0))</f>
        <v>1</v>
      </c>
      <c r="T758" s="4" t="s">
        <v>10060</v>
      </c>
      <c r="U758" s="4" t="str">
        <f t="shared" si="38"/>
        <v>靴</v>
      </c>
    </row>
    <row r="759" spans="1:22">
      <c r="A759" s="3">
        <v>758</v>
      </c>
      <c r="B759" s="3" t="s">
        <v>4587</v>
      </c>
      <c r="C759" s="3" t="s">
        <v>6038</v>
      </c>
      <c r="D759" s="3" t="s">
        <v>6001</v>
      </c>
      <c r="E759" s="3" t="s">
        <v>6212</v>
      </c>
      <c r="F759" s="3" t="s">
        <v>4588</v>
      </c>
      <c r="G759" s="3" t="s">
        <v>5993</v>
      </c>
      <c r="H759" s="3" t="s">
        <v>4627</v>
      </c>
      <c r="I759" s="3" t="s">
        <v>4549</v>
      </c>
      <c r="J759" s="5" t="s">
        <v>4628</v>
      </c>
      <c r="L759" s="3" t="s">
        <v>4629</v>
      </c>
      <c r="M759" s="3">
        <v>2</v>
      </c>
      <c r="N759" s="4" t="s">
        <v>4588</v>
      </c>
      <c r="O759" s="4">
        <v>36</v>
      </c>
      <c r="P759" s="11" t="s">
        <v>4210</v>
      </c>
      <c r="Q759" s="11" t="s">
        <v>10061</v>
      </c>
      <c r="S759" s="4" t="b">
        <f>ISNUMBER(MATCH(Q759,T:T,0))</f>
        <v>1</v>
      </c>
      <c r="T759" s="4" t="s">
        <v>11343</v>
      </c>
      <c r="U759" s="4" t="str">
        <f t="shared" si="38"/>
        <v>靴</v>
      </c>
    </row>
    <row r="760" spans="1:22">
      <c r="A760" s="3">
        <v>759</v>
      </c>
      <c r="B760" s="3" t="s">
        <v>4587</v>
      </c>
      <c r="C760" s="3" t="s">
        <v>6041</v>
      </c>
      <c r="D760" s="3" t="s">
        <v>6001</v>
      </c>
      <c r="E760" s="3" t="s">
        <v>5991</v>
      </c>
      <c r="F760" s="3" t="s">
        <v>4588</v>
      </c>
      <c r="G760" s="3" t="s">
        <v>5993</v>
      </c>
      <c r="H760" s="3" t="s">
        <v>4630</v>
      </c>
      <c r="I760" s="3" t="s">
        <v>4549</v>
      </c>
      <c r="J760" s="5" t="s">
        <v>4631</v>
      </c>
      <c r="L760" s="3" t="s">
        <v>4632</v>
      </c>
      <c r="M760" s="3">
        <v>3</v>
      </c>
      <c r="N760" s="4" t="s">
        <v>4588</v>
      </c>
      <c r="O760" s="4">
        <v>36</v>
      </c>
      <c r="P760" s="11" t="s">
        <v>10062</v>
      </c>
      <c r="Q760" s="11" t="s">
        <v>4637</v>
      </c>
      <c r="S760" s="4" t="b">
        <f>ISNUMBER(MATCH(Q760,T:T,0))</f>
        <v>1</v>
      </c>
      <c r="T760" s="4" t="s">
        <v>10063</v>
      </c>
      <c r="U760" s="4" t="str">
        <f t="shared" si="38"/>
        <v>迦</v>
      </c>
    </row>
    <row r="761" spans="1:22">
      <c r="A761" s="3">
        <v>760</v>
      </c>
      <c r="B761" s="3" t="s">
        <v>4587</v>
      </c>
      <c r="C761" s="3" t="s">
        <v>6038</v>
      </c>
      <c r="D761" s="3" t="s">
        <v>6001</v>
      </c>
      <c r="E761" s="3" t="s">
        <v>5991</v>
      </c>
      <c r="F761" s="3" t="s">
        <v>4588</v>
      </c>
      <c r="G761" s="3" t="s">
        <v>5993</v>
      </c>
      <c r="H761" s="3" t="s">
        <v>4633</v>
      </c>
      <c r="I761" s="3" t="s">
        <v>4549</v>
      </c>
      <c r="J761" s="5" t="s">
        <v>4634</v>
      </c>
      <c r="L761" s="3" t="s">
        <v>2982</v>
      </c>
      <c r="M761" s="3">
        <v>4</v>
      </c>
      <c r="N761" s="4" t="s">
        <v>4588</v>
      </c>
      <c r="O761" s="4">
        <v>36</v>
      </c>
      <c r="P761" s="11" t="s">
        <v>9825</v>
      </c>
      <c r="Q761" s="11" t="s">
        <v>10063</v>
      </c>
      <c r="S761" s="4" t="b">
        <f>ISNUMBER(MATCH(Q761,T:T,0))</f>
        <v>1</v>
      </c>
      <c r="T761" s="4" t="s">
        <v>11344</v>
      </c>
      <c r="U761" s="4" t="str">
        <f t="shared" si="38"/>
        <v>伽</v>
      </c>
    </row>
    <row r="762" spans="1:22">
      <c r="A762" s="3">
        <v>761</v>
      </c>
      <c r="B762" s="3" t="s">
        <v>4587</v>
      </c>
      <c r="C762" s="3" t="s">
        <v>6025</v>
      </c>
      <c r="D762" s="3" t="s">
        <v>6001</v>
      </c>
      <c r="E762" s="3" t="s">
        <v>5991</v>
      </c>
      <c r="F762" s="3" t="s">
        <v>4588</v>
      </c>
      <c r="G762" s="3" t="s">
        <v>5993</v>
      </c>
      <c r="H762" s="3" t="s">
        <v>4636</v>
      </c>
      <c r="I762" s="3" t="s">
        <v>4549</v>
      </c>
      <c r="J762" s="5" t="s">
        <v>4637</v>
      </c>
      <c r="L762" s="3" t="s">
        <v>2942</v>
      </c>
      <c r="M762" s="3">
        <v>1</v>
      </c>
      <c r="N762" s="4" t="s">
        <v>4588</v>
      </c>
      <c r="O762" s="4">
        <v>36</v>
      </c>
      <c r="P762" s="11" t="s">
        <v>9717</v>
      </c>
      <c r="Q762" s="11" t="s">
        <v>10063</v>
      </c>
      <c r="S762" s="4" t="b">
        <f>ISNUMBER(MATCH(Q762,T:T,0))</f>
        <v>1</v>
      </c>
      <c r="T762" s="4" t="s">
        <v>4637</v>
      </c>
      <c r="U762" s="4" t="str">
        <f t="shared" si="38"/>
        <v>伽</v>
      </c>
    </row>
    <row r="763" spans="1:22">
      <c r="A763" s="3">
        <v>762</v>
      </c>
      <c r="B763" s="3" t="s">
        <v>4587</v>
      </c>
      <c r="C763" s="3" t="s">
        <v>6076</v>
      </c>
      <c r="D763" s="3" t="s">
        <v>6001</v>
      </c>
      <c r="E763" s="3" t="s">
        <v>6212</v>
      </c>
      <c r="F763" s="3" t="s">
        <v>4588</v>
      </c>
      <c r="G763" s="3" t="s">
        <v>5993</v>
      </c>
      <c r="H763" s="3" t="s">
        <v>4638</v>
      </c>
      <c r="I763" s="3" t="s">
        <v>4549</v>
      </c>
      <c r="J763" s="5" t="s">
        <v>4639</v>
      </c>
      <c r="L763" s="3" t="s">
        <v>4629</v>
      </c>
      <c r="M763" s="3">
        <v>2</v>
      </c>
      <c r="N763" s="4" t="s">
        <v>4588</v>
      </c>
      <c r="O763" s="4">
        <v>36</v>
      </c>
      <c r="P763" s="11" t="s">
        <v>10064</v>
      </c>
      <c r="Q763" s="11" t="s">
        <v>10063</v>
      </c>
      <c r="S763" s="4" t="b">
        <f>ISNUMBER(MATCH(Q763,T:T,0))</f>
        <v>1</v>
      </c>
      <c r="T763" s="4" t="s">
        <v>11345</v>
      </c>
      <c r="U763" s="4" t="str">
        <f t="shared" si="38"/>
        <v>伽</v>
      </c>
    </row>
    <row r="764" spans="1:22">
      <c r="A764" s="3">
        <v>763</v>
      </c>
      <c r="B764" s="3" t="s">
        <v>4587</v>
      </c>
      <c r="C764" s="3" t="s">
        <v>6083</v>
      </c>
      <c r="D764" s="3" t="s">
        <v>6001</v>
      </c>
      <c r="E764" s="3" t="s">
        <v>6212</v>
      </c>
      <c r="F764" s="3" t="s">
        <v>4588</v>
      </c>
      <c r="G764" s="3" t="s">
        <v>5993</v>
      </c>
      <c r="H764" s="3" t="s">
        <v>4640</v>
      </c>
      <c r="I764" s="3" t="s">
        <v>4549</v>
      </c>
      <c r="J764" s="5" t="s">
        <v>4641</v>
      </c>
      <c r="L764" s="3" t="s">
        <v>4642</v>
      </c>
      <c r="M764" s="3">
        <v>2</v>
      </c>
      <c r="N764" s="4" t="s">
        <v>4588</v>
      </c>
      <c r="O764" s="4">
        <v>36</v>
      </c>
      <c r="P764" s="11" t="s">
        <v>9737</v>
      </c>
      <c r="Q764" s="11" t="s">
        <v>10065</v>
      </c>
      <c r="S764" s="4" t="b">
        <f>ISNUMBER(MATCH(Q764,T:T,0))</f>
        <v>0</v>
      </c>
      <c r="T764" s="4" t="s">
        <v>11346</v>
      </c>
      <c r="U764" s="4" t="str">
        <f t="shared" si="38"/>
        <v>𩩆</v>
      </c>
      <c r="V764" s="4" t="b">
        <f>ISNUMBER(MATCH(R764,T:T,0))</f>
        <v>0</v>
      </c>
    </row>
    <row r="765" spans="1:22">
      <c r="A765" s="3">
        <v>764</v>
      </c>
      <c r="B765" s="3" t="s">
        <v>4587</v>
      </c>
      <c r="C765" s="3" t="s">
        <v>6041</v>
      </c>
      <c r="D765" s="3" t="s">
        <v>6001</v>
      </c>
      <c r="E765" s="3" t="s">
        <v>6212</v>
      </c>
      <c r="F765" s="3" t="s">
        <v>4588</v>
      </c>
      <c r="G765" s="3" t="s">
        <v>5993</v>
      </c>
      <c r="H765" s="3" t="s">
        <v>4643</v>
      </c>
      <c r="I765" s="3" t="s">
        <v>4549</v>
      </c>
      <c r="J765" s="5" t="s">
        <v>4644</v>
      </c>
      <c r="L765" s="3" t="s">
        <v>4645</v>
      </c>
      <c r="M765" s="3">
        <v>1</v>
      </c>
      <c r="N765" s="4" t="s">
        <v>4588</v>
      </c>
      <c r="O765" s="4">
        <v>36</v>
      </c>
      <c r="P765" s="11" t="s">
        <v>9789</v>
      </c>
      <c r="Q765" s="11" t="s">
        <v>10061</v>
      </c>
      <c r="S765" s="4" t="b">
        <f>ISNUMBER(MATCH(Q765,T:T,0))</f>
        <v>1</v>
      </c>
      <c r="T765" s="4" t="s">
        <v>4644</v>
      </c>
      <c r="U765" s="4" t="str">
        <f t="shared" si="38"/>
        <v>靴</v>
      </c>
    </row>
    <row r="766" spans="1:22">
      <c r="A766" s="3">
        <v>765</v>
      </c>
      <c r="B766" s="3" t="s">
        <v>4587</v>
      </c>
      <c r="C766" s="3" t="s">
        <v>6058</v>
      </c>
      <c r="D766" s="3" t="s">
        <v>6001</v>
      </c>
      <c r="E766" s="3" t="s">
        <v>6212</v>
      </c>
      <c r="F766" s="3" t="s">
        <v>4588</v>
      </c>
      <c r="G766" s="3" t="s">
        <v>5993</v>
      </c>
      <c r="H766" s="3" t="s">
        <v>4646</v>
      </c>
      <c r="I766" s="3" t="s">
        <v>4549</v>
      </c>
      <c r="J766" s="5" t="s">
        <v>4647</v>
      </c>
      <c r="L766" s="3" t="s">
        <v>4648</v>
      </c>
      <c r="M766" s="3">
        <v>1</v>
      </c>
      <c r="N766" s="4" t="s">
        <v>4588</v>
      </c>
      <c r="O766" s="4">
        <v>36</v>
      </c>
      <c r="P766" s="11" t="s">
        <v>10066</v>
      </c>
      <c r="Q766" s="11" t="s">
        <v>10067</v>
      </c>
      <c r="R766" s="12" t="s">
        <v>13047</v>
      </c>
      <c r="S766" s="4" t="b">
        <f>ISNUMBER(MATCH(Q766,T:T,0))</f>
        <v>0</v>
      </c>
      <c r="T766" s="4" t="s">
        <v>4647</v>
      </c>
      <c r="U766" s="4" t="str">
        <f t="shared" si="38"/>
        <v>𩨷</v>
      </c>
      <c r="V766" s="4" t="b">
        <f t="shared" ref="V766:V767" si="42">ISNUMBER(MATCH(R766,T:T,0))</f>
        <v>1</v>
      </c>
    </row>
    <row r="767" spans="1:22">
      <c r="A767" s="3">
        <v>766</v>
      </c>
      <c r="B767" s="3" t="s">
        <v>4649</v>
      </c>
      <c r="C767" s="3" t="s">
        <v>6035</v>
      </c>
      <c r="D767" s="3" t="s">
        <v>6157</v>
      </c>
      <c r="E767" s="3" t="s">
        <v>5991</v>
      </c>
      <c r="F767" s="3" t="s">
        <v>4650</v>
      </c>
      <c r="G767" s="3" t="s">
        <v>5993</v>
      </c>
      <c r="H767" s="3" t="s">
        <v>4651</v>
      </c>
      <c r="I767" s="3" t="s">
        <v>4652</v>
      </c>
      <c r="J767" s="5" t="s">
        <v>4653</v>
      </c>
      <c r="L767" s="3" t="s">
        <v>4654</v>
      </c>
      <c r="M767" s="3">
        <v>8</v>
      </c>
      <c r="N767" s="4" t="s">
        <v>4650</v>
      </c>
      <c r="O767" s="4">
        <v>37</v>
      </c>
      <c r="P767" s="11" t="s">
        <v>9719</v>
      </c>
      <c r="Q767" s="11" t="s">
        <v>10068</v>
      </c>
      <c r="R767" s="4" t="s">
        <v>13048</v>
      </c>
      <c r="S767" s="4" t="b">
        <f>ISNUMBER(MATCH(Q767,T:T,0))</f>
        <v>0</v>
      </c>
      <c r="T767" s="4" t="s">
        <v>4650</v>
      </c>
      <c r="U767" s="4" t="str">
        <f t="shared" si="38"/>
        <v>遐</v>
      </c>
      <c r="V767" s="4" t="b">
        <f t="shared" si="42"/>
        <v>1</v>
      </c>
    </row>
    <row r="768" spans="1:22">
      <c r="A768" s="3">
        <v>767</v>
      </c>
      <c r="B768" s="3" t="s">
        <v>4649</v>
      </c>
      <c r="C768" s="3" t="s">
        <v>6055</v>
      </c>
      <c r="D768" s="3" t="s">
        <v>6001</v>
      </c>
      <c r="E768" s="3" t="s">
        <v>5991</v>
      </c>
      <c r="F768" s="3" t="s">
        <v>4650</v>
      </c>
      <c r="G768" s="3" t="s">
        <v>5993</v>
      </c>
      <c r="H768" s="3" t="s">
        <v>4655</v>
      </c>
      <c r="I768" s="3" t="s">
        <v>4652</v>
      </c>
      <c r="J768" s="5" t="s">
        <v>4656</v>
      </c>
      <c r="L768" s="3" t="s">
        <v>4657</v>
      </c>
      <c r="M768" s="3">
        <v>2</v>
      </c>
      <c r="N768" s="4" t="s">
        <v>4650</v>
      </c>
      <c r="O768" s="4">
        <v>37</v>
      </c>
      <c r="P768" s="11" t="s">
        <v>9749</v>
      </c>
      <c r="Q768" s="11" t="s">
        <v>10069</v>
      </c>
      <c r="S768" s="4" t="b">
        <f>ISNUMBER(MATCH(Q768,T:T,0))</f>
        <v>1</v>
      </c>
      <c r="T768" s="4" t="s">
        <v>10070</v>
      </c>
      <c r="U768" s="4" t="str">
        <f t="shared" si="38"/>
        <v>遮</v>
      </c>
    </row>
    <row r="769" spans="1:22">
      <c r="A769" s="3">
        <v>768</v>
      </c>
      <c r="B769" s="3" t="s">
        <v>4649</v>
      </c>
      <c r="C769" s="3" t="s">
        <v>6120</v>
      </c>
      <c r="D769" s="3" t="s">
        <v>6001</v>
      </c>
      <c r="E769" s="3" t="s">
        <v>5991</v>
      </c>
      <c r="F769" s="3" t="s">
        <v>4650</v>
      </c>
      <c r="G769" s="3" t="s">
        <v>5993</v>
      </c>
      <c r="H769" s="3" t="s">
        <v>4658</v>
      </c>
      <c r="I769" s="3" t="s">
        <v>4652</v>
      </c>
      <c r="J769" s="5" t="s">
        <v>7810</v>
      </c>
      <c r="L769" s="3" t="s">
        <v>4659</v>
      </c>
      <c r="M769" s="3">
        <v>3</v>
      </c>
      <c r="N769" s="4" t="s">
        <v>4650</v>
      </c>
      <c r="O769" s="4">
        <v>37</v>
      </c>
      <c r="P769" s="11" t="s">
        <v>9793</v>
      </c>
      <c r="Q769" s="11" t="s">
        <v>10070</v>
      </c>
      <c r="S769" s="4" t="b">
        <f>ISNUMBER(MATCH(Q769,T:T,0))</f>
        <v>1</v>
      </c>
      <c r="T769" s="4" t="s">
        <v>10072</v>
      </c>
      <c r="U769" s="4" t="str">
        <f t="shared" si="38"/>
        <v>車</v>
      </c>
    </row>
    <row r="770" spans="1:22">
      <c r="A770" s="3">
        <v>769</v>
      </c>
      <c r="B770" s="3" t="s">
        <v>4649</v>
      </c>
      <c r="C770" s="3" t="s">
        <v>6028</v>
      </c>
      <c r="D770" s="3" t="s">
        <v>6001</v>
      </c>
      <c r="E770" s="3" t="s">
        <v>5991</v>
      </c>
      <c r="F770" s="3" t="s">
        <v>4650</v>
      </c>
      <c r="G770" s="3" t="s">
        <v>5993</v>
      </c>
      <c r="H770" s="3" t="s">
        <v>4660</v>
      </c>
      <c r="I770" s="3" t="s">
        <v>4652</v>
      </c>
      <c r="J770" s="5" t="s">
        <v>7811</v>
      </c>
      <c r="L770" s="3" t="s">
        <v>2989</v>
      </c>
      <c r="M770" s="3">
        <v>13</v>
      </c>
      <c r="N770" s="4" t="s">
        <v>4650</v>
      </c>
      <c r="O770" s="4">
        <v>37</v>
      </c>
      <c r="P770" s="11" t="s">
        <v>6028</v>
      </c>
      <c r="Q770" s="11" t="s">
        <v>10069</v>
      </c>
      <c r="S770" s="4" t="b">
        <f>ISNUMBER(MATCH(Q770,T:T,0))</f>
        <v>1</v>
      </c>
      <c r="T770" s="4" t="s">
        <v>11347</v>
      </c>
      <c r="U770" s="4" t="str">
        <f t="shared" si="38"/>
        <v>遮</v>
      </c>
    </row>
    <row r="771" spans="1:22">
      <c r="A771" s="3">
        <v>770</v>
      </c>
      <c r="B771" s="3" t="s">
        <v>4649</v>
      </c>
      <c r="C771" s="3" t="s">
        <v>6009</v>
      </c>
      <c r="D771" s="3" t="s">
        <v>6001</v>
      </c>
      <c r="E771" s="3" t="s">
        <v>5991</v>
      </c>
      <c r="F771" s="3" t="s">
        <v>4650</v>
      </c>
      <c r="G771" s="3" t="s">
        <v>5993</v>
      </c>
      <c r="H771" s="3" t="s">
        <v>4661</v>
      </c>
      <c r="I771" s="3" t="s">
        <v>4652</v>
      </c>
      <c r="J771" s="5" t="s">
        <v>4662</v>
      </c>
      <c r="L771" s="3" t="s">
        <v>4663</v>
      </c>
      <c r="M771" s="3">
        <v>4</v>
      </c>
      <c r="N771" s="4" t="s">
        <v>4650</v>
      </c>
      <c r="O771" s="4">
        <v>37</v>
      </c>
      <c r="P771" s="11" t="s">
        <v>10071</v>
      </c>
      <c r="Q771" s="11" t="s">
        <v>10072</v>
      </c>
      <c r="S771" s="4" t="b">
        <f>ISNUMBER(MATCH(Q771,T:T,0))</f>
        <v>1</v>
      </c>
      <c r="T771" s="4" t="s">
        <v>10069</v>
      </c>
      <c r="U771" s="4" t="str">
        <f t="shared" ref="U771:U834" si="43">IF(ISBLANK(R771),Q771,R771)</f>
        <v>奢</v>
      </c>
    </row>
    <row r="772" spans="1:22">
      <c r="A772" s="3">
        <v>771</v>
      </c>
      <c r="B772" s="3" t="s">
        <v>4649</v>
      </c>
      <c r="C772" s="3" t="s">
        <v>6083</v>
      </c>
      <c r="D772" s="3" t="s">
        <v>6001</v>
      </c>
      <c r="E772" s="3" t="s">
        <v>5991</v>
      </c>
      <c r="F772" s="3" t="s">
        <v>4650</v>
      </c>
      <c r="G772" s="3" t="s">
        <v>5993</v>
      </c>
      <c r="H772" s="3" t="s">
        <v>4664</v>
      </c>
      <c r="I772" s="3" t="s">
        <v>4652</v>
      </c>
      <c r="J772" s="5" t="s">
        <v>4665</v>
      </c>
      <c r="L772" s="3" t="s">
        <v>2942</v>
      </c>
      <c r="M772" s="3">
        <v>12</v>
      </c>
      <c r="N772" s="4" t="s">
        <v>4650</v>
      </c>
      <c r="O772" s="4">
        <v>37</v>
      </c>
      <c r="P772" s="11" t="s">
        <v>9737</v>
      </c>
      <c r="Q772" s="11" t="s">
        <v>6123</v>
      </c>
      <c r="R772" s="4" t="s">
        <v>13049</v>
      </c>
      <c r="S772" s="4" t="b">
        <f>ISNUMBER(MATCH(Q772,T:T,0))</f>
        <v>0</v>
      </c>
      <c r="T772" s="4" t="s">
        <v>10080</v>
      </c>
      <c r="U772" s="4" t="str">
        <f t="shared" si="43"/>
        <v>爺衺</v>
      </c>
      <c r="V772" s="4" t="b">
        <f>ISNUMBER(MATCH(R772,T:T,0))</f>
        <v>0</v>
      </c>
    </row>
    <row r="773" spans="1:22">
      <c r="A773" s="3">
        <v>772</v>
      </c>
      <c r="B773" s="3" t="s">
        <v>4649</v>
      </c>
      <c r="C773" s="3" t="s">
        <v>3093</v>
      </c>
      <c r="D773" s="3" t="s">
        <v>6001</v>
      </c>
      <c r="E773" s="3" t="s">
        <v>5991</v>
      </c>
      <c r="F773" s="3" t="s">
        <v>4650</v>
      </c>
      <c r="G773" s="3" t="s">
        <v>5993</v>
      </c>
      <c r="H773" s="3" t="s">
        <v>4666</v>
      </c>
      <c r="I773" s="3" t="s">
        <v>4652</v>
      </c>
      <c r="J773" s="5" t="s">
        <v>7812</v>
      </c>
      <c r="L773" s="3" t="s">
        <v>4667</v>
      </c>
      <c r="M773" s="3">
        <v>3</v>
      </c>
      <c r="N773" s="4" t="s">
        <v>4650</v>
      </c>
      <c r="O773" s="4">
        <v>37</v>
      </c>
      <c r="P773" s="11" t="s">
        <v>9929</v>
      </c>
      <c r="Q773" s="11" t="s">
        <v>10069</v>
      </c>
      <c r="S773" s="4" t="b">
        <f>ISNUMBER(MATCH(Q773,T:T,0))</f>
        <v>1</v>
      </c>
      <c r="T773" s="4" t="s">
        <v>11348</v>
      </c>
      <c r="U773" s="4" t="str">
        <f t="shared" si="43"/>
        <v>遮</v>
      </c>
    </row>
    <row r="774" spans="1:22">
      <c r="A774" s="3">
        <v>773</v>
      </c>
      <c r="B774" s="3" t="s">
        <v>4649</v>
      </c>
      <c r="C774" s="3" t="s">
        <v>6067</v>
      </c>
      <c r="D774" s="3" t="s">
        <v>6157</v>
      </c>
      <c r="E774" s="3" t="s">
        <v>6212</v>
      </c>
      <c r="F774" s="3" t="s">
        <v>4650</v>
      </c>
      <c r="G774" s="3" t="s">
        <v>5993</v>
      </c>
      <c r="H774" s="7" t="s">
        <v>708</v>
      </c>
      <c r="I774" s="3" t="s">
        <v>4652</v>
      </c>
      <c r="J774" s="5" t="s">
        <v>4668</v>
      </c>
      <c r="L774" s="3" t="s">
        <v>2938</v>
      </c>
      <c r="M774" s="3">
        <v>10</v>
      </c>
      <c r="N774" s="4" t="s">
        <v>4650</v>
      </c>
      <c r="O774" s="4">
        <v>37</v>
      </c>
      <c r="P774" s="11" t="s">
        <v>9731</v>
      </c>
      <c r="Q774" s="11" t="s">
        <v>10073</v>
      </c>
      <c r="R774" s="4" t="s">
        <v>13050</v>
      </c>
      <c r="S774" s="4" t="b">
        <f>ISNUMBER(MATCH(Q774,T:T,0))</f>
        <v>0</v>
      </c>
      <c r="T774" s="4" t="s">
        <v>10074</v>
      </c>
      <c r="U774" s="4" t="str">
        <f t="shared" si="43"/>
        <v>華</v>
      </c>
      <c r="V774" s="4" t="b">
        <f>ISNUMBER(MATCH(R774,T:T,0))</f>
        <v>1</v>
      </c>
    </row>
    <row r="775" spans="1:22">
      <c r="A775" s="3">
        <v>774</v>
      </c>
      <c r="B775" s="3" t="s">
        <v>4649</v>
      </c>
      <c r="C775" s="3" t="s">
        <v>6025</v>
      </c>
      <c r="D775" s="3" t="s">
        <v>6157</v>
      </c>
      <c r="E775" s="3" t="s">
        <v>6212</v>
      </c>
      <c r="F775" s="3" t="s">
        <v>4650</v>
      </c>
      <c r="G775" s="3" t="s">
        <v>5993</v>
      </c>
      <c r="H775" s="3" t="s">
        <v>4669</v>
      </c>
      <c r="I775" s="3" t="s">
        <v>4652</v>
      </c>
      <c r="J775" s="5" t="s">
        <v>4670</v>
      </c>
      <c r="L775" s="3" t="s">
        <v>2907</v>
      </c>
      <c r="M775" s="3">
        <v>7</v>
      </c>
      <c r="N775" s="4" t="s">
        <v>4650</v>
      </c>
      <c r="O775" s="4">
        <v>37</v>
      </c>
      <c r="P775" s="11" t="s">
        <v>9729</v>
      </c>
      <c r="Q775" s="11" t="s">
        <v>10074</v>
      </c>
      <c r="S775" s="4" t="b">
        <f>ISNUMBER(MATCH(Q775,T:T,0))</f>
        <v>1</v>
      </c>
      <c r="T775" s="4" t="s">
        <v>10075</v>
      </c>
      <c r="U775" s="4" t="str">
        <f t="shared" si="43"/>
        <v>華</v>
      </c>
    </row>
    <row r="776" spans="1:22">
      <c r="A776" s="3">
        <v>775</v>
      </c>
      <c r="B776" s="3" t="s">
        <v>4649</v>
      </c>
      <c r="C776" s="3" t="s">
        <v>6089</v>
      </c>
      <c r="D776" s="3" t="s">
        <v>6157</v>
      </c>
      <c r="E776" s="3" t="s">
        <v>6212</v>
      </c>
      <c r="F776" s="3" t="s">
        <v>4650</v>
      </c>
      <c r="G776" s="3" t="s">
        <v>5993</v>
      </c>
      <c r="H776" s="3" t="s">
        <v>909</v>
      </c>
      <c r="I776" s="3" t="s">
        <v>4652</v>
      </c>
      <c r="J776" s="5" t="s">
        <v>910</v>
      </c>
      <c r="L776" s="3" t="s">
        <v>2918</v>
      </c>
      <c r="M776" s="3">
        <v>4</v>
      </c>
      <c r="N776" s="4" t="s">
        <v>4650</v>
      </c>
      <c r="O776" s="4">
        <v>37</v>
      </c>
      <c r="P776" s="11" t="s">
        <v>9739</v>
      </c>
      <c r="Q776" s="11" t="s">
        <v>10075</v>
      </c>
      <c r="S776" s="4" t="b">
        <f>ISNUMBER(MATCH(Q776,T:T,0))</f>
        <v>1</v>
      </c>
      <c r="T776" s="4" t="s">
        <v>10074</v>
      </c>
      <c r="U776" s="4" t="str">
        <f t="shared" si="43"/>
        <v>瓜</v>
      </c>
    </row>
    <row r="777" spans="1:22">
      <c r="A777" s="3">
        <v>776</v>
      </c>
      <c r="B777" s="3" t="s">
        <v>4649</v>
      </c>
      <c r="C777" s="3" t="s">
        <v>6038</v>
      </c>
      <c r="D777" s="3" t="s">
        <v>6157</v>
      </c>
      <c r="E777" s="3" t="s">
        <v>6212</v>
      </c>
      <c r="F777" s="3" t="s">
        <v>4650</v>
      </c>
      <c r="G777" s="3" t="s">
        <v>5993</v>
      </c>
      <c r="H777" s="3" t="s">
        <v>911</v>
      </c>
      <c r="I777" s="3" t="s">
        <v>4652</v>
      </c>
      <c r="J777" s="5" t="s">
        <v>912</v>
      </c>
      <c r="L777" s="3" t="s">
        <v>2912</v>
      </c>
      <c r="M777" s="3">
        <v>8</v>
      </c>
      <c r="N777" s="4" t="s">
        <v>4650</v>
      </c>
      <c r="O777" s="4">
        <v>37</v>
      </c>
      <c r="P777" s="11" t="s">
        <v>9728</v>
      </c>
      <c r="Q777" s="11" t="s">
        <v>10075</v>
      </c>
      <c r="S777" s="4" t="b">
        <f>ISNUMBER(MATCH(Q777,T:T,0))</f>
        <v>1</v>
      </c>
      <c r="T777" s="4" t="s">
        <v>11349</v>
      </c>
      <c r="U777" s="4" t="str">
        <f t="shared" si="43"/>
        <v>瓜</v>
      </c>
    </row>
    <row r="778" spans="1:22">
      <c r="A778" s="3">
        <v>777</v>
      </c>
      <c r="B778" s="3" t="s">
        <v>4649</v>
      </c>
      <c r="C778" s="3" t="s">
        <v>6137</v>
      </c>
      <c r="D778" s="3" t="s">
        <v>6157</v>
      </c>
      <c r="E778" s="3" t="s">
        <v>5991</v>
      </c>
      <c r="F778" s="3" t="s">
        <v>4650</v>
      </c>
      <c r="G778" s="3" t="s">
        <v>5993</v>
      </c>
      <c r="H778" s="3" t="s">
        <v>913</v>
      </c>
      <c r="I778" s="3" t="s">
        <v>4652</v>
      </c>
      <c r="J778" s="5" t="s">
        <v>7813</v>
      </c>
      <c r="K778" s="3" t="s">
        <v>914</v>
      </c>
      <c r="L778" s="3" t="s">
        <v>915</v>
      </c>
      <c r="M778" s="3">
        <v>9</v>
      </c>
      <c r="N778" s="4" t="s">
        <v>4650</v>
      </c>
      <c r="O778" s="4">
        <v>37</v>
      </c>
      <c r="P778" s="11" t="s">
        <v>9755</v>
      </c>
      <c r="Q778" s="11" t="s">
        <v>10076</v>
      </c>
      <c r="R778" s="4" t="s">
        <v>13051</v>
      </c>
      <c r="S778" s="4" t="b">
        <f>ISNUMBER(MATCH(Q778,T:T,0))</f>
        <v>0</v>
      </c>
      <c r="T778" s="4" t="s">
        <v>10394</v>
      </c>
      <c r="U778" s="4" t="str">
        <f t="shared" si="43"/>
        <v>家</v>
      </c>
      <c r="V778" s="4" t="b">
        <f>ISNUMBER(MATCH(R778,T:T,0))</f>
        <v>1</v>
      </c>
    </row>
    <row r="779" spans="1:22" ht="39">
      <c r="A779" s="3">
        <v>778</v>
      </c>
      <c r="B779" s="3" t="s">
        <v>4649</v>
      </c>
      <c r="C779" s="3" t="s">
        <v>6025</v>
      </c>
      <c r="D779" s="3" t="s">
        <v>6157</v>
      </c>
      <c r="E779" s="3" t="s">
        <v>5991</v>
      </c>
      <c r="F779" s="3" t="s">
        <v>4650</v>
      </c>
      <c r="G779" s="3" t="s">
        <v>5993</v>
      </c>
      <c r="H779" s="3" t="s">
        <v>916</v>
      </c>
      <c r="I779" s="3" t="s">
        <v>4652</v>
      </c>
      <c r="J779" s="5" t="s">
        <v>917</v>
      </c>
      <c r="L779" s="3" t="s">
        <v>2901</v>
      </c>
      <c r="M779" s="3">
        <v>26</v>
      </c>
      <c r="N779" s="4" t="s">
        <v>4650</v>
      </c>
      <c r="O779" s="4">
        <v>37</v>
      </c>
      <c r="P779" s="11" t="s">
        <v>9729</v>
      </c>
      <c r="Q779" s="11" t="s">
        <v>10077</v>
      </c>
      <c r="S779" s="4" t="b">
        <f>ISNUMBER(MATCH(Q779,T:T,0))</f>
        <v>1</v>
      </c>
      <c r="T779" s="4" t="s">
        <v>11350</v>
      </c>
      <c r="U779" s="4" t="str">
        <f t="shared" si="43"/>
        <v>牙</v>
      </c>
    </row>
    <row r="780" spans="1:22">
      <c r="A780" s="3">
        <v>779</v>
      </c>
      <c r="B780" s="3" t="s">
        <v>4649</v>
      </c>
      <c r="C780" s="3" t="s">
        <v>6067</v>
      </c>
      <c r="D780" s="3" t="s">
        <v>6157</v>
      </c>
      <c r="E780" s="3" t="s">
        <v>5991</v>
      </c>
      <c r="F780" s="3" t="s">
        <v>4650</v>
      </c>
      <c r="G780" s="3" t="s">
        <v>5993</v>
      </c>
      <c r="H780" s="3" t="s">
        <v>918</v>
      </c>
      <c r="I780" s="3" t="s">
        <v>4652</v>
      </c>
      <c r="J780" s="5" t="s">
        <v>7814</v>
      </c>
      <c r="L780" s="3" t="s">
        <v>2902</v>
      </c>
      <c r="M780" s="3">
        <v>14</v>
      </c>
      <c r="N780" s="4" t="s">
        <v>4650</v>
      </c>
      <c r="O780" s="4">
        <v>37</v>
      </c>
      <c r="P780" s="11" t="s">
        <v>9870</v>
      </c>
      <c r="Q780" s="11" t="s">
        <v>10076</v>
      </c>
      <c r="R780" s="4" t="s">
        <v>13051</v>
      </c>
      <c r="S780" s="4" t="b">
        <f>ISNUMBER(MATCH(Q780,T:T,0))</f>
        <v>0</v>
      </c>
      <c r="T780" s="4" t="s">
        <v>11351</v>
      </c>
      <c r="U780" s="4" t="str">
        <f t="shared" si="43"/>
        <v>家</v>
      </c>
      <c r="V780" s="4" t="b">
        <f>ISNUMBER(MATCH(R780,T:T,0))</f>
        <v>1</v>
      </c>
    </row>
    <row r="781" spans="1:22">
      <c r="A781" s="3">
        <v>780</v>
      </c>
      <c r="B781" s="3" t="s">
        <v>4649</v>
      </c>
      <c r="C781" s="3" t="s">
        <v>6053</v>
      </c>
      <c r="D781" s="3" t="s">
        <v>6157</v>
      </c>
      <c r="E781" s="3" t="s">
        <v>5991</v>
      </c>
      <c r="F781" s="3" t="s">
        <v>4650</v>
      </c>
      <c r="G781" s="3" t="s">
        <v>5993</v>
      </c>
      <c r="H781" s="3" t="s">
        <v>919</v>
      </c>
      <c r="I781" s="3" t="s">
        <v>4652</v>
      </c>
      <c r="J781" s="5" t="s">
        <v>7815</v>
      </c>
      <c r="L781" s="3" t="s">
        <v>920</v>
      </c>
      <c r="M781" s="3">
        <v>7</v>
      </c>
      <c r="N781" s="4" t="s">
        <v>4650</v>
      </c>
      <c r="O781" s="4">
        <v>37</v>
      </c>
      <c r="P781" s="11" t="s">
        <v>9884</v>
      </c>
      <c r="Q781" s="11" t="s">
        <v>10078</v>
      </c>
      <c r="S781" s="4" t="b">
        <f>ISNUMBER(MATCH(Q781,T:T,0))</f>
        <v>1</v>
      </c>
      <c r="T781" s="4" t="s">
        <v>11352</v>
      </c>
      <c r="U781" s="4" t="str">
        <f t="shared" si="43"/>
        <v>巴</v>
      </c>
    </row>
    <row r="782" spans="1:22">
      <c r="A782" s="3">
        <v>781</v>
      </c>
      <c r="B782" s="3" t="s">
        <v>4649</v>
      </c>
      <c r="C782" s="3" t="s">
        <v>6072</v>
      </c>
      <c r="D782" s="3" t="s">
        <v>6157</v>
      </c>
      <c r="E782" s="3" t="s">
        <v>5991</v>
      </c>
      <c r="F782" s="3" t="s">
        <v>4650</v>
      </c>
      <c r="G782" s="3" t="s">
        <v>5993</v>
      </c>
      <c r="H782" s="3" t="s">
        <v>921</v>
      </c>
      <c r="I782" s="3" t="s">
        <v>4652</v>
      </c>
      <c r="J782" s="5" t="s">
        <v>7816</v>
      </c>
      <c r="L782" s="3" t="s">
        <v>2926</v>
      </c>
      <c r="M782" s="3">
        <v>8</v>
      </c>
      <c r="N782" s="4" t="s">
        <v>4650</v>
      </c>
      <c r="O782" s="4">
        <v>37</v>
      </c>
      <c r="P782" s="11" t="s">
        <v>9754</v>
      </c>
      <c r="Q782" s="11" t="s">
        <v>10076</v>
      </c>
      <c r="R782" s="4" t="s">
        <v>13051</v>
      </c>
      <c r="S782" s="4" t="b">
        <f>ISNUMBER(MATCH(Q782,T:T,0))</f>
        <v>0</v>
      </c>
      <c r="T782" s="4" t="s">
        <v>11353</v>
      </c>
      <c r="U782" s="4" t="str">
        <f t="shared" si="43"/>
        <v>家</v>
      </c>
      <c r="V782" s="4" t="b">
        <f t="shared" ref="V782:V788" si="44">ISNUMBER(MATCH(R782,T:T,0))</f>
        <v>1</v>
      </c>
    </row>
    <row r="783" spans="1:22">
      <c r="A783" s="3">
        <v>782</v>
      </c>
      <c r="B783" s="3" t="s">
        <v>4649</v>
      </c>
      <c r="C783" s="3" t="s">
        <v>6049</v>
      </c>
      <c r="D783" s="3" t="s">
        <v>6157</v>
      </c>
      <c r="E783" s="3" t="s">
        <v>5991</v>
      </c>
      <c r="F783" s="3" t="s">
        <v>4650</v>
      </c>
      <c r="G783" s="3" t="s">
        <v>5993</v>
      </c>
      <c r="H783" s="3" t="s">
        <v>922</v>
      </c>
      <c r="I783" s="3" t="s">
        <v>4652</v>
      </c>
      <c r="J783" s="5" t="s">
        <v>923</v>
      </c>
      <c r="L783" s="3" t="s">
        <v>924</v>
      </c>
      <c r="M783" s="3">
        <v>8</v>
      </c>
      <c r="N783" s="4" t="s">
        <v>4650</v>
      </c>
      <c r="O783" s="4">
        <v>37</v>
      </c>
      <c r="P783" s="11" t="s">
        <v>10079</v>
      </c>
      <c r="Q783" s="11" t="s">
        <v>10076</v>
      </c>
      <c r="R783" s="4" t="s">
        <v>13051</v>
      </c>
      <c r="S783" s="4" t="b">
        <f>ISNUMBER(MATCH(Q783,T:T,0))</f>
        <v>0</v>
      </c>
      <c r="T783" s="4" t="s">
        <v>10078</v>
      </c>
      <c r="U783" s="4" t="str">
        <f t="shared" si="43"/>
        <v>家</v>
      </c>
      <c r="V783" s="4" t="b">
        <f t="shared" si="44"/>
        <v>1</v>
      </c>
    </row>
    <row r="784" spans="1:22">
      <c r="A784" s="3">
        <v>783</v>
      </c>
      <c r="B784" s="3" t="s">
        <v>4649</v>
      </c>
      <c r="C784" s="3" t="s">
        <v>6167</v>
      </c>
      <c r="D784" s="3" t="s">
        <v>6157</v>
      </c>
      <c r="E784" s="3" t="s">
        <v>5991</v>
      </c>
      <c r="F784" s="3" t="s">
        <v>4650</v>
      </c>
      <c r="G784" s="3" t="s">
        <v>5993</v>
      </c>
      <c r="H784" s="3" t="s">
        <v>925</v>
      </c>
      <c r="I784" s="3" t="s">
        <v>4652</v>
      </c>
      <c r="J784" s="5" t="s">
        <v>7817</v>
      </c>
      <c r="L784" s="3" t="s">
        <v>926</v>
      </c>
      <c r="M784" s="3">
        <v>9</v>
      </c>
      <c r="N784" s="4" t="s">
        <v>4650</v>
      </c>
      <c r="O784" s="4">
        <v>37</v>
      </c>
      <c r="P784" s="11" t="s">
        <v>6167</v>
      </c>
      <c r="Q784" s="11" t="s">
        <v>10076</v>
      </c>
      <c r="R784" s="4" t="s">
        <v>13051</v>
      </c>
      <c r="S784" s="4" t="b">
        <f>ISNUMBER(MATCH(Q784,T:T,0))</f>
        <v>0</v>
      </c>
      <c r="T784" s="4" t="s">
        <v>9821</v>
      </c>
      <c r="U784" s="4" t="str">
        <f t="shared" si="43"/>
        <v>家</v>
      </c>
      <c r="V784" s="4" t="b">
        <f t="shared" si="44"/>
        <v>1</v>
      </c>
    </row>
    <row r="785" spans="1:22">
      <c r="A785" s="3">
        <v>784</v>
      </c>
      <c r="B785" s="3" t="s">
        <v>4649</v>
      </c>
      <c r="C785" s="3" t="s">
        <v>6180</v>
      </c>
      <c r="D785" s="3" t="s">
        <v>6157</v>
      </c>
      <c r="E785" s="3" t="s">
        <v>5991</v>
      </c>
      <c r="F785" s="3" t="s">
        <v>4650</v>
      </c>
      <c r="G785" s="3" t="s">
        <v>5993</v>
      </c>
      <c r="H785" s="3" t="s">
        <v>927</v>
      </c>
      <c r="I785" s="3" t="s">
        <v>4652</v>
      </c>
      <c r="J785" s="5" t="s">
        <v>7818</v>
      </c>
      <c r="L785" s="3" t="s">
        <v>929</v>
      </c>
      <c r="M785" s="3">
        <v>11</v>
      </c>
      <c r="N785" s="4" t="s">
        <v>4650</v>
      </c>
      <c r="O785" s="4">
        <v>37</v>
      </c>
      <c r="P785" s="11" t="s">
        <v>9774</v>
      </c>
      <c r="Q785" s="11" t="s">
        <v>10076</v>
      </c>
      <c r="R785" s="4" t="s">
        <v>13051</v>
      </c>
      <c r="S785" s="4" t="b">
        <f>ISNUMBER(MATCH(Q785,T:T,0))</f>
        <v>0</v>
      </c>
      <c r="T785" s="4" t="s">
        <v>11354</v>
      </c>
      <c r="U785" s="4" t="str">
        <f t="shared" si="43"/>
        <v>家</v>
      </c>
      <c r="V785" s="4" t="b">
        <f t="shared" si="44"/>
        <v>1</v>
      </c>
    </row>
    <row r="786" spans="1:22">
      <c r="A786" s="3">
        <v>785</v>
      </c>
      <c r="B786" s="3" t="s">
        <v>4649</v>
      </c>
      <c r="C786" s="3" t="s">
        <v>6092</v>
      </c>
      <c r="D786" s="3" t="s">
        <v>6157</v>
      </c>
      <c r="E786" s="3" t="s">
        <v>5991</v>
      </c>
      <c r="F786" s="3" t="s">
        <v>4650</v>
      </c>
      <c r="G786" s="3" t="s">
        <v>5993</v>
      </c>
      <c r="H786" s="3" t="s">
        <v>930</v>
      </c>
      <c r="I786" s="3" t="s">
        <v>4652</v>
      </c>
      <c r="J786" s="5" t="s">
        <v>931</v>
      </c>
      <c r="L786" s="3" t="s">
        <v>2923</v>
      </c>
      <c r="M786" s="3">
        <v>7</v>
      </c>
      <c r="N786" s="4" t="s">
        <v>4650</v>
      </c>
      <c r="O786" s="4">
        <v>37</v>
      </c>
      <c r="P786" s="11" t="s">
        <v>9740</v>
      </c>
      <c r="Q786" s="11" t="s">
        <v>10076</v>
      </c>
      <c r="R786" s="4" t="s">
        <v>13051</v>
      </c>
      <c r="S786" s="4" t="b">
        <f>ISNUMBER(MATCH(Q786,T:T,0))</f>
        <v>0</v>
      </c>
      <c r="T786" s="4" t="s">
        <v>10077</v>
      </c>
      <c r="U786" s="4" t="str">
        <f t="shared" si="43"/>
        <v>家</v>
      </c>
      <c r="V786" s="4" t="b">
        <f t="shared" si="44"/>
        <v>1</v>
      </c>
    </row>
    <row r="787" spans="1:22" ht="39">
      <c r="A787" s="3">
        <v>786</v>
      </c>
      <c r="B787" s="3" t="s">
        <v>4649</v>
      </c>
      <c r="C787" s="3" t="s">
        <v>6318</v>
      </c>
      <c r="D787" s="3" t="s">
        <v>6157</v>
      </c>
      <c r="E787" s="3" t="s">
        <v>5991</v>
      </c>
      <c r="F787" s="3" t="s">
        <v>4650</v>
      </c>
      <c r="G787" s="3" t="s">
        <v>5993</v>
      </c>
      <c r="H787" s="3" t="s">
        <v>932</v>
      </c>
      <c r="I787" s="3" t="s">
        <v>4652</v>
      </c>
      <c r="J787" s="5" t="s">
        <v>7819</v>
      </c>
      <c r="L787" s="3" t="s">
        <v>933</v>
      </c>
      <c r="M787" s="3">
        <v>12</v>
      </c>
      <c r="N787" s="4" t="s">
        <v>4650</v>
      </c>
      <c r="O787" s="4">
        <v>37</v>
      </c>
      <c r="P787" s="11" t="s">
        <v>9804</v>
      </c>
      <c r="Q787" s="11" t="s">
        <v>10076</v>
      </c>
      <c r="R787" s="4" t="s">
        <v>13051</v>
      </c>
      <c r="S787" s="4" t="b">
        <f>ISNUMBER(MATCH(Q787,T:T,0))</f>
        <v>0</v>
      </c>
      <c r="T787" s="4" t="s">
        <v>11355</v>
      </c>
      <c r="U787" s="4" t="str">
        <f t="shared" si="43"/>
        <v>家</v>
      </c>
      <c r="V787" s="4" t="b">
        <f t="shared" si="44"/>
        <v>1</v>
      </c>
    </row>
    <row r="788" spans="1:22" ht="28.5">
      <c r="A788" s="3">
        <v>787</v>
      </c>
      <c r="B788" s="3" t="s">
        <v>4649</v>
      </c>
      <c r="C788" s="3" t="s">
        <v>6005</v>
      </c>
      <c r="D788" s="3" t="s">
        <v>6157</v>
      </c>
      <c r="E788" s="3" t="s">
        <v>5991</v>
      </c>
      <c r="F788" s="3" t="s">
        <v>4650</v>
      </c>
      <c r="G788" s="3" t="s">
        <v>5993</v>
      </c>
      <c r="H788" s="3" t="s">
        <v>934</v>
      </c>
      <c r="I788" s="3" t="s">
        <v>4652</v>
      </c>
      <c r="J788" s="5" t="s">
        <v>935</v>
      </c>
      <c r="K788" s="3" t="s">
        <v>590</v>
      </c>
      <c r="L788" s="3" t="s">
        <v>936</v>
      </c>
      <c r="M788" s="3">
        <v>15</v>
      </c>
      <c r="N788" s="4" t="s">
        <v>4650</v>
      </c>
      <c r="O788" s="4">
        <v>37</v>
      </c>
      <c r="P788" s="11" t="s">
        <v>9776</v>
      </c>
      <c r="Q788" s="11" t="s">
        <v>10076</v>
      </c>
      <c r="R788" s="4" t="s">
        <v>13051</v>
      </c>
      <c r="S788" s="4" t="b">
        <f>ISNUMBER(MATCH(Q788,T:T,0))</f>
        <v>0</v>
      </c>
      <c r="T788" s="4" t="s">
        <v>11356</v>
      </c>
      <c r="U788" s="4" t="str">
        <f t="shared" si="43"/>
        <v>家</v>
      </c>
      <c r="V788" s="4" t="b">
        <f t="shared" si="44"/>
        <v>1</v>
      </c>
    </row>
    <row r="789" spans="1:22">
      <c r="A789" s="3">
        <v>788</v>
      </c>
      <c r="B789" s="3" t="s">
        <v>4649</v>
      </c>
      <c r="C789" s="3" t="s">
        <v>6123</v>
      </c>
      <c r="D789" s="3" t="s">
        <v>6001</v>
      </c>
      <c r="E789" s="3" t="s">
        <v>5991</v>
      </c>
      <c r="F789" s="3" t="s">
        <v>4650</v>
      </c>
      <c r="G789" s="3" t="s">
        <v>5993</v>
      </c>
      <c r="H789" s="3" t="s">
        <v>937</v>
      </c>
      <c r="I789" s="3" t="s">
        <v>4652</v>
      </c>
      <c r="J789" s="8" t="s">
        <v>7820</v>
      </c>
      <c r="L789" s="3" t="s">
        <v>2947</v>
      </c>
      <c r="M789" s="3">
        <v>4</v>
      </c>
      <c r="N789" s="4" t="s">
        <v>4650</v>
      </c>
      <c r="O789" s="4">
        <v>37</v>
      </c>
      <c r="P789" s="11" t="s">
        <v>9833</v>
      </c>
      <c r="Q789" s="11" t="s">
        <v>10080</v>
      </c>
      <c r="S789" s="4" t="b">
        <f>ISNUMBER(MATCH(Q789,T:T,0))</f>
        <v>1</v>
      </c>
      <c r="T789" s="4" t="s">
        <v>11357</v>
      </c>
      <c r="U789" s="4" t="str">
        <f t="shared" si="43"/>
        <v>嗟</v>
      </c>
    </row>
    <row r="790" spans="1:22">
      <c r="A790" s="3">
        <v>789</v>
      </c>
      <c r="B790" s="3" t="s">
        <v>4649</v>
      </c>
      <c r="C790" s="3" t="s">
        <v>6148</v>
      </c>
      <c r="D790" s="3" t="s">
        <v>6001</v>
      </c>
      <c r="E790" s="3" t="s">
        <v>5991</v>
      </c>
      <c r="F790" s="3" t="s">
        <v>4650</v>
      </c>
      <c r="G790" s="3" t="s">
        <v>5993</v>
      </c>
      <c r="H790" s="3" t="s">
        <v>938</v>
      </c>
      <c r="I790" s="3" t="s">
        <v>4652</v>
      </c>
      <c r="J790" s="5" t="s">
        <v>7821</v>
      </c>
      <c r="L790" s="3" t="s">
        <v>4667</v>
      </c>
      <c r="M790" s="3">
        <v>5</v>
      </c>
      <c r="N790" s="4" t="s">
        <v>4650</v>
      </c>
      <c r="O790" s="4">
        <v>37</v>
      </c>
      <c r="P790" s="11" t="s">
        <v>9818</v>
      </c>
      <c r="Q790" s="11" t="s">
        <v>10069</v>
      </c>
      <c r="S790" s="4" t="b">
        <f>ISNUMBER(MATCH(Q790,T:T,0))</f>
        <v>1</v>
      </c>
      <c r="T790" s="4" t="s">
        <v>11358</v>
      </c>
      <c r="U790" s="4" t="str">
        <f t="shared" si="43"/>
        <v>遮</v>
      </c>
    </row>
    <row r="791" spans="1:22">
      <c r="A791" s="3">
        <v>790</v>
      </c>
      <c r="B791" s="3" t="s">
        <v>4649</v>
      </c>
      <c r="C791" s="3" t="s">
        <v>6072</v>
      </c>
      <c r="D791" s="3" t="s">
        <v>6157</v>
      </c>
      <c r="E791" s="3" t="s">
        <v>6212</v>
      </c>
      <c r="F791" s="3" t="s">
        <v>4650</v>
      </c>
      <c r="G791" s="3" t="s">
        <v>5993</v>
      </c>
      <c r="H791" s="3" t="s">
        <v>939</v>
      </c>
      <c r="I791" s="3" t="s">
        <v>4652</v>
      </c>
      <c r="J791" s="5" t="s">
        <v>7822</v>
      </c>
      <c r="L791" s="3" t="s">
        <v>2909</v>
      </c>
      <c r="M791" s="3">
        <v>6</v>
      </c>
      <c r="N791" s="4" t="s">
        <v>4650</v>
      </c>
      <c r="O791" s="4">
        <v>37</v>
      </c>
      <c r="P791" s="11" t="s">
        <v>9734</v>
      </c>
      <c r="Q791" s="11" t="s">
        <v>10075</v>
      </c>
      <c r="S791" s="4" t="b">
        <f>ISNUMBER(MATCH(Q791,T:T,0))</f>
        <v>1</v>
      </c>
      <c r="T791" s="4" t="s">
        <v>11359</v>
      </c>
      <c r="U791" s="4" t="str">
        <f t="shared" si="43"/>
        <v>瓜</v>
      </c>
    </row>
    <row r="792" spans="1:22">
      <c r="A792" s="3">
        <v>791</v>
      </c>
      <c r="B792" s="3" t="s">
        <v>4649</v>
      </c>
      <c r="C792" s="3" t="s">
        <v>6318</v>
      </c>
      <c r="D792" s="3" t="s">
        <v>6157</v>
      </c>
      <c r="E792" s="3" t="s">
        <v>6212</v>
      </c>
      <c r="F792" s="3" t="s">
        <v>4650</v>
      </c>
      <c r="G792" s="3" t="s">
        <v>5993</v>
      </c>
      <c r="H792" s="3" t="s">
        <v>940</v>
      </c>
      <c r="I792" s="3" t="s">
        <v>4652</v>
      </c>
      <c r="J792" s="5" t="s">
        <v>941</v>
      </c>
      <c r="L792" s="3" t="s">
        <v>942</v>
      </c>
      <c r="M792" s="3">
        <v>1</v>
      </c>
      <c r="N792" s="4" t="s">
        <v>4650</v>
      </c>
      <c r="O792" s="4">
        <v>37</v>
      </c>
      <c r="P792" s="11" t="s">
        <v>6318</v>
      </c>
      <c r="Q792" s="11" t="s">
        <v>10074</v>
      </c>
      <c r="S792" s="4" t="b">
        <f>ISNUMBER(MATCH(Q792,T:T,0))</f>
        <v>1</v>
      </c>
      <c r="T792" s="4" t="s">
        <v>941</v>
      </c>
      <c r="U792" s="4" t="str">
        <f t="shared" si="43"/>
        <v>華</v>
      </c>
    </row>
    <row r="793" spans="1:22">
      <c r="A793" s="3">
        <v>792</v>
      </c>
      <c r="B793" s="3" t="s">
        <v>4649</v>
      </c>
      <c r="C793" s="3" t="s">
        <v>6000</v>
      </c>
      <c r="D793" s="3" t="s">
        <v>6157</v>
      </c>
      <c r="E793" s="3" t="s">
        <v>6212</v>
      </c>
      <c r="F793" s="3" t="s">
        <v>4650</v>
      </c>
      <c r="G793" s="3" t="s">
        <v>5993</v>
      </c>
      <c r="H793" s="3" t="s">
        <v>943</v>
      </c>
      <c r="I793" s="3" t="s">
        <v>4652</v>
      </c>
      <c r="J793" s="5" t="s">
        <v>944</v>
      </c>
      <c r="L793" s="3" t="s">
        <v>942</v>
      </c>
      <c r="M793" s="3">
        <v>4</v>
      </c>
      <c r="N793" s="4" t="s">
        <v>4650</v>
      </c>
      <c r="O793" s="4">
        <v>37</v>
      </c>
      <c r="P793" s="11" t="s">
        <v>9707</v>
      </c>
      <c r="Q793" s="11" t="s">
        <v>10075</v>
      </c>
      <c r="S793" s="4" t="b">
        <f>ISNUMBER(MATCH(Q793,T:T,0))</f>
        <v>1</v>
      </c>
      <c r="T793" s="4" t="s">
        <v>11360</v>
      </c>
      <c r="U793" s="4" t="str">
        <f t="shared" si="43"/>
        <v>瓜</v>
      </c>
    </row>
    <row r="794" spans="1:22">
      <c r="A794" s="3">
        <v>793</v>
      </c>
      <c r="B794" s="3" t="s">
        <v>4649</v>
      </c>
      <c r="C794" s="3" t="s">
        <v>6045</v>
      </c>
      <c r="D794" s="3" t="s">
        <v>6157</v>
      </c>
      <c r="E794" s="3" t="s">
        <v>5991</v>
      </c>
      <c r="F794" s="3" t="s">
        <v>4650</v>
      </c>
      <c r="G794" s="3" t="s">
        <v>5993</v>
      </c>
      <c r="H794" s="3" t="s">
        <v>945</v>
      </c>
      <c r="I794" s="3" t="s">
        <v>4652</v>
      </c>
      <c r="J794" s="5" t="s">
        <v>946</v>
      </c>
      <c r="L794" s="3" t="s">
        <v>947</v>
      </c>
      <c r="M794" s="3">
        <v>3</v>
      </c>
      <c r="N794" s="4" t="s">
        <v>4650</v>
      </c>
      <c r="O794" s="4">
        <v>37</v>
      </c>
      <c r="P794" s="11" t="s">
        <v>9965</v>
      </c>
      <c r="Q794" s="11" t="s">
        <v>10078</v>
      </c>
      <c r="S794" s="4" t="b">
        <f>ISNUMBER(MATCH(Q794,T:T,0))</f>
        <v>1</v>
      </c>
      <c r="T794" s="4" t="s">
        <v>11361</v>
      </c>
      <c r="U794" s="4" t="str">
        <f t="shared" si="43"/>
        <v>巴</v>
      </c>
    </row>
    <row r="795" spans="1:22">
      <c r="A795" s="3">
        <v>794</v>
      </c>
      <c r="B795" s="3" t="s">
        <v>4649</v>
      </c>
      <c r="C795" s="3" t="s">
        <v>6015</v>
      </c>
      <c r="D795" s="3" t="s">
        <v>6157</v>
      </c>
      <c r="E795" s="3" t="s">
        <v>5991</v>
      </c>
      <c r="F795" s="3" t="s">
        <v>4650</v>
      </c>
      <c r="G795" s="3" t="s">
        <v>5993</v>
      </c>
      <c r="H795" s="3" t="s">
        <v>948</v>
      </c>
      <c r="I795" s="3" t="s">
        <v>4652</v>
      </c>
      <c r="J795" s="5" t="s">
        <v>7823</v>
      </c>
      <c r="L795" s="3" t="s">
        <v>936</v>
      </c>
      <c r="M795" s="3">
        <v>6</v>
      </c>
      <c r="N795" s="4" t="s">
        <v>4650</v>
      </c>
      <c r="O795" s="4">
        <v>37</v>
      </c>
      <c r="P795" s="11" t="s">
        <v>10041</v>
      </c>
      <c r="Q795" s="11" t="s">
        <v>10076</v>
      </c>
      <c r="R795" s="4" t="s">
        <v>13051</v>
      </c>
      <c r="S795" s="4" t="b">
        <f>ISNUMBER(MATCH(Q795,T:T,0))</f>
        <v>0</v>
      </c>
      <c r="T795" s="4" t="s">
        <v>11362</v>
      </c>
      <c r="U795" s="4" t="str">
        <f t="shared" si="43"/>
        <v>家</v>
      </c>
      <c r="V795" s="4" t="b">
        <f t="shared" ref="V795:V803" si="45">ISNUMBER(MATCH(R795,T:T,0))</f>
        <v>1</v>
      </c>
    </row>
    <row r="796" spans="1:22">
      <c r="A796" s="3">
        <v>795</v>
      </c>
      <c r="B796" s="3" t="s">
        <v>4649</v>
      </c>
      <c r="C796" s="3" t="s">
        <v>6011</v>
      </c>
      <c r="D796" s="3" t="s">
        <v>6157</v>
      </c>
      <c r="E796" s="3" t="s">
        <v>5991</v>
      </c>
      <c r="F796" s="3" t="s">
        <v>4650</v>
      </c>
      <c r="G796" s="3" t="s">
        <v>5993</v>
      </c>
      <c r="H796" s="3" t="s">
        <v>949</v>
      </c>
      <c r="I796" s="3" t="s">
        <v>4652</v>
      </c>
      <c r="J796" s="5" t="s">
        <v>950</v>
      </c>
      <c r="K796" s="3" t="s">
        <v>951</v>
      </c>
      <c r="L796" s="3" t="s">
        <v>926</v>
      </c>
      <c r="M796" s="3">
        <v>4</v>
      </c>
      <c r="N796" s="4" t="s">
        <v>4650</v>
      </c>
      <c r="O796" s="4">
        <v>37</v>
      </c>
      <c r="P796" s="11" t="s">
        <v>9711</v>
      </c>
      <c r="Q796" s="11" t="s">
        <v>10076</v>
      </c>
      <c r="R796" s="4" t="s">
        <v>13051</v>
      </c>
      <c r="S796" s="4" t="b">
        <f>ISNUMBER(MATCH(Q796,T:T,0))</f>
        <v>0</v>
      </c>
      <c r="T796" s="4" t="s">
        <v>11363</v>
      </c>
      <c r="U796" s="4" t="str">
        <f t="shared" si="43"/>
        <v>家</v>
      </c>
      <c r="V796" s="4" t="b">
        <f t="shared" si="45"/>
        <v>1</v>
      </c>
    </row>
    <row r="797" spans="1:22">
      <c r="A797" s="3">
        <v>796</v>
      </c>
      <c r="B797" s="3" t="s">
        <v>4649</v>
      </c>
      <c r="C797" s="3" t="s">
        <v>6000</v>
      </c>
      <c r="D797" s="3" t="s">
        <v>6157</v>
      </c>
      <c r="E797" s="3" t="s">
        <v>5991</v>
      </c>
      <c r="F797" s="3" t="s">
        <v>4650</v>
      </c>
      <c r="G797" s="3" t="s">
        <v>5993</v>
      </c>
      <c r="H797" s="3" t="s">
        <v>952</v>
      </c>
      <c r="I797" s="3" t="s">
        <v>4652</v>
      </c>
      <c r="J797" s="5" t="s">
        <v>7824</v>
      </c>
      <c r="L797" s="3" t="s">
        <v>933</v>
      </c>
      <c r="M797" s="3">
        <v>8</v>
      </c>
      <c r="N797" s="4" t="s">
        <v>4650</v>
      </c>
      <c r="O797" s="4">
        <v>37</v>
      </c>
      <c r="P797" s="11" t="s">
        <v>9707</v>
      </c>
      <c r="Q797" s="11" t="s">
        <v>10076</v>
      </c>
      <c r="R797" s="4" t="s">
        <v>13051</v>
      </c>
      <c r="S797" s="4" t="b">
        <f>ISNUMBER(MATCH(Q797,T:T,0))</f>
        <v>0</v>
      </c>
      <c r="T797" s="4" t="s">
        <v>11364</v>
      </c>
      <c r="U797" s="4" t="str">
        <f t="shared" si="43"/>
        <v>家</v>
      </c>
      <c r="V797" s="4" t="b">
        <f t="shared" si="45"/>
        <v>1</v>
      </c>
    </row>
    <row r="798" spans="1:22">
      <c r="A798" s="3">
        <v>797</v>
      </c>
      <c r="B798" s="3" t="s">
        <v>4649</v>
      </c>
      <c r="C798" s="3" t="s">
        <v>6089</v>
      </c>
      <c r="D798" s="3" t="s">
        <v>6157</v>
      </c>
      <c r="E798" s="3" t="s">
        <v>5991</v>
      </c>
      <c r="F798" s="3" t="s">
        <v>4650</v>
      </c>
      <c r="G798" s="3" t="s">
        <v>5993</v>
      </c>
      <c r="H798" s="3" t="s">
        <v>953</v>
      </c>
      <c r="I798" s="3" t="s">
        <v>4652</v>
      </c>
      <c r="J798" s="5" t="s">
        <v>7825</v>
      </c>
      <c r="L798" s="3" t="s">
        <v>2931</v>
      </c>
      <c r="M798" s="3">
        <v>6</v>
      </c>
      <c r="N798" s="4" t="s">
        <v>4650</v>
      </c>
      <c r="O798" s="4">
        <v>37</v>
      </c>
      <c r="P798" s="11" t="s">
        <v>9753</v>
      </c>
      <c r="Q798" s="11" t="s">
        <v>10076</v>
      </c>
      <c r="R798" s="4" t="s">
        <v>13051</v>
      </c>
      <c r="S798" s="4" t="b">
        <f>ISNUMBER(MATCH(Q798,T:T,0))</f>
        <v>0</v>
      </c>
      <c r="T798" s="4" t="s">
        <v>11365</v>
      </c>
      <c r="U798" s="4" t="str">
        <f t="shared" si="43"/>
        <v>家</v>
      </c>
      <c r="V798" s="4" t="b">
        <f t="shared" si="45"/>
        <v>1</v>
      </c>
    </row>
    <row r="799" spans="1:22">
      <c r="A799" s="3">
        <v>798</v>
      </c>
      <c r="B799" s="3" t="s">
        <v>4649</v>
      </c>
      <c r="C799" s="3" t="s">
        <v>6038</v>
      </c>
      <c r="D799" s="3" t="s">
        <v>6157</v>
      </c>
      <c r="E799" s="3" t="s">
        <v>5991</v>
      </c>
      <c r="F799" s="3" t="s">
        <v>4650</v>
      </c>
      <c r="G799" s="3" t="s">
        <v>5993</v>
      </c>
      <c r="H799" s="3" t="s">
        <v>954</v>
      </c>
      <c r="I799" s="3" t="s">
        <v>4652</v>
      </c>
      <c r="J799" s="5" t="s">
        <v>955</v>
      </c>
      <c r="L799" s="3" t="s">
        <v>956</v>
      </c>
      <c r="M799" s="3">
        <v>3</v>
      </c>
      <c r="N799" s="4" t="s">
        <v>4650</v>
      </c>
      <c r="O799" s="4">
        <v>37</v>
      </c>
      <c r="P799" s="11" t="s">
        <v>9728</v>
      </c>
      <c r="Q799" s="11" t="s">
        <v>10076</v>
      </c>
      <c r="R799" s="4" t="s">
        <v>13051</v>
      </c>
      <c r="S799" s="4" t="b">
        <f>ISNUMBER(MATCH(Q799,T:T,0))</f>
        <v>0</v>
      </c>
      <c r="T799" s="4" t="s">
        <v>11366</v>
      </c>
      <c r="U799" s="4" t="str">
        <f t="shared" si="43"/>
        <v>家</v>
      </c>
      <c r="V799" s="4" t="b">
        <f t="shared" si="45"/>
        <v>1</v>
      </c>
    </row>
    <row r="800" spans="1:22">
      <c r="A800" s="3">
        <v>799</v>
      </c>
      <c r="B800" s="3" t="s">
        <v>4649</v>
      </c>
      <c r="C800" s="3" t="s">
        <v>6069</v>
      </c>
      <c r="D800" s="3" t="s">
        <v>6001</v>
      </c>
      <c r="E800" s="3" t="s">
        <v>5991</v>
      </c>
      <c r="F800" s="3" t="s">
        <v>4650</v>
      </c>
      <c r="G800" s="3" t="s">
        <v>5993</v>
      </c>
      <c r="H800" s="3" t="s">
        <v>957</v>
      </c>
      <c r="I800" s="3" t="s">
        <v>4652</v>
      </c>
      <c r="J800" s="5" t="s">
        <v>958</v>
      </c>
      <c r="L800" s="3" t="s">
        <v>4632</v>
      </c>
      <c r="M800" s="3">
        <v>1</v>
      </c>
      <c r="N800" s="4" t="s">
        <v>4650</v>
      </c>
      <c r="O800" s="4">
        <v>37</v>
      </c>
      <c r="P800" s="11" t="s">
        <v>9925</v>
      </c>
      <c r="Q800" s="11" t="s">
        <v>6123</v>
      </c>
      <c r="R800" s="4" t="s">
        <v>13049</v>
      </c>
      <c r="S800" s="4" t="b">
        <f>ISNUMBER(MATCH(Q800,T:T,0))</f>
        <v>0</v>
      </c>
      <c r="T800" s="4" t="s">
        <v>958</v>
      </c>
      <c r="U800" s="4" t="str">
        <f t="shared" si="43"/>
        <v>爺衺</v>
      </c>
      <c r="V800" s="4" t="b">
        <f t="shared" si="45"/>
        <v>0</v>
      </c>
    </row>
    <row r="801" spans="1:22">
      <c r="A801" s="3">
        <v>800</v>
      </c>
      <c r="B801" s="3" t="s">
        <v>4649</v>
      </c>
      <c r="C801" s="3" t="s">
        <v>6021</v>
      </c>
      <c r="D801" s="3" t="s">
        <v>6001</v>
      </c>
      <c r="E801" s="3" t="s">
        <v>5991</v>
      </c>
      <c r="F801" s="3" t="s">
        <v>4650</v>
      </c>
      <c r="G801" s="3" t="s">
        <v>5993</v>
      </c>
      <c r="H801" s="3" t="s">
        <v>959</v>
      </c>
      <c r="I801" s="3" t="s">
        <v>4652</v>
      </c>
      <c r="J801" s="5" t="s">
        <v>960</v>
      </c>
      <c r="L801" s="3" t="s">
        <v>961</v>
      </c>
      <c r="M801" s="3">
        <v>2</v>
      </c>
      <c r="N801" s="4" t="s">
        <v>4650</v>
      </c>
      <c r="O801" s="4">
        <v>37</v>
      </c>
      <c r="P801" s="11" t="s">
        <v>9798</v>
      </c>
      <c r="Q801" s="11" t="s">
        <v>10081</v>
      </c>
      <c r="R801" s="4" t="s">
        <v>13052</v>
      </c>
      <c r="S801" s="4" t="b">
        <f>ISNUMBER(MATCH(Q801,T:T,0))</f>
        <v>0</v>
      </c>
      <c r="T801" s="4" t="s">
        <v>10828</v>
      </c>
      <c r="U801" s="4" t="str">
        <f t="shared" si="43"/>
        <v>奢</v>
      </c>
      <c r="V801" s="4" t="b">
        <f t="shared" si="45"/>
        <v>1</v>
      </c>
    </row>
    <row r="802" spans="1:22">
      <c r="A802" s="3">
        <v>801</v>
      </c>
      <c r="B802" s="3" t="s">
        <v>4649</v>
      </c>
      <c r="C802" s="3" t="s">
        <v>6017</v>
      </c>
      <c r="D802" s="3" t="s">
        <v>6001</v>
      </c>
      <c r="E802" s="3" t="s">
        <v>5991</v>
      </c>
      <c r="F802" s="3" t="s">
        <v>4650</v>
      </c>
      <c r="G802" s="3" t="s">
        <v>5993</v>
      </c>
      <c r="H802" s="3" t="s">
        <v>962</v>
      </c>
      <c r="I802" s="3" t="s">
        <v>4652</v>
      </c>
      <c r="J802" s="5" t="s">
        <v>963</v>
      </c>
      <c r="L802" s="3" t="s">
        <v>2994</v>
      </c>
      <c r="M802" s="3">
        <v>1</v>
      </c>
      <c r="N802" s="4" t="s">
        <v>4650</v>
      </c>
      <c r="O802" s="4">
        <v>37</v>
      </c>
      <c r="P802" s="11" t="s">
        <v>10082</v>
      </c>
      <c r="Q802" s="11" t="s">
        <v>6123</v>
      </c>
      <c r="R802" s="4" t="s">
        <v>13049</v>
      </c>
      <c r="S802" s="4" t="b">
        <f>ISNUMBER(MATCH(Q802,T:T,0))</f>
        <v>0</v>
      </c>
      <c r="T802" s="4" t="s">
        <v>963</v>
      </c>
      <c r="U802" s="4" t="str">
        <f t="shared" si="43"/>
        <v>爺衺</v>
      </c>
      <c r="V802" s="4" t="b">
        <f t="shared" si="45"/>
        <v>0</v>
      </c>
    </row>
    <row r="803" spans="1:22">
      <c r="A803" s="3">
        <v>802</v>
      </c>
      <c r="B803" s="3" t="s">
        <v>4649</v>
      </c>
      <c r="C803" s="3" t="s">
        <v>6000</v>
      </c>
      <c r="D803" s="3" t="s">
        <v>6001</v>
      </c>
      <c r="E803" s="3" t="s">
        <v>5991</v>
      </c>
      <c r="F803" s="3" t="s">
        <v>4650</v>
      </c>
      <c r="G803" s="3" t="s">
        <v>5993</v>
      </c>
      <c r="H803" s="3" t="s">
        <v>964</v>
      </c>
      <c r="I803" s="3" t="s">
        <v>4652</v>
      </c>
      <c r="J803" s="5" t="s">
        <v>965</v>
      </c>
      <c r="L803" s="3" t="s">
        <v>4663</v>
      </c>
      <c r="M803" s="3">
        <v>1</v>
      </c>
      <c r="N803" s="4" t="s">
        <v>4650</v>
      </c>
      <c r="O803" s="4">
        <v>37</v>
      </c>
      <c r="P803" s="11" t="s">
        <v>9707</v>
      </c>
      <c r="Q803" s="11" t="s">
        <v>6123</v>
      </c>
      <c r="R803" s="4" t="s">
        <v>13049</v>
      </c>
      <c r="S803" s="4" t="b">
        <f>ISNUMBER(MATCH(Q803,T:T,0))</f>
        <v>0</v>
      </c>
      <c r="T803" s="4" t="s">
        <v>965</v>
      </c>
      <c r="U803" s="4" t="str">
        <f t="shared" si="43"/>
        <v>爺衺</v>
      </c>
      <c r="V803" s="4" t="b">
        <f t="shared" si="45"/>
        <v>0</v>
      </c>
    </row>
    <row r="804" spans="1:22">
      <c r="A804" s="3">
        <v>803</v>
      </c>
      <c r="B804" s="3" t="s">
        <v>4649</v>
      </c>
      <c r="C804" s="3" t="s">
        <v>6092</v>
      </c>
      <c r="D804" s="3" t="s">
        <v>6157</v>
      </c>
      <c r="E804" s="3" t="s">
        <v>6212</v>
      </c>
      <c r="F804" s="3" t="s">
        <v>4650</v>
      </c>
      <c r="G804" s="3" t="s">
        <v>5993</v>
      </c>
      <c r="H804" s="3" t="s">
        <v>966</v>
      </c>
      <c r="I804" s="3" t="s">
        <v>4652</v>
      </c>
      <c r="J804" s="5" t="s">
        <v>967</v>
      </c>
      <c r="L804" s="3" t="s">
        <v>968</v>
      </c>
      <c r="M804" s="3">
        <v>2</v>
      </c>
      <c r="N804" s="4" t="s">
        <v>4650</v>
      </c>
      <c r="O804" s="4">
        <v>37</v>
      </c>
      <c r="P804" s="11" t="s">
        <v>9740</v>
      </c>
      <c r="Q804" s="11" t="s">
        <v>10075</v>
      </c>
      <c r="S804" s="4" t="b">
        <f>ISNUMBER(MATCH(Q804,T:T,0))</f>
        <v>1</v>
      </c>
      <c r="T804" s="4" t="s">
        <v>11367</v>
      </c>
      <c r="U804" s="4" t="str">
        <f t="shared" si="43"/>
        <v>瓜</v>
      </c>
    </row>
    <row r="805" spans="1:22">
      <c r="A805" s="3">
        <v>804</v>
      </c>
      <c r="B805" s="3" t="s">
        <v>4649</v>
      </c>
      <c r="C805" s="3" t="s">
        <v>6038</v>
      </c>
      <c r="D805" s="3" t="s">
        <v>6157</v>
      </c>
      <c r="E805" s="3" t="s">
        <v>5991</v>
      </c>
      <c r="F805" s="3" t="s">
        <v>4650</v>
      </c>
      <c r="G805" s="3" t="s">
        <v>5993</v>
      </c>
      <c r="H805" s="3" t="s">
        <v>969</v>
      </c>
      <c r="I805" s="3" t="s">
        <v>4652</v>
      </c>
      <c r="J805" s="5" t="s">
        <v>970</v>
      </c>
      <c r="L805" s="3" t="s">
        <v>956</v>
      </c>
      <c r="M805" s="3">
        <v>1</v>
      </c>
      <c r="N805" s="4" t="s">
        <v>4650</v>
      </c>
      <c r="O805" s="4">
        <v>37</v>
      </c>
      <c r="P805" s="11" t="s">
        <v>10083</v>
      </c>
      <c r="Q805" s="11" t="s">
        <v>10076</v>
      </c>
      <c r="R805" s="4" t="s">
        <v>13051</v>
      </c>
      <c r="S805" s="4" t="b">
        <f>ISNUMBER(MATCH(Q805,T:T,0))</f>
        <v>0</v>
      </c>
      <c r="T805" s="4" t="s">
        <v>970</v>
      </c>
      <c r="U805" s="4" t="str">
        <f t="shared" si="43"/>
        <v>家</v>
      </c>
      <c r="V805" s="4" t="b">
        <f>ISNUMBER(MATCH(R805,T:T,0))</f>
        <v>1</v>
      </c>
    </row>
    <row r="806" spans="1:22" ht="39">
      <c r="A806" s="3">
        <v>805</v>
      </c>
      <c r="B806" s="3" t="s">
        <v>971</v>
      </c>
      <c r="C806" s="3" t="s">
        <v>6028</v>
      </c>
      <c r="D806" s="3" t="s">
        <v>6001</v>
      </c>
      <c r="E806" s="3" t="s">
        <v>5991</v>
      </c>
      <c r="F806" s="3" t="s">
        <v>972</v>
      </c>
      <c r="G806" s="3" t="s">
        <v>5993</v>
      </c>
      <c r="H806" s="3" t="s">
        <v>973</v>
      </c>
      <c r="I806" s="3" t="s">
        <v>974</v>
      </c>
      <c r="J806" s="5" t="s">
        <v>7826</v>
      </c>
      <c r="K806" s="3" t="s">
        <v>975</v>
      </c>
      <c r="L806" s="3" t="s">
        <v>6201</v>
      </c>
      <c r="M806" s="3">
        <v>31</v>
      </c>
      <c r="N806" s="4" t="s">
        <v>972</v>
      </c>
      <c r="O806" s="4">
        <v>38</v>
      </c>
      <c r="P806" s="11" t="s">
        <v>9828</v>
      </c>
      <c r="Q806" s="11" t="s">
        <v>6009</v>
      </c>
      <c r="S806" s="4" t="b">
        <f>ISNUMBER(MATCH(Q806,T:T,0))</f>
        <v>1</v>
      </c>
      <c r="T806" s="4" t="s">
        <v>972</v>
      </c>
      <c r="U806" s="4" t="str">
        <f t="shared" si="43"/>
        <v>章</v>
      </c>
    </row>
    <row r="807" spans="1:22" ht="28.5">
      <c r="A807" s="3">
        <v>806</v>
      </c>
      <c r="B807" s="3" t="s">
        <v>971</v>
      </c>
      <c r="C807" s="3" t="s">
        <v>6123</v>
      </c>
      <c r="D807" s="3" t="s">
        <v>6001</v>
      </c>
      <c r="E807" s="3" t="s">
        <v>5991</v>
      </c>
      <c r="F807" s="3" t="s">
        <v>972</v>
      </c>
      <c r="G807" s="3" t="s">
        <v>5993</v>
      </c>
      <c r="H807" s="3" t="s">
        <v>976</v>
      </c>
      <c r="I807" s="3" t="s">
        <v>974</v>
      </c>
      <c r="J807" s="5" t="s">
        <v>977</v>
      </c>
      <c r="L807" s="3" t="s">
        <v>6174</v>
      </c>
      <c r="M807" s="3">
        <v>8</v>
      </c>
      <c r="N807" s="4" t="s">
        <v>972</v>
      </c>
      <c r="O807" s="4">
        <v>38</v>
      </c>
      <c r="P807" s="11" t="s">
        <v>9833</v>
      </c>
      <c r="Q807" s="11" t="s">
        <v>9863</v>
      </c>
      <c r="R807" s="4" t="s">
        <v>13053</v>
      </c>
      <c r="S807" s="4" t="b">
        <f>ISNUMBER(MATCH(Q807,T:T,0))</f>
        <v>0</v>
      </c>
      <c r="T807" s="4" t="s">
        <v>9946</v>
      </c>
      <c r="U807" s="4" t="str">
        <f t="shared" si="43"/>
        <v>陽</v>
      </c>
      <c r="V807" s="4" t="b">
        <f>ISNUMBER(MATCH(R807,T:T,0))</f>
        <v>1</v>
      </c>
    </row>
    <row r="808" spans="1:22" ht="28.5">
      <c r="A808" s="3">
        <v>807</v>
      </c>
      <c r="B808" s="3" t="s">
        <v>971</v>
      </c>
      <c r="C808" s="3" t="s">
        <v>6058</v>
      </c>
      <c r="D808" s="3" t="s">
        <v>6001</v>
      </c>
      <c r="E808" s="3" t="s">
        <v>5991</v>
      </c>
      <c r="F808" s="3" t="s">
        <v>972</v>
      </c>
      <c r="G808" s="3" t="s">
        <v>5993</v>
      </c>
      <c r="H808" s="3" t="s">
        <v>978</v>
      </c>
      <c r="I808" s="3" t="s">
        <v>974</v>
      </c>
      <c r="J808" s="5" t="s">
        <v>7827</v>
      </c>
      <c r="L808" s="3" t="s">
        <v>979</v>
      </c>
      <c r="M808" s="3">
        <v>18</v>
      </c>
      <c r="N808" s="4" t="s">
        <v>972</v>
      </c>
      <c r="O808" s="4">
        <v>38</v>
      </c>
      <c r="P808" s="11" t="s">
        <v>9773</v>
      </c>
      <c r="Q808" s="11" t="s">
        <v>6009</v>
      </c>
      <c r="S808" s="4" t="b">
        <f>ISNUMBER(MATCH(Q808,T:T,0))</f>
        <v>1</v>
      </c>
      <c r="T808" s="4" t="s">
        <v>10084</v>
      </c>
      <c r="U808" s="4" t="str">
        <f t="shared" si="43"/>
        <v>章</v>
      </c>
    </row>
    <row r="809" spans="1:22" ht="28.5">
      <c r="A809" s="3">
        <v>808</v>
      </c>
      <c r="B809" s="3" t="s">
        <v>971</v>
      </c>
      <c r="C809" s="3" t="s">
        <v>6089</v>
      </c>
      <c r="D809" s="3" t="s">
        <v>6001</v>
      </c>
      <c r="E809" s="3" t="s">
        <v>5991</v>
      </c>
      <c r="F809" s="3" t="s">
        <v>972</v>
      </c>
      <c r="G809" s="3" t="s">
        <v>5993</v>
      </c>
      <c r="H809" s="3" t="s">
        <v>980</v>
      </c>
      <c r="I809" s="3" t="s">
        <v>974</v>
      </c>
      <c r="J809" s="5" t="s">
        <v>7828</v>
      </c>
      <c r="L809" s="3" t="s">
        <v>6187</v>
      </c>
      <c r="M809" s="3">
        <v>5</v>
      </c>
      <c r="N809" s="4" t="s">
        <v>972</v>
      </c>
      <c r="O809" s="4">
        <v>38</v>
      </c>
      <c r="P809" s="11" t="s">
        <v>9753</v>
      </c>
      <c r="Q809" s="11" t="s">
        <v>10084</v>
      </c>
      <c r="S809" s="4" t="b">
        <f>ISNUMBER(MATCH(Q809,T:T,0))</f>
        <v>1</v>
      </c>
      <c r="T809" s="4" t="s">
        <v>9797</v>
      </c>
      <c r="U809" s="4" t="str">
        <f t="shared" si="43"/>
        <v>良</v>
      </c>
    </row>
    <row r="810" spans="1:22" ht="28.5">
      <c r="A810" s="3">
        <v>809</v>
      </c>
      <c r="B810" s="3" t="s">
        <v>971</v>
      </c>
      <c r="C810" s="3" t="s">
        <v>6120</v>
      </c>
      <c r="D810" s="3" t="s">
        <v>6001</v>
      </c>
      <c r="E810" s="3" t="s">
        <v>5991</v>
      </c>
      <c r="F810" s="3" t="s">
        <v>972</v>
      </c>
      <c r="G810" s="3" t="s">
        <v>5993</v>
      </c>
      <c r="H810" s="3" t="s">
        <v>981</v>
      </c>
      <c r="I810" s="3" t="s">
        <v>974</v>
      </c>
      <c r="J810" s="5" t="s">
        <v>7829</v>
      </c>
      <c r="L810" s="3" t="s">
        <v>982</v>
      </c>
      <c r="M810" s="3">
        <v>18</v>
      </c>
      <c r="N810" s="4" t="s">
        <v>972</v>
      </c>
      <c r="O810" s="4">
        <v>38</v>
      </c>
      <c r="P810" s="11" t="s">
        <v>9793</v>
      </c>
      <c r="Q810" s="11" t="s">
        <v>9863</v>
      </c>
      <c r="R810" s="4" t="s">
        <v>13053</v>
      </c>
      <c r="S810" s="4" t="b">
        <f>ISNUMBER(MATCH(Q810,T:T,0))</f>
        <v>0</v>
      </c>
      <c r="T810" s="4" t="s">
        <v>10507</v>
      </c>
      <c r="U810" s="4" t="str">
        <f t="shared" si="43"/>
        <v>陽</v>
      </c>
      <c r="V810" s="4" t="b">
        <f>ISNUMBER(MATCH(R810,T:T,0))</f>
        <v>1</v>
      </c>
    </row>
    <row r="811" spans="1:22">
      <c r="A811" s="3">
        <v>810</v>
      </c>
      <c r="B811" s="3" t="s">
        <v>971</v>
      </c>
      <c r="C811" s="3" t="s">
        <v>6045</v>
      </c>
      <c r="D811" s="3" t="s">
        <v>6001</v>
      </c>
      <c r="E811" s="3" t="s">
        <v>6212</v>
      </c>
      <c r="F811" s="3" t="s">
        <v>972</v>
      </c>
      <c r="G811" s="3" t="s">
        <v>5993</v>
      </c>
      <c r="H811" s="3" t="s">
        <v>983</v>
      </c>
      <c r="I811" s="3" t="s">
        <v>974</v>
      </c>
      <c r="J811" s="5" t="s">
        <v>7830</v>
      </c>
      <c r="L811" s="3" t="s">
        <v>984</v>
      </c>
      <c r="M811" s="3">
        <v>7</v>
      </c>
      <c r="N811" s="4" t="s">
        <v>972</v>
      </c>
      <c r="O811" s="4">
        <v>38</v>
      </c>
      <c r="P811" s="11" t="s">
        <v>9759</v>
      </c>
      <c r="Q811" s="11" t="s">
        <v>9723</v>
      </c>
      <c r="S811" s="4" t="b">
        <f>ISNUMBER(MATCH(Q811,T:T,0))</f>
        <v>1</v>
      </c>
      <c r="T811" s="4" t="s">
        <v>9722</v>
      </c>
      <c r="U811" s="4" t="str">
        <f t="shared" si="43"/>
        <v>方</v>
      </c>
    </row>
    <row r="812" spans="1:22" ht="28.5">
      <c r="A812" s="3">
        <v>811</v>
      </c>
      <c r="B812" s="3" t="s">
        <v>971</v>
      </c>
      <c r="C812" s="3" t="s">
        <v>6009</v>
      </c>
      <c r="D812" s="3" t="s">
        <v>6001</v>
      </c>
      <c r="E812" s="3" t="s">
        <v>5991</v>
      </c>
      <c r="F812" s="3" t="s">
        <v>972</v>
      </c>
      <c r="G812" s="3" t="s">
        <v>5993</v>
      </c>
      <c r="H812" s="3" t="s">
        <v>985</v>
      </c>
      <c r="I812" s="3" t="s">
        <v>974</v>
      </c>
      <c r="J812" s="5" t="s">
        <v>7831</v>
      </c>
      <c r="L812" s="3" t="s">
        <v>986</v>
      </c>
      <c r="M812" s="3">
        <v>15</v>
      </c>
      <c r="N812" s="4" t="s">
        <v>972</v>
      </c>
      <c r="O812" s="4">
        <v>38</v>
      </c>
      <c r="P812" s="11" t="s">
        <v>9849</v>
      </c>
      <c r="Q812" s="11" t="s">
        <v>10084</v>
      </c>
      <c r="S812" s="4" t="b">
        <f>ISNUMBER(MATCH(Q812,T:T,0))</f>
        <v>1</v>
      </c>
      <c r="T812" s="4" t="s">
        <v>6009</v>
      </c>
      <c r="U812" s="4" t="str">
        <f t="shared" si="43"/>
        <v>良</v>
      </c>
    </row>
    <row r="813" spans="1:22" ht="28.5">
      <c r="A813" s="3">
        <v>812</v>
      </c>
      <c r="B813" s="3" t="s">
        <v>971</v>
      </c>
      <c r="C813" s="3" t="s">
        <v>6055</v>
      </c>
      <c r="D813" s="3" t="s">
        <v>6001</v>
      </c>
      <c r="E813" s="3" t="s">
        <v>5991</v>
      </c>
      <c r="F813" s="3" t="s">
        <v>972</v>
      </c>
      <c r="G813" s="3" t="s">
        <v>5993</v>
      </c>
      <c r="H813" s="3" t="s">
        <v>987</v>
      </c>
      <c r="I813" s="3" t="s">
        <v>974</v>
      </c>
      <c r="J813" s="5" t="s">
        <v>988</v>
      </c>
      <c r="L813" s="3" t="s">
        <v>989</v>
      </c>
      <c r="M813" s="3">
        <v>8</v>
      </c>
      <c r="N813" s="4" t="s">
        <v>972</v>
      </c>
      <c r="O813" s="4">
        <v>38</v>
      </c>
      <c r="P813" s="11" t="s">
        <v>9749</v>
      </c>
      <c r="Q813" s="11" t="s">
        <v>10084</v>
      </c>
      <c r="S813" s="4" t="b">
        <f>ISNUMBER(MATCH(Q813,T:T,0))</f>
        <v>1</v>
      </c>
      <c r="T813" s="4" t="s">
        <v>6055</v>
      </c>
      <c r="U813" s="4" t="str">
        <f t="shared" si="43"/>
        <v>良</v>
      </c>
    </row>
    <row r="814" spans="1:22" ht="28.5">
      <c r="A814" s="3">
        <v>813</v>
      </c>
      <c r="B814" s="3" t="s">
        <v>971</v>
      </c>
      <c r="C814" s="3" t="s">
        <v>6038</v>
      </c>
      <c r="D814" s="3" t="s">
        <v>6001</v>
      </c>
      <c r="E814" s="3" t="s">
        <v>5991</v>
      </c>
      <c r="F814" s="3" t="s">
        <v>972</v>
      </c>
      <c r="G814" s="3" t="s">
        <v>5993</v>
      </c>
      <c r="H814" s="3" t="s">
        <v>990</v>
      </c>
      <c r="I814" s="3" t="s">
        <v>974</v>
      </c>
      <c r="J814" s="5" t="s">
        <v>7832</v>
      </c>
      <c r="L814" s="3" t="s">
        <v>6192</v>
      </c>
      <c r="M814" s="3">
        <v>4</v>
      </c>
      <c r="N814" s="4" t="s">
        <v>972</v>
      </c>
      <c r="O814" s="4">
        <v>38</v>
      </c>
      <c r="P814" s="11" t="s">
        <v>4210</v>
      </c>
      <c r="Q814" s="11" t="s">
        <v>9863</v>
      </c>
      <c r="R814" s="4" t="s">
        <v>13053</v>
      </c>
      <c r="S814" s="4" t="b">
        <f>ISNUMBER(MATCH(Q814,T:T,0))</f>
        <v>0</v>
      </c>
      <c r="T814" s="4" t="s">
        <v>10245</v>
      </c>
      <c r="U814" s="4" t="str">
        <f t="shared" si="43"/>
        <v>陽</v>
      </c>
      <c r="V814" s="4" t="b">
        <f>ISNUMBER(MATCH(R814,T:T,0))</f>
        <v>1</v>
      </c>
    </row>
    <row r="815" spans="1:22" ht="28.5">
      <c r="A815" s="3">
        <v>814</v>
      </c>
      <c r="B815" s="3" t="s">
        <v>971</v>
      </c>
      <c r="C815" s="3" t="s">
        <v>6025</v>
      </c>
      <c r="D815" s="3" t="s">
        <v>6001</v>
      </c>
      <c r="E815" s="3" t="s">
        <v>5991</v>
      </c>
      <c r="F815" s="3" t="s">
        <v>972</v>
      </c>
      <c r="G815" s="3" t="s">
        <v>5993</v>
      </c>
      <c r="H815" s="3" t="s">
        <v>991</v>
      </c>
      <c r="I815" s="3" t="s">
        <v>974</v>
      </c>
      <c r="J815" s="5" t="s">
        <v>7833</v>
      </c>
      <c r="L815" s="3" t="s">
        <v>6161</v>
      </c>
      <c r="M815" s="3">
        <v>15</v>
      </c>
      <c r="N815" s="4" t="s">
        <v>972</v>
      </c>
      <c r="O815" s="4">
        <v>38</v>
      </c>
      <c r="P815" s="11" t="s">
        <v>9717</v>
      </c>
      <c r="Q815" s="11" t="s">
        <v>10084</v>
      </c>
      <c r="S815" s="4" t="b">
        <f>ISNUMBER(MATCH(Q815,T:T,0))</f>
        <v>1</v>
      </c>
      <c r="T815" s="4" t="s">
        <v>11368</v>
      </c>
      <c r="U815" s="4" t="str">
        <f t="shared" si="43"/>
        <v>良</v>
      </c>
    </row>
    <row r="816" spans="1:22" ht="28.5">
      <c r="A816" s="3">
        <v>815</v>
      </c>
      <c r="B816" s="3" t="s">
        <v>971</v>
      </c>
      <c r="C816" s="3" t="s">
        <v>6005</v>
      </c>
      <c r="D816" s="3" t="s">
        <v>6001</v>
      </c>
      <c r="E816" s="3" t="s">
        <v>5991</v>
      </c>
      <c r="F816" s="3" t="s">
        <v>972</v>
      </c>
      <c r="G816" s="3" t="s">
        <v>5993</v>
      </c>
      <c r="H816" s="3" t="s">
        <v>992</v>
      </c>
      <c r="I816" s="3" t="s">
        <v>974</v>
      </c>
      <c r="J816" s="5" t="s">
        <v>7834</v>
      </c>
      <c r="L816" s="3" t="s">
        <v>993</v>
      </c>
      <c r="M816" s="3">
        <v>8</v>
      </c>
      <c r="N816" s="4" t="s">
        <v>972</v>
      </c>
      <c r="O816" s="4">
        <v>38</v>
      </c>
      <c r="P816" s="11" t="s">
        <v>9709</v>
      </c>
      <c r="Q816" s="11" t="s">
        <v>10084</v>
      </c>
      <c r="S816" s="4" t="b">
        <f>ISNUMBER(MATCH(Q816,T:T,0))</f>
        <v>1</v>
      </c>
      <c r="T816" s="4" t="s">
        <v>7328</v>
      </c>
      <c r="U816" s="4" t="str">
        <f t="shared" si="43"/>
        <v>良</v>
      </c>
    </row>
    <row r="817" spans="1:22" ht="28.5">
      <c r="A817" s="3">
        <v>816</v>
      </c>
      <c r="B817" s="3" t="s">
        <v>971</v>
      </c>
      <c r="C817" s="3" t="s">
        <v>6000</v>
      </c>
      <c r="D817" s="3" t="s">
        <v>6001</v>
      </c>
      <c r="E817" s="3" t="s">
        <v>5991</v>
      </c>
      <c r="F817" s="3" t="s">
        <v>972</v>
      </c>
      <c r="G817" s="3" t="s">
        <v>5993</v>
      </c>
      <c r="H817" s="3" t="s">
        <v>994</v>
      </c>
      <c r="I817" s="3" t="s">
        <v>974</v>
      </c>
      <c r="J817" s="5" t="s">
        <v>7835</v>
      </c>
      <c r="L817" s="3" t="s">
        <v>986</v>
      </c>
      <c r="M817" s="3">
        <v>4</v>
      </c>
      <c r="N817" s="4" t="s">
        <v>972</v>
      </c>
      <c r="O817" s="4">
        <v>38</v>
      </c>
      <c r="P817" s="11" t="s">
        <v>9707</v>
      </c>
      <c r="Q817" s="11" t="s">
        <v>10084</v>
      </c>
      <c r="S817" s="4" t="b">
        <f>ISNUMBER(MATCH(Q817,T:T,0))</f>
        <v>1</v>
      </c>
      <c r="T817" s="4" t="s">
        <v>10007</v>
      </c>
      <c r="U817" s="4" t="str">
        <f t="shared" si="43"/>
        <v>良</v>
      </c>
    </row>
    <row r="818" spans="1:22">
      <c r="A818" s="3">
        <v>817</v>
      </c>
      <c r="B818" s="3" t="s">
        <v>971</v>
      </c>
      <c r="C818" s="3" t="s">
        <v>6021</v>
      </c>
      <c r="D818" s="3" t="s">
        <v>6001</v>
      </c>
      <c r="E818" s="3" t="s">
        <v>5991</v>
      </c>
      <c r="F818" s="3" t="s">
        <v>972</v>
      </c>
      <c r="G818" s="3" t="s">
        <v>5993</v>
      </c>
      <c r="H818" s="3" t="s">
        <v>995</v>
      </c>
      <c r="I818" s="3" t="s">
        <v>974</v>
      </c>
      <c r="J818" s="5" t="s">
        <v>996</v>
      </c>
      <c r="L818" s="3" t="s">
        <v>997</v>
      </c>
      <c r="M818" s="3">
        <v>17</v>
      </c>
      <c r="N818" s="4" t="s">
        <v>972</v>
      </c>
      <c r="O818" s="4">
        <v>38</v>
      </c>
      <c r="P818" s="11" t="s">
        <v>9791</v>
      </c>
      <c r="Q818" s="11" t="s">
        <v>972</v>
      </c>
      <c r="S818" s="4" t="b">
        <f>ISNUMBER(MATCH(Q818,T:T,0))</f>
        <v>1</v>
      </c>
      <c r="T818" s="4" t="s">
        <v>11369</v>
      </c>
      <c r="U818" s="4" t="str">
        <f t="shared" si="43"/>
        <v>陽</v>
      </c>
    </row>
    <row r="819" spans="1:22">
      <c r="A819" s="3">
        <v>818</v>
      </c>
      <c r="B819" s="3" t="s">
        <v>971</v>
      </c>
      <c r="C819" s="3" t="s">
        <v>6049</v>
      </c>
      <c r="D819" s="3" t="s">
        <v>6001</v>
      </c>
      <c r="E819" s="3" t="s">
        <v>6212</v>
      </c>
      <c r="F819" s="3" t="s">
        <v>972</v>
      </c>
      <c r="G819" s="3" t="s">
        <v>5993</v>
      </c>
      <c r="H819" s="3" t="s">
        <v>998</v>
      </c>
      <c r="I819" s="3" t="s">
        <v>974</v>
      </c>
      <c r="J819" s="5" t="s">
        <v>7836</v>
      </c>
      <c r="L819" s="3" t="s">
        <v>999</v>
      </c>
      <c r="M819" s="3">
        <v>13</v>
      </c>
      <c r="N819" s="4" t="s">
        <v>972</v>
      </c>
      <c r="O819" s="4">
        <v>38</v>
      </c>
      <c r="P819" s="11" t="s">
        <v>9752</v>
      </c>
      <c r="Q819" s="11" t="s">
        <v>10084</v>
      </c>
      <c r="S819" s="4" t="b">
        <f>ISNUMBER(MATCH(Q819,T:T,0))</f>
        <v>1</v>
      </c>
      <c r="T819" s="4" t="s">
        <v>9723</v>
      </c>
      <c r="U819" s="4" t="str">
        <f t="shared" si="43"/>
        <v>良</v>
      </c>
    </row>
    <row r="820" spans="1:22" ht="28.5">
      <c r="A820" s="3">
        <v>819</v>
      </c>
      <c r="B820" s="3" t="s">
        <v>971</v>
      </c>
      <c r="C820" s="3" t="s">
        <v>6017</v>
      </c>
      <c r="D820" s="3" t="s">
        <v>6001</v>
      </c>
      <c r="E820" s="3" t="s">
        <v>5991</v>
      </c>
      <c r="F820" s="3" t="s">
        <v>972</v>
      </c>
      <c r="G820" s="3" t="s">
        <v>5993</v>
      </c>
      <c r="H820" s="3" t="s">
        <v>1000</v>
      </c>
      <c r="I820" s="3" t="s">
        <v>974</v>
      </c>
      <c r="J820" s="5" t="s">
        <v>1001</v>
      </c>
      <c r="L820" s="3" t="s">
        <v>6187</v>
      </c>
      <c r="M820" s="3">
        <v>13</v>
      </c>
      <c r="N820" s="4" t="s">
        <v>972</v>
      </c>
      <c r="O820" s="4">
        <v>38</v>
      </c>
      <c r="P820" s="11" t="s">
        <v>9714</v>
      </c>
      <c r="Q820" s="11" t="s">
        <v>10084</v>
      </c>
      <c r="S820" s="4" t="b">
        <f>ISNUMBER(MATCH(Q820,T:T,0))</f>
        <v>1</v>
      </c>
      <c r="T820" s="4" t="s">
        <v>11370</v>
      </c>
      <c r="U820" s="4" t="str">
        <f t="shared" si="43"/>
        <v>良</v>
      </c>
    </row>
    <row r="821" spans="1:22" ht="28.5">
      <c r="A821" s="3">
        <v>820</v>
      </c>
      <c r="B821" s="3" t="s">
        <v>971</v>
      </c>
      <c r="C821" s="3" t="s">
        <v>6083</v>
      </c>
      <c r="D821" s="3" t="s">
        <v>6001</v>
      </c>
      <c r="E821" s="3" t="s">
        <v>5991</v>
      </c>
      <c r="F821" s="3" t="s">
        <v>972</v>
      </c>
      <c r="G821" s="3" t="s">
        <v>5993</v>
      </c>
      <c r="H821" s="3" t="s">
        <v>1002</v>
      </c>
      <c r="I821" s="3" t="s">
        <v>974</v>
      </c>
      <c r="J821" s="5" t="s">
        <v>7837</v>
      </c>
      <c r="L821" s="3" t="s">
        <v>6161</v>
      </c>
      <c r="M821" s="3">
        <v>6</v>
      </c>
      <c r="N821" s="4" t="s">
        <v>972</v>
      </c>
      <c r="O821" s="4">
        <v>38</v>
      </c>
      <c r="P821" s="11" t="s">
        <v>9760</v>
      </c>
      <c r="Q821" s="11" t="s">
        <v>10084</v>
      </c>
      <c r="S821" s="4" t="b">
        <f>ISNUMBER(MATCH(Q821,T:T,0))</f>
        <v>1</v>
      </c>
      <c r="T821" s="4" t="s">
        <v>9933</v>
      </c>
      <c r="U821" s="4" t="str">
        <f t="shared" si="43"/>
        <v>良</v>
      </c>
    </row>
    <row r="822" spans="1:22" ht="28.5">
      <c r="A822" s="3">
        <v>821</v>
      </c>
      <c r="B822" s="3" t="s">
        <v>971</v>
      </c>
      <c r="C822" s="3" t="s">
        <v>6167</v>
      </c>
      <c r="D822" s="3" t="s">
        <v>6001</v>
      </c>
      <c r="E822" s="3" t="s">
        <v>5991</v>
      </c>
      <c r="F822" s="3" t="s">
        <v>972</v>
      </c>
      <c r="G822" s="3" t="s">
        <v>5993</v>
      </c>
      <c r="H822" s="3" t="s">
        <v>1003</v>
      </c>
      <c r="I822" s="3" t="s">
        <v>974</v>
      </c>
      <c r="J822" s="5" t="s">
        <v>1004</v>
      </c>
      <c r="L822" s="3" t="s">
        <v>6169</v>
      </c>
      <c r="M822" s="3">
        <v>3</v>
      </c>
      <c r="N822" s="4" t="s">
        <v>972</v>
      </c>
      <c r="O822" s="4">
        <v>38</v>
      </c>
      <c r="P822" s="11" t="s">
        <v>6167</v>
      </c>
      <c r="Q822" s="11" t="s">
        <v>10084</v>
      </c>
      <c r="S822" s="4" t="b">
        <f>ISNUMBER(MATCH(Q822,T:T,0))</f>
        <v>1</v>
      </c>
      <c r="T822" s="4" t="s">
        <v>10243</v>
      </c>
      <c r="U822" s="4" t="str">
        <f t="shared" si="43"/>
        <v>良</v>
      </c>
    </row>
    <row r="823" spans="1:22">
      <c r="A823" s="3">
        <v>822</v>
      </c>
      <c r="B823" s="3" t="s">
        <v>971</v>
      </c>
      <c r="C823" s="3" t="s">
        <v>6035</v>
      </c>
      <c r="D823" s="3" t="s">
        <v>6001</v>
      </c>
      <c r="E823" s="3" t="s">
        <v>6212</v>
      </c>
      <c r="F823" s="3" t="s">
        <v>972</v>
      </c>
      <c r="G823" s="3" t="s">
        <v>5993</v>
      </c>
      <c r="H823" s="3" t="s">
        <v>1005</v>
      </c>
      <c r="I823" s="3" t="s">
        <v>974</v>
      </c>
      <c r="J823" s="5" t="s">
        <v>7838</v>
      </c>
      <c r="K823" s="3" t="s">
        <v>1006</v>
      </c>
      <c r="L823" s="3" t="s">
        <v>1007</v>
      </c>
      <c r="M823" s="3">
        <v>11</v>
      </c>
      <c r="N823" s="4" t="s">
        <v>972</v>
      </c>
      <c r="O823" s="4">
        <v>38</v>
      </c>
      <c r="P823" s="11" t="s">
        <v>9794</v>
      </c>
      <c r="Q823" s="11" t="s">
        <v>9723</v>
      </c>
      <c r="S823" s="4" t="b">
        <f>ISNUMBER(MATCH(Q823,T:T,0))</f>
        <v>1</v>
      </c>
      <c r="T823" s="4" t="s">
        <v>10151</v>
      </c>
      <c r="U823" s="4" t="str">
        <f t="shared" si="43"/>
        <v>方</v>
      </c>
    </row>
    <row r="824" spans="1:22" ht="28.5">
      <c r="A824" s="3">
        <v>823</v>
      </c>
      <c r="B824" s="3" t="s">
        <v>971</v>
      </c>
      <c r="C824" s="3" t="s">
        <v>6137</v>
      </c>
      <c r="D824" s="3" t="s">
        <v>6001</v>
      </c>
      <c r="E824" s="3" t="s">
        <v>5991</v>
      </c>
      <c r="F824" s="3" t="s">
        <v>972</v>
      </c>
      <c r="G824" s="3" t="s">
        <v>5993</v>
      </c>
      <c r="H824" s="3" t="s">
        <v>1008</v>
      </c>
      <c r="I824" s="3" t="s">
        <v>974</v>
      </c>
      <c r="J824" s="5" t="s">
        <v>1009</v>
      </c>
      <c r="L824" s="3" t="s">
        <v>1010</v>
      </c>
      <c r="M824" s="3">
        <v>4</v>
      </c>
      <c r="N824" s="4" t="s">
        <v>972</v>
      </c>
      <c r="O824" s="4">
        <v>38</v>
      </c>
      <c r="P824" s="11" t="s">
        <v>9755</v>
      </c>
      <c r="Q824" s="11" t="s">
        <v>10084</v>
      </c>
      <c r="S824" s="4" t="b">
        <f>ISNUMBER(MATCH(Q824,T:T,0))</f>
        <v>1</v>
      </c>
      <c r="T824" s="4" t="s">
        <v>11371</v>
      </c>
      <c r="U824" s="4" t="str">
        <f t="shared" si="43"/>
        <v>良</v>
      </c>
    </row>
    <row r="825" spans="1:22" ht="28.5">
      <c r="A825" s="3">
        <v>824</v>
      </c>
      <c r="B825" s="3" t="s">
        <v>971</v>
      </c>
      <c r="C825" s="3" t="s">
        <v>6015</v>
      </c>
      <c r="D825" s="3" t="s">
        <v>6001</v>
      </c>
      <c r="E825" s="3" t="s">
        <v>5991</v>
      </c>
      <c r="F825" s="3" t="s">
        <v>972</v>
      </c>
      <c r="G825" s="3" t="s">
        <v>5993</v>
      </c>
      <c r="H825" s="3" t="s">
        <v>1011</v>
      </c>
      <c r="I825" s="3" t="s">
        <v>974</v>
      </c>
      <c r="J825" s="8" t="s">
        <v>7839</v>
      </c>
      <c r="L825" s="3" t="s">
        <v>6194</v>
      </c>
      <c r="M825" s="3">
        <v>3</v>
      </c>
      <c r="N825" s="4" t="s">
        <v>972</v>
      </c>
      <c r="O825" s="4">
        <v>38</v>
      </c>
      <c r="P825" s="11" t="s">
        <v>9777</v>
      </c>
      <c r="Q825" s="11" t="s">
        <v>6318</v>
      </c>
      <c r="R825" s="4" t="s">
        <v>13054</v>
      </c>
      <c r="S825" s="4" t="b">
        <f>ISNUMBER(MATCH(Q825,T:T,0))</f>
        <v>0</v>
      </c>
      <c r="T825" s="4" t="s">
        <v>10233</v>
      </c>
      <c r="U825" s="4" t="str">
        <f t="shared" si="43"/>
        <v>裝</v>
      </c>
      <c r="V825" s="4" t="b">
        <f t="shared" ref="V825:V828" si="46">ISNUMBER(MATCH(R825,T:T,0))</f>
        <v>1</v>
      </c>
    </row>
    <row r="826" spans="1:22" ht="28.5">
      <c r="A826" s="3">
        <v>825</v>
      </c>
      <c r="B826" s="3" t="s">
        <v>971</v>
      </c>
      <c r="C826" s="3" t="s">
        <v>6318</v>
      </c>
      <c r="D826" s="3" t="s">
        <v>6001</v>
      </c>
      <c r="E826" s="3" t="s">
        <v>5991</v>
      </c>
      <c r="F826" s="3" t="s">
        <v>972</v>
      </c>
      <c r="G826" s="3" t="s">
        <v>5993</v>
      </c>
      <c r="H826" s="3" t="s">
        <v>1012</v>
      </c>
      <c r="I826" s="3" t="s">
        <v>974</v>
      </c>
      <c r="J826" s="5" t="s">
        <v>1013</v>
      </c>
      <c r="L826" s="3" t="s">
        <v>6199</v>
      </c>
      <c r="M826" s="3">
        <v>5</v>
      </c>
      <c r="N826" s="4" t="s">
        <v>972</v>
      </c>
      <c r="O826" s="4">
        <v>38</v>
      </c>
      <c r="P826" s="11" t="s">
        <v>9804</v>
      </c>
      <c r="Q826" s="11" t="s">
        <v>9863</v>
      </c>
      <c r="R826" s="4" t="s">
        <v>13053</v>
      </c>
      <c r="S826" s="4" t="b">
        <f>ISNUMBER(MATCH(Q826,T:T,0))</f>
        <v>0</v>
      </c>
      <c r="T826" s="4" t="s">
        <v>11372</v>
      </c>
      <c r="U826" s="4" t="str">
        <f t="shared" si="43"/>
        <v>陽</v>
      </c>
      <c r="V826" s="4" t="b">
        <f t="shared" si="46"/>
        <v>1</v>
      </c>
    </row>
    <row r="827" spans="1:22" ht="28.5">
      <c r="A827" s="3">
        <v>826</v>
      </c>
      <c r="B827" s="3" t="s">
        <v>971</v>
      </c>
      <c r="C827" s="3" t="s">
        <v>6148</v>
      </c>
      <c r="D827" s="3" t="s">
        <v>6001</v>
      </c>
      <c r="E827" s="3" t="s">
        <v>5991</v>
      </c>
      <c r="F827" s="3" t="s">
        <v>972</v>
      </c>
      <c r="G827" s="3" t="s">
        <v>5993</v>
      </c>
      <c r="H827" s="3" t="s">
        <v>1014</v>
      </c>
      <c r="I827" s="3" t="s">
        <v>974</v>
      </c>
      <c r="J827" s="5" t="s">
        <v>7840</v>
      </c>
      <c r="L827" s="3" t="s">
        <v>993</v>
      </c>
      <c r="M827" s="3">
        <v>10</v>
      </c>
      <c r="N827" s="4" t="s">
        <v>972</v>
      </c>
      <c r="O827" s="4">
        <v>38</v>
      </c>
      <c r="P827" s="11" t="s">
        <v>9829</v>
      </c>
      <c r="Q827" s="11" t="s">
        <v>9863</v>
      </c>
      <c r="R827" s="4" t="s">
        <v>13053</v>
      </c>
      <c r="S827" s="4" t="b">
        <f>ISNUMBER(MATCH(Q827,T:T,0))</f>
        <v>0</v>
      </c>
      <c r="T827" s="4" t="s">
        <v>6148</v>
      </c>
      <c r="U827" s="4" t="str">
        <f t="shared" si="43"/>
        <v>陽</v>
      </c>
      <c r="V827" s="4" t="b">
        <f t="shared" si="46"/>
        <v>1</v>
      </c>
    </row>
    <row r="828" spans="1:22" ht="28.5">
      <c r="A828" s="3">
        <v>827</v>
      </c>
      <c r="B828" s="3" t="s">
        <v>971</v>
      </c>
      <c r="C828" s="3" t="s">
        <v>6180</v>
      </c>
      <c r="D828" s="3" t="s">
        <v>6001</v>
      </c>
      <c r="E828" s="3" t="s">
        <v>5991</v>
      </c>
      <c r="F828" s="3" t="s">
        <v>972</v>
      </c>
      <c r="G828" s="3" t="s">
        <v>5993</v>
      </c>
      <c r="H828" s="3" t="s">
        <v>1015</v>
      </c>
      <c r="I828" s="3" t="s">
        <v>974</v>
      </c>
      <c r="J828" s="5" t="s">
        <v>7841</v>
      </c>
      <c r="L828" s="3" t="s">
        <v>6183</v>
      </c>
      <c r="M828" s="3">
        <v>7</v>
      </c>
      <c r="N828" s="4" t="s">
        <v>972</v>
      </c>
      <c r="O828" s="4">
        <v>38</v>
      </c>
      <c r="P828" s="11" t="s">
        <v>10085</v>
      </c>
      <c r="Q828" s="11" t="s">
        <v>6318</v>
      </c>
      <c r="R828" s="4" t="s">
        <v>13054</v>
      </c>
      <c r="S828" s="4" t="b">
        <f>ISNUMBER(MATCH(Q828,T:T,0))</f>
        <v>0</v>
      </c>
      <c r="T828" s="4" t="s">
        <v>11373</v>
      </c>
      <c r="U828" s="4" t="str">
        <f t="shared" si="43"/>
        <v>裝</v>
      </c>
      <c r="V828" s="4" t="b">
        <f t="shared" si="46"/>
        <v>1</v>
      </c>
    </row>
    <row r="829" spans="1:22" ht="28.5">
      <c r="A829" s="3">
        <v>828</v>
      </c>
      <c r="B829" s="3" t="s">
        <v>971</v>
      </c>
      <c r="C829" s="3" t="s">
        <v>6069</v>
      </c>
      <c r="D829" s="3" t="s">
        <v>6001</v>
      </c>
      <c r="E829" s="3" t="s">
        <v>5991</v>
      </c>
      <c r="F829" s="3" t="s">
        <v>972</v>
      </c>
      <c r="G829" s="3" t="s">
        <v>5993</v>
      </c>
      <c r="H829" s="3" t="s">
        <v>1016</v>
      </c>
      <c r="I829" s="3" t="s">
        <v>974</v>
      </c>
      <c r="J829" s="5" t="s">
        <v>1017</v>
      </c>
      <c r="L829" s="3" t="s">
        <v>1018</v>
      </c>
      <c r="M829" s="3">
        <v>10</v>
      </c>
      <c r="N829" s="4" t="s">
        <v>972</v>
      </c>
      <c r="O829" s="4">
        <v>38</v>
      </c>
      <c r="P829" s="11" t="s">
        <v>5919</v>
      </c>
      <c r="Q829" s="11" t="s">
        <v>10084</v>
      </c>
      <c r="S829" s="4" t="b">
        <f>ISNUMBER(MATCH(Q829,T:T,0))</f>
        <v>1</v>
      </c>
      <c r="T829" s="4" t="s">
        <v>11374</v>
      </c>
      <c r="U829" s="4" t="str">
        <f t="shared" si="43"/>
        <v>良</v>
      </c>
    </row>
    <row r="830" spans="1:22" ht="39">
      <c r="A830" s="3">
        <v>829</v>
      </c>
      <c r="B830" s="3" t="s">
        <v>971</v>
      </c>
      <c r="C830" s="3" t="s">
        <v>6076</v>
      </c>
      <c r="D830" s="3" t="s">
        <v>6001</v>
      </c>
      <c r="E830" s="3" t="s">
        <v>5991</v>
      </c>
      <c r="F830" s="3" t="s">
        <v>972</v>
      </c>
      <c r="G830" s="3" t="s">
        <v>5993</v>
      </c>
      <c r="H830" s="3" t="s">
        <v>1019</v>
      </c>
      <c r="I830" s="3" t="s">
        <v>974</v>
      </c>
      <c r="J830" s="5" t="s">
        <v>7842</v>
      </c>
      <c r="L830" s="3" t="s">
        <v>6192</v>
      </c>
      <c r="M830" s="3">
        <v>12</v>
      </c>
      <c r="N830" s="4" t="s">
        <v>972</v>
      </c>
      <c r="O830" s="4">
        <v>38</v>
      </c>
      <c r="P830" s="11" t="s">
        <v>9766</v>
      </c>
      <c r="Q830" s="11" t="s">
        <v>9863</v>
      </c>
      <c r="R830" s="4" t="s">
        <v>13053</v>
      </c>
      <c r="S830" s="4" t="b">
        <f>ISNUMBER(MATCH(Q830,T:T,0))</f>
        <v>0</v>
      </c>
      <c r="T830" s="4" t="s">
        <v>11375</v>
      </c>
      <c r="U830" s="4" t="str">
        <f t="shared" si="43"/>
        <v>陽</v>
      </c>
      <c r="V830" s="4" t="b">
        <f>ISNUMBER(MATCH(R830,T:T,0))</f>
        <v>1</v>
      </c>
    </row>
    <row r="831" spans="1:22" ht="28.5">
      <c r="A831" s="3">
        <v>830</v>
      </c>
      <c r="B831" s="3" t="s">
        <v>971</v>
      </c>
      <c r="C831" s="3" t="s">
        <v>6038</v>
      </c>
      <c r="D831" s="3" t="s">
        <v>6001</v>
      </c>
      <c r="E831" s="3" t="s">
        <v>6212</v>
      </c>
      <c r="F831" s="3" t="s">
        <v>972</v>
      </c>
      <c r="G831" s="3" t="s">
        <v>5993</v>
      </c>
      <c r="H831" s="3" t="s">
        <v>1020</v>
      </c>
      <c r="I831" s="3" t="s">
        <v>974</v>
      </c>
      <c r="J831" s="5" t="s">
        <v>7843</v>
      </c>
      <c r="L831" s="3" t="s">
        <v>1021</v>
      </c>
      <c r="M831" s="3">
        <v>13</v>
      </c>
      <c r="N831" s="4" t="s">
        <v>972</v>
      </c>
      <c r="O831" s="4">
        <v>38</v>
      </c>
      <c r="P831" s="11" t="s">
        <v>4210</v>
      </c>
      <c r="Q831" s="11" t="s">
        <v>9949</v>
      </c>
      <c r="S831" s="4" t="b">
        <f>ISNUMBER(MATCH(Q831,T:T,0))</f>
        <v>1</v>
      </c>
      <c r="T831" s="4" t="s">
        <v>11376</v>
      </c>
      <c r="U831" s="4" t="str">
        <f t="shared" si="43"/>
        <v>王</v>
      </c>
    </row>
    <row r="832" spans="1:22">
      <c r="A832" s="3">
        <v>831</v>
      </c>
      <c r="B832" s="3" t="s">
        <v>971</v>
      </c>
      <c r="C832" s="3" t="s">
        <v>6032</v>
      </c>
      <c r="D832" s="3" t="s">
        <v>6001</v>
      </c>
      <c r="E832" s="3" t="s">
        <v>6212</v>
      </c>
      <c r="F832" s="3" t="s">
        <v>972</v>
      </c>
      <c r="G832" s="3" t="s">
        <v>5993</v>
      </c>
      <c r="H832" s="3" t="s">
        <v>1022</v>
      </c>
      <c r="I832" s="3" t="s">
        <v>974</v>
      </c>
      <c r="J832" s="5" t="s">
        <v>7844</v>
      </c>
      <c r="L832" s="3" t="s">
        <v>1007</v>
      </c>
      <c r="M832" s="3">
        <v>4</v>
      </c>
      <c r="N832" s="4" t="s">
        <v>972</v>
      </c>
      <c r="O832" s="4">
        <v>38</v>
      </c>
      <c r="P832" s="11" t="s">
        <v>9840</v>
      </c>
      <c r="Q832" s="11" t="s">
        <v>9723</v>
      </c>
      <c r="S832" s="4" t="b">
        <f>ISNUMBER(MATCH(Q832,T:T,0))</f>
        <v>1</v>
      </c>
      <c r="T832" s="4" t="s">
        <v>9949</v>
      </c>
      <c r="U832" s="4" t="str">
        <f t="shared" si="43"/>
        <v>方</v>
      </c>
    </row>
    <row r="833" spans="1:22">
      <c r="A833" s="3">
        <v>832</v>
      </c>
      <c r="B833" s="3" t="s">
        <v>971</v>
      </c>
      <c r="C833" s="3" t="s">
        <v>6072</v>
      </c>
      <c r="D833" s="3" t="s">
        <v>6001</v>
      </c>
      <c r="E833" s="3" t="s">
        <v>5991</v>
      </c>
      <c r="F833" s="3" t="s">
        <v>972</v>
      </c>
      <c r="G833" s="3" t="s">
        <v>5993</v>
      </c>
      <c r="H833" s="3" t="s">
        <v>1023</v>
      </c>
      <c r="I833" s="3" t="s">
        <v>974</v>
      </c>
      <c r="J833" s="5" t="s">
        <v>1024</v>
      </c>
      <c r="L833" s="3" t="s">
        <v>6190</v>
      </c>
      <c r="M833" s="3">
        <v>9</v>
      </c>
      <c r="N833" s="4" t="s">
        <v>972</v>
      </c>
      <c r="O833" s="4">
        <v>38</v>
      </c>
      <c r="P833" s="11" t="s">
        <v>9754</v>
      </c>
      <c r="Q833" s="11" t="s">
        <v>10084</v>
      </c>
      <c r="S833" s="4" t="b">
        <f>ISNUMBER(MATCH(Q833,T:T,0))</f>
        <v>1</v>
      </c>
      <c r="T833" s="4" t="s">
        <v>9852</v>
      </c>
      <c r="U833" s="4" t="str">
        <f t="shared" si="43"/>
        <v>良</v>
      </c>
    </row>
    <row r="834" spans="1:22" ht="28.5">
      <c r="A834" s="3">
        <v>833</v>
      </c>
      <c r="B834" s="3" t="s">
        <v>971</v>
      </c>
      <c r="C834" s="3" t="s">
        <v>6041</v>
      </c>
      <c r="D834" s="3" t="s">
        <v>6001</v>
      </c>
      <c r="E834" s="3" t="s">
        <v>5991</v>
      </c>
      <c r="F834" s="3" t="s">
        <v>972</v>
      </c>
      <c r="G834" s="3" t="s">
        <v>5993</v>
      </c>
      <c r="H834" s="3" t="s">
        <v>1025</v>
      </c>
      <c r="I834" s="3" t="s">
        <v>974</v>
      </c>
      <c r="J834" s="5" t="s">
        <v>7845</v>
      </c>
      <c r="L834" s="3" t="s">
        <v>1018</v>
      </c>
      <c r="M834" s="3">
        <v>4</v>
      </c>
      <c r="N834" s="4" t="s">
        <v>972</v>
      </c>
      <c r="O834" s="4">
        <v>38</v>
      </c>
      <c r="P834" s="11" t="s">
        <v>9789</v>
      </c>
      <c r="Q834" s="11" t="s">
        <v>10084</v>
      </c>
      <c r="S834" s="4" t="b">
        <f>ISNUMBER(MATCH(Q834,T:T,0))</f>
        <v>1</v>
      </c>
      <c r="T834" s="4" t="s">
        <v>9848</v>
      </c>
      <c r="U834" s="4" t="str">
        <f t="shared" si="43"/>
        <v>良</v>
      </c>
    </row>
    <row r="835" spans="1:22" ht="28.5">
      <c r="A835" s="3">
        <v>834</v>
      </c>
      <c r="B835" s="3" t="s">
        <v>971</v>
      </c>
      <c r="C835" s="3" t="s">
        <v>6011</v>
      </c>
      <c r="D835" s="3" t="s">
        <v>6001</v>
      </c>
      <c r="E835" s="3" t="s">
        <v>5991</v>
      </c>
      <c r="F835" s="3" t="s">
        <v>972</v>
      </c>
      <c r="G835" s="3" t="s">
        <v>5993</v>
      </c>
      <c r="H835" s="7" t="s">
        <v>709</v>
      </c>
      <c r="I835" s="3" t="s">
        <v>974</v>
      </c>
      <c r="J835" s="5" t="s">
        <v>1026</v>
      </c>
      <c r="L835" s="3" t="s">
        <v>989</v>
      </c>
      <c r="M835" s="3">
        <v>3</v>
      </c>
      <c r="N835" s="4" t="s">
        <v>972</v>
      </c>
      <c r="O835" s="4">
        <v>38</v>
      </c>
      <c r="P835" s="11" t="s">
        <v>10086</v>
      </c>
      <c r="Q835" s="11" t="s">
        <v>9863</v>
      </c>
      <c r="R835" s="4" t="s">
        <v>13053</v>
      </c>
      <c r="S835" s="4" t="b">
        <f>ISNUMBER(MATCH(Q835,T:T,0))</f>
        <v>0</v>
      </c>
      <c r="T835" s="4" t="s">
        <v>11377</v>
      </c>
      <c r="U835" s="4" t="str">
        <f t="shared" ref="U835:U898" si="47">IF(ISBLANK(R835),Q835,R835)</f>
        <v>陽</v>
      </c>
      <c r="V835" s="4" t="b">
        <f>ISNUMBER(MATCH(R835,T:T,0))</f>
        <v>1</v>
      </c>
    </row>
    <row r="836" spans="1:22">
      <c r="A836" s="3">
        <v>835</v>
      </c>
      <c r="B836" s="3" t="s">
        <v>971</v>
      </c>
      <c r="C836" s="3" t="s">
        <v>6053</v>
      </c>
      <c r="D836" s="3" t="s">
        <v>6001</v>
      </c>
      <c r="E836" s="3" t="s">
        <v>6212</v>
      </c>
      <c r="F836" s="3" t="s">
        <v>972</v>
      </c>
      <c r="G836" s="3" t="s">
        <v>5993</v>
      </c>
      <c r="H836" s="3" t="s">
        <v>1027</v>
      </c>
      <c r="I836" s="3" t="s">
        <v>974</v>
      </c>
      <c r="J836" s="5" t="s">
        <v>1028</v>
      </c>
      <c r="L836" s="3" t="s">
        <v>999</v>
      </c>
      <c r="M836" s="3">
        <v>3</v>
      </c>
      <c r="N836" s="4" t="s">
        <v>972</v>
      </c>
      <c r="O836" s="4">
        <v>38</v>
      </c>
      <c r="P836" s="11" t="s">
        <v>9724</v>
      </c>
      <c r="Q836" s="11" t="s">
        <v>9723</v>
      </c>
      <c r="S836" s="4" t="b">
        <f>ISNUMBER(MATCH(Q836,T:T,0))</f>
        <v>1</v>
      </c>
      <c r="T836" s="4" t="s">
        <v>9841</v>
      </c>
      <c r="U836" s="4" t="str">
        <f t="shared" si="47"/>
        <v>方</v>
      </c>
    </row>
    <row r="837" spans="1:22" ht="28.5">
      <c r="A837" s="3">
        <v>836</v>
      </c>
      <c r="B837" s="3" t="s">
        <v>971</v>
      </c>
      <c r="C837" s="3" t="s">
        <v>6041</v>
      </c>
      <c r="D837" s="3" t="s">
        <v>6001</v>
      </c>
      <c r="E837" s="3" t="s">
        <v>6212</v>
      </c>
      <c r="F837" s="3" t="s">
        <v>972</v>
      </c>
      <c r="G837" s="3" t="s">
        <v>5993</v>
      </c>
      <c r="H837" s="3" t="s">
        <v>1029</v>
      </c>
      <c r="I837" s="3" t="s">
        <v>974</v>
      </c>
      <c r="J837" s="5" t="s">
        <v>7846</v>
      </c>
      <c r="L837" s="3" t="s">
        <v>1030</v>
      </c>
      <c r="M837" s="3">
        <v>5</v>
      </c>
      <c r="N837" s="4" t="s">
        <v>972</v>
      </c>
      <c r="O837" s="4">
        <v>38</v>
      </c>
      <c r="P837" s="11" t="s">
        <v>9789</v>
      </c>
      <c r="Q837" s="11" t="s">
        <v>9949</v>
      </c>
      <c r="S837" s="4" t="b">
        <f>ISNUMBER(MATCH(Q837,T:T,0))</f>
        <v>1</v>
      </c>
      <c r="T837" s="4" t="s">
        <v>10331</v>
      </c>
      <c r="U837" s="4" t="str">
        <f t="shared" si="47"/>
        <v>王</v>
      </c>
    </row>
    <row r="838" spans="1:22" ht="58.5">
      <c r="A838" s="3">
        <v>837</v>
      </c>
      <c r="B838" s="3" t="s">
        <v>1031</v>
      </c>
      <c r="C838" s="3" t="s">
        <v>5997</v>
      </c>
      <c r="D838" s="3" t="s">
        <v>5990</v>
      </c>
      <c r="E838" s="3" t="s">
        <v>5991</v>
      </c>
      <c r="F838" s="3" t="s">
        <v>1032</v>
      </c>
      <c r="G838" s="3" t="s">
        <v>5993</v>
      </c>
      <c r="H838" s="3" t="s">
        <v>1033</v>
      </c>
      <c r="I838" s="3" t="s">
        <v>974</v>
      </c>
      <c r="J838" s="5" t="s">
        <v>7847</v>
      </c>
      <c r="K838" s="3" t="s">
        <v>1034</v>
      </c>
      <c r="L838" s="3" t="s">
        <v>1035</v>
      </c>
      <c r="M838" s="3">
        <v>40</v>
      </c>
      <c r="N838" s="4" t="s">
        <v>1032</v>
      </c>
      <c r="O838" s="4">
        <v>39</v>
      </c>
      <c r="P838" s="11" t="s">
        <v>9706</v>
      </c>
      <c r="Q838" s="11" t="s">
        <v>9886</v>
      </c>
      <c r="S838" s="4" t="b">
        <f>ISNUMBER(MATCH(Q838,T:T,0))</f>
        <v>1</v>
      </c>
      <c r="T838" s="4" t="s">
        <v>1032</v>
      </c>
      <c r="U838" s="4" t="str">
        <f t="shared" si="47"/>
        <v>郎</v>
      </c>
    </row>
    <row r="839" spans="1:22" ht="39">
      <c r="A839" s="3">
        <v>838</v>
      </c>
      <c r="B839" s="3" t="s">
        <v>1031</v>
      </c>
      <c r="C839" s="3" t="s">
        <v>6058</v>
      </c>
      <c r="D839" s="3" t="s">
        <v>5990</v>
      </c>
      <c r="E839" s="3" t="s">
        <v>5991</v>
      </c>
      <c r="F839" s="3" t="s">
        <v>1032</v>
      </c>
      <c r="G839" s="3" t="s">
        <v>5993</v>
      </c>
      <c r="H839" s="3" t="s">
        <v>1036</v>
      </c>
      <c r="I839" s="3" t="s">
        <v>974</v>
      </c>
      <c r="J839" s="5" t="s">
        <v>7848</v>
      </c>
      <c r="L839" s="3" t="s">
        <v>6179</v>
      </c>
      <c r="M839" s="3">
        <v>30</v>
      </c>
      <c r="N839" s="4" t="s">
        <v>1032</v>
      </c>
      <c r="O839" s="4">
        <v>39</v>
      </c>
      <c r="P839" s="11" t="s">
        <v>9920</v>
      </c>
      <c r="Q839" s="11" t="s">
        <v>9883</v>
      </c>
      <c r="S839" s="4" t="b">
        <f>ISNUMBER(MATCH(Q839,T:T,0))</f>
        <v>1</v>
      </c>
      <c r="T839" s="4" t="s">
        <v>9886</v>
      </c>
      <c r="U839" s="4" t="str">
        <f t="shared" si="47"/>
        <v>當</v>
      </c>
    </row>
    <row r="840" spans="1:22">
      <c r="A840" s="3">
        <v>839</v>
      </c>
      <c r="B840" s="3" t="s">
        <v>1031</v>
      </c>
      <c r="C840" s="3" t="s">
        <v>5989</v>
      </c>
      <c r="D840" s="3" t="s">
        <v>5990</v>
      </c>
      <c r="E840" s="3" t="s">
        <v>5991</v>
      </c>
      <c r="F840" s="3" t="s">
        <v>1032</v>
      </c>
      <c r="G840" s="3" t="s">
        <v>5993</v>
      </c>
      <c r="H840" s="3" t="s">
        <v>1037</v>
      </c>
      <c r="I840" s="3" t="s">
        <v>974</v>
      </c>
      <c r="J840" s="5" t="s">
        <v>1038</v>
      </c>
      <c r="L840" s="3" t="s">
        <v>1039</v>
      </c>
      <c r="M840" s="3">
        <v>11</v>
      </c>
      <c r="N840" s="4" t="s">
        <v>1032</v>
      </c>
      <c r="O840" s="4">
        <v>39</v>
      </c>
      <c r="P840" s="11" t="s">
        <v>9742</v>
      </c>
      <c r="Q840" s="11" t="s">
        <v>9886</v>
      </c>
      <c r="S840" s="4" t="b">
        <f>ISNUMBER(MATCH(Q840,T:T,0))</f>
        <v>1</v>
      </c>
      <c r="T840" s="4" t="s">
        <v>9883</v>
      </c>
      <c r="U840" s="4" t="str">
        <f t="shared" si="47"/>
        <v>郎</v>
      </c>
    </row>
    <row r="841" spans="1:22">
      <c r="A841" s="3">
        <v>840</v>
      </c>
      <c r="B841" s="3" t="s">
        <v>1031</v>
      </c>
      <c r="C841" s="3" t="s">
        <v>6076</v>
      </c>
      <c r="D841" s="3" t="s">
        <v>5990</v>
      </c>
      <c r="E841" s="3" t="s">
        <v>5991</v>
      </c>
      <c r="F841" s="3" t="s">
        <v>1032</v>
      </c>
      <c r="G841" s="3" t="s">
        <v>5993</v>
      </c>
      <c r="H841" s="3" t="s">
        <v>1040</v>
      </c>
      <c r="I841" s="3" t="s">
        <v>974</v>
      </c>
      <c r="J841" s="5" t="s">
        <v>1041</v>
      </c>
      <c r="K841" s="3" t="s">
        <v>591</v>
      </c>
      <c r="L841" s="3" t="s">
        <v>1042</v>
      </c>
      <c r="M841" s="3">
        <v>7</v>
      </c>
      <c r="N841" s="4" t="s">
        <v>1032</v>
      </c>
      <c r="O841" s="4">
        <v>39</v>
      </c>
      <c r="P841" s="11" t="s">
        <v>9766</v>
      </c>
      <c r="Q841" s="11" t="s">
        <v>10087</v>
      </c>
      <c r="R841" s="4" t="s">
        <v>13055</v>
      </c>
      <c r="S841" s="4" t="b">
        <f>ISNUMBER(MATCH(Q841,T:T,0))</f>
        <v>0</v>
      </c>
      <c r="T841" s="4" t="s">
        <v>9735</v>
      </c>
      <c r="U841" s="4" t="str">
        <f t="shared" si="47"/>
        <v>剛</v>
      </c>
      <c r="V841" s="4" t="b">
        <f>ISNUMBER(MATCH(R841,T:T,0))</f>
        <v>1</v>
      </c>
    </row>
    <row r="842" spans="1:22" ht="39">
      <c r="A842" s="3">
        <v>841</v>
      </c>
      <c r="B842" s="3" t="s">
        <v>1031</v>
      </c>
      <c r="C842" s="3" t="s">
        <v>6025</v>
      </c>
      <c r="D842" s="3" t="s">
        <v>5990</v>
      </c>
      <c r="E842" s="3" t="s">
        <v>5991</v>
      </c>
      <c r="F842" s="3" t="s">
        <v>1032</v>
      </c>
      <c r="G842" s="3" t="s">
        <v>5993</v>
      </c>
      <c r="H842" s="3" t="s">
        <v>1043</v>
      </c>
      <c r="I842" s="3" t="s">
        <v>974</v>
      </c>
      <c r="J842" s="5" t="s">
        <v>7849</v>
      </c>
      <c r="L842" s="3" t="s">
        <v>1044</v>
      </c>
      <c r="M842" s="3">
        <v>16</v>
      </c>
      <c r="N842" s="4" t="s">
        <v>1032</v>
      </c>
      <c r="O842" s="4">
        <v>39</v>
      </c>
      <c r="P842" s="11" t="s">
        <v>9729</v>
      </c>
      <c r="Q842" s="11" t="s">
        <v>9886</v>
      </c>
      <c r="S842" s="4" t="b">
        <f>ISNUMBER(MATCH(Q842,T:T,0))</f>
        <v>1</v>
      </c>
      <c r="T842" s="4" t="s">
        <v>11378</v>
      </c>
      <c r="U842" s="4" t="str">
        <f t="shared" si="47"/>
        <v>郎</v>
      </c>
    </row>
    <row r="843" spans="1:22">
      <c r="A843" s="3">
        <v>842</v>
      </c>
      <c r="B843" s="3" t="s">
        <v>1031</v>
      </c>
      <c r="C843" s="3" t="s">
        <v>6017</v>
      </c>
      <c r="D843" s="3" t="s">
        <v>5990</v>
      </c>
      <c r="E843" s="3" t="s">
        <v>5991</v>
      </c>
      <c r="F843" s="3" t="s">
        <v>1032</v>
      </c>
      <c r="G843" s="3" t="s">
        <v>5993</v>
      </c>
      <c r="H843" s="3" t="s">
        <v>1045</v>
      </c>
      <c r="I843" s="3" t="s">
        <v>974</v>
      </c>
      <c r="J843" s="5" t="s">
        <v>7850</v>
      </c>
      <c r="L843" s="3" t="s">
        <v>1046</v>
      </c>
      <c r="M843" s="3">
        <v>6</v>
      </c>
      <c r="N843" s="4" t="s">
        <v>1032</v>
      </c>
      <c r="O843" s="4">
        <v>39</v>
      </c>
      <c r="P843" s="11" t="s">
        <v>9714</v>
      </c>
      <c r="Q843" s="11" t="s">
        <v>9886</v>
      </c>
      <c r="S843" s="4" t="b">
        <f>ISNUMBER(MATCH(Q843,T:T,0))</f>
        <v>1</v>
      </c>
      <c r="T843" s="4" t="s">
        <v>10115</v>
      </c>
      <c r="U843" s="4" t="str">
        <f t="shared" si="47"/>
        <v>郎</v>
      </c>
    </row>
    <row r="844" spans="1:22">
      <c r="A844" s="3">
        <v>843</v>
      </c>
      <c r="B844" s="3" t="s">
        <v>1031</v>
      </c>
      <c r="C844" s="3" t="s">
        <v>6038</v>
      </c>
      <c r="D844" s="3" t="s">
        <v>5990</v>
      </c>
      <c r="E844" s="3" t="s">
        <v>5991</v>
      </c>
      <c r="F844" s="3" t="s">
        <v>1032</v>
      </c>
      <c r="G844" s="3" t="s">
        <v>5993</v>
      </c>
      <c r="H844" s="3" t="s">
        <v>1047</v>
      </c>
      <c r="I844" s="3" t="s">
        <v>974</v>
      </c>
      <c r="J844" s="5" t="s">
        <v>7851</v>
      </c>
      <c r="L844" s="3" t="s">
        <v>1048</v>
      </c>
      <c r="M844" s="3">
        <v>14</v>
      </c>
      <c r="N844" s="4" t="s">
        <v>1032</v>
      </c>
      <c r="O844" s="4">
        <v>39</v>
      </c>
      <c r="P844" s="11" t="s">
        <v>9728</v>
      </c>
      <c r="Q844" s="11" t="s">
        <v>10087</v>
      </c>
      <c r="R844" s="4" t="s">
        <v>13055</v>
      </c>
      <c r="S844" s="4" t="b">
        <f>ISNUMBER(MATCH(Q844,T:T,0))</f>
        <v>0</v>
      </c>
      <c r="T844" s="4" t="s">
        <v>10184</v>
      </c>
      <c r="U844" s="4" t="str">
        <f t="shared" si="47"/>
        <v>剛</v>
      </c>
      <c r="V844" s="4" t="b">
        <f>ISNUMBER(MATCH(R844,T:T,0))</f>
        <v>1</v>
      </c>
    </row>
    <row r="845" spans="1:22" ht="28.5">
      <c r="A845" s="3">
        <v>844</v>
      </c>
      <c r="B845" s="3" t="s">
        <v>1031</v>
      </c>
      <c r="C845" s="3" t="s">
        <v>6089</v>
      </c>
      <c r="D845" s="3" t="s">
        <v>5990</v>
      </c>
      <c r="E845" s="3" t="s">
        <v>6212</v>
      </c>
      <c r="F845" s="3" t="s">
        <v>1032</v>
      </c>
      <c r="G845" s="3" t="s">
        <v>5993</v>
      </c>
      <c r="H845" s="3" t="s">
        <v>1049</v>
      </c>
      <c r="I845" s="3" t="s">
        <v>974</v>
      </c>
      <c r="J845" s="5" t="s">
        <v>1050</v>
      </c>
      <c r="L845" s="3" t="s">
        <v>1051</v>
      </c>
      <c r="M845" s="3">
        <v>14</v>
      </c>
      <c r="N845" s="4" t="s">
        <v>1032</v>
      </c>
      <c r="O845" s="4">
        <v>39</v>
      </c>
      <c r="P845" s="11" t="s">
        <v>9739</v>
      </c>
      <c r="Q845" s="11" t="s">
        <v>10088</v>
      </c>
      <c r="S845" s="4" t="b">
        <f>ISNUMBER(MATCH(Q845,T:T,0))</f>
        <v>1</v>
      </c>
      <c r="T845" s="4" t="s">
        <v>2607</v>
      </c>
      <c r="U845" s="4" t="str">
        <f t="shared" si="47"/>
        <v>光</v>
      </c>
    </row>
    <row r="846" spans="1:22" ht="58.5">
      <c r="A846" s="3">
        <v>845</v>
      </c>
      <c r="B846" s="3" t="s">
        <v>1031</v>
      </c>
      <c r="C846" s="3" t="s">
        <v>6067</v>
      </c>
      <c r="D846" s="3" t="s">
        <v>5990</v>
      </c>
      <c r="E846" s="3" t="s">
        <v>6212</v>
      </c>
      <c r="F846" s="3" t="s">
        <v>1032</v>
      </c>
      <c r="G846" s="3" t="s">
        <v>5993</v>
      </c>
      <c r="H846" s="3" t="s">
        <v>1052</v>
      </c>
      <c r="I846" s="3" t="s">
        <v>974</v>
      </c>
      <c r="J846" s="5" t="s">
        <v>7852</v>
      </c>
      <c r="L846" s="3" t="s">
        <v>1053</v>
      </c>
      <c r="M846" s="3">
        <v>32</v>
      </c>
      <c r="N846" s="4" t="s">
        <v>1032</v>
      </c>
      <c r="O846" s="4">
        <v>39</v>
      </c>
      <c r="P846" s="11" t="s">
        <v>9870</v>
      </c>
      <c r="Q846" s="11" t="s">
        <v>10088</v>
      </c>
      <c r="S846" s="4" t="b">
        <f>ISNUMBER(MATCH(Q846,T:T,0))</f>
        <v>1</v>
      </c>
      <c r="T846" s="4" t="s">
        <v>10089</v>
      </c>
      <c r="U846" s="4" t="str">
        <f t="shared" si="47"/>
        <v>光</v>
      </c>
    </row>
    <row r="847" spans="1:22" ht="28.5">
      <c r="A847" s="3">
        <v>846</v>
      </c>
      <c r="B847" s="3" t="s">
        <v>1031</v>
      </c>
      <c r="C847" s="3" t="s">
        <v>6025</v>
      </c>
      <c r="D847" s="3" t="s">
        <v>5990</v>
      </c>
      <c r="E847" s="3" t="s">
        <v>6212</v>
      </c>
      <c r="F847" s="3" t="s">
        <v>1032</v>
      </c>
      <c r="G847" s="3" t="s">
        <v>5993</v>
      </c>
      <c r="H847" s="3" t="s">
        <v>1054</v>
      </c>
      <c r="I847" s="3" t="s">
        <v>974</v>
      </c>
      <c r="J847" s="5" t="s">
        <v>7853</v>
      </c>
      <c r="L847" s="3" t="s">
        <v>1055</v>
      </c>
      <c r="M847" s="3">
        <v>14</v>
      </c>
      <c r="N847" s="4" t="s">
        <v>1032</v>
      </c>
      <c r="O847" s="4">
        <v>39</v>
      </c>
      <c r="P847" s="11" t="s">
        <v>9729</v>
      </c>
      <c r="Q847" s="11" t="s">
        <v>10089</v>
      </c>
      <c r="S847" s="4" t="b">
        <f>ISNUMBER(MATCH(Q847,T:T,0))</f>
        <v>1</v>
      </c>
      <c r="T847" s="4" t="s">
        <v>10088</v>
      </c>
      <c r="U847" s="4" t="str">
        <f t="shared" si="47"/>
        <v>黃</v>
      </c>
    </row>
    <row r="848" spans="1:22">
      <c r="A848" s="3">
        <v>847</v>
      </c>
      <c r="B848" s="3" t="s">
        <v>1031</v>
      </c>
      <c r="C848" s="3" t="s">
        <v>6079</v>
      </c>
      <c r="D848" s="3" t="s">
        <v>5990</v>
      </c>
      <c r="E848" s="3" t="s">
        <v>5991</v>
      </c>
      <c r="F848" s="3" t="s">
        <v>1032</v>
      </c>
      <c r="G848" s="3" t="s">
        <v>5993</v>
      </c>
      <c r="H848" s="3" t="s">
        <v>1056</v>
      </c>
      <c r="I848" s="3" t="s">
        <v>974</v>
      </c>
      <c r="J848" s="5" t="s">
        <v>1057</v>
      </c>
      <c r="L848" s="3" t="s">
        <v>1058</v>
      </c>
      <c r="M848" s="3">
        <v>11</v>
      </c>
      <c r="N848" s="4" t="s">
        <v>1032</v>
      </c>
      <c r="O848" s="4">
        <v>39</v>
      </c>
      <c r="P848" s="11" t="s">
        <v>9967</v>
      </c>
      <c r="Q848" s="11" t="s">
        <v>9886</v>
      </c>
      <c r="S848" s="4" t="b">
        <f>ISNUMBER(MATCH(Q848,T:T,0))</f>
        <v>1</v>
      </c>
      <c r="T848" s="4" t="s">
        <v>10519</v>
      </c>
      <c r="U848" s="4" t="str">
        <f t="shared" si="47"/>
        <v>郎</v>
      </c>
    </row>
    <row r="849" spans="1:22">
      <c r="A849" s="3">
        <v>848</v>
      </c>
      <c r="B849" s="3" t="s">
        <v>1031</v>
      </c>
      <c r="C849" s="3" t="s">
        <v>6053</v>
      </c>
      <c r="D849" s="3" t="s">
        <v>5990</v>
      </c>
      <c r="E849" s="3" t="s">
        <v>5991</v>
      </c>
      <c r="F849" s="3" t="s">
        <v>1032</v>
      </c>
      <c r="G849" s="3" t="s">
        <v>5993</v>
      </c>
      <c r="H849" s="3" t="s">
        <v>1059</v>
      </c>
      <c r="I849" s="3" t="s">
        <v>974</v>
      </c>
      <c r="J849" s="5" t="s">
        <v>7854</v>
      </c>
      <c r="L849" s="3" t="s">
        <v>6176</v>
      </c>
      <c r="M849" s="3">
        <v>7</v>
      </c>
      <c r="N849" s="4" t="s">
        <v>1032</v>
      </c>
      <c r="O849" s="4">
        <v>39</v>
      </c>
      <c r="P849" s="11" t="s">
        <v>9884</v>
      </c>
      <c r="Q849" s="11" t="s">
        <v>9886</v>
      </c>
      <c r="S849" s="4" t="b">
        <f>ISNUMBER(MATCH(Q849,T:T,0))</f>
        <v>1</v>
      </c>
      <c r="T849" s="4" t="s">
        <v>6053</v>
      </c>
      <c r="U849" s="4" t="str">
        <f t="shared" si="47"/>
        <v>郎</v>
      </c>
    </row>
    <row r="850" spans="1:22">
      <c r="A850" s="3">
        <v>849</v>
      </c>
      <c r="B850" s="3" t="s">
        <v>1031</v>
      </c>
      <c r="C850" s="3" t="s">
        <v>6072</v>
      </c>
      <c r="D850" s="3" t="s">
        <v>5990</v>
      </c>
      <c r="E850" s="3" t="s">
        <v>6212</v>
      </c>
      <c r="F850" s="3" t="s">
        <v>1032</v>
      </c>
      <c r="G850" s="3" t="s">
        <v>5993</v>
      </c>
      <c r="H850" s="3" t="s">
        <v>1060</v>
      </c>
      <c r="I850" s="3" t="s">
        <v>974</v>
      </c>
      <c r="J850" s="5" t="s">
        <v>7855</v>
      </c>
      <c r="L850" s="3" t="s">
        <v>1061</v>
      </c>
      <c r="M850" s="3">
        <v>5</v>
      </c>
      <c r="N850" s="4" t="s">
        <v>1032</v>
      </c>
      <c r="O850" s="4">
        <v>39</v>
      </c>
      <c r="P850" s="11" t="s">
        <v>9734</v>
      </c>
      <c r="Q850" s="11" t="s">
        <v>10088</v>
      </c>
      <c r="S850" s="4" t="b">
        <f>ISNUMBER(MATCH(Q850,T:T,0))</f>
        <v>1</v>
      </c>
      <c r="T850" s="4" t="s">
        <v>11379</v>
      </c>
      <c r="U850" s="4" t="str">
        <f t="shared" si="47"/>
        <v>光</v>
      </c>
    </row>
    <row r="851" spans="1:22">
      <c r="A851" s="3">
        <v>850</v>
      </c>
      <c r="B851" s="3" t="s">
        <v>1031</v>
      </c>
      <c r="C851" s="3" t="s">
        <v>6072</v>
      </c>
      <c r="D851" s="3" t="s">
        <v>5990</v>
      </c>
      <c r="E851" s="3" t="s">
        <v>5991</v>
      </c>
      <c r="F851" s="3" t="s">
        <v>1032</v>
      </c>
      <c r="G851" s="3" t="s">
        <v>5993</v>
      </c>
      <c r="H851" s="3" t="s">
        <v>1062</v>
      </c>
      <c r="I851" s="3" t="s">
        <v>974</v>
      </c>
      <c r="J851" s="5" t="s">
        <v>7856</v>
      </c>
      <c r="L851" s="3" t="s">
        <v>1063</v>
      </c>
      <c r="M851" s="3">
        <v>7</v>
      </c>
      <c r="N851" s="4" t="s">
        <v>1032</v>
      </c>
      <c r="O851" s="4">
        <v>39</v>
      </c>
      <c r="P851" s="11" t="s">
        <v>9734</v>
      </c>
      <c r="Q851" s="11" t="s">
        <v>9886</v>
      </c>
      <c r="S851" s="4" t="b">
        <f>ISNUMBER(MATCH(Q851,T:T,0))</f>
        <v>1</v>
      </c>
      <c r="T851" s="4" t="s">
        <v>11380</v>
      </c>
      <c r="U851" s="4" t="str">
        <f t="shared" si="47"/>
        <v>郎</v>
      </c>
    </row>
    <row r="852" spans="1:22">
      <c r="A852" s="3">
        <v>851</v>
      </c>
      <c r="B852" s="3" t="s">
        <v>1031</v>
      </c>
      <c r="C852" s="3" t="s">
        <v>6089</v>
      </c>
      <c r="D852" s="3" t="s">
        <v>5990</v>
      </c>
      <c r="E852" s="3" t="s">
        <v>5991</v>
      </c>
      <c r="F852" s="3" t="s">
        <v>1032</v>
      </c>
      <c r="G852" s="3" t="s">
        <v>5993</v>
      </c>
      <c r="H852" s="3" t="s">
        <v>1064</v>
      </c>
      <c r="I852" s="3" t="s">
        <v>974</v>
      </c>
      <c r="J852" s="5" t="s">
        <v>7857</v>
      </c>
      <c r="L852" s="3" t="s">
        <v>1065</v>
      </c>
      <c r="M852" s="3">
        <v>4</v>
      </c>
      <c r="N852" s="4" t="s">
        <v>1032</v>
      </c>
      <c r="O852" s="4">
        <v>39</v>
      </c>
      <c r="P852" s="11" t="s">
        <v>9739</v>
      </c>
      <c r="Q852" s="11" t="s">
        <v>9886</v>
      </c>
      <c r="S852" s="4" t="b">
        <f>ISNUMBER(MATCH(Q852,T:T,0))</f>
        <v>1</v>
      </c>
      <c r="T852" s="4" t="s">
        <v>11381</v>
      </c>
      <c r="U852" s="4" t="str">
        <f t="shared" si="47"/>
        <v>郎</v>
      </c>
    </row>
    <row r="853" spans="1:22">
      <c r="A853" s="3">
        <v>852</v>
      </c>
      <c r="B853" s="3" t="s">
        <v>1031</v>
      </c>
      <c r="C853" s="3" t="s">
        <v>6067</v>
      </c>
      <c r="D853" s="3" t="s">
        <v>5990</v>
      </c>
      <c r="E853" s="3" t="s">
        <v>5991</v>
      </c>
      <c r="F853" s="3" t="s">
        <v>1032</v>
      </c>
      <c r="G853" s="3" t="s">
        <v>5993</v>
      </c>
      <c r="H853" s="3" t="s">
        <v>1066</v>
      </c>
      <c r="I853" s="3" t="s">
        <v>974</v>
      </c>
      <c r="J853" s="5" t="s">
        <v>7858</v>
      </c>
      <c r="L853" s="3" t="s">
        <v>1067</v>
      </c>
      <c r="M853" s="3">
        <v>18</v>
      </c>
      <c r="N853" s="4" t="s">
        <v>1032</v>
      </c>
      <c r="O853" s="4">
        <v>39</v>
      </c>
      <c r="P853" s="11" t="s">
        <v>9870</v>
      </c>
      <c r="Q853" s="11" t="s">
        <v>9886</v>
      </c>
      <c r="S853" s="4" t="b">
        <f>ISNUMBER(MATCH(Q853,T:T,0))</f>
        <v>1</v>
      </c>
      <c r="T853" s="4" t="s">
        <v>11382</v>
      </c>
      <c r="U853" s="4" t="str">
        <f t="shared" si="47"/>
        <v>郎</v>
      </c>
    </row>
    <row r="854" spans="1:22">
      <c r="A854" s="3">
        <v>853</v>
      </c>
      <c r="B854" s="3" t="s">
        <v>1031</v>
      </c>
      <c r="C854" s="3" t="s">
        <v>6035</v>
      </c>
      <c r="D854" s="3" t="s">
        <v>5990</v>
      </c>
      <c r="E854" s="3" t="s">
        <v>5991</v>
      </c>
      <c r="F854" s="3" t="s">
        <v>1032</v>
      </c>
      <c r="G854" s="3" t="s">
        <v>5993</v>
      </c>
      <c r="H854" s="3" t="s">
        <v>1068</v>
      </c>
      <c r="I854" s="3" t="s">
        <v>974</v>
      </c>
      <c r="J854" s="5" t="s">
        <v>7859</v>
      </c>
      <c r="L854" s="3" t="s">
        <v>6163</v>
      </c>
      <c r="M854" s="3">
        <v>14</v>
      </c>
      <c r="N854" s="4" t="s">
        <v>1032</v>
      </c>
      <c r="O854" s="4">
        <v>39</v>
      </c>
      <c r="P854" s="11" t="s">
        <v>9719</v>
      </c>
      <c r="Q854" s="11" t="s">
        <v>9886</v>
      </c>
      <c r="S854" s="4" t="b">
        <f>ISNUMBER(MATCH(Q854,T:T,0))</f>
        <v>1</v>
      </c>
      <c r="T854" s="4" t="s">
        <v>11383</v>
      </c>
      <c r="U854" s="4" t="str">
        <f t="shared" si="47"/>
        <v>郎</v>
      </c>
    </row>
    <row r="855" spans="1:22">
      <c r="A855" s="3">
        <v>854</v>
      </c>
      <c r="B855" s="3" t="s">
        <v>1031</v>
      </c>
      <c r="C855" s="3" t="s">
        <v>6083</v>
      </c>
      <c r="D855" s="3" t="s">
        <v>5990</v>
      </c>
      <c r="E855" s="3" t="s">
        <v>5991</v>
      </c>
      <c r="F855" s="3" t="s">
        <v>1032</v>
      </c>
      <c r="G855" s="3" t="s">
        <v>5993</v>
      </c>
      <c r="H855" s="3" t="s">
        <v>1069</v>
      </c>
      <c r="I855" s="3" t="s">
        <v>974</v>
      </c>
      <c r="J855" s="5" t="s">
        <v>7860</v>
      </c>
      <c r="L855" s="3" t="s">
        <v>1070</v>
      </c>
      <c r="M855" s="3">
        <v>6</v>
      </c>
      <c r="N855" s="4" t="s">
        <v>1032</v>
      </c>
      <c r="O855" s="4">
        <v>39</v>
      </c>
      <c r="P855" s="11" t="s">
        <v>9875</v>
      </c>
      <c r="Q855" s="11" t="s">
        <v>9886</v>
      </c>
      <c r="S855" s="4" t="b">
        <f>ISNUMBER(MATCH(Q855,T:T,0))</f>
        <v>1</v>
      </c>
      <c r="T855" s="4" t="s">
        <v>9922</v>
      </c>
      <c r="U855" s="4" t="str">
        <f t="shared" si="47"/>
        <v>郎</v>
      </c>
    </row>
    <row r="856" spans="1:22">
      <c r="A856" s="3">
        <v>855</v>
      </c>
      <c r="B856" s="3" t="s">
        <v>1031</v>
      </c>
      <c r="C856" s="3" t="s">
        <v>6102</v>
      </c>
      <c r="D856" s="3" t="s">
        <v>5990</v>
      </c>
      <c r="E856" s="3" t="s">
        <v>5991</v>
      </c>
      <c r="F856" s="3" t="s">
        <v>1032</v>
      </c>
      <c r="G856" s="3" t="s">
        <v>5993</v>
      </c>
      <c r="H856" s="3" t="s">
        <v>1071</v>
      </c>
      <c r="I856" s="3" t="s">
        <v>974</v>
      </c>
      <c r="J856" s="5" t="s">
        <v>1072</v>
      </c>
      <c r="L856" s="3" t="s">
        <v>6166</v>
      </c>
      <c r="M856" s="3">
        <v>2</v>
      </c>
      <c r="N856" s="4" t="s">
        <v>1032</v>
      </c>
      <c r="O856" s="4">
        <v>39</v>
      </c>
      <c r="P856" s="11" t="s">
        <v>9744</v>
      </c>
      <c r="Q856" s="11" t="s">
        <v>9883</v>
      </c>
      <c r="S856" s="4" t="b">
        <f>ISNUMBER(MATCH(Q856,T:T,0))</f>
        <v>1</v>
      </c>
      <c r="T856" s="4" t="s">
        <v>11384</v>
      </c>
      <c r="U856" s="4" t="str">
        <f t="shared" si="47"/>
        <v>當</v>
      </c>
    </row>
    <row r="857" spans="1:22">
      <c r="A857" s="3">
        <v>856</v>
      </c>
      <c r="B857" s="3" t="s">
        <v>1031</v>
      </c>
      <c r="C857" s="3" t="s">
        <v>6045</v>
      </c>
      <c r="D857" s="3" t="s">
        <v>5990</v>
      </c>
      <c r="E857" s="3" t="s">
        <v>5991</v>
      </c>
      <c r="F857" s="3" t="s">
        <v>1032</v>
      </c>
      <c r="G857" s="3" t="s">
        <v>5993</v>
      </c>
      <c r="H857" s="3" t="s">
        <v>1073</v>
      </c>
      <c r="I857" s="3" t="s">
        <v>974</v>
      </c>
      <c r="J857" s="5" t="s">
        <v>7861</v>
      </c>
      <c r="L857" s="3" t="s">
        <v>6185</v>
      </c>
      <c r="M857" s="3">
        <v>13</v>
      </c>
      <c r="N857" s="4" t="s">
        <v>1032</v>
      </c>
      <c r="O857" s="4">
        <v>39</v>
      </c>
      <c r="P857" s="11" t="s">
        <v>9908</v>
      </c>
      <c r="Q857" s="11" t="s">
        <v>10088</v>
      </c>
      <c r="S857" s="4" t="b">
        <f>ISNUMBER(MATCH(Q857,T:T,0))</f>
        <v>1</v>
      </c>
      <c r="T857" s="4" t="s">
        <v>10259</v>
      </c>
      <c r="U857" s="4" t="str">
        <f t="shared" si="47"/>
        <v>光</v>
      </c>
    </row>
    <row r="858" spans="1:22">
      <c r="A858" s="3">
        <v>857</v>
      </c>
      <c r="B858" s="3" t="s">
        <v>1031</v>
      </c>
      <c r="C858" s="3" t="s">
        <v>6092</v>
      </c>
      <c r="D858" s="3" t="s">
        <v>5990</v>
      </c>
      <c r="E858" s="3" t="s">
        <v>5991</v>
      </c>
      <c r="F858" s="3" t="s">
        <v>1032</v>
      </c>
      <c r="G858" s="3" t="s">
        <v>5993</v>
      </c>
      <c r="H858" s="3" t="s">
        <v>1074</v>
      </c>
      <c r="I858" s="3" t="s">
        <v>974</v>
      </c>
      <c r="J858" s="5" t="s">
        <v>7862</v>
      </c>
      <c r="L858" s="3" t="s">
        <v>1075</v>
      </c>
      <c r="M858" s="3">
        <v>7</v>
      </c>
      <c r="N858" s="4" t="s">
        <v>1032</v>
      </c>
      <c r="O858" s="4">
        <v>39</v>
      </c>
      <c r="P858" s="11" t="s">
        <v>9740</v>
      </c>
      <c r="Q858" s="11" t="s">
        <v>10087</v>
      </c>
      <c r="R858" s="4" t="s">
        <v>13055</v>
      </c>
      <c r="S858" s="4" t="b">
        <f>ISNUMBER(MATCH(Q858,T:T,0))</f>
        <v>0</v>
      </c>
      <c r="T858" s="4" t="s">
        <v>11385</v>
      </c>
      <c r="U858" s="4" t="str">
        <f t="shared" si="47"/>
        <v>剛</v>
      </c>
      <c r="V858" s="4" t="b">
        <f>ISNUMBER(MATCH(R858,T:T,0))</f>
        <v>1</v>
      </c>
    </row>
    <row r="859" spans="1:22">
      <c r="A859" s="3">
        <v>858</v>
      </c>
      <c r="B859" s="3" t="s">
        <v>1031</v>
      </c>
      <c r="C859" s="3" t="s">
        <v>6069</v>
      </c>
      <c r="D859" s="3" t="s">
        <v>5990</v>
      </c>
      <c r="E859" s="3" t="s">
        <v>5991</v>
      </c>
      <c r="F859" s="3" t="s">
        <v>1032</v>
      </c>
      <c r="G859" s="3" t="s">
        <v>5993</v>
      </c>
      <c r="H859" s="3" t="s">
        <v>1076</v>
      </c>
      <c r="I859" s="3" t="s">
        <v>974</v>
      </c>
      <c r="J859" s="5" t="s">
        <v>1077</v>
      </c>
      <c r="L859" s="3" t="s">
        <v>1078</v>
      </c>
      <c r="M859" s="3">
        <v>1</v>
      </c>
      <c r="N859" s="4" t="s">
        <v>1032</v>
      </c>
      <c r="O859" s="4">
        <v>39</v>
      </c>
      <c r="P859" s="11" t="s">
        <v>9880</v>
      </c>
      <c r="Q859" s="11" t="s">
        <v>9886</v>
      </c>
      <c r="S859" s="4" t="b">
        <f>ISNUMBER(MATCH(Q859,T:T,0))</f>
        <v>1</v>
      </c>
      <c r="T859" s="4" t="s">
        <v>1077</v>
      </c>
      <c r="U859" s="4" t="str">
        <f t="shared" si="47"/>
        <v>郎</v>
      </c>
    </row>
    <row r="860" spans="1:22" ht="28.5">
      <c r="A860" s="3">
        <v>859</v>
      </c>
      <c r="B860" s="3" t="s">
        <v>1031</v>
      </c>
      <c r="C860" s="3" t="s">
        <v>6038</v>
      </c>
      <c r="D860" s="3" t="s">
        <v>5990</v>
      </c>
      <c r="E860" s="3" t="s">
        <v>6212</v>
      </c>
      <c r="F860" s="3" t="s">
        <v>1032</v>
      </c>
      <c r="G860" s="3" t="s">
        <v>5993</v>
      </c>
      <c r="H860" s="3" t="s">
        <v>1079</v>
      </c>
      <c r="I860" s="3" t="s">
        <v>974</v>
      </c>
      <c r="J860" s="5" t="s">
        <v>1080</v>
      </c>
      <c r="L860" s="3" t="s">
        <v>1021</v>
      </c>
      <c r="M860" s="3">
        <v>1</v>
      </c>
      <c r="N860" s="4" t="s">
        <v>1032</v>
      </c>
      <c r="O860" s="4">
        <v>39</v>
      </c>
      <c r="P860" s="11" t="s">
        <v>9728</v>
      </c>
      <c r="Q860" s="11" t="s">
        <v>10088</v>
      </c>
      <c r="S860" s="4" t="b">
        <f>ISNUMBER(MATCH(Q860,T:T,0))</f>
        <v>1</v>
      </c>
      <c r="T860" s="4" t="s">
        <v>1080</v>
      </c>
      <c r="U860" s="4" t="str">
        <f t="shared" si="47"/>
        <v>光</v>
      </c>
    </row>
    <row r="861" spans="1:22">
      <c r="A861" s="3">
        <v>860</v>
      </c>
      <c r="B861" s="3" t="s">
        <v>1031</v>
      </c>
      <c r="C861" s="3" t="s">
        <v>6049</v>
      </c>
      <c r="D861" s="3" t="s">
        <v>5990</v>
      </c>
      <c r="E861" s="3" t="s">
        <v>5991</v>
      </c>
      <c r="F861" s="3" t="s">
        <v>1032</v>
      </c>
      <c r="G861" s="3" t="s">
        <v>5993</v>
      </c>
      <c r="H861" s="3" t="s">
        <v>1081</v>
      </c>
      <c r="I861" s="3" t="s">
        <v>974</v>
      </c>
      <c r="J861" s="5" t="s">
        <v>1082</v>
      </c>
      <c r="L861" s="3" t="s">
        <v>6172</v>
      </c>
      <c r="M861" s="3">
        <v>5</v>
      </c>
      <c r="N861" s="4" t="s">
        <v>1032</v>
      </c>
      <c r="O861" s="4">
        <v>39</v>
      </c>
      <c r="P861" s="11" t="s">
        <v>9770</v>
      </c>
      <c r="Q861" s="11" t="s">
        <v>10090</v>
      </c>
      <c r="R861" s="4" t="s">
        <v>13056</v>
      </c>
      <c r="S861" s="4" t="b">
        <f>ISNUMBER(MATCH(Q861,T:T,0))</f>
        <v>0</v>
      </c>
      <c r="T861" s="4" t="s">
        <v>6049</v>
      </c>
      <c r="U861" s="4" t="str">
        <f t="shared" si="47"/>
        <v>傍</v>
      </c>
      <c r="V861" s="4" t="b">
        <f>ISNUMBER(MATCH(R861,T:T,0))</f>
        <v>1</v>
      </c>
    </row>
    <row r="862" spans="1:22">
      <c r="A862" s="3">
        <v>861</v>
      </c>
      <c r="B862" s="3" t="s">
        <v>1083</v>
      </c>
      <c r="C862" s="3" t="s">
        <v>6025</v>
      </c>
      <c r="D862" s="3" t="s">
        <v>6157</v>
      </c>
      <c r="E862" s="3" t="s">
        <v>5991</v>
      </c>
      <c r="F862" s="3" t="s">
        <v>1084</v>
      </c>
      <c r="G862" s="3" t="s">
        <v>5993</v>
      </c>
      <c r="H862" s="3" t="s">
        <v>1085</v>
      </c>
      <c r="I862" s="3" t="s">
        <v>1086</v>
      </c>
      <c r="J862" s="5" t="s">
        <v>7863</v>
      </c>
      <c r="L862" s="3" t="s">
        <v>1087</v>
      </c>
      <c r="M862" s="3">
        <v>12</v>
      </c>
      <c r="N862" s="4" t="s">
        <v>1084</v>
      </c>
      <c r="O862" s="4">
        <v>40</v>
      </c>
      <c r="P862" s="11" t="s">
        <v>9729</v>
      </c>
      <c r="Q862" s="11" t="s">
        <v>10091</v>
      </c>
      <c r="S862" s="4" t="b">
        <f>ISNUMBER(MATCH(Q862,T:T,0))</f>
        <v>1</v>
      </c>
      <c r="T862" s="4" t="s">
        <v>1084</v>
      </c>
      <c r="U862" s="4" t="str">
        <f t="shared" si="47"/>
        <v>行</v>
      </c>
    </row>
    <row r="863" spans="1:22">
      <c r="A863" s="3">
        <v>862</v>
      </c>
      <c r="B863" s="3" t="s">
        <v>1083</v>
      </c>
      <c r="C863" s="3" t="s">
        <v>6038</v>
      </c>
      <c r="D863" s="3" t="s">
        <v>6157</v>
      </c>
      <c r="E863" s="3" t="s">
        <v>5991</v>
      </c>
      <c r="F863" s="3" t="s">
        <v>1084</v>
      </c>
      <c r="G863" s="3" t="s">
        <v>5993</v>
      </c>
      <c r="H863" s="3" t="s">
        <v>1088</v>
      </c>
      <c r="I863" s="3" t="s">
        <v>1086</v>
      </c>
      <c r="J863" s="5" t="s">
        <v>7864</v>
      </c>
      <c r="L863" s="3" t="s">
        <v>1089</v>
      </c>
      <c r="M863" s="3">
        <v>6</v>
      </c>
      <c r="N863" s="4" t="s">
        <v>1084</v>
      </c>
      <c r="O863" s="4">
        <v>40</v>
      </c>
      <c r="P863" s="11" t="s">
        <v>10092</v>
      </c>
      <c r="Q863" s="11" t="s">
        <v>1084</v>
      </c>
      <c r="S863" s="4" t="b">
        <f>ISNUMBER(MATCH(Q863,T:T,0))</f>
        <v>1</v>
      </c>
      <c r="T863" s="4" t="s">
        <v>11386</v>
      </c>
      <c r="U863" s="4" t="str">
        <f t="shared" si="47"/>
        <v>庚</v>
      </c>
    </row>
    <row r="864" spans="1:22">
      <c r="A864" s="3">
        <v>863</v>
      </c>
      <c r="B864" s="3" t="s">
        <v>1083</v>
      </c>
      <c r="C864" s="3" t="s">
        <v>6035</v>
      </c>
      <c r="D864" s="3" t="s">
        <v>6157</v>
      </c>
      <c r="E864" s="3" t="s">
        <v>5991</v>
      </c>
      <c r="F864" s="3" t="s">
        <v>1084</v>
      </c>
      <c r="G864" s="3" t="s">
        <v>5993</v>
      </c>
      <c r="H864" s="3" t="s">
        <v>1090</v>
      </c>
      <c r="I864" s="3" t="s">
        <v>1086</v>
      </c>
      <c r="J864" s="5" t="s">
        <v>7865</v>
      </c>
      <c r="L864" s="3" t="s">
        <v>6037</v>
      </c>
      <c r="M864" s="3">
        <v>8</v>
      </c>
      <c r="N864" s="4" t="s">
        <v>1084</v>
      </c>
      <c r="O864" s="4">
        <v>40</v>
      </c>
      <c r="P864" s="11" t="s">
        <v>9794</v>
      </c>
      <c r="Q864" s="11" t="s">
        <v>1084</v>
      </c>
      <c r="S864" s="4" t="b">
        <f>ISNUMBER(MATCH(Q864,T:T,0))</f>
        <v>1</v>
      </c>
      <c r="T864" s="4" t="s">
        <v>10093</v>
      </c>
      <c r="U864" s="4" t="str">
        <f t="shared" si="47"/>
        <v>庚</v>
      </c>
    </row>
    <row r="865" spans="1:21">
      <c r="A865" s="3">
        <v>864</v>
      </c>
      <c r="B865" s="3" t="s">
        <v>1083</v>
      </c>
      <c r="C865" s="3" t="s">
        <v>6067</v>
      </c>
      <c r="D865" s="3" t="s">
        <v>6157</v>
      </c>
      <c r="E865" s="3" t="s">
        <v>6212</v>
      </c>
      <c r="F865" s="3" t="s">
        <v>1084</v>
      </c>
      <c r="G865" s="3" t="s">
        <v>5993</v>
      </c>
      <c r="H865" s="7" t="s">
        <v>710</v>
      </c>
      <c r="I865" s="3" t="s">
        <v>1086</v>
      </c>
      <c r="J865" s="5" t="s">
        <v>7866</v>
      </c>
      <c r="L865" s="3" t="s">
        <v>6068</v>
      </c>
      <c r="M865" s="3">
        <v>16</v>
      </c>
      <c r="N865" s="4" t="s">
        <v>1084</v>
      </c>
      <c r="O865" s="4">
        <v>40</v>
      </c>
      <c r="P865" s="11" t="s">
        <v>9731</v>
      </c>
      <c r="Q865" s="11" t="s">
        <v>10093</v>
      </c>
      <c r="S865" s="4" t="b">
        <f>ISNUMBER(MATCH(Q865,T:T,0))</f>
        <v>1</v>
      </c>
      <c r="T865" s="4" t="s">
        <v>10094</v>
      </c>
      <c r="U865" s="4" t="str">
        <f t="shared" si="47"/>
        <v>盲</v>
      </c>
    </row>
    <row r="866" spans="1:21">
      <c r="A866" s="3">
        <v>865</v>
      </c>
      <c r="B866" s="3" t="s">
        <v>1083</v>
      </c>
      <c r="C866" s="3" t="s">
        <v>6049</v>
      </c>
      <c r="D866" s="3" t="s">
        <v>6157</v>
      </c>
      <c r="E866" s="3" t="s">
        <v>5991</v>
      </c>
      <c r="F866" s="3" t="s">
        <v>1084</v>
      </c>
      <c r="G866" s="3" t="s">
        <v>5993</v>
      </c>
      <c r="H866" s="3" t="s">
        <v>1091</v>
      </c>
      <c r="I866" s="3" t="s">
        <v>1086</v>
      </c>
      <c r="J866" s="5" t="s">
        <v>7867</v>
      </c>
      <c r="L866" s="3" t="s">
        <v>1092</v>
      </c>
      <c r="M866" s="3">
        <v>6</v>
      </c>
      <c r="N866" s="4" t="s">
        <v>1084</v>
      </c>
      <c r="O866" s="4">
        <v>40</v>
      </c>
      <c r="P866" s="11" t="s">
        <v>9842</v>
      </c>
      <c r="Q866" s="11" t="s">
        <v>10093</v>
      </c>
      <c r="S866" s="4" t="b">
        <f>ISNUMBER(MATCH(Q866,T:T,0))</f>
        <v>1</v>
      </c>
      <c r="T866" s="4" t="s">
        <v>11387</v>
      </c>
      <c r="U866" s="4" t="str">
        <f t="shared" si="47"/>
        <v>盲</v>
      </c>
    </row>
    <row r="867" spans="1:21">
      <c r="A867" s="3">
        <v>866</v>
      </c>
      <c r="B867" s="3" t="s">
        <v>1083</v>
      </c>
      <c r="C867" s="3" t="s">
        <v>6089</v>
      </c>
      <c r="D867" s="3" t="s">
        <v>6157</v>
      </c>
      <c r="E867" s="3" t="s">
        <v>6212</v>
      </c>
      <c r="F867" s="3" t="s">
        <v>1084</v>
      </c>
      <c r="G867" s="3" t="s">
        <v>5993</v>
      </c>
      <c r="H867" s="3" t="s">
        <v>1093</v>
      </c>
      <c r="I867" s="3" t="s">
        <v>1086</v>
      </c>
      <c r="J867" s="5" t="s">
        <v>1094</v>
      </c>
      <c r="L867" s="3" t="s">
        <v>6091</v>
      </c>
      <c r="M867" s="3">
        <v>5</v>
      </c>
      <c r="N867" s="4" t="s">
        <v>1084</v>
      </c>
      <c r="O867" s="4">
        <v>40</v>
      </c>
      <c r="P867" s="11" t="s">
        <v>10055</v>
      </c>
      <c r="Q867" s="11" t="s">
        <v>10094</v>
      </c>
      <c r="S867" s="4" t="b">
        <f>ISNUMBER(MATCH(Q867,T:T,0))</f>
        <v>1</v>
      </c>
      <c r="T867" s="4" t="s">
        <v>11388</v>
      </c>
      <c r="U867" s="4" t="str">
        <f t="shared" si="47"/>
        <v>橫</v>
      </c>
    </row>
    <row r="868" spans="1:21">
      <c r="A868" s="3">
        <v>867</v>
      </c>
      <c r="B868" s="3" t="s">
        <v>1083</v>
      </c>
      <c r="C868" s="3" t="s">
        <v>6025</v>
      </c>
      <c r="D868" s="3" t="s">
        <v>6157</v>
      </c>
      <c r="E868" s="3" t="s">
        <v>6212</v>
      </c>
      <c r="F868" s="3" t="s">
        <v>1084</v>
      </c>
      <c r="G868" s="3" t="s">
        <v>5993</v>
      </c>
      <c r="H868" s="3" t="s">
        <v>1095</v>
      </c>
      <c r="I868" s="3" t="s">
        <v>1086</v>
      </c>
      <c r="J868" s="8" t="s">
        <v>7868</v>
      </c>
      <c r="L868" s="3" t="s">
        <v>6064</v>
      </c>
      <c r="M868" s="3">
        <v>6</v>
      </c>
      <c r="N868" s="4" t="s">
        <v>1084</v>
      </c>
      <c r="O868" s="4">
        <v>40</v>
      </c>
      <c r="P868" s="11" t="s">
        <v>9729</v>
      </c>
      <c r="Q868" s="11" t="s">
        <v>10094</v>
      </c>
      <c r="S868" s="4" t="b">
        <f>ISNUMBER(MATCH(Q868,T:T,0))</f>
        <v>1</v>
      </c>
      <c r="T868" s="4" t="s">
        <v>11389</v>
      </c>
      <c r="U868" s="4" t="str">
        <f t="shared" si="47"/>
        <v>橫</v>
      </c>
    </row>
    <row r="869" spans="1:21" ht="39">
      <c r="A869" s="3">
        <v>868</v>
      </c>
      <c r="B869" s="3" t="s">
        <v>1083</v>
      </c>
      <c r="C869" s="3" t="s">
        <v>6045</v>
      </c>
      <c r="D869" s="3" t="s">
        <v>6157</v>
      </c>
      <c r="E869" s="3" t="s">
        <v>5991</v>
      </c>
      <c r="F869" s="3" t="s">
        <v>1084</v>
      </c>
      <c r="G869" s="3" t="s">
        <v>5993</v>
      </c>
      <c r="H869" s="3" t="s">
        <v>1096</v>
      </c>
      <c r="I869" s="3" t="s">
        <v>1086</v>
      </c>
      <c r="J869" s="5" t="s">
        <v>7869</v>
      </c>
      <c r="L869" s="3" t="s">
        <v>6088</v>
      </c>
      <c r="M869" s="3">
        <v>17</v>
      </c>
      <c r="N869" s="4" t="s">
        <v>1084</v>
      </c>
      <c r="O869" s="4">
        <v>40</v>
      </c>
      <c r="P869" s="11" t="s">
        <v>9738</v>
      </c>
      <c r="Q869" s="11" t="s">
        <v>1084</v>
      </c>
      <c r="S869" s="4" t="b">
        <f>ISNUMBER(MATCH(Q869,T:T,0))</f>
        <v>1</v>
      </c>
      <c r="T869" s="4" t="s">
        <v>11390</v>
      </c>
      <c r="U869" s="4" t="str">
        <f t="shared" si="47"/>
        <v>庚</v>
      </c>
    </row>
    <row r="870" spans="1:21">
      <c r="A870" s="3">
        <v>869</v>
      </c>
      <c r="B870" s="3" t="s">
        <v>1083</v>
      </c>
      <c r="C870" s="3" t="s">
        <v>6089</v>
      </c>
      <c r="D870" s="3" t="s">
        <v>6157</v>
      </c>
      <c r="E870" s="3" t="s">
        <v>5991</v>
      </c>
      <c r="F870" s="3" t="s">
        <v>1084</v>
      </c>
      <c r="G870" s="3" t="s">
        <v>5993</v>
      </c>
      <c r="H870" s="3" t="s">
        <v>1097</v>
      </c>
      <c r="I870" s="3" t="s">
        <v>1086</v>
      </c>
      <c r="J870" s="5" t="s">
        <v>7870</v>
      </c>
      <c r="L870" s="3" t="s">
        <v>1098</v>
      </c>
      <c r="M870" s="3">
        <v>3</v>
      </c>
      <c r="N870" s="4" t="s">
        <v>1084</v>
      </c>
      <c r="O870" s="4">
        <v>40</v>
      </c>
      <c r="P870" s="11" t="s">
        <v>9753</v>
      </c>
      <c r="Q870" s="11" t="s">
        <v>1084</v>
      </c>
      <c r="S870" s="4" t="b">
        <f>ISNUMBER(MATCH(Q870,T:T,0))</f>
        <v>1</v>
      </c>
      <c r="T870" s="4" t="s">
        <v>11391</v>
      </c>
      <c r="U870" s="4" t="str">
        <f t="shared" si="47"/>
        <v>庚</v>
      </c>
    </row>
    <row r="871" spans="1:21" ht="28.5">
      <c r="A871" s="3">
        <v>870</v>
      </c>
      <c r="B871" s="3" t="s">
        <v>1083</v>
      </c>
      <c r="C871" s="3" t="s">
        <v>6011</v>
      </c>
      <c r="D871" s="3" t="s">
        <v>6157</v>
      </c>
      <c r="E871" s="3" t="s">
        <v>5991</v>
      </c>
      <c r="F871" s="3" t="s">
        <v>1084</v>
      </c>
      <c r="G871" s="3" t="s">
        <v>5993</v>
      </c>
      <c r="H871" s="3" t="s">
        <v>1099</v>
      </c>
      <c r="I871" s="3" t="s">
        <v>1086</v>
      </c>
      <c r="J871" s="5" t="s">
        <v>1100</v>
      </c>
      <c r="L871" s="3" t="s">
        <v>1101</v>
      </c>
      <c r="M871" s="3">
        <v>5</v>
      </c>
      <c r="N871" s="4" t="s">
        <v>1084</v>
      </c>
      <c r="O871" s="4">
        <v>40</v>
      </c>
      <c r="P871" s="11" t="s">
        <v>9757</v>
      </c>
      <c r="Q871" s="11" t="s">
        <v>1084</v>
      </c>
      <c r="S871" s="4" t="b">
        <f>ISNUMBER(MATCH(Q871,T:T,0))</f>
        <v>1</v>
      </c>
      <c r="T871" s="4" t="s">
        <v>11392</v>
      </c>
      <c r="U871" s="4" t="str">
        <f t="shared" si="47"/>
        <v>庚</v>
      </c>
    </row>
    <row r="872" spans="1:21" ht="28.5">
      <c r="A872" s="3">
        <v>871</v>
      </c>
      <c r="B872" s="3" t="s">
        <v>1083</v>
      </c>
      <c r="C872" s="3" t="s">
        <v>6167</v>
      </c>
      <c r="D872" s="3" t="s">
        <v>6157</v>
      </c>
      <c r="E872" s="3" t="s">
        <v>5991</v>
      </c>
      <c r="F872" s="3" t="s">
        <v>1084</v>
      </c>
      <c r="G872" s="3" t="s">
        <v>5993</v>
      </c>
      <c r="H872" s="3" t="s">
        <v>1102</v>
      </c>
      <c r="I872" s="3" t="s">
        <v>1086</v>
      </c>
      <c r="J872" s="5" t="s">
        <v>1103</v>
      </c>
      <c r="K872" s="3" t="s">
        <v>1104</v>
      </c>
      <c r="L872" s="3" t="s">
        <v>1101</v>
      </c>
      <c r="M872" s="3">
        <v>4</v>
      </c>
      <c r="N872" s="4" t="s">
        <v>1084</v>
      </c>
      <c r="O872" s="4">
        <v>40</v>
      </c>
      <c r="P872" s="11" t="s">
        <v>9769</v>
      </c>
      <c r="Q872" s="11" t="s">
        <v>1084</v>
      </c>
      <c r="S872" s="4" t="b">
        <f>ISNUMBER(MATCH(Q872,T:T,0))</f>
        <v>1</v>
      </c>
      <c r="T872" s="4" t="s">
        <v>11393</v>
      </c>
      <c r="U872" s="4" t="str">
        <f t="shared" si="47"/>
        <v>庚</v>
      </c>
    </row>
    <row r="873" spans="1:21" ht="28.5">
      <c r="A873" s="3">
        <v>872</v>
      </c>
      <c r="B873" s="3" t="s">
        <v>1083</v>
      </c>
      <c r="C873" s="3" t="s">
        <v>6015</v>
      </c>
      <c r="D873" s="3" t="s">
        <v>6157</v>
      </c>
      <c r="E873" s="3" t="s">
        <v>5991</v>
      </c>
      <c r="F873" s="3" t="s">
        <v>1084</v>
      </c>
      <c r="G873" s="3" t="s">
        <v>5993</v>
      </c>
      <c r="H873" s="3" t="s">
        <v>1105</v>
      </c>
      <c r="I873" s="3" t="s">
        <v>1086</v>
      </c>
      <c r="J873" s="5" t="s">
        <v>7871</v>
      </c>
      <c r="L873" s="3" t="s">
        <v>1106</v>
      </c>
      <c r="M873" s="3">
        <v>5</v>
      </c>
      <c r="N873" s="4" t="s">
        <v>1084</v>
      </c>
      <c r="O873" s="4">
        <v>40</v>
      </c>
      <c r="P873" s="11" t="s">
        <v>10095</v>
      </c>
      <c r="Q873" s="11" t="s">
        <v>1084</v>
      </c>
      <c r="S873" s="4" t="b">
        <f>ISNUMBER(MATCH(Q873,T:T,0))</f>
        <v>1</v>
      </c>
      <c r="T873" s="4" t="s">
        <v>11394</v>
      </c>
      <c r="U873" s="4" t="str">
        <f t="shared" si="47"/>
        <v>庚</v>
      </c>
    </row>
    <row r="874" spans="1:21">
      <c r="A874" s="3">
        <v>873</v>
      </c>
      <c r="B874" s="3" t="s">
        <v>1083</v>
      </c>
      <c r="C874" s="3" t="s">
        <v>6072</v>
      </c>
      <c r="D874" s="3" t="s">
        <v>6001</v>
      </c>
      <c r="E874" s="3" t="s">
        <v>5991</v>
      </c>
      <c r="F874" s="3" t="s">
        <v>1084</v>
      </c>
      <c r="G874" s="3" t="s">
        <v>5993</v>
      </c>
      <c r="H874" s="3" t="s">
        <v>1107</v>
      </c>
      <c r="I874" s="3" t="s">
        <v>1086</v>
      </c>
      <c r="J874" s="5" t="s">
        <v>7872</v>
      </c>
      <c r="L874" s="3" t="s">
        <v>1108</v>
      </c>
      <c r="M874" s="3">
        <v>10</v>
      </c>
      <c r="N874" s="4" t="s">
        <v>1084</v>
      </c>
      <c r="O874" s="4">
        <v>40</v>
      </c>
      <c r="P874" s="11" t="s">
        <v>9754</v>
      </c>
      <c r="Q874" s="11" t="s">
        <v>10096</v>
      </c>
      <c r="S874" s="4" t="b">
        <f>ISNUMBER(MATCH(Q874,T:T,0))</f>
        <v>1</v>
      </c>
      <c r="T874" s="4" t="s">
        <v>11395</v>
      </c>
      <c r="U874" s="4" t="str">
        <f t="shared" si="47"/>
        <v>驚</v>
      </c>
    </row>
    <row r="875" spans="1:21">
      <c r="A875" s="3">
        <v>874</v>
      </c>
      <c r="B875" s="3" t="s">
        <v>1083</v>
      </c>
      <c r="C875" s="3" t="s">
        <v>6053</v>
      </c>
      <c r="D875" s="3" t="s">
        <v>6001</v>
      </c>
      <c r="E875" s="3" t="s">
        <v>5991</v>
      </c>
      <c r="F875" s="3" t="s">
        <v>1084</v>
      </c>
      <c r="G875" s="3" t="s">
        <v>5993</v>
      </c>
      <c r="H875" s="3" t="s">
        <v>1109</v>
      </c>
      <c r="I875" s="3" t="s">
        <v>1086</v>
      </c>
      <c r="J875" s="5" t="s">
        <v>1110</v>
      </c>
      <c r="L875" s="3" t="s">
        <v>1111</v>
      </c>
      <c r="M875" s="3">
        <v>4</v>
      </c>
      <c r="N875" s="4" t="s">
        <v>1084</v>
      </c>
      <c r="O875" s="4">
        <v>40</v>
      </c>
      <c r="P875" s="11" t="s">
        <v>9950</v>
      </c>
      <c r="Q875" s="11" t="s">
        <v>1084</v>
      </c>
      <c r="S875" s="4" t="b">
        <f>ISNUMBER(MATCH(Q875,T:T,0))</f>
        <v>1</v>
      </c>
      <c r="T875" s="4" t="s">
        <v>11396</v>
      </c>
      <c r="U875" s="4" t="str">
        <f t="shared" si="47"/>
        <v>庚</v>
      </c>
    </row>
    <row r="876" spans="1:21">
      <c r="A876" s="3">
        <v>875</v>
      </c>
      <c r="B876" s="3" t="s">
        <v>1083</v>
      </c>
      <c r="C876" s="3" t="s">
        <v>6045</v>
      </c>
      <c r="D876" s="3" t="s">
        <v>6001</v>
      </c>
      <c r="E876" s="3" t="s">
        <v>5991</v>
      </c>
      <c r="F876" s="3" t="s">
        <v>1084</v>
      </c>
      <c r="G876" s="3" t="s">
        <v>5993</v>
      </c>
      <c r="H876" s="3" t="s">
        <v>1112</v>
      </c>
      <c r="I876" s="3" t="s">
        <v>1086</v>
      </c>
      <c r="J876" s="5" t="s">
        <v>7873</v>
      </c>
      <c r="L876" s="3" t="s">
        <v>1113</v>
      </c>
      <c r="M876" s="3">
        <v>8</v>
      </c>
      <c r="N876" s="4" t="s">
        <v>1084</v>
      </c>
      <c r="O876" s="4">
        <v>40</v>
      </c>
      <c r="P876" s="11" t="s">
        <v>9759</v>
      </c>
      <c r="Q876" s="11" t="s">
        <v>1126</v>
      </c>
      <c r="S876" s="4" t="b">
        <f>ISNUMBER(MATCH(Q876,T:T,0))</f>
        <v>1</v>
      </c>
      <c r="T876" s="4" t="s">
        <v>5993</v>
      </c>
      <c r="U876" s="4" t="str">
        <f t="shared" si="47"/>
        <v>兵</v>
      </c>
    </row>
    <row r="877" spans="1:21">
      <c r="A877" s="3">
        <v>876</v>
      </c>
      <c r="B877" s="3" t="s">
        <v>1083</v>
      </c>
      <c r="C877" s="3" t="s">
        <v>6025</v>
      </c>
      <c r="D877" s="3" t="s">
        <v>6001</v>
      </c>
      <c r="E877" s="3" t="s">
        <v>5991</v>
      </c>
      <c r="F877" s="3" t="s">
        <v>1084</v>
      </c>
      <c r="G877" s="3" t="s">
        <v>5993</v>
      </c>
      <c r="H877" s="3" t="s">
        <v>1114</v>
      </c>
      <c r="I877" s="3" t="s">
        <v>1086</v>
      </c>
      <c r="J877" s="5" t="s">
        <v>7874</v>
      </c>
      <c r="L877" s="3" t="s">
        <v>1115</v>
      </c>
      <c r="M877" s="3">
        <v>7</v>
      </c>
      <c r="N877" s="4" t="s">
        <v>1084</v>
      </c>
      <c r="O877" s="4">
        <v>40</v>
      </c>
      <c r="P877" s="11" t="s">
        <v>9846</v>
      </c>
      <c r="Q877" s="11" t="s">
        <v>1131</v>
      </c>
      <c r="S877" s="4" t="b">
        <f>ISNUMBER(MATCH(Q877,T:T,0))</f>
        <v>1</v>
      </c>
      <c r="T877" s="4" t="s">
        <v>10096</v>
      </c>
      <c r="U877" s="4" t="str">
        <f t="shared" si="47"/>
        <v>卿</v>
      </c>
    </row>
    <row r="878" spans="1:21">
      <c r="A878" s="3">
        <v>877</v>
      </c>
      <c r="B878" s="3" t="s">
        <v>1083</v>
      </c>
      <c r="C878" s="3" t="s">
        <v>6035</v>
      </c>
      <c r="D878" s="3" t="s">
        <v>6001</v>
      </c>
      <c r="E878" s="3" t="s">
        <v>5991</v>
      </c>
      <c r="F878" s="3" t="s">
        <v>1084</v>
      </c>
      <c r="G878" s="3" t="s">
        <v>5993</v>
      </c>
      <c r="H878" s="3" t="s">
        <v>1116</v>
      </c>
      <c r="I878" s="3" t="s">
        <v>1086</v>
      </c>
      <c r="J878" s="5" t="s">
        <v>1117</v>
      </c>
      <c r="L878" s="3" t="s">
        <v>1118</v>
      </c>
      <c r="M878" s="3">
        <v>5</v>
      </c>
      <c r="N878" s="4" t="s">
        <v>1084</v>
      </c>
      <c r="O878" s="4">
        <v>40</v>
      </c>
      <c r="P878" s="11" t="s">
        <v>9794</v>
      </c>
      <c r="Q878" s="11" t="s">
        <v>1126</v>
      </c>
      <c r="S878" s="4" t="b">
        <f>ISNUMBER(MATCH(Q878,T:T,0))</f>
        <v>1</v>
      </c>
      <c r="T878" s="4" t="s">
        <v>6035</v>
      </c>
      <c r="U878" s="4" t="str">
        <f t="shared" si="47"/>
        <v>兵</v>
      </c>
    </row>
    <row r="879" spans="1:21" ht="28.5">
      <c r="A879" s="3">
        <v>878</v>
      </c>
      <c r="B879" s="3" t="s">
        <v>1083</v>
      </c>
      <c r="C879" s="3" t="s">
        <v>6005</v>
      </c>
      <c r="D879" s="3" t="s">
        <v>6157</v>
      </c>
      <c r="E879" s="3" t="s">
        <v>5991</v>
      </c>
      <c r="F879" s="3" t="s">
        <v>1084</v>
      </c>
      <c r="G879" s="3" t="s">
        <v>5993</v>
      </c>
      <c r="H879" s="3" t="s">
        <v>1119</v>
      </c>
      <c r="I879" s="3" t="s">
        <v>1086</v>
      </c>
      <c r="J879" s="5" t="s">
        <v>7875</v>
      </c>
      <c r="L879" s="3" t="s">
        <v>1106</v>
      </c>
      <c r="M879" s="3">
        <v>7</v>
      </c>
      <c r="N879" s="4" t="s">
        <v>1084</v>
      </c>
      <c r="O879" s="4">
        <v>40</v>
      </c>
      <c r="P879" s="11" t="s">
        <v>9709</v>
      </c>
      <c r="Q879" s="11" t="s">
        <v>1084</v>
      </c>
      <c r="S879" s="4" t="b">
        <f>ISNUMBER(MATCH(Q879,T:T,0))</f>
        <v>1</v>
      </c>
      <c r="T879" s="4" t="s">
        <v>11397</v>
      </c>
      <c r="U879" s="4" t="str">
        <f t="shared" si="47"/>
        <v>庚</v>
      </c>
    </row>
    <row r="880" spans="1:21" ht="28.5">
      <c r="A880" s="3">
        <v>879</v>
      </c>
      <c r="B880" s="3" t="s">
        <v>1083</v>
      </c>
      <c r="C880" s="3" t="s">
        <v>6000</v>
      </c>
      <c r="D880" s="3" t="s">
        <v>6157</v>
      </c>
      <c r="E880" s="3" t="s">
        <v>5991</v>
      </c>
      <c r="F880" s="3" t="s">
        <v>1084</v>
      </c>
      <c r="G880" s="3" t="s">
        <v>5993</v>
      </c>
      <c r="H880" s="3" t="s">
        <v>1120</v>
      </c>
      <c r="I880" s="3" t="s">
        <v>1086</v>
      </c>
      <c r="J880" s="5" t="s">
        <v>1121</v>
      </c>
      <c r="L880" s="3" t="s">
        <v>1122</v>
      </c>
      <c r="M880" s="3">
        <v>2</v>
      </c>
      <c r="N880" s="4" t="s">
        <v>1084</v>
      </c>
      <c r="O880" s="4">
        <v>40</v>
      </c>
      <c r="P880" s="11" t="s">
        <v>9803</v>
      </c>
      <c r="Q880" s="11" t="s">
        <v>10093</v>
      </c>
      <c r="S880" s="4" t="b">
        <f>ISNUMBER(MATCH(Q880,T:T,0))</f>
        <v>1</v>
      </c>
      <c r="T880" s="4" t="s">
        <v>11398</v>
      </c>
      <c r="U880" s="4" t="str">
        <f t="shared" si="47"/>
        <v>盲</v>
      </c>
    </row>
    <row r="881" spans="1:22">
      <c r="A881" s="3">
        <v>880</v>
      </c>
      <c r="B881" s="3" t="s">
        <v>1083</v>
      </c>
      <c r="C881" s="3" t="s">
        <v>6032</v>
      </c>
      <c r="D881" s="3" t="s">
        <v>6001</v>
      </c>
      <c r="E881" s="3" t="s">
        <v>6212</v>
      </c>
      <c r="F881" s="3" t="s">
        <v>1084</v>
      </c>
      <c r="G881" s="3" t="s">
        <v>5993</v>
      </c>
      <c r="H881" s="3" t="s">
        <v>1123</v>
      </c>
      <c r="I881" s="3" t="s">
        <v>1086</v>
      </c>
      <c r="J881" s="5" t="s">
        <v>1124</v>
      </c>
      <c r="L881" s="3" t="s">
        <v>6031</v>
      </c>
      <c r="M881" s="3">
        <v>6</v>
      </c>
      <c r="N881" s="4" t="s">
        <v>1084</v>
      </c>
      <c r="O881" s="4">
        <v>40</v>
      </c>
      <c r="P881" s="11" t="s">
        <v>10097</v>
      </c>
      <c r="Q881" s="11" t="s">
        <v>1126</v>
      </c>
      <c r="S881" s="4" t="b">
        <f>ISNUMBER(MATCH(Q881,T:T,0))</f>
        <v>1</v>
      </c>
      <c r="T881" s="4" t="s">
        <v>10098</v>
      </c>
      <c r="U881" s="4" t="str">
        <f t="shared" si="47"/>
        <v>兵</v>
      </c>
    </row>
    <row r="882" spans="1:22">
      <c r="A882" s="3">
        <v>881</v>
      </c>
      <c r="B882" s="3" t="s">
        <v>1083</v>
      </c>
      <c r="C882" s="3" t="s">
        <v>6049</v>
      </c>
      <c r="D882" s="3" t="s">
        <v>6001</v>
      </c>
      <c r="E882" s="3" t="s">
        <v>5991</v>
      </c>
      <c r="F882" s="3" t="s">
        <v>1084</v>
      </c>
      <c r="G882" s="3" t="s">
        <v>5993</v>
      </c>
      <c r="H882" s="3" t="s">
        <v>1125</v>
      </c>
      <c r="I882" s="3" t="s">
        <v>1086</v>
      </c>
      <c r="J882" s="5" t="s">
        <v>1126</v>
      </c>
      <c r="L882" s="3" t="s">
        <v>1127</v>
      </c>
      <c r="M882" s="3">
        <v>1</v>
      </c>
      <c r="N882" s="4" t="s">
        <v>1084</v>
      </c>
      <c r="O882" s="4">
        <v>40</v>
      </c>
      <c r="P882" s="11" t="s">
        <v>9842</v>
      </c>
      <c r="Q882" s="11" t="s">
        <v>6035</v>
      </c>
      <c r="S882" s="4" t="b">
        <f>ISNUMBER(MATCH(Q882,T:T,0))</f>
        <v>1</v>
      </c>
      <c r="T882" s="4" t="s">
        <v>1126</v>
      </c>
      <c r="U882" s="4" t="str">
        <f t="shared" si="47"/>
        <v>明</v>
      </c>
    </row>
    <row r="883" spans="1:22" ht="28.5">
      <c r="A883" s="3">
        <v>882</v>
      </c>
      <c r="B883" s="3" t="s">
        <v>1083</v>
      </c>
      <c r="C883" s="3" t="s">
        <v>6089</v>
      </c>
      <c r="D883" s="3" t="s">
        <v>6001</v>
      </c>
      <c r="E883" s="3" t="s">
        <v>6212</v>
      </c>
      <c r="F883" s="3" t="s">
        <v>1084</v>
      </c>
      <c r="G883" s="3" t="s">
        <v>5993</v>
      </c>
      <c r="H883" s="3" t="s">
        <v>1128</v>
      </c>
      <c r="I883" s="3" t="s">
        <v>1086</v>
      </c>
      <c r="J883" s="5" t="s">
        <v>1129</v>
      </c>
      <c r="L883" s="3" t="s">
        <v>6131</v>
      </c>
      <c r="M883" s="3">
        <v>1</v>
      </c>
      <c r="N883" s="4" t="s">
        <v>1084</v>
      </c>
      <c r="O883" s="4">
        <v>40</v>
      </c>
      <c r="P883" s="11" t="s">
        <v>9753</v>
      </c>
      <c r="Q883" s="11" t="s">
        <v>10098</v>
      </c>
      <c r="S883" s="4" t="b">
        <f>ISNUMBER(MATCH(Q883,T:T,0))</f>
        <v>1</v>
      </c>
      <c r="T883" s="4" t="s">
        <v>1129</v>
      </c>
      <c r="U883" s="4" t="str">
        <f t="shared" si="47"/>
        <v>榮</v>
      </c>
    </row>
    <row r="884" spans="1:22">
      <c r="A884" s="3">
        <v>883</v>
      </c>
      <c r="B884" s="3" t="s">
        <v>1083</v>
      </c>
      <c r="C884" s="3" t="s">
        <v>6038</v>
      </c>
      <c r="D884" s="3" t="s">
        <v>6001</v>
      </c>
      <c r="E884" s="3" t="s">
        <v>5991</v>
      </c>
      <c r="F884" s="3" t="s">
        <v>1084</v>
      </c>
      <c r="G884" s="3" t="s">
        <v>5993</v>
      </c>
      <c r="H884" s="3" t="s">
        <v>1130</v>
      </c>
      <c r="I884" s="3" t="s">
        <v>1086</v>
      </c>
      <c r="J884" s="5" t="s">
        <v>1131</v>
      </c>
      <c r="L884" s="3" t="s">
        <v>1132</v>
      </c>
      <c r="M884" s="3">
        <v>1</v>
      </c>
      <c r="N884" s="4" t="s">
        <v>1084</v>
      </c>
      <c r="O884" s="4">
        <v>40</v>
      </c>
      <c r="P884" s="11" t="s">
        <v>4210</v>
      </c>
      <c r="Q884" s="11" t="s">
        <v>10099</v>
      </c>
      <c r="R884" s="4" t="s">
        <v>13057</v>
      </c>
      <c r="S884" s="4" t="b">
        <f>ISNUMBER(MATCH(Q884,T:T,0))</f>
        <v>0</v>
      </c>
      <c r="T884" s="4" t="s">
        <v>1131</v>
      </c>
      <c r="U884" s="4" t="str">
        <f t="shared" si="47"/>
        <v>驚</v>
      </c>
      <c r="V884" s="4" t="b">
        <f>ISNUMBER(MATCH(R884,T:T,0))</f>
        <v>1</v>
      </c>
    </row>
    <row r="885" spans="1:22" ht="28.5">
      <c r="A885" s="3">
        <v>884</v>
      </c>
      <c r="B885" s="3" t="s">
        <v>1083</v>
      </c>
      <c r="C885" s="3" t="s">
        <v>6180</v>
      </c>
      <c r="D885" s="3" t="s">
        <v>6157</v>
      </c>
      <c r="E885" s="3" t="s">
        <v>5991</v>
      </c>
      <c r="F885" s="3" t="s">
        <v>1084</v>
      </c>
      <c r="G885" s="3" t="s">
        <v>5993</v>
      </c>
      <c r="H885" s="3" t="s">
        <v>1133</v>
      </c>
      <c r="I885" s="3" t="s">
        <v>1086</v>
      </c>
      <c r="J885" s="5" t="s">
        <v>7876</v>
      </c>
      <c r="L885" s="3" t="s">
        <v>1134</v>
      </c>
      <c r="M885" s="3">
        <v>10</v>
      </c>
      <c r="N885" s="4" t="s">
        <v>1084</v>
      </c>
      <c r="O885" s="4">
        <v>40</v>
      </c>
      <c r="P885" s="11" t="s">
        <v>9774</v>
      </c>
      <c r="Q885" s="11" t="s">
        <v>1084</v>
      </c>
      <c r="S885" s="4" t="b">
        <f>ISNUMBER(MATCH(Q885,T:T,0))</f>
        <v>1</v>
      </c>
      <c r="T885" s="4" t="s">
        <v>6180</v>
      </c>
      <c r="U885" s="4" t="str">
        <f t="shared" si="47"/>
        <v>庚</v>
      </c>
    </row>
    <row r="886" spans="1:22">
      <c r="A886" s="3">
        <v>885</v>
      </c>
      <c r="B886" s="3" t="s">
        <v>1083</v>
      </c>
      <c r="C886" s="3" t="s">
        <v>6041</v>
      </c>
      <c r="D886" s="3" t="s">
        <v>6001</v>
      </c>
      <c r="E886" s="3" t="s">
        <v>5991</v>
      </c>
      <c r="F886" s="3" t="s">
        <v>1084</v>
      </c>
      <c r="G886" s="3" t="s">
        <v>5993</v>
      </c>
      <c r="H886" s="3" t="s">
        <v>1135</v>
      </c>
      <c r="I886" s="3" t="s">
        <v>1086</v>
      </c>
      <c r="J886" s="5" t="s">
        <v>7877</v>
      </c>
      <c r="L886" s="3" t="s">
        <v>1136</v>
      </c>
      <c r="M886" s="3">
        <v>11</v>
      </c>
      <c r="N886" s="4" t="s">
        <v>1084</v>
      </c>
      <c r="O886" s="4">
        <v>40</v>
      </c>
      <c r="P886" s="11" t="s">
        <v>9721</v>
      </c>
      <c r="Q886" s="11" t="s">
        <v>10099</v>
      </c>
      <c r="R886" s="4" t="s">
        <v>13057</v>
      </c>
      <c r="S886" s="4" t="b">
        <f>ISNUMBER(MATCH(Q886,T:T,0))</f>
        <v>0</v>
      </c>
      <c r="T886" s="4" t="s">
        <v>11399</v>
      </c>
      <c r="U886" s="4" t="str">
        <f t="shared" si="47"/>
        <v>驚</v>
      </c>
      <c r="V886" s="4" t="b">
        <f t="shared" ref="V886:V887" si="48">ISNUMBER(MATCH(R886,T:T,0))</f>
        <v>1</v>
      </c>
    </row>
    <row r="887" spans="1:22">
      <c r="A887" s="3">
        <v>886</v>
      </c>
      <c r="B887" s="3" t="s">
        <v>1083</v>
      </c>
      <c r="C887" s="3" t="s">
        <v>6092</v>
      </c>
      <c r="D887" s="3" t="s">
        <v>6001</v>
      </c>
      <c r="E887" s="3" t="s">
        <v>5991</v>
      </c>
      <c r="F887" s="3" t="s">
        <v>1084</v>
      </c>
      <c r="G887" s="3" t="s">
        <v>5993</v>
      </c>
      <c r="H887" s="3" t="s">
        <v>1137</v>
      </c>
      <c r="I887" s="3" t="s">
        <v>1086</v>
      </c>
      <c r="J887" s="5" t="s">
        <v>1138</v>
      </c>
      <c r="L887" s="3" t="s">
        <v>1139</v>
      </c>
      <c r="M887" s="3">
        <v>1</v>
      </c>
      <c r="N887" s="4" t="s">
        <v>1084</v>
      </c>
      <c r="O887" s="4">
        <v>40</v>
      </c>
      <c r="P887" s="11" t="s">
        <v>9001</v>
      </c>
      <c r="Q887" s="11" t="s">
        <v>10099</v>
      </c>
      <c r="R887" s="4" t="s">
        <v>13057</v>
      </c>
      <c r="S887" s="4" t="b">
        <f>ISNUMBER(MATCH(Q887,T:T,0))</f>
        <v>0</v>
      </c>
      <c r="T887" s="4" t="s">
        <v>1138</v>
      </c>
      <c r="U887" s="4" t="str">
        <f t="shared" si="47"/>
        <v>驚</v>
      </c>
      <c r="V887" s="4" t="b">
        <f t="shared" si="48"/>
        <v>1</v>
      </c>
    </row>
    <row r="888" spans="1:22">
      <c r="A888" s="3">
        <v>887</v>
      </c>
      <c r="B888" s="3" t="s">
        <v>1083</v>
      </c>
      <c r="C888" s="3" t="s">
        <v>6067</v>
      </c>
      <c r="D888" s="3" t="s">
        <v>6157</v>
      </c>
      <c r="E888" s="3" t="s">
        <v>5991</v>
      </c>
      <c r="F888" s="3" t="s">
        <v>1084</v>
      </c>
      <c r="G888" s="3" t="s">
        <v>5993</v>
      </c>
      <c r="H888" s="7" t="s">
        <v>711</v>
      </c>
      <c r="I888" s="3" t="s">
        <v>1086</v>
      </c>
      <c r="J888" s="5" t="s">
        <v>7878</v>
      </c>
      <c r="L888" s="3" t="s">
        <v>1140</v>
      </c>
      <c r="M888" s="3">
        <v>10</v>
      </c>
      <c r="N888" s="4" t="s">
        <v>1084</v>
      </c>
      <c r="O888" s="4">
        <v>40</v>
      </c>
      <c r="P888" s="11" t="s">
        <v>9731</v>
      </c>
      <c r="Q888" s="11" t="s">
        <v>1084</v>
      </c>
      <c r="S888" s="4" t="b">
        <f>ISNUMBER(MATCH(Q888,T:T,0))</f>
        <v>1</v>
      </c>
      <c r="T888" s="4" t="s">
        <v>10091</v>
      </c>
      <c r="U888" s="4" t="str">
        <f t="shared" si="47"/>
        <v>庚</v>
      </c>
    </row>
    <row r="889" spans="1:22">
      <c r="A889" s="3">
        <v>888</v>
      </c>
      <c r="B889" s="3" t="s">
        <v>1083</v>
      </c>
      <c r="C889" s="3" t="s">
        <v>6137</v>
      </c>
      <c r="D889" s="3" t="s">
        <v>6157</v>
      </c>
      <c r="E889" s="3" t="s">
        <v>5991</v>
      </c>
      <c r="F889" s="3" t="s">
        <v>1084</v>
      </c>
      <c r="G889" s="3" t="s">
        <v>5993</v>
      </c>
      <c r="H889" s="3" t="s">
        <v>1141</v>
      </c>
      <c r="I889" s="3" t="s">
        <v>1086</v>
      </c>
      <c r="J889" s="5" t="s">
        <v>1142</v>
      </c>
      <c r="L889" s="3" t="s">
        <v>1143</v>
      </c>
      <c r="M889" s="3">
        <v>6</v>
      </c>
      <c r="N889" s="4" t="s">
        <v>1084</v>
      </c>
      <c r="O889" s="4">
        <v>40</v>
      </c>
      <c r="P889" s="11" t="s">
        <v>9873</v>
      </c>
      <c r="Q889" s="11" t="s">
        <v>1084</v>
      </c>
      <c r="S889" s="4" t="b">
        <f>ISNUMBER(MATCH(Q889,T:T,0))</f>
        <v>1</v>
      </c>
      <c r="T889" s="4" t="s">
        <v>11400</v>
      </c>
      <c r="U889" s="4" t="str">
        <f t="shared" si="47"/>
        <v>庚</v>
      </c>
    </row>
    <row r="890" spans="1:22">
      <c r="A890" s="3">
        <v>889</v>
      </c>
      <c r="B890" s="3" t="s">
        <v>1144</v>
      </c>
      <c r="C890" s="3" t="s">
        <v>6025</v>
      </c>
      <c r="D890" s="3" t="s">
        <v>6157</v>
      </c>
      <c r="E890" s="3" t="s">
        <v>5991</v>
      </c>
      <c r="F890" s="3" t="s">
        <v>1145</v>
      </c>
      <c r="G890" s="3" t="s">
        <v>5993</v>
      </c>
      <c r="H890" s="3" t="s">
        <v>1146</v>
      </c>
      <c r="I890" s="3" t="s">
        <v>1086</v>
      </c>
      <c r="J890" s="5" t="s">
        <v>1145</v>
      </c>
      <c r="L890" s="3" t="s">
        <v>1087</v>
      </c>
      <c r="M890" s="3">
        <v>1</v>
      </c>
      <c r="N890" s="4" t="s">
        <v>1145</v>
      </c>
      <c r="O890" s="4">
        <v>41</v>
      </c>
      <c r="P890" s="11" t="s">
        <v>9729</v>
      </c>
      <c r="Q890" s="11" t="s">
        <v>10100</v>
      </c>
      <c r="S890" s="4" t="b">
        <f>ISNUMBER(MATCH(Q890,T:T,0))</f>
        <v>1</v>
      </c>
      <c r="T890" s="4" t="s">
        <v>1145</v>
      </c>
      <c r="U890" s="4" t="str">
        <f t="shared" si="47"/>
        <v>莖</v>
      </c>
    </row>
    <row r="891" spans="1:22">
      <c r="A891" s="3">
        <v>890</v>
      </c>
      <c r="B891" s="3" t="s">
        <v>1144</v>
      </c>
      <c r="C891" s="3" t="s">
        <v>6038</v>
      </c>
      <c r="D891" s="3" t="s">
        <v>6157</v>
      </c>
      <c r="E891" s="3" t="s">
        <v>5991</v>
      </c>
      <c r="F891" s="3" t="s">
        <v>1145</v>
      </c>
      <c r="G891" s="3" t="s">
        <v>5993</v>
      </c>
      <c r="H891" s="3" t="s">
        <v>1147</v>
      </c>
      <c r="I891" s="3" t="s">
        <v>1086</v>
      </c>
      <c r="J891" s="5" t="s">
        <v>7879</v>
      </c>
      <c r="L891" s="3" t="s">
        <v>1089</v>
      </c>
      <c r="M891" s="3">
        <v>15</v>
      </c>
      <c r="N891" s="4" t="s">
        <v>1145</v>
      </c>
      <c r="O891" s="4">
        <v>41</v>
      </c>
      <c r="P891" s="11" t="s">
        <v>9915</v>
      </c>
      <c r="Q891" s="11" t="s">
        <v>10100</v>
      </c>
      <c r="S891" s="4" t="b">
        <f>ISNUMBER(MATCH(Q891,T:T,0))</f>
        <v>1</v>
      </c>
      <c r="T891" s="4" t="s">
        <v>11401</v>
      </c>
      <c r="U891" s="4" t="str">
        <f t="shared" si="47"/>
        <v>莖</v>
      </c>
    </row>
    <row r="892" spans="1:22">
      <c r="A892" s="3">
        <v>891</v>
      </c>
      <c r="B892" s="3" t="s">
        <v>1144</v>
      </c>
      <c r="C892" s="3" t="s">
        <v>6035</v>
      </c>
      <c r="D892" s="3" t="s">
        <v>6157</v>
      </c>
      <c r="E892" s="3" t="s">
        <v>5991</v>
      </c>
      <c r="F892" s="3" t="s">
        <v>1145</v>
      </c>
      <c r="G892" s="3" t="s">
        <v>5993</v>
      </c>
      <c r="H892" s="3" t="s">
        <v>1148</v>
      </c>
      <c r="I892" s="3" t="s">
        <v>1086</v>
      </c>
      <c r="J892" s="5" t="s">
        <v>1149</v>
      </c>
      <c r="L892" s="3" t="s">
        <v>6037</v>
      </c>
      <c r="M892" s="3">
        <v>11</v>
      </c>
      <c r="N892" s="4" t="s">
        <v>1145</v>
      </c>
      <c r="O892" s="4">
        <v>41</v>
      </c>
      <c r="P892" s="11" t="s">
        <v>9719</v>
      </c>
      <c r="Q892" s="11" t="s">
        <v>1145</v>
      </c>
      <c r="S892" s="4" t="b">
        <f>ISNUMBER(MATCH(Q892,T:T,0))</f>
        <v>1</v>
      </c>
      <c r="T892" s="4" t="s">
        <v>11402</v>
      </c>
      <c r="U892" s="4" t="str">
        <f t="shared" si="47"/>
        <v>耕</v>
      </c>
    </row>
    <row r="893" spans="1:22">
      <c r="A893" s="3">
        <v>892</v>
      </c>
      <c r="B893" s="3" t="s">
        <v>1144</v>
      </c>
      <c r="C893" s="3" t="s">
        <v>6049</v>
      </c>
      <c r="D893" s="3" t="s">
        <v>6157</v>
      </c>
      <c r="E893" s="3" t="s">
        <v>5991</v>
      </c>
      <c r="F893" s="3" t="s">
        <v>1145</v>
      </c>
      <c r="G893" s="3" t="s">
        <v>5993</v>
      </c>
      <c r="H893" s="3" t="s">
        <v>1150</v>
      </c>
      <c r="I893" s="3" t="s">
        <v>1086</v>
      </c>
      <c r="J893" s="8" t="s">
        <v>1151</v>
      </c>
      <c r="L893" s="3" t="s">
        <v>1092</v>
      </c>
      <c r="M893" s="3">
        <v>2</v>
      </c>
      <c r="N893" s="4" t="s">
        <v>1145</v>
      </c>
      <c r="O893" s="4">
        <v>41</v>
      </c>
      <c r="P893" s="11" t="s">
        <v>9921</v>
      </c>
      <c r="Q893" s="11" t="s">
        <v>1145</v>
      </c>
      <c r="S893" s="4" t="b">
        <f>ISNUMBER(MATCH(Q893,T:T,0))</f>
        <v>1</v>
      </c>
      <c r="T893" s="4" t="s">
        <v>11403</v>
      </c>
      <c r="U893" s="4" t="str">
        <f t="shared" si="47"/>
        <v>耕</v>
      </c>
    </row>
    <row r="894" spans="1:22">
      <c r="A894" s="3">
        <v>893</v>
      </c>
      <c r="B894" s="3" t="s">
        <v>1144</v>
      </c>
      <c r="C894" s="3" t="s">
        <v>6067</v>
      </c>
      <c r="D894" s="3" t="s">
        <v>6157</v>
      </c>
      <c r="E894" s="3" t="s">
        <v>6212</v>
      </c>
      <c r="F894" s="3" t="s">
        <v>1145</v>
      </c>
      <c r="G894" s="3" t="s">
        <v>5993</v>
      </c>
      <c r="H894" s="7" t="s">
        <v>712</v>
      </c>
      <c r="I894" s="3" t="s">
        <v>1086</v>
      </c>
      <c r="J894" s="5" t="s">
        <v>7880</v>
      </c>
      <c r="L894" s="3" t="s">
        <v>6068</v>
      </c>
      <c r="M894" s="3">
        <v>16</v>
      </c>
      <c r="N894" s="4" t="s">
        <v>1145</v>
      </c>
      <c r="O894" s="4">
        <v>41</v>
      </c>
      <c r="P894" s="11" t="s">
        <v>9731</v>
      </c>
      <c r="Q894" s="11" t="s">
        <v>10101</v>
      </c>
      <c r="R894" s="4" t="s">
        <v>13058</v>
      </c>
      <c r="S894" s="4" t="b">
        <f>ISNUMBER(MATCH(Q894,T:T,0))</f>
        <v>0</v>
      </c>
      <c r="T894" s="4" t="s">
        <v>10102</v>
      </c>
      <c r="U894" s="4" t="str">
        <f t="shared" si="47"/>
        <v>甍</v>
      </c>
      <c r="V894" s="4" t="b">
        <f>ISNUMBER(MATCH(R894,T:T,0))</f>
        <v>1</v>
      </c>
    </row>
    <row r="895" spans="1:22">
      <c r="A895" s="3">
        <v>894</v>
      </c>
      <c r="B895" s="3" t="s">
        <v>1144</v>
      </c>
      <c r="C895" s="3" t="s">
        <v>6067</v>
      </c>
      <c r="D895" s="3" t="s">
        <v>6157</v>
      </c>
      <c r="E895" s="3" t="s">
        <v>5991</v>
      </c>
      <c r="F895" s="3" t="s">
        <v>1145</v>
      </c>
      <c r="G895" s="3" t="s">
        <v>5993</v>
      </c>
      <c r="H895" s="7" t="s">
        <v>713</v>
      </c>
      <c r="I895" s="3" t="s">
        <v>1086</v>
      </c>
      <c r="J895" s="5" t="s">
        <v>1152</v>
      </c>
      <c r="L895" s="3" t="s">
        <v>1140</v>
      </c>
      <c r="M895" s="3">
        <v>3</v>
      </c>
      <c r="N895" s="4" t="s">
        <v>1145</v>
      </c>
      <c r="O895" s="4">
        <v>41</v>
      </c>
      <c r="P895" s="11" t="s">
        <v>9731</v>
      </c>
      <c r="Q895" s="11" t="s">
        <v>1145</v>
      </c>
      <c r="S895" s="4" t="b">
        <f>ISNUMBER(MATCH(Q895,T:T,0))</f>
        <v>1</v>
      </c>
      <c r="T895" s="4" t="s">
        <v>10100</v>
      </c>
      <c r="U895" s="4" t="str">
        <f t="shared" si="47"/>
        <v>耕</v>
      </c>
    </row>
    <row r="896" spans="1:22" ht="28.5">
      <c r="A896" s="3">
        <v>895</v>
      </c>
      <c r="B896" s="3" t="s">
        <v>1144</v>
      </c>
      <c r="C896" s="3" t="s">
        <v>6000</v>
      </c>
      <c r="D896" s="3" t="s">
        <v>6157</v>
      </c>
      <c r="E896" s="3" t="s">
        <v>5991</v>
      </c>
      <c r="F896" s="3" t="s">
        <v>1145</v>
      </c>
      <c r="G896" s="3" t="s">
        <v>5993</v>
      </c>
      <c r="H896" s="3" t="s">
        <v>1153</v>
      </c>
      <c r="I896" s="3" t="s">
        <v>1086</v>
      </c>
      <c r="J896" s="5" t="s">
        <v>1154</v>
      </c>
      <c r="L896" s="3" t="s">
        <v>1122</v>
      </c>
      <c r="M896" s="3">
        <v>7</v>
      </c>
      <c r="N896" s="4" t="s">
        <v>1145</v>
      </c>
      <c r="O896" s="4">
        <v>41</v>
      </c>
      <c r="P896" s="11" t="s">
        <v>9712</v>
      </c>
      <c r="Q896" s="11" t="s">
        <v>10100</v>
      </c>
      <c r="S896" s="4" t="b">
        <f>ISNUMBER(MATCH(Q896,T:T,0))</f>
        <v>1</v>
      </c>
      <c r="T896" s="4" t="s">
        <v>11404</v>
      </c>
      <c r="U896" s="4" t="str">
        <f t="shared" si="47"/>
        <v>莖</v>
      </c>
    </row>
    <row r="897" spans="1:22">
      <c r="A897" s="3">
        <v>896</v>
      </c>
      <c r="B897" s="3" t="s">
        <v>1144</v>
      </c>
      <c r="C897" s="3" t="s">
        <v>6072</v>
      </c>
      <c r="D897" s="3" t="s">
        <v>6157</v>
      </c>
      <c r="E897" s="3" t="s">
        <v>5991</v>
      </c>
      <c r="F897" s="3" t="s">
        <v>1145</v>
      </c>
      <c r="G897" s="3" t="s">
        <v>5993</v>
      </c>
      <c r="H897" s="3" t="s">
        <v>1155</v>
      </c>
      <c r="I897" s="3" t="s">
        <v>1086</v>
      </c>
      <c r="J897" s="5" t="s">
        <v>7881</v>
      </c>
      <c r="L897" s="3" t="s">
        <v>1156</v>
      </c>
      <c r="M897" s="3">
        <v>13</v>
      </c>
      <c r="N897" s="4" t="s">
        <v>1145</v>
      </c>
      <c r="O897" s="4">
        <v>41</v>
      </c>
      <c r="P897" s="11" t="s">
        <v>9734</v>
      </c>
      <c r="Q897" s="11" t="s">
        <v>10100</v>
      </c>
      <c r="S897" s="4" t="b">
        <f>ISNUMBER(MATCH(Q897,T:T,0))</f>
        <v>1</v>
      </c>
      <c r="T897" s="4" t="s">
        <v>11405</v>
      </c>
      <c r="U897" s="4" t="str">
        <f t="shared" si="47"/>
        <v>莖</v>
      </c>
    </row>
    <row r="898" spans="1:22" ht="28.5">
      <c r="A898" s="3">
        <v>897</v>
      </c>
      <c r="B898" s="3" t="s">
        <v>1144</v>
      </c>
      <c r="C898" s="3" t="s">
        <v>6015</v>
      </c>
      <c r="D898" s="3" t="s">
        <v>6157</v>
      </c>
      <c r="E898" s="3" t="s">
        <v>5991</v>
      </c>
      <c r="F898" s="3" t="s">
        <v>1145</v>
      </c>
      <c r="G898" s="3" t="s">
        <v>5993</v>
      </c>
      <c r="H898" s="3" t="s">
        <v>1157</v>
      </c>
      <c r="I898" s="3" t="s">
        <v>1086</v>
      </c>
      <c r="J898" s="5" t="s">
        <v>7882</v>
      </c>
      <c r="L898" s="3" t="s">
        <v>1106</v>
      </c>
      <c r="M898" s="3">
        <v>6</v>
      </c>
      <c r="N898" s="4" t="s">
        <v>1145</v>
      </c>
      <c r="O898" s="4">
        <v>41</v>
      </c>
      <c r="P898" s="11" t="s">
        <v>9777</v>
      </c>
      <c r="Q898" s="11" t="s">
        <v>10100</v>
      </c>
      <c r="S898" s="4" t="b">
        <f>ISNUMBER(MATCH(Q898,T:T,0))</f>
        <v>1</v>
      </c>
      <c r="T898" s="4" t="s">
        <v>11406</v>
      </c>
      <c r="U898" s="4" t="str">
        <f t="shared" si="47"/>
        <v>莖</v>
      </c>
    </row>
    <row r="899" spans="1:22" ht="28.5">
      <c r="A899" s="3">
        <v>898</v>
      </c>
      <c r="B899" s="3" t="s">
        <v>1144</v>
      </c>
      <c r="C899" s="3" t="s">
        <v>6167</v>
      </c>
      <c r="D899" s="3" t="s">
        <v>6157</v>
      </c>
      <c r="E899" s="3" t="s">
        <v>5991</v>
      </c>
      <c r="F899" s="3" t="s">
        <v>1145</v>
      </c>
      <c r="G899" s="3" t="s">
        <v>5993</v>
      </c>
      <c r="H899" s="3" t="s">
        <v>1158</v>
      </c>
      <c r="I899" s="3" t="s">
        <v>1086</v>
      </c>
      <c r="J899" s="5" t="s">
        <v>1159</v>
      </c>
      <c r="L899" s="3" t="s">
        <v>1101</v>
      </c>
      <c r="M899" s="3">
        <v>5</v>
      </c>
      <c r="N899" s="4" t="s">
        <v>1145</v>
      </c>
      <c r="O899" s="4">
        <v>41</v>
      </c>
      <c r="P899" s="11" t="s">
        <v>9769</v>
      </c>
      <c r="Q899" s="11" t="s">
        <v>1145</v>
      </c>
      <c r="S899" s="4" t="b">
        <f>ISNUMBER(MATCH(Q899,T:T,0))</f>
        <v>1</v>
      </c>
      <c r="T899" s="4" t="s">
        <v>11407</v>
      </c>
      <c r="U899" s="4" t="str">
        <f t="shared" ref="U899:U962" si="49">IF(ISBLANK(R899),Q899,R899)</f>
        <v>耕</v>
      </c>
    </row>
    <row r="900" spans="1:22">
      <c r="A900" s="3">
        <v>899</v>
      </c>
      <c r="B900" s="3" t="s">
        <v>1144</v>
      </c>
      <c r="C900" s="3" t="s">
        <v>6137</v>
      </c>
      <c r="D900" s="3" t="s">
        <v>6157</v>
      </c>
      <c r="E900" s="3" t="s">
        <v>5991</v>
      </c>
      <c r="F900" s="3" t="s">
        <v>1145</v>
      </c>
      <c r="G900" s="3" t="s">
        <v>5993</v>
      </c>
      <c r="H900" s="3" t="s">
        <v>1160</v>
      </c>
      <c r="I900" s="3" t="s">
        <v>1086</v>
      </c>
      <c r="J900" s="5" t="s">
        <v>7883</v>
      </c>
      <c r="L900" s="3" t="s">
        <v>1143</v>
      </c>
      <c r="M900" s="3">
        <v>7</v>
      </c>
      <c r="N900" s="4" t="s">
        <v>1145</v>
      </c>
      <c r="O900" s="4">
        <v>41</v>
      </c>
      <c r="P900" s="11" t="s">
        <v>9755</v>
      </c>
      <c r="Q900" s="11" t="s">
        <v>1145</v>
      </c>
      <c r="S900" s="4" t="b">
        <f>ISNUMBER(MATCH(Q900,T:T,0))</f>
        <v>1</v>
      </c>
      <c r="T900" s="4" t="s">
        <v>11408</v>
      </c>
      <c r="U900" s="4" t="str">
        <f t="shared" si="49"/>
        <v>耕</v>
      </c>
    </row>
    <row r="901" spans="1:22">
      <c r="A901" s="3">
        <v>900</v>
      </c>
      <c r="B901" s="3" t="s">
        <v>1144</v>
      </c>
      <c r="C901" s="3" t="s">
        <v>6053</v>
      </c>
      <c r="D901" s="3" t="s">
        <v>6157</v>
      </c>
      <c r="E901" s="3" t="s">
        <v>5991</v>
      </c>
      <c r="F901" s="3" t="s">
        <v>1145</v>
      </c>
      <c r="G901" s="3" t="s">
        <v>5993</v>
      </c>
      <c r="H901" s="3" t="s">
        <v>1161</v>
      </c>
      <c r="I901" s="3" t="s">
        <v>1086</v>
      </c>
      <c r="J901" s="5" t="s">
        <v>1162</v>
      </c>
      <c r="L901" s="3" t="s">
        <v>1163</v>
      </c>
      <c r="M901" s="3">
        <v>11</v>
      </c>
      <c r="N901" s="4" t="s">
        <v>1145</v>
      </c>
      <c r="O901" s="4">
        <v>41</v>
      </c>
      <c r="P901" s="11" t="s">
        <v>9884</v>
      </c>
      <c r="Q901" s="11" t="s">
        <v>1145</v>
      </c>
      <c r="S901" s="4" t="b">
        <f>ISNUMBER(MATCH(Q901,T:T,0))</f>
        <v>1</v>
      </c>
      <c r="T901" s="4" t="s">
        <v>11409</v>
      </c>
      <c r="U901" s="4" t="str">
        <f t="shared" si="49"/>
        <v>耕</v>
      </c>
    </row>
    <row r="902" spans="1:22">
      <c r="A902" s="3">
        <v>901</v>
      </c>
      <c r="B902" s="3" t="s">
        <v>1144</v>
      </c>
      <c r="C902" s="3" t="s">
        <v>6089</v>
      </c>
      <c r="D902" s="3" t="s">
        <v>6157</v>
      </c>
      <c r="E902" s="3" t="s">
        <v>6212</v>
      </c>
      <c r="F902" s="3" t="s">
        <v>1145</v>
      </c>
      <c r="G902" s="3" t="s">
        <v>5993</v>
      </c>
      <c r="H902" s="3" t="s">
        <v>1164</v>
      </c>
      <c r="I902" s="3" t="s">
        <v>1086</v>
      </c>
      <c r="J902" s="5" t="s">
        <v>1165</v>
      </c>
      <c r="L902" s="3" t="s">
        <v>6091</v>
      </c>
      <c r="M902" s="3">
        <v>10</v>
      </c>
      <c r="N902" s="4" t="s">
        <v>1145</v>
      </c>
      <c r="O902" s="4">
        <v>41</v>
      </c>
      <c r="P902" s="11" t="s">
        <v>9739</v>
      </c>
      <c r="Q902" s="11" t="s">
        <v>10102</v>
      </c>
      <c r="S902" s="4" t="b">
        <f>ISNUMBER(MATCH(Q902,T:T,0))</f>
        <v>1</v>
      </c>
      <c r="T902" s="4" t="s">
        <v>11410</v>
      </c>
      <c r="U902" s="4" t="str">
        <f t="shared" si="49"/>
        <v>宏</v>
      </c>
    </row>
    <row r="903" spans="1:22">
      <c r="A903" s="3">
        <v>902</v>
      </c>
      <c r="B903" s="3" t="s">
        <v>1144</v>
      </c>
      <c r="C903" s="3" t="s">
        <v>6049</v>
      </c>
      <c r="D903" s="3" t="s">
        <v>6157</v>
      </c>
      <c r="E903" s="3" t="s">
        <v>5991</v>
      </c>
      <c r="F903" s="3" t="s">
        <v>1145</v>
      </c>
      <c r="G903" s="3" t="s">
        <v>5993</v>
      </c>
      <c r="H903" s="3" t="s">
        <v>1166</v>
      </c>
      <c r="I903" s="3" t="s">
        <v>1086</v>
      </c>
      <c r="J903" s="5" t="s">
        <v>1167</v>
      </c>
      <c r="L903" s="3" t="s">
        <v>1092</v>
      </c>
      <c r="M903" s="3">
        <v>5</v>
      </c>
      <c r="N903" s="4" t="s">
        <v>1145</v>
      </c>
      <c r="O903" s="4">
        <v>41</v>
      </c>
      <c r="P903" s="11" t="s">
        <v>9979</v>
      </c>
      <c r="Q903" s="11" t="s">
        <v>10101</v>
      </c>
      <c r="R903" s="4" t="s">
        <v>13058</v>
      </c>
      <c r="S903" s="4" t="b">
        <f>ISNUMBER(MATCH(Q903,T:T,0))</f>
        <v>0</v>
      </c>
      <c r="T903" s="4" t="s">
        <v>11411</v>
      </c>
      <c r="U903" s="4" t="str">
        <f t="shared" si="49"/>
        <v>甍</v>
      </c>
      <c r="V903" s="4" t="b">
        <f>ISNUMBER(MATCH(R903,T:T,0))</f>
        <v>1</v>
      </c>
    </row>
    <row r="904" spans="1:22" ht="28.5">
      <c r="A904" s="3">
        <v>903</v>
      </c>
      <c r="B904" s="3" t="s">
        <v>1144</v>
      </c>
      <c r="C904" s="3" t="s">
        <v>6005</v>
      </c>
      <c r="D904" s="3" t="s">
        <v>6157</v>
      </c>
      <c r="E904" s="3" t="s">
        <v>5991</v>
      </c>
      <c r="F904" s="3" t="s">
        <v>1145</v>
      </c>
      <c r="G904" s="3" t="s">
        <v>5993</v>
      </c>
      <c r="H904" s="3" t="s">
        <v>1168</v>
      </c>
      <c r="I904" s="3" t="s">
        <v>1086</v>
      </c>
      <c r="J904" s="5" t="s">
        <v>7884</v>
      </c>
      <c r="L904" s="3" t="s">
        <v>1106</v>
      </c>
      <c r="M904" s="3">
        <v>12</v>
      </c>
      <c r="N904" s="4" t="s">
        <v>1145</v>
      </c>
      <c r="O904" s="4">
        <v>41</v>
      </c>
      <c r="P904" s="11" t="s">
        <v>9776</v>
      </c>
      <c r="Q904" s="11" t="s">
        <v>1145</v>
      </c>
      <c r="S904" s="4" t="b">
        <f>ISNUMBER(MATCH(Q904,T:T,0))</f>
        <v>1</v>
      </c>
      <c r="T904" s="4" t="s">
        <v>11412</v>
      </c>
      <c r="U904" s="4" t="str">
        <f t="shared" si="49"/>
        <v>耕</v>
      </c>
    </row>
    <row r="905" spans="1:22">
      <c r="A905" s="3">
        <v>904</v>
      </c>
      <c r="B905" s="3" t="s">
        <v>1144</v>
      </c>
      <c r="C905" s="3" t="s">
        <v>6072</v>
      </c>
      <c r="D905" s="3" t="s">
        <v>6157</v>
      </c>
      <c r="E905" s="3" t="s">
        <v>6212</v>
      </c>
      <c r="F905" s="3" t="s">
        <v>1145</v>
      </c>
      <c r="G905" s="3" t="s">
        <v>5993</v>
      </c>
      <c r="H905" s="3" t="s">
        <v>1169</v>
      </c>
      <c r="I905" s="3" t="s">
        <v>1086</v>
      </c>
      <c r="J905" s="5" t="s">
        <v>7885</v>
      </c>
      <c r="L905" s="3" t="s">
        <v>6075</v>
      </c>
      <c r="M905" s="3">
        <v>4</v>
      </c>
      <c r="N905" s="4" t="s">
        <v>1145</v>
      </c>
      <c r="O905" s="4">
        <v>41</v>
      </c>
      <c r="P905" s="11" t="s">
        <v>9734</v>
      </c>
      <c r="Q905" s="11" t="s">
        <v>10102</v>
      </c>
      <c r="S905" s="4" t="b">
        <f>ISNUMBER(MATCH(Q905,T:T,0))</f>
        <v>1</v>
      </c>
      <c r="T905" s="4" t="s">
        <v>11413</v>
      </c>
      <c r="U905" s="4" t="str">
        <f t="shared" si="49"/>
        <v>宏</v>
      </c>
    </row>
    <row r="906" spans="1:22">
      <c r="A906" s="3">
        <v>905</v>
      </c>
      <c r="B906" s="3" t="s">
        <v>1144</v>
      </c>
      <c r="C906" s="3" t="s">
        <v>6045</v>
      </c>
      <c r="D906" s="3" t="s">
        <v>6157</v>
      </c>
      <c r="E906" s="3" t="s">
        <v>5991</v>
      </c>
      <c r="F906" s="3" t="s">
        <v>1145</v>
      </c>
      <c r="G906" s="3" t="s">
        <v>5993</v>
      </c>
      <c r="H906" s="3" t="s">
        <v>1170</v>
      </c>
      <c r="I906" s="3" t="s">
        <v>1086</v>
      </c>
      <c r="J906" s="5" t="s">
        <v>1171</v>
      </c>
      <c r="L906" s="3" t="s">
        <v>6088</v>
      </c>
      <c r="M906" s="3">
        <v>5</v>
      </c>
      <c r="N906" s="4" t="s">
        <v>1145</v>
      </c>
      <c r="O906" s="4">
        <v>41</v>
      </c>
      <c r="P906" s="11" t="s">
        <v>9738</v>
      </c>
      <c r="Q906" s="11" t="s">
        <v>10101</v>
      </c>
      <c r="R906" s="4" t="s">
        <v>13058</v>
      </c>
      <c r="S906" s="4" t="b">
        <f>ISNUMBER(MATCH(Q906,T:T,0))</f>
        <v>0</v>
      </c>
      <c r="T906" s="4" t="s">
        <v>11414</v>
      </c>
      <c r="U906" s="4" t="str">
        <f t="shared" si="49"/>
        <v>甍</v>
      </c>
      <c r="V906" s="4" t="b">
        <f>ISNUMBER(MATCH(R906,T:T,0))</f>
        <v>1</v>
      </c>
    </row>
    <row r="907" spans="1:22">
      <c r="A907" s="3">
        <v>906</v>
      </c>
      <c r="B907" s="3" t="s">
        <v>1144</v>
      </c>
      <c r="C907" s="3" t="s">
        <v>6092</v>
      </c>
      <c r="D907" s="3" t="s">
        <v>6157</v>
      </c>
      <c r="E907" s="3" t="s">
        <v>5991</v>
      </c>
      <c r="F907" s="3" t="s">
        <v>1145</v>
      </c>
      <c r="G907" s="3" t="s">
        <v>5993</v>
      </c>
      <c r="H907" s="3" t="s">
        <v>1172</v>
      </c>
      <c r="I907" s="3" t="s">
        <v>1086</v>
      </c>
      <c r="J907" s="5" t="s">
        <v>1173</v>
      </c>
      <c r="L907" s="3" t="s">
        <v>1174</v>
      </c>
      <c r="M907" s="3">
        <v>2</v>
      </c>
      <c r="N907" s="4" t="s">
        <v>1145</v>
      </c>
      <c r="O907" s="4">
        <v>41</v>
      </c>
      <c r="P907" s="11" t="s">
        <v>9740</v>
      </c>
      <c r="Q907" s="11" t="s">
        <v>10100</v>
      </c>
      <c r="S907" s="4" t="b">
        <f>ISNUMBER(MATCH(Q907,T:T,0))</f>
        <v>1</v>
      </c>
      <c r="T907" s="4" t="s">
        <v>11415</v>
      </c>
      <c r="U907" s="4" t="str">
        <f t="shared" si="49"/>
        <v>莖</v>
      </c>
    </row>
    <row r="908" spans="1:22" ht="28.5">
      <c r="A908" s="3">
        <v>907</v>
      </c>
      <c r="B908" s="3" t="s">
        <v>1144</v>
      </c>
      <c r="C908" s="3" t="s">
        <v>6318</v>
      </c>
      <c r="D908" s="3" t="s">
        <v>6157</v>
      </c>
      <c r="E908" s="3" t="s">
        <v>5991</v>
      </c>
      <c r="F908" s="3" t="s">
        <v>1145</v>
      </c>
      <c r="G908" s="3" t="s">
        <v>5993</v>
      </c>
      <c r="H908" s="3" t="s">
        <v>1175</v>
      </c>
      <c r="I908" s="3" t="s">
        <v>1086</v>
      </c>
      <c r="J908" s="5" t="s">
        <v>1176</v>
      </c>
      <c r="L908" s="3" t="s">
        <v>1122</v>
      </c>
      <c r="M908" s="3">
        <v>7</v>
      </c>
      <c r="N908" s="4" t="s">
        <v>1145</v>
      </c>
      <c r="O908" s="4">
        <v>41</v>
      </c>
      <c r="P908" s="11" t="s">
        <v>9804</v>
      </c>
      <c r="Q908" s="11" t="s">
        <v>10100</v>
      </c>
      <c r="S908" s="4" t="b">
        <f>ISNUMBER(MATCH(Q908,T:T,0))</f>
        <v>1</v>
      </c>
      <c r="T908" s="4" t="s">
        <v>10477</v>
      </c>
      <c r="U908" s="4" t="str">
        <f t="shared" si="49"/>
        <v>莖</v>
      </c>
    </row>
    <row r="909" spans="1:22">
      <c r="A909" s="3">
        <v>908</v>
      </c>
      <c r="B909" s="3" t="s">
        <v>1177</v>
      </c>
      <c r="C909" s="3" t="s">
        <v>6076</v>
      </c>
      <c r="D909" s="3" t="s">
        <v>6001</v>
      </c>
      <c r="E909" s="3" t="s">
        <v>5991</v>
      </c>
      <c r="F909" s="3" t="s">
        <v>6076</v>
      </c>
      <c r="G909" s="3" t="s">
        <v>5993</v>
      </c>
      <c r="H909" s="3" t="s">
        <v>1178</v>
      </c>
      <c r="I909" s="3" t="s">
        <v>1086</v>
      </c>
      <c r="J909" s="5" t="s">
        <v>1179</v>
      </c>
      <c r="L909" s="3" t="s">
        <v>1132</v>
      </c>
      <c r="M909" s="3">
        <v>2</v>
      </c>
      <c r="N909" s="4" t="s">
        <v>6076</v>
      </c>
      <c r="O909" s="4">
        <v>42</v>
      </c>
      <c r="P909" s="11" t="s">
        <v>9766</v>
      </c>
      <c r="Q909" s="11" t="s">
        <v>10103</v>
      </c>
      <c r="S909" s="4" t="b">
        <f>ISNUMBER(MATCH(Q909,T:T,0))</f>
        <v>1</v>
      </c>
      <c r="T909" s="4" t="s">
        <v>6076</v>
      </c>
      <c r="U909" s="4" t="str">
        <f t="shared" si="49"/>
        <v>情</v>
      </c>
    </row>
    <row r="910" spans="1:22">
      <c r="A910" s="3">
        <v>909</v>
      </c>
      <c r="B910" s="3" t="s">
        <v>1177</v>
      </c>
      <c r="C910" s="3" t="s">
        <v>6069</v>
      </c>
      <c r="D910" s="3" t="s">
        <v>6001</v>
      </c>
      <c r="E910" s="3" t="s">
        <v>5991</v>
      </c>
      <c r="F910" s="3" t="s">
        <v>6076</v>
      </c>
      <c r="G910" s="3" t="s">
        <v>5993</v>
      </c>
      <c r="H910" s="3" t="s">
        <v>1180</v>
      </c>
      <c r="I910" s="3" t="s">
        <v>1086</v>
      </c>
      <c r="J910" s="5" t="s">
        <v>7886</v>
      </c>
      <c r="L910" s="3" t="s">
        <v>1136</v>
      </c>
      <c r="M910" s="3">
        <v>5</v>
      </c>
      <c r="N910" s="4" t="s">
        <v>6076</v>
      </c>
      <c r="O910" s="4">
        <v>42</v>
      </c>
      <c r="P910" s="11" t="s">
        <v>9756</v>
      </c>
      <c r="Q910" s="11" t="s">
        <v>10104</v>
      </c>
      <c r="S910" s="4" t="b">
        <f>ISNUMBER(MATCH(Q910,T:T,0))</f>
        <v>1</v>
      </c>
      <c r="T910" s="4" t="s">
        <v>10103</v>
      </c>
      <c r="U910" s="4" t="str">
        <f t="shared" si="49"/>
        <v>盈</v>
      </c>
    </row>
    <row r="911" spans="1:22">
      <c r="A911" s="3">
        <v>910</v>
      </c>
      <c r="B911" s="3" t="s">
        <v>1177</v>
      </c>
      <c r="C911" s="3" t="s">
        <v>6083</v>
      </c>
      <c r="D911" s="3" t="s">
        <v>6001</v>
      </c>
      <c r="E911" s="3" t="s">
        <v>5991</v>
      </c>
      <c r="F911" s="3" t="s">
        <v>6076</v>
      </c>
      <c r="G911" s="3" t="s">
        <v>5993</v>
      </c>
      <c r="H911" s="3" t="s">
        <v>1181</v>
      </c>
      <c r="I911" s="3" t="s">
        <v>1086</v>
      </c>
      <c r="J911" s="5" t="s">
        <v>7887</v>
      </c>
      <c r="L911" s="3" t="s">
        <v>1115</v>
      </c>
      <c r="M911" s="3">
        <v>15</v>
      </c>
      <c r="N911" s="4" t="s">
        <v>6076</v>
      </c>
      <c r="O911" s="4">
        <v>42</v>
      </c>
      <c r="P911" s="11" t="s">
        <v>9737</v>
      </c>
      <c r="Q911" s="11" t="s">
        <v>10104</v>
      </c>
      <c r="S911" s="4" t="b">
        <f>ISNUMBER(MATCH(Q911,T:T,0))</f>
        <v>1</v>
      </c>
      <c r="T911" s="4" t="s">
        <v>6083</v>
      </c>
      <c r="U911" s="4" t="str">
        <f t="shared" si="49"/>
        <v>盈</v>
      </c>
    </row>
    <row r="912" spans="1:22">
      <c r="A912" s="3">
        <v>911</v>
      </c>
      <c r="B912" s="3" t="s">
        <v>1177</v>
      </c>
      <c r="C912" s="3" t="s">
        <v>6028</v>
      </c>
      <c r="D912" s="3" t="s">
        <v>6001</v>
      </c>
      <c r="E912" s="3" t="s">
        <v>5991</v>
      </c>
      <c r="F912" s="3" t="s">
        <v>6076</v>
      </c>
      <c r="G912" s="3" t="s">
        <v>5993</v>
      </c>
      <c r="H912" s="3" t="s">
        <v>1182</v>
      </c>
      <c r="I912" s="3" t="s">
        <v>1086</v>
      </c>
      <c r="J912" s="5" t="s">
        <v>7888</v>
      </c>
      <c r="L912" s="3" t="s">
        <v>1139</v>
      </c>
      <c r="M912" s="3">
        <v>12</v>
      </c>
      <c r="N912" s="4" t="s">
        <v>6076</v>
      </c>
      <c r="O912" s="4">
        <v>42</v>
      </c>
      <c r="P912" s="11" t="s">
        <v>6028</v>
      </c>
      <c r="Q912" s="11" t="s">
        <v>9899</v>
      </c>
      <c r="S912" s="4" t="b">
        <f>ISNUMBER(MATCH(Q912,T:T,0))</f>
        <v>1</v>
      </c>
      <c r="T912" s="4" t="s">
        <v>10104</v>
      </c>
      <c r="U912" s="4" t="str">
        <f t="shared" si="49"/>
        <v>成</v>
      </c>
    </row>
    <row r="913" spans="1:21">
      <c r="A913" s="3">
        <v>912</v>
      </c>
      <c r="B913" s="3" t="s">
        <v>1177</v>
      </c>
      <c r="C913" s="3" t="s">
        <v>6028</v>
      </c>
      <c r="D913" s="3" t="s">
        <v>6001</v>
      </c>
      <c r="E913" s="3" t="s">
        <v>6212</v>
      </c>
      <c r="F913" s="3" t="s">
        <v>6076</v>
      </c>
      <c r="G913" s="3" t="s">
        <v>5993</v>
      </c>
      <c r="H913" s="3" t="s">
        <v>1183</v>
      </c>
      <c r="I913" s="3" t="s">
        <v>1086</v>
      </c>
      <c r="J913" s="5" t="s">
        <v>1184</v>
      </c>
      <c r="L913" s="3" t="s">
        <v>6031</v>
      </c>
      <c r="M913" s="3">
        <v>6</v>
      </c>
      <c r="N913" s="4" t="s">
        <v>6076</v>
      </c>
      <c r="O913" s="4">
        <v>42</v>
      </c>
      <c r="P913" s="11" t="s">
        <v>9850</v>
      </c>
      <c r="Q913" s="11" t="s">
        <v>10105</v>
      </c>
      <c r="S913" s="4" t="b">
        <f>ISNUMBER(MATCH(Q913,T:T,0))</f>
        <v>1</v>
      </c>
      <c r="T913" s="4" t="s">
        <v>10109</v>
      </c>
      <c r="U913" s="4" t="str">
        <f t="shared" si="49"/>
        <v>傾</v>
      </c>
    </row>
    <row r="914" spans="1:21">
      <c r="A914" s="3">
        <v>913</v>
      </c>
      <c r="B914" s="3" t="s">
        <v>1177</v>
      </c>
      <c r="C914" s="3" t="s">
        <v>6072</v>
      </c>
      <c r="D914" s="3" t="s">
        <v>6001</v>
      </c>
      <c r="E914" s="3" t="s">
        <v>5991</v>
      </c>
      <c r="F914" s="3" t="s">
        <v>6076</v>
      </c>
      <c r="G914" s="3" t="s">
        <v>5993</v>
      </c>
      <c r="H914" s="3" t="s">
        <v>1185</v>
      </c>
      <c r="I914" s="3" t="s">
        <v>1086</v>
      </c>
      <c r="J914" s="5" t="s">
        <v>1186</v>
      </c>
      <c r="L914" s="3" t="s">
        <v>1108</v>
      </c>
      <c r="M914" s="3">
        <v>7</v>
      </c>
      <c r="N914" s="4" t="s">
        <v>6076</v>
      </c>
      <c r="O914" s="4">
        <v>42</v>
      </c>
      <c r="P914" s="11" t="s">
        <v>9754</v>
      </c>
      <c r="Q914" s="11" t="s">
        <v>10104</v>
      </c>
      <c r="S914" s="4" t="b">
        <f>ISNUMBER(MATCH(Q914,T:T,0))</f>
        <v>1</v>
      </c>
      <c r="T914" s="4" t="s">
        <v>11416</v>
      </c>
      <c r="U914" s="4" t="str">
        <f t="shared" si="49"/>
        <v>盈</v>
      </c>
    </row>
    <row r="915" spans="1:21" ht="28.5">
      <c r="A915" s="3">
        <v>914</v>
      </c>
      <c r="B915" s="3" t="s">
        <v>1177</v>
      </c>
      <c r="C915" s="3" t="s">
        <v>6000</v>
      </c>
      <c r="D915" s="3" t="s">
        <v>6001</v>
      </c>
      <c r="E915" s="3" t="s">
        <v>5991</v>
      </c>
      <c r="F915" s="3" t="s">
        <v>6076</v>
      </c>
      <c r="G915" s="3" t="s">
        <v>5993</v>
      </c>
      <c r="H915" s="3" t="s">
        <v>1187</v>
      </c>
      <c r="I915" s="3" t="s">
        <v>1086</v>
      </c>
      <c r="J915" s="5" t="s">
        <v>1188</v>
      </c>
      <c r="K915" s="3" t="s">
        <v>1189</v>
      </c>
      <c r="L915" s="3" t="s">
        <v>1122</v>
      </c>
      <c r="M915" s="3">
        <v>6</v>
      </c>
      <c r="N915" s="4" t="s">
        <v>6076</v>
      </c>
      <c r="O915" s="4">
        <v>42</v>
      </c>
      <c r="P915" s="11" t="s">
        <v>9707</v>
      </c>
      <c r="Q915" s="11" t="s">
        <v>10104</v>
      </c>
      <c r="S915" s="4" t="b">
        <f>ISNUMBER(MATCH(Q915,T:T,0))</f>
        <v>1</v>
      </c>
      <c r="T915" s="4" t="s">
        <v>10106</v>
      </c>
      <c r="U915" s="4" t="str">
        <f t="shared" si="49"/>
        <v>盈</v>
      </c>
    </row>
    <row r="916" spans="1:21" ht="28.5">
      <c r="A916" s="3">
        <v>915</v>
      </c>
      <c r="B916" s="3" t="s">
        <v>1177</v>
      </c>
      <c r="C916" s="3" t="s">
        <v>6011</v>
      </c>
      <c r="D916" s="3" t="s">
        <v>6001</v>
      </c>
      <c r="E916" s="3" t="s">
        <v>5991</v>
      </c>
      <c r="F916" s="3" t="s">
        <v>6076</v>
      </c>
      <c r="G916" s="3" t="s">
        <v>5993</v>
      </c>
      <c r="H916" s="3" t="s">
        <v>1190</v>
      </c>
      <c r="I916" s="3" t="s">
        <v>1086</v>
      </c>
      <c r="J916" s="5" t="s">
        <v>1191</v>
      </c>
      <c r="L916" s="3" t="s">
        <v>1101</v>
      </c>
      <c r="M916" s="3">
        <v>8</v>
      </c>
      <c r="N916" s="4" t="s">
        <v>6076</v>
      </c>
      <c r="O916" s="4">
        <v>42</v>
      </c>
      <c r="P916" s="11" t="s">
        <v>9757</v>
      </c>
      <c r="Q916" s="11" t="s">
        <v>10106</v>
      </c>
      <c r="S916" s="4" t="b">
        <f>ISNUMBER(MATCH(Q916,T:T,0))</f>
        <v>1</v>
      </c>
      <c r="T916" s="4" t="s">
        <v>11417</v>
      </c>
      <c r="U916" s="4" t="str">
        <f t="shared" si="49"/>
        <v>貞</v>
      </c>
    </row>
    <row r="917" spans="1:21" ht="28.5">
      <c r="A917" s="3">
        <v>916</v>
      </c>
      <c r="B917" s="3" t="s">
        <v>1177</v>
      </c>
      <c r="C917" s="3" t="s">
        <v>6148</v>
      </c>
      <c r="D917" s="3" t="s">
        <v>6001</v>
      </c>
      <c r="E917" s="3" t="s">
        <v>5991</v>
      </c>
      <c r="F917" s="3" t="s">
        <v>6076</v>
      </c>
      <c r="G917" s="3" t="s">
        <v>5993</v>
      </c>
      <c r="H917" s="3" t="s">
        <v>1192</v>
      </c>
      <c r="I917" s="3" t="s">
        <v>1086</v>
      </c>
      <c r="J917" s="5" t="s">
        <v>7889</v>
      </c>
      <c r="L917" s="3" t="s">
        <v>1106</v>
      </c>
      <c r="M917" s="3">
        <v>10</v>
      </c>
      <c r="N917" s="4" t="s">
        <v>6076</v>
      </c>
      <c r="O917" s="4">
        <v>42</v>
      </c>
      <c r="P917" s="11" t="s">
        <v>9784</v>
      </c>
      <c r="Q917" s="11" t="s">
        <v>10107</v>
      </c>
      <c r="S917" s="4" t="b">
        <f>ISNUMBER(MATCH(Q917,T:T,0))</f>
        <v>1</v>
      </c>
      <c r="T917" s="4" t="s">
        <v>9899</v>
      </c>
      <c r="U917" s="4" t="str">
        <f t="shared" si="49"/>
        <v>征</v>
      </c>
    </row>
    <row r="918" spans="1:21" ht="28.5">
      <c r="A918" s="3">
        <v>917</v>
      </c>
      <c r="B918" s="3" t="s">
        <v>1177</v>
      </c>
      <c r="C918" s="3" t="s">
        <v>6005</v>
      </c>
      <c r="D918" s="3" t="s">
        <v>6001</v>
      </c>
      <c r="E918" s="3" t="s">
        <v>5991</v>
      </c>
      <c r="F918" s="3" t="s">
        <v>6076</v>
      </c>
      <c r="G918" s="3" t="s">
        <v>5993</v>
      </c>
      <c r="H918" s="3" t="s">
        <v>1193</v>
      </c>
      <c r="I918" s="3" t="s">
        <v>1086</v>
      </c>
      <c r="J918" s="5" t="s">
        <v>1194</v>
      </c>
      <c r="L918" s="3" t="s">
        <v>1106</v>
      </c>
      <c r="M918" s="3">
        <v>7</v>
      </c>
      <c r="N918" s="4" t="s">
        <v>6076</v>
      </c>
      <c r="O918" s="4">
        <v>42</v>
      </c>
      <c r="P918" s="11" t="s">
        <v>9709</v>
      </c>
      <c r="Q918" s="11" t="s">
        <v>10106</v>
      </c>
      <c r="S918" s="4" t="b">
        <f>ISNUMBER(MATCH(Q918,T:T,0))</f>
        <v>1</v>
      </c>
      <c r="T918" s="4" t="s">
        <v>11418</v>
      </c>
      <c r="U918" s="4" t="str">
        <f t="shared" si="49"/>
        <v>貞</v>
      </c>
    </row>
    <row r="919" spans="1:21" ht="28.5">
      <c r="A919" s="3">
        <v>918</v>
      </c>
      <c r="B919" s="3" t="s">
        <v>1177</v>
      </c>
      <c r="C919" s="3" t="s">
        <v>6120</v>
      </c>
      <c r="D919" s="3" t="s">
        <v>6001</v>
      </c>
      <c r="E919" s="3" t="s">
        <v>5991</v>
      </c>
      <c r="F919" s="3" t="s">
        <v>6076</v>
      </c>
      <c r="G919" s="3" t="s">
        <v>5993</v>
      </c>
      <c r="H919" s="3" t="s">
        <v>1195</v>
      </c>
      <c r="I919" s="3" t="s">
        <v>1086</v>
      </c>
      <c r="J919" s="5" t="s">
        <v>1196</v>
      </c>
      <c r="L919" s="3" t="s">
        <v>1134</v>
      </c>
      <c r="M919" s="3">
        <v>1</v>
      </c>
      <c r="N919" s="4" t="s">
        <v>6076</v>
      </c>
      <c r="O919" s="4">
        <v>42</v>
      </c>
      <c r="P919" s="11" t="s">
        <v>6120</v>
      </c>
      <c r="Q919" s="11" t="s">
        <v>10104</v>
      </c>
      <c r="S919" s="4" t="b">
        <f>ISNUMBER(MATCH(Q919,T:T,0))</f>
        <v>1</v>
      </c>
      <c r="T919" s="4" t="s">
        <v>1196</v>
      </c>
      <c r="U919" s="4" t="str">
        <f t="shared" si="49"/>
        <v>盈</v>
      </c>
    </row>
    <row r="920" spans="1:21" ht="28.5">
      <c r="A920" s="3">
        <v>919</v>
      </c>
      <c r="B920" s="3" t="s">
        <v>1177</v>
      </c>
      <c r="C920" s="3" t="s">
        <v>6009</v>
      </c>
      <c r="D920" s="3" t="s">
        <v>6001</v>
      </c>
      <c r="E920" s="3" t="s">
        <v>5991</v>
      </c>
      <c r="F920" s="3" t="s">
        <v>6076</v>
      </c>
      <c r="G920" s="3" t="s">
        <v>5993</v>
      </c>
      <c r="H920" s="3" t="s">
        <v>1197</v>
      </c>
      <c r="I920" s="3" t="s">
        <v>1086</v>
      </c>
      <c r="J920" s="5" t="s">
        <v>7890</v>
      </c>
      <c r="L920" s="3" t="s">
        <v>1122</v>
      </c>
      <c r="M920" s="3">
        <v>13</v>
      </c>
      <c r="N920" s="4" t="s">
        <v>6076</v>
      </c>
      <c r="O920" s="4">
        <v>42</v>
      </c>
      <c r="P920" s="11" t="s">
        <v>9849</v>
      </c>
      <c r="Q920" s="11" t="s">
        <v>10104</v>
      </c>
      <c r="S920" s="4" t="b">
        <f>ISNUMBER(MATCH(Q920,T:T,0))</f>
        <v>1</v>
      </c>
      <c r="T920" s="4" t="s">
        <v>10107</v>
      </c>
      <c r="U920" s="4" t="str">
        <f t="shared" si="49"/>
        <v>盈</v>
      </c>
    </row>
    <row r="921" spans="1:21">
      <c r="A921" s="3">
        <v>920</v>
      </c>
      <c r="B921" s="3" t="s">
        <v>1177</v>
      </c>
      <c r="C921" s="3" t="s">
        <v>6038</v>
      </c>
      <c r="D921" s="3" t="s">
        <v>6001</v>
      </c>
      <c r="E921" s="3" t="s">
        <v>5991</v>
      </c>
      <c r="F921" s="3" t="s">
        <v>6076</v>
      </c>
      <c r="G921" s="3" t="s">
        <v>5993</v>
      </c>
      <c r="H921" s="3" t="s">
        <v>1198</v>
      </c>
      <c r="I921" s="3" t="s">
        <v>1086</v>
      </c>
      <c r="J921" s="5" t="s">
        <v>1199</v>
      </c>
      <c r="L921" s="3" t="s">
        <v>1132</v>
      </c>
      <c r="M921" s="3">
        <v>3</v>
      </c>
      <c r="N921" s="4" t="s">
        <v>6076</v>
      </c>
      <c r="O921" s="4">
        <v>42</v>
      </c>
      <c r="P921" s="11" t="s">
        <v>4210</v>
      </c>
      <c r="Q921" s="11" t="s">
        <v>10104</v>
      </c>
      <c r="S921" s="4" t="b">
        <f>ISNUMBER(MATCH(Q921,T:T,0))</f>
        <v>1</v>
      </c>
      <c r="T921" s="4" t="s">
        <v>2700</v>
      </c>
      <c r="U921" s="4" t="str">
        <f t="shared" si="49"/>
        <v>盈</v>
      </c>
    </row>
    <row r="922" spans="1:21">
      <c r="A922" s="3">
        <v>921</v>
      </c>
      <c r="B922" s="3" t="s">
        <v>1177</v>
      </c>
      <c r="C922" s="3" t="s">
        <v>6035</v>
      </c>
      <c r="D922" s="3" t="s">
        <v>6001</v>
      </c>
      <c r="E922" s="3" t="s">
        <v>5991</v>
      </c>
      <c r="F922" s="3" t="s">
        <v>6076</v>
      </c>
      <c r="G922" s="3" t="s">
        <v>5993</v>
      </c>
      <c r="H922" s="3" t="s">
        <v>1200</v>
      </c>
      <c r="I922" s="3" t="s">
        <v>1086</v>
      </c>
      <c r="J922" s="5" t="s">
        <v>1201</v>
      </c>
      <c r="L922" s="3" t="s">
        <v>1118</v>
      </c>
      <c r="M922" s="3">
        <v>2</v>
      </c>
      <c r="N922" s="4" t="s">
        <v>6076</v>
      </c>
      <c r="O922" s="4">
        <v>42</v>
      </c>
      <c r="P922" s="11" t="s">
        <v>9794</v>
      </c>
      <c r="Q922" s="11" t="s">
        <v>10108</v>
      </c>
      <c r="S922" s="4" t="b">
        <f>ISNUMBER(MATCH(Q922,T:T,0))</f>
        <v>1</v>
      </c>
      <c r="T922" s="4" t="s">
        <v>11419</v>
      </c>
      <c r="U922" s="4" t="str">
        <f t="shared" si="49"/>
        <v>并</v>
      </c>
    </row>
    <row r="923" spans="1:21">
      <c r="A923" s="3">
        <v>922</v>
      </c>
      <c r="B923" s="3" t="s">
        <v>1177</v>
      </c>
      <c r="C923" s="3" t="s">
        <v>6058</v>
      </c>
      <c r="D923" s="3" t="s">
        <v>6001</v>
      </c>
      <c r="E923" s="3" t="s">
        <v>5991</v>
      </c>
      <c r="F923" s="3" t="s">
        <v>6076</v>
      </c>
      <c r="G923" s="3" t="s">
        <v>5993</v>
      </c>
      <c r="H923" s="3" t="s">
        <v>1202</v>
      </c>
      <c r="I923" s="3" t="s">
        <v>1086</v>
      </c>
      <c r="J923" s="8" t="s">
        <v>7891</v>
      </c>
      <c r="L923" s="3" t="s">
        <v>1203</v>
      </c>
      <c r="M923" s="3">
        <v>2</v>
      </c>
      <c r="N923" s="4" t="s">
        <v>6076</v>
      </c>
      <c r="O923" s="4">
        <v>42</v>
      </c>
      <c r="P923" s="11" t="s">
        <v>9773</v>
      </c>
      <c r="Q923" s="11" t="s">
        <v>10106</v>
      </c>
      <c r="S923" s="4" t="b">
        <f>ISNUMBER(MATCH(Q923,T:T,0))</f>
        <v>1</v>
      </c>
      <c r="T923" s="4" t="s">
        <v>11420</v>
      </c>
      <c r="U923" s="4" t="str">
        <f t="shared" si="49"/>
        <v>貞</v>
      </c>
    </row>
    <row r="924" spans="1:21">
      <c r="A924" s="3">
        <v>923</v>
      </c>
      <c r="B924" s="3" t="s">
        <v>1177</v>
      </c>
      <c r="C924" s="3" t="s">
        <v>6049</v>
      </c>
      <c r="D924" s="3" t="s">
        <v>6001</v>
      </c>
      <c r="E924" s="3" t="s">
        <v>5991</v>
      </c>
      <c r="F924" s="3" t="s">
        <v>6076</v>
      </c>
      <c r="G924" s="3" t="s">
        <v>5993</v>
      </c>
      <c r="H924" s="3" t="s">
        <v>1204</v>
      </c>
      <c r="I924" s="3" t="s">
        <v>1086</v>
      </c>
      <c r="J924" s="5" t="s">
        <v>7892</v>
      </c>
      <c r="L924" s="3" t="s">
        <v>1127</v>
      </c>
      <c r="M924" s="3">
        <v>4</v>
      </c>
      <c r="N924" s="4" t="s">
        <v>6076</v>
      </c>
      <c r="O924" s="4">
        <v>42</v>
      </c>
      <c r="P924" s="11" t="s">
        <v>9752</v>
      </c>
      <c r="Q924" s="11" t="s">
        <v>10104</v>
      </c>
      <c r="S924" s="4" t="b">
        <f>ISNUMBER(MATCH(Q924,T:T,0))</f>
        <v>1</v>
      </c>
      <c r="T924" s="4" t="s">
        <v>10108</v>
      </c>
      <c r="U924" s="4" t="str">
        <f t="shared" si="49"/>
        <v>盈</v>
      </c>
    </row>
    <row r="925" spans="1:21" ht="28.5">
      <c r="A925" s="3">
        <v>924</v>
      </c>
      <c r="B925" s="3" t="s">
        <v>1177</v>
      </c>
      <c r="C925" s="3" t="s">
        <v>6038</v>
      </c>
      <c r="D925" s="3" t="s">
        <v>6001</v>
      </c>
      <c r="E925" s="3" t="s">
        <v>6212</v>
      </c>
      <c r="F925" s="3" t="s">
        <v>6076</v>
      </c>
      <c r="G925" s="3" t="s">
        <v>5993</v>
      </c>
      <c r="H925" s="3" t="s">
        <v>1205</v>
      </c>
      <c r="I925" s="3" t="s">
        <v>1086</v>
      </c>
      <c r="J925" s="5" t="s">
        <v>1206</v>
      </c>
      <c r="L925" s="3" t="s">
        <v>6040</v>
      </c>
      <c r="M925" s="3">
        <v>2</v>
      </c>
      <c r="N925" s="4" t="s">
        <v>6076</v>
      </c>
      <c r="O925" s="4">
        <v>42</v>
      </c>
      <c r="P925" s="11" t="s">
        <v>4210</v>
      </c>
      <c r="Q925" s="11" t="s">
        <v>10109</v>
      </c>
      <c r="S925" s="4" t="b">
        <f>ISNUMBER(MATCH(Q925,T:T,0))</f>
        <v>1</v>
      </c>
      <c r="T925" s="4" t="s">
        <v>10105</v>
      </c>
      <c r="U925" s="4" t="str">
        <f t="shared" si="49"/>
        <v>營</v>
      </c>
    </row>
    <row r="926" spans="1:21">
      <c r="A926" s="3">
        <v>925</v>
      </c>
      <c r="B926" s="3" t="s">
        <v>1177</v>
      </c>
      <c r="C926" s="3" t="s">
        <v>6123</v>
      </c>
      <c r="D926" s="3" t="s">
        <v>6001</v>
      </c>
      <c r="E926" s="3" t="s">
        <v>5991</v>
      </c>
      <c r="F926" s="3" t="s">
        <v>6076</v>
      </c>
      <c r="G926" s="3" t="s">
        <v>5993</v>
      </c>
      <c r="H926" s="3" t="s">
        <v>1207</v>
      </c>
      <c r="I926" s="3" t="s">
        <v>1086</v>
      </c>
      <c r="J926" s="5" t="s">
        <v>1208</v>
      </c>
      <c r="L926" s="3" t="s">
        <v>1209</v>
      </c>
      <c r="M926" s="3">
        <v>1</v>
      </c>
      <c r="N926" s="4" t="s">
        <v>6076</v>
      </c>
      <c r="O926" s="4">
        <v>42</v>
      </c>
      <c r="P926" s="11" t="s">
        <v>10110</v>
      </c>
      <c r="Q926" s="11" t="s">
        <v>10104</v>
      </c>
      <c r="S926" s="4" t="b">
        <f>ISNUMBER(MATCH(Q926,T:T,0))</f>
        <v>1</v>
      </c>
      <c r="T926" s="4" t="s">
        <v>11421</v>
      </c>
      <c r="U926" s="4" t="str">
        <f t="shared" si="49"/>
        <v>盈</v>
      </c>
    </row>
    <row r="927" spans="1:21">
      <c r="A927" s="3">
        <v>926</v>
      </c>
      <c r="B927" s="3" t="s">
        <v>1177</v>
      </c>
      <c r="C927" s="3" t="s">
        <v>6072</v>
      </c>
      <c r="D927" s="3" t="s">
        <v>6001</v>
      </c>
      <c r="E927" s="3" t="s">
        <v>6212</v>
      </c>
      <c r="F927" s="3" t="s">
        <v>6076</v>
      </c>
      <c r="G927" s="3" t="s">
        <v>5993</v>
      </c>
      <c r="H927" s="3" t="s">
        <v>1210</v>
      </c>
      <c r="I927" s="3" t="s">
        <v>1086</v>
      </c>
      <c r="J927" s="5" t="s">
        <v>1211</v>
      </c>
      <c r="L927" s="3" t="s">
        <v>6136</v>
      </c>
      <c r="M927" s="3">
        <v>5</v>
      </c>
      <c r="N927" s="4" t="s">
        <v>6076</v>
      </c>
      <c r="O927" s="4">
        <v>42</v>
      </c>
      <c r="P927" s="11" t="s">
        <v>9754</v>
      </c>
      <c r="Q927" s="11" t="s">
        <v>10109</v>
      </c>
      <c r="S927" s="4" t="b">
        <f>ISNUMBER(MATCH(Q927,T:T,0))</f>
        <v>1</v>
      </c>
      <c r="T927" s="4" t="s">
        <v>11422</v>
      </c>
      <c r="U927" s="4" t="str">
        <f t="shared" si="49"/>
        <v>營</v>
      </c>
    </row>
    <row r="928" spans="1:21" ht="28.5">
      <c r="A928" s="3">
        <v>927</v>
      </c>
      <c r="B928" s="3" t="s">
        <v>1177</v>
      </c>
      <c r="C928" s="3" t="s">
        <v>6041</v>
      </c>
      <c r="D928" s="3" t="s">
        <v>6001</v>
      </c>
      <c r="E928" s="3" t="s">
        <v>6212</v>
      </c>
      <c r="F928" s="3" t="s">
        <v>6076</v>
      </c>
      <c r="G928" s="3" t="s">
        <v>5993</v>
      </c>
      <c r="H928" s="3" t="s">
        <v>1212</v>
      </c>
      <c r="I928" s="3" t="s">
        <v>1086</v>
      </c>
      <c r="J928" s="5" t="s">
        <v>7893</v>
      </c>
      <c r="K928" s="3" t="s">
        <v>592</v>
      </c>
      <c r="L928" s="3" t="s">
        <v>6044</v>
      </c>
      <c r="M928" s="3">
        <v>17</v>
      </c>
      <c r="N928" s="4" t="s">
        <v>6076</v>
      </c>
      <c r="O928" s="4">
        <v>42</v>
      </c>
      <c r="P928" s="11" t="s">
        <v>9721</v>
      </c>
      <c r="Q928" s="11" t="s">
        <v>10109</v>
      </c>
      <c r="S928" s="4" t="b">
        <f>ISNUMBER(MATCH(Q928,T:T,0))</f>
        <v>1</v>
      </c>
      <c r="T928" s="4" t="s">
        <v>11423</v>
      </c>
      <c r="U928" s="4" t="str">
        <f t="shared" si="49"/>
        <v>營</v>
      </c>
    </row>
    <row r="929" spans="1:22">
      <c r="A929" s="3">
        <v>928</v>
      </c>
      <c r="B929" s="3" t="s">
        <v>1177</v>
      </c>
      <c r="C929" s="3" t="s">
        <v>6017</v>
      </c>
      <c r="D929" s="3" t="s">
        <v>6001</v>
      </c>
      <c r="E929" s="3" t="s">
        <v>6212</v>
      </c>
      <c r="F929" s="3" t="s">
        <v>6076</v>
      </c>
      <c r="G929" s="3" t="s">
        <v>5993</v>
      </c>
      <c r="H929" s="3" t="s">
        <v>1213</v>
      </c>
      <c r="I929" s="3" t="s">
        <v>1086</v>
      </c>
      <c r="J929" s="5" t="s">
        <v>7894</v>
      </c>
      <c r="K929" s="3" t="s">
        <v>1214</v>
      </c>
      <c r="L929" s="3" t="s">
        <v>1215</v>
      </c>
      <c r="M929" s="3">
        <v>4</v>
      </c>
      <c r="N929" s="4" t="s">
        <v>6076</v>
      </c>
      <c r="O929" s="4">
        <v>42</v>
      </c>
      <c r="P929" s="11" t="s">
        <v>9714</v>
      </c>
      <c r="Q929" s="11" t="s">
        <v>10109</v>
      </c>
      <c r="S929" s="4" t="b">
        <f>ISNUMBER(MATCH(Q929,T:T,0))</f>
        <v>1</v>
      </c>
      <c r="T929" s="4" t="s">
        <v>11424</v>
      </c>
      <c r="U929" s="4" t="str">
        <f t="shared" si="49"/>
        <v>營</v>
      </c>
    </row>
    <row r="930" spans="1:22">
      <c r="A930" s="3">
        <v>929</v>
      </c>
      <c r="B930" s="3" t="s">
        <v>1177</v>
      </c>
      <c r="C930" s="3" t="s">
        <v>6041</v>
      </c>
      <c r="D930" s="3" t="s">
        <v>6001</v>
      </c>
      <c r="E930" s="3" t="s">
        <v>5991</v>
      </c>
      <c r="F930" s="3" t="s">
        <v>6076</v>
      </c>
      <c r="G930" s="3" t="s">
        <v>5993</v>
      </c>
      <c r="H930" s="3" t="s">
        <v>1216</v>
      </c>
      <c r="I930" s="3" t="s">
        <v>1086</v>
      </c>
      <c r="J930" s="5" t="s">
        <v>1217</v>
      </c>
      <c r="L930" s="3" t="s">
        <v>1136</v>
      </c>
      <c r="M930" s="3">
        <v>4</v>
      </c>
      <c r="N930" s="4" t="s">
        <v>6076</v>
      </c>
      <c r="O930" s="4">
        <v>42</v>
      </c>
      <c r="P930" s="11" t="s">
        <v>9789</v>
      </c>
      <c r="Q930" s="11" t="s">
        <v>9899</v>
      </c>
      <c r="S930" s="4" t="b">
        <f>ISNUMBER(MATCH(Q930,T:T,0))</f>
        <v>1</v>
      </c>
      <c r="T930" s="4" t="s">
        <v>7473</v>
      </c>
      <c r="U930" s="4" t="str">
        <f t="shared" si="49"/>
        <v>成</v>
      </c>
    </row>
    <row r="931" spans="1:22" ht="28.5">
      <c r="A931" s="3">
        <v>930</v>
      </c>
      <c r="B931" s="3" t="s">
        <v>1177</v>
      </c>
      <c r="C931" s="3" t="s">
        <v>6089</v>
      </c>
      <c r="D931" s="3" t="s">
        <v>6001</v>
      </c>
      <c r="E931" s="3" t="s">
        <v>6212</v>
      </c>
      <c r="F931" s="3" t="s">
        <v>6076</v>
      </c>
      <c r="G931" s="3" t="s">
        <v>5993</v>
      </c>
      <c r="H931" s="3" t="s">
        <v>1218</v>
      </c>
      <c r="I931" s="3" t="s">
        <v>1086</v>
      </c>
      <c r="J931" s="5" t="s">
        <v>1219</v>
      </c>
      <c r="L931" s="3" t="s">
        <v>6131</v>
      </c>
      <c r="M931" s="3">
        <v>1</v>
      </c>
      <c r="N931" s="4" t="s">
        <v>6076</v>
      </c>
      <c r="O931" s="4">
        <v>42</v>
      </c>
      <c r="P931" s="11" t="s">
        <v>9904</v>
      </c>
      <c r="Q931" s="11" t="s">
        <v>10109</v>
      </c>
      <c r="S931" s="4" t="b">
        <f>ISNUMBER(MATCH(Q931,T:T,0))</f>
        <v>1</v>
      </c>
      <c r="T931" s="4" t="s">
        <v>1219</v>
      </c>
      <c r="U931" s="4" t="str">
        <f t="shared" si="49"/>
        <v>營</v>
      </c>
    </row>
    <row r="932" spans="1:22">
      <c r="A932" s="3">
        <v>931</v>
      </c>
      <c r="B932" s="3" t="s">
        <v>1220</v>
      </c>
      <c r="C932" s="3" t="s">
        <v>6076</v>
      </c>
      <c r="D932" s="3" t="s">
        <v>2843</v>
      </c>
      <c r="E932" s="3" t="s">
        <v>5991</v>
      </c>
      <c r="F932" s="3" t="s">
        <v>1221</v>
      </c>
      <c r="G932" s="3" t="s">
        <v>5993</v>
      </c>
      <c r="H932" s="3" t="s">
        <v>1222</v>
      </c>
      <c r="I932" s="3" t="s">
        <v>1086</v>
      </c>
      <c r="J932" s="5" t="s">
        <v>7895</v>
      </c>
      <c r="L932" s="3" t="s">
        <v>1132</v>
      </c>
      <c r="M932" s="3">
        <v>5</v>
      </c>
      <c r="N932" s="4" t="s">
        <v>1221</v>
      </c>
      <c r="O932" s="4">
        <v>43</v>
      </c>
      <c r="P932" s="11" t="s">
        <v>9735</v>
      </c>
      <c r="Q932" s="11" t="s">
        <v>10111</v>
      </c>
      <c r="S932" s="4" t="b">
        <f>ISNUMBER(MATCH(Q932,T:T,0))</f>
        <v>1</v>
      </c>
      <c r="T932" s="4" t="s">
        <v>1221</v>
      </c>
      <c r="U932" s="4" t="str">
        <f t="shared" si="49"/>
        <v>經</v>
      </c>
    </row>
    <row r="933" spans="1:22">
      <c r="A933" s="3">
        <v>932</v>
      </c>
      <c r="B933" s="3" t="s">
        <v>1220</v>
      </c>
      <c r="C933" s="3" t="s">
        <v>6025</v>
      </c>
      <c r="D933" s="3" t="s">
        <v>2843</v>
      </c>
      <c r="E933" s="3" t="s">
        <v>5991</v>
      </c>
      <c r="F933" s="3" t="s">
        <v>1221</v>
      </c>
      <c r="G933" s="3" t="s">
        <v>5993</v>
      </c>
      <c r="H933" s="3" t="s">
        <v>1223</v>
      </c>
      <c r="I933" s="3" t="s">
        <v>1086</v>
      </c>
      <c r="J933" s="5" t="s">
        <v>1224</v>
      </c>
      <c r="L933" s="3" t="s">
        <v>1115</v>
      </c>
      <c r="M933" s="3">
        <v>4</v>
      </c>
      <c r="N933" s="4" t="s">
        <v>1221</v>
      </c>
      <c r="O933" s="4">
        <v>43</v>
      </c>
      <c r="P933" s="11" t="s">
        <v>9729</v>
      </c>
      <c r="Q933" s="11" t="s">
        <v>10112</v>
      </c>
      <c r="S933" s="4" t="b">
        <f>ISNUMBER(MATCH(Q933,T:T,0))</f>
        <v>1</v>
      </c>
      <c r="T933" s="4" t="s">
        <v>10111</v>
      </c>
      <c r="U933" s="4" t="str">
        <f t="shared" si="49"/>
        <v>靈</v>
      </c>
    </row>
    <row r="934" spans="1:22">
      <c r="A934" s="3">
        <v>933</v>
      </c>
      <c r="B934" s="3" t="s">
        <v>1220</v>
      </c>
      <c r="C934" s="3" t="s">
        <v>6067</v>
      </c>
      <c r="D934" s="3" t="s">
        <v>2843</v>
      </c>
      <c r="E934" s="3" t="s">
        <v>5991</v>
      </c>
      <c r="F934" s="3" t="s">
        <v>1221</v>
      </c>
      <c r="G934" s="3" t="s">
        <v>5993</v>
      </c>
      <c r="H934" s="7" t="s">
        <v>714</v>
      </c>
      <c r="I934" s="3" t="s">
        <v>1086</v>
      </c>
      <c r="J934" s="5" t="s">
        <v>1225</v>
      </c>
      <c r="L934" s="3" t="s">
        <v>1209</v>
      </c>
      <c r="M934" s="3">
        <v>17</v>
      </c>
      <c r="N934" s="4" t="s">
        <v>1221</v>
      </c>
      <c r="O934" s="4">
        <v>43</v>
      </c>
      <c r="P934" s="11" t="s">
        <v>9731</v>
      </c>
      <c r="Q934" s="11" t="s">
        <v>10111</v>
      </c>
      <c r="S934" s="4" t="b">
        <f>ISNUMBER(MATCH(Q934,T:T,0))</f>
        <v>1</v>
      </c>
      <c r="T934" s="4" t="s">
        <v>11425</v>
      </c>
      <c r="U934" s="4" t="str">
        <f t="shared" si="49"/>
        <v>經</v>
      </c>
    </row>
    <row r="935" spans="1:22" ht="39">
      <c r="A935" s="3">
        <v>934</v>
      </c>
      <c r="B935" s="3" t="s">
        <v>1220</v>
      </c>
      <c r="C935" s="3" t="s">
        <v>5997</v>
      </c>
      <c r="D935" s="3" t="s">
        <v>2843</v>
      </c>
      <c r="E935" s="3" t="s">
        <v>5991</v>
      </c>
      <c r="F935" s="3" t="s">
        <v>1221</v>
      </c>
      <c r="G935" s="3" t="s">
        <v>5993</v>
      </c>
      <c r="H935" s="3" t="s">
        <v>1226</v>
      </c>
      <c r="I935" s="3" t="s">
        <v>1086</v>
      </c>
      <c r="J935" s="5" t="s">
        <v>1227</v>
      </c>
      <c r="L935" s="3" t="s">
        <v>1228</v>
      </c>
      <c r="M935" s="3">
        <v>21</v>
      </c>
      <c r="N935" s="4" t="s">
        <v>1221</v>
      </c>
      <c r="O935" s="4">
        <v>43</v>
      </c>
      <c r="P935" s="11" t="s">
        <v>10113</v>
      </c>
      <c r="Q935" s="11" t="s">
        <v>9822</v>
      </c>
      <c r="S935" s="4" t="b">
        <f>ISNUMBER(MATCH(Q935,T:T,0))</f>
        <v>1</v>
      </c>
      <c r="T935" s="4" t="s">
        <v>11426</v>
      </c>
      <c r="U935" s="4" t="str">
        <f t="shared" si="49"/>
        <v>丁</v>
      </c>
    </row>
    <row r="936" spans="1:22">
      <c r="A936" s="3">
        <v>935</v>
      </c>
      <c r="B936" s="3" t="s">
        <v>1220</v>
      </c>
      <c r="C936" s="3" t="s">
        <v>5989</v>
      </c>
      <c r="D936" s="3" t="s">
        <v>2843</v>
      </c>
      <c r="E936" s="3" t="s">
        <v>5991</v>
      </c>
      <c r="F936" s="3" t="s">
        <v>1221</v>
      </c>
      <c r="G936" s="3" t="s">
        <v>5993</v>
      </c>
      <c r="H936" s="3" t="s">
        <v>1229</v>
      </c>
      <c r="I936" s="3" t="s">
        <v>1086</v>
      </c>
      <c r="J936" s="5" t="s">
        <v>1230</v>
      </c>
      <c r="L936" s="3" t="s">
        <v>1231</v>
      </c>
      <c r="M936" s="3">
        <v>8</v>
      </c>
      <c r="N936" s="4" t="s">
        <v>1221</v>
      </c>
      <c r="O936" s="4">
        <v>43</v>
      </c>
      <c r="P936" s="11" t="s">
        <v>9883</v>
      </c>
      <c r="Q936" s="11" t="s">
        <v>10111</v>
      </c>
      <c r="S936" s="4" t="b">
        <f>ISNUMBER(MATCH(Q936,T:T,0))</f>
        <v>1</v>
      </c>
      <c r="T936" s="4" t="s">
        <v>9822</v>
      </c>
      <c r="U936" s="4" t="str">
        <f t="shared" si="49"/>
        <v>經</v>
      </c>
    </row>
    <row r="937" spans="1:22">
      <c r="A937" s="3">
        <v>936</v>
      </c>
      <c r="B937" s="3" t="s">
        <v>1220</v>
      </c>
      <c r="C937" s="3" t="s">
        <v>6089</v>
      </c>
      <c r="D937" s="3" t="s">
        <v>2843</v>
      </c>
      <c r="E937" s="3" t="s">
        <v>5991</v>
      </c>
      <c r="F937" s="3" t="s">
        <v>1221</v>
      </c>
      <c r="G937" s="3" t="s">
        <v>5993</v>
      </c>
      <c r="H937" s="3" t="s">
        <v>1232</v>
      </c>
      <c r="I937" s="3" t="s">
        <v>1086</v>
      </c>
      <c r="J937" s="5" t="s">
        <v>1233</v>
      </c>
      <c r="L937" s="3" t="s">
        <v>1215</v>
      </c>
      <c r="M937" s="3">
        <v>3</v>
      </c>
      <c r="N937" s="4" t="s">
        <v>1221</v>
      </c>
      <c r="O937" s="4">
        <v>43</v>
      </c>
      <c r="P937" s="11" t="s">
        <v>9739</v>
      </c>
      <c r="Q937" s="11" t="s">
        <v>10114</v>
      </c>
      <c r="R937" s="4" t="s">
        <v>13059</v>
      </c>
      <c r="S937" s="4" t="b">
        <f>ISNUMBER(MATCH(Q937,T:T,0))</f>
        <v>0</v>
      </c>
      <c r="T937" s="4" t="s">
        <v>10336</v>
      </c>
      <c r="U937" s="4" t="str">
        <f t="shared" si="49"/>
        <v>㓝</v>
      </c>
      <c r="V937" s="4" t="b">
        <f>ISNUMBER(MATCH(R937,T:T,0))</f>
        <v>1</v>
      </c>
    </row>
    <row r="938" spans="1:22">
      <c r="A938" s="3">
        <v>937</v>
      </c>
      <c r="B938" s="3" t="s">
        <v>1220</v>
      </c>
      <c r="C938" s="3" t="s">
        <v>6017</v>
      </c>
      <c r="D938" s="3" t="s">
        <v>2843</v>
      </c>
      <c r="E938" s="3" t="s">
        <v>5991</v>
      </c>
      <c r="F938" s="3" t="s">
        <v>1221</v>
      </c>
      <c r="G938" s="3" t="s">
        <v>5993</v>
      </c>
      <c r="H938" s="3" t="s">
        <v>1234</v>
      </c>
      <c r="I938" s="3" t="s">
        <v>1086</v>
      </c>
      <c r="J938" s="5" t="s">
        <v>7896</v>
      </c>
      <c r="L938" s="3" t="s">
        <v>1215</v>
      </c>
      <c r="M938" s="3">
        <v>12</v>
      </c>
      <c r="N938" s="4" t="s">
        <v>1221</v>
      </c>
      <c r="O938" s="4">
        <v>43</v>
      </c>
      <c r="P938" s="11" t="s">
        <v>10115</v>
      </c>
      <c r="Q938" s="11" t="s">
        <v>10111</v>
      </c>
      <c r="S938" s="4" t="b">
        <f>ISNUMBER(MATCH(Q938,T:T,0))</f>
        <v>1</v>
      </c>
      <c r="T938" s="4" t="s">
        <v>11427</v>
      </c>
      <c r="U938" s="4" t="str">
        <f t="shared" si="49"/>
        <v>經</v>
      </c>
    </row>
    <row r="939" spans="1:22">
      <c r="A939" s="3">
        <v>938</v>
      </c>
      <c r="B939" s="3" t="s">
        <v>1220</v>
      </c>
      <c r="C939" s="3" t="s">
        <v>6053</v>
      </c>
      <c r="D939" s="3" t="s">
        <v>2843</v>
      </c>
      <c r="E939" s="3" t="s">
        <v>5991</v>
      </c>
      <c r="F939" s="3" t="s">
        <v>1221</v>
      </c>
      <c r="G939" s="3" t="s">
        <v>5993</v>
      </c>
      <c r="H939" s="3" t="s">
        <v>1235</v>
      </c>
      <c r="I939" s="3" t="s">
        <v>1086</v>
      </c>
      <c r="J939" s="5" t="s">
        <v>1236</v>
      </c>
      <c r="L939" s="3" t="s">
        <v>1111</v>
      </c>
      <c r="M939" s="3">
        <v>8</v>
      </c>
      <c r="N939" s="4" t="s">
        <v>1221</v>
      </c>
      <c r="O939" s="4">
        <v>43</v>
      </c>
      <c r="P939" s="11" t="s">
        <v>9884</v>
      </c>
      <c r="Q939" s="11" t="s">
        <v>9822</v>
      </c>
      <c r="S939" s="4" t="b">
        <f>ISNUMBER(MATCH(Q939,T:T,0))</f>
        <v>1</v>
      </c>
      <c r="T939" s="4" t="s">
        <v>11428</v>
      </c>
      <c r="U939" s="4" t="str">
        <f t="shared" si="49"/>
        <v>丁</v>
      </c>
    </row>
    <row r="940" spans="1:22" ht="97.5">
      <c r="A940" s="3">
        <v>939</v>
      </c>
      <c r="B940" s="3" t="s">
        <v>1220</v>
      </c>
      <c r="C940" s="3" t="s">
        <v>6058</v>
      </c>
      <c r="D940" s="3" t="s">
        <v>2843</v>
      </c>
      <c r="E940" s="3" t="s">
        <v>5991</v>
      </c>
      <c r="F940" s="3" t="s">
        <v>1221</v>
      </c>
      <c r="G940" s="3" t="s">
        <v>5993</v>
      </c>
      <c r="H940" s="3" t="s">
        <v>1237</v>
      </c>
      <c r="I940" s="3" t="s">
        <v>1086</v>
      </c>
      <c r="J940" s="5" t="s">
        <v>7897</v>
      </c>
      <c r="L940" s="3" t="s">
        <v>1203</v>
      </c>
      <c r="M940" s="3">
        <v>87</v>
      </c>
      <c r="N940" s="4" t="s">
        <v>1221</v>
      </c>
      <c r="O940" s="4">
        <v>43</v>
      </c>
      <c r="P940" s="11" t="s">
        <v>9886</v>
      </c>
      <c r="Q940" s="11" t="s">
        <v>9822</v>
      </c>
      <c r="S940" s="4" t="b">
        <f>ISNUMBER(MATCH(Q940,T:T,0))</f>
        <v>1</v>
      </c>
      <c r="T940" s="4" t="s">
        <v>10112</v>
      </c>
      <c r="U940" s="4" t="str">
        <f t="shared" si="49"/>
        <v>丁</v>
      </c>
    </row>
    <row r="941" spans="1:22">
      <c r="A941" s="3">
        <v>940</v>
      </c>
      <c r="B941" s="3" t="s">
        <v>1220</v>
      </c>
      <c r="C941" s="3" t="s">
        <v>6102</v>
      </c>
      <c r="D941" s="3" t="s">
        <v>2843</v>
      </c>
      <c r="E941" s="3" t="s">
        <v>5991</v>
      </c>
      <c r="F941" s="3" t="s">
        <v>1221</v>
      </c>
      <c r="G941" s="3" t="s">
        <v>5993</v>
      </c>
      <c r="H941" s="3" t="s">
        <v>1238</v>
      </c>
      <c r="I941" s="3" t="s">
        <v>1086</v>
      </c>
      <c r="J941" s="5" t="s">
        <v>1239</v>
      </c>
      <c r="L941" s="3" t="s">
        <v>1240</v>
      </c>
      <c r="M941" s="3">
        <v>9</v>
      </c>
      <c r="N941" s="4" t="s">
        <v>1221</v>
      </c>
      <c r="O941" s="4">
        <v>43</v>
      </c>
      <c r="P941" s="11" t="s">
        <v>9744</v>
      </c>
      <c r="Q941" s="11" t="s">
        <v>9822</v>
      </c>
      <c r="S941" s="4" t="b">
        <f>ISNUMBER(MATCH(Q941,T:T,0))</f>
        <v>1</v>
      </c>
      <c r="T941" s="4" t="s">
        <v>11429</v>
      </c>
      <c r="U941" s="4" t="str">
        <f t="shared" si="49"/>
        <v>丁</v>
      </c>
    </row>
    <row r="942" spans="1:22">
      <c r="A942" s="3">
        <v>941</v>
      </c>
      <c r="B942" s="3" t="s">
        <v>1220</v>
      </c>
      <c r="C942" s="3" t="s">
        <v>6079</v>
      </c>
      <c r="D942" s="3" t="s">
        <v>2843</v>
      </c>
      <c r="E942" s="3" t="s">
        <v>5991</v>
      </c>
      <c r="F942" s="3" t="s">
        <v>1221</v>
      </c>
      <c r="G942" s="3" t="s">
        <v>5993</v>
      </c>
      <c r="H942" s="3" t="s">
        <v>1241</v>
      </c>
      <c r="I942" s="3" t="s">
        <v>1086</v>
      </c>
      <c r="J942" s="5" t="s">
        <v>7898</v>
      </c>
      <c r="K942" s="3" t="s">
        <v>1242</v>
      </c>
      <c r="L942" s="3" t="s">
        <v>1243</v>
      </c>
      <c r="M942" s="3">
        <v>14</v>
      </c>
      <c r="N942" s="4" t="s">
        <v>1221</v>
      </c>
      <c r="O942" s="4">
        <v>43</v>
      </c>
      <c r="P942" s="11" t="s">
        <v>9736</v>
      </c>
      <c r="Q942" s="11" t="s">
        <v>9822</v>
      </c>
      <c r="S942" s="4" t="b">
        <f>ISNUMBER(MATCH(Q942,T:T,0))</f>
        <v>1</v>
      </c>
      <c r="T942" s="4" t="s">
        <v>11430</v>
      </c>
      <c r="U942" s="4" t="str">
        <f t="shared" si="49"/>
        <v>丁</v>
      </c>
    </row>
    <row r="943" spans="1:22">
      <c r="A943" s="3">
        <v>942</v>
      </c>
      <c r="B943" s="3" t="s">
        <v>1220</v>
      </c>
      <c r="C943" s="3" t="s">
        <v>6035</v>
      </c>
      <c r="D943" s="3" t="s">
        <v>2843</v>
      </c>
      <c r="E943" s="3" t="s">
        <v>5991</v>
      </c>
      <c r="F943" s="3" t="s">
        <v>1221</v>
      </c>
      <c r="G943" s="3" t="s">
        <v>5993</v>
      </c>
      <c r="H943" s="3" t="s">
        <v>1244</v>
      </c>
      <c r="I943" s="3" t="s">
        <v>1086</v>
      </c>
      <c r="J943" s="5" t="s">
        <v>7899</v>
      </c>
      <c r="L943" s="3" t="s">
        <v>1118</v>
      </c>
      <c r="M943" s="3">
        <v>15</v>
      </c>
      <c r="N943" s="4" t="s">
        <v>1221</v>
      </c>
      <c r="O943" s="4">
        <v>43</v>
      </c>
      <c r="P943" s="11" t="s">
        <v>9719</v>
      </c>
      <c r="Q943" s="11" t="s">
        <v>10111</v>
      </c>
      <c r="S943" s="4" t="b">
        <f>ISNUMBER(MATCH(Q943,T:T,0))</f>
        <v>1</v>
      </c>
      <c r="T943" s="4" t="s">
        <v>11431</v>
      </c>
      <c r="U943" s="4" t="str">
        <f t="shared" si="49"/>
        <v>經</v>
      </c>
    </row>
    <row r="944" spans="1:22">
      <c r="A944" s="3">
        <v>943</v>
      </c>
      <c r="B944" s="3" t="s">
        <v>1220</v>
      </c>
      <c r="C944" s="3" t="s">
        <v>6045</v>
      </c>
      <c r="D944" s="3" t="s">
        <v>2843</v>
      </c>
      <c r="E944" s="3" t="s">
        <v>5991</v>
      </c>
      <c r="F944" s="3" t="s">
        <v>1221</v>
      </c>
      <c r="G944" s="3" t="s">
        <v>5993</v>
      </c>
      <c r="H944" s="3" t="s">
        <v>1245</v>
      </c>
      <c r="I944" s="3" t="s">
        <v>1086</v>
      </c>
      <c r="J944" s="5" t="s">
        <v>7900</v>
      </c>
      <c r="L944" s="3" t="s">
        <v>1113</v>
      </c>
      <c r="M944" s="3">
        <v>15</v>
      </c>
      <c r="N944" s="4" t="s">
        <v>1221</v>
      </c>
      <c r="O944" s="4">
        <v>43</v>
      </c>
      <c r="P944" s="11" t="s">
        <v>9738</v>
      </c>
      <c r="Q944" s="11" t="s">
        <v>10111</v>
      </c>
      <c r="S944" s="4" t="b">
        <f>ISNUMBER(MATCH(Q944,T:T,0))</f>
        <v>1</v>
      </c>
      <c r="T944" s="4" t="s">
        <v>11432</v>
      </c>
      <c r="U944" s="4" t="str">
        <f t="shared" si="49"/>
        <v>經</v>
      </c>
    </row>
    <row r="945" spans="1:22" ht="28.5">
      <c r="A945" s="3">
        <v>944</v>
      </c>
      <c r="B945" s="3" t="s">
        <v>1220</v>
      </c>
      <c r="C945" s="3" t="s">
        <v>6067</v>
      </c>
      <c r="D945" s="3" t="s">
        <v>2843</v>
      </c>
      <c r="E945" s="3" t="s">
        <v>6212</v>
      </c>
      <c r="F945" s="3" t="s">
        <v>1221</v>
      </c>
      <c r="G945" s="3" t="s">
        <v>5993</v>
      </c>
      <c r="H945" s="7" t="s">
        <v>715</v>
      </c>
      <c r="I945" s="3" t="s">
        <v>1086</v>
      </c>
      <c r="J945" s="5" t="s">
        <v>1246</v>
      </c>
      <c r="L945" s="3" t="s">
        <v>1247</v>
      </c>
      <c r="M945" s="3">
        <v>6</v>
      </c>
      <c r="N945" s="4" t="s">
        <v>1221</v>
      </c>
      <c r="O945" s="4">
        <v>43</v>
      </c>
      <c r="P945" s="11" t="s">
        <v>9731</v>
      </c>
      <c r="Q945" s="11" t="s">
        <v>10116</v>
      </c>
      <c r="S945" s="4" t="b">
        <f>ISNUMBER(MATCH(Q945,T:T,0))</f>
        <v>1</v>
      </c>
      <c r="T945" s="4" t="s">
        <v>11433</v>
      </c>
      <c r="U945" s="4" t="str">
        <f t="shared" si="49"/>
        <v>扃</v>
      </c>
    </row>
    <row r="946" spans="1:22" ht="28.5">
      <c r="A946" s="3">
        <v>945</v>
      </c>
      <c r="B946" s="3" t="s">
        <v>1220</v>
      </c>
      <c r="C946" s="3" t="s">
        <v>6025</v>
      </c>
      <c r="D946" s="3" t="s">
        <v>2843</v>
      </c>
      <c r="E946" s="3" t="s">
        <v>6212</v>
      </c>
      <c r="F946" s="3" t="s">
        <v>1221</v>
      </c>
      <c r="G946" s="3" t="s">
        <v>5993</v>
      </c>
      <c r="H946" s="3" t="s">
        <v>1248</v>
      </c>
      <c r="I946" s="3" t="s">
        <v>1086</v>
      </c>
      <c r="J946" s="5" t="s">
        <v>7901</v>
      </c>
      <c r="L946" s="3" t="s">
        <v>6027</v>
      </c>
      <c r="M946" s="3">
        <v>8</v>
      </c>
      <c r="N946" s="4" t="s">
        <v>1221</v>
      </c>
      <c r="O946" s="4">
        <v>43</v>
      </c>
      <c r="P946" s="11" t="s">
        <v>9729</v>
      </c>
      <c r="Q946" s="11" t="s">
        <v>10117</v>
      </c>
      <c r="R946" s="4" t="s">
        <v>13060</v>
      </c>
      <c r="S946" s="4" t="b">
        <f>ISNUMBER(MATCH(Q946,T:T,0))</f>
        <v>0</v>
      </c>
      <c r="T946" s="4" t="s">
        <v>10116</v>
      </c>
      <c r="U946" s="4" t="str">
        <f t="shared" si="49"/>
        <v>熒</v>
      </c>
      <c r="V946" s="4" t="b">
        <f>ISNUMBER(MATCH(R946,T:T,0))</f>
        <v>1</v>
      </c>
    </row>
    <row r="947" spans="1:22" ht="28.5">
      <c r="A947" s="3">
        <v>946</v>
      </c>
      <c r="B947" s="3" t="s">
        <v>1249</v>
      </c>
      <c r="C947" s="3" t="s">
        <v>6009</v>
      </c>
      <c r="D947" s="3" t="s">
        <v>6001</v>
      </c>
      <c r="E947" s="3" t="s">
        <v>5991</v>
      </c>
      <c r="F947" s="3" t="s">
        <v>1250</v>
      </c>
      <c r="G947" s="3" t="s">
        <v>5993</v>
      </c>
      <c r="H947" s="7" t="s">
        <v>716</v>
      </c>
      <c r="I947" s="3" t="s">
        <v>1251</v>
      </c>
      <c r="J947" s="5" t="s">
        <v>1252</v>
      </c>
      <c r="L947" s="3" t="s">
        <v>1122</v>
      </c>
      <c r="M947" s="3">
        <v>7</v>
      </c>
      <c r="N947" s="4" t="s">
        <v>1250</v>
      </c>
      <c r="O947" s="4">
        <v>44</v>
      </c>
      <c r="P947" s="11" t="s">
        <v>10118</v>
      </c>
      <c r="Q947" s="11" t="s">
        <v>10119</v>
      </c>
      <c r="S947" s="4" t="b">
        <f>ISNUMBER(MATCH(Q947,T:T,0))</f>
        <v>1</v>
      </c>
      <c r="T947" s="4" t="s">
        <v>1250</v>
      </c>
      <c r="U947" s="4" t="str">
        <f t="shared" si="49"/>
        <v>仍</v>
      </c>
    </row>
    <row r="948" spans="1:22" ht="28.5">
      <c r="A948" s="3">
        <v>947</v>
      </c>
      <c r="B948" s="3" t="s">
        <v>1249</v>
      </c>
      <c r="C948" s="3" t="s">
        <v>6148</v>
      </c>
      <c r="D948" s="3" t="s">
        <v>6001</v>
      </c>
      <c r="E948" s="3" t="s">
        <v>5991</v>
      </c>
      <c r="F948" s="3" t="s">
        <v>1250</v>
      </c>
      <c r="G948" s="3" t="s">
        <v>5993</v>
      </c>
      <c r="H948" s="3" t="s">
        <v>1253</v>
      </c>
      <c r="I948" s="3" t="s">
        <v>1251</v>
      </c>
      <c r="J948" s="5" t="s">
        <v>1254</v>
      </c>
      <c r="L948" s="3" t="s">
        <v>1106</v>
      </c>
      <c r="M948" s="3">
        <v>3</v>
      </c>
      <c r="N948" s="4" t="s">
        <v>1250</v>
      </c>
      <c r="O948" s="4">
        <v>44</v>
      </c>
      <c r="P948" s="11" t="s">
        <v>9853</v>
      </c>
      <c r="Q948" s="11" t="s">
        <v>10120</v>
      </c>
      <c r="S948" s="4" t="b">
        <f>ISNUMBER(MATCH(Q948,T:T,0))</f>
        <v>1</v>
      </c>
      <c r="T948" s="4" t="s">
        <v>10198</v>
      </c>
      <c r="U948" s="4" t="str">
        <f t="shared" si="49"/>
        <v>陵</v>
      </c>
    </row>
    <row r="949" spans="1:22" ht="28.5">
      <c r="A949" s="3">
        <v>948</v>
      </c>
      <c r="B949" s="3" t="s">
        <v>1249</v>
      </c>
      <c r="C949" s="3" t="s">
        <v>6005</v>
      </c>
      <c r="D949" s="3" t="s">
        <v>6001</v>
      </c>
      <c r="E949" s="3" t="s">
        <v>5991</v>
      </c>
      <c r="F949" s="3" t="s">
        <v>1250</v>
      </c>
      <c r="G949" s="3" t="s">
        <v>5993</v>
      </c>
      <c r="H949" s="3" t="s">
        <v>1255</v>
      </c>
      <c r="I949" s="3" t="s">
        <v>1251</v>
      </c>
      <c r="J949" s="5" t="s">
        <v>7902</v>
      </c>
      <c r="L949" s="3" t="s">
        <v>1106</v>
      </c>
      <c r="M949" s="3">
        <v>5</v>
      </c>
      <c r="N949" s="4" t="s">
        <v>1250</v>
      </c>
      <c r="O949" s="4">
        <v>44</v>
      </c>
      <c r="P949" s="11" t="s">
        <v>9709</v>
      </c>
      <c r="Q949" s="11" t="s">
        <v>10120</v>
      </c>
      <c r="S949" s="4" t="b">
        <f>ISNUMBER(MATCH(Q949,T:T,0))</f>
        <v>1</v>
      </c>
      <c r="T949" s="4" t="s">
        <v>6005</v>
      </c>
      <c r="U949" s="4" t="str">
        <f t="shared" si="49"/>
        <v>陵</v>
      </c>
    </row>
    <row r="950" spans="1:22">
      <c r="A950" s="3">
        <v>949</v>
      </c>
      <c r="B950" s="3" t="s">
        <v>1249</v>
      </c>
      <c r="C950" s="3" t="s">
        <v>6058</v>
      </c>
      <c r="D950" s="3" t="s">
        <v>6001</v>
      </c>
      <c r="E950" s="3" t="s">
        <v>5991</v>
      </c>
      <c r="F950" s="3" t="s">
        <v>1250</v>
      </c>
      <c r="G950" s="3" t="s">
        <v>5993</v>
      </c>
      <c r="H950" s="3" t="s">
        <v>1256</v>
      </c>
      <c r="I950" s="3" t="s">
        <v>1251</v>
      </c>
      <c r="J950" s="5" t="s">
        <v>7903</v>
      </c>
      <c r="L950" s="3" t="s">
        <v>1203</v>
      </c>
      <c r="M950" s="3">
        <v>18</v>
      </c>
      <c r="N950" s="4" t="s">
        <v>1250</v>
      </c>
      <c r="O950" s="4">
        <v>44</v>
      </c>
      <c r="P950" s="11" t="s">
        <v>9727</v>
      </c>
      <c r="Q950" s="11" t="s">
        <v>10121</v>
      </c>
      <c r="S950" s="4" t="b">
        <f>ISNUMBER(MATCH(Q950,T:T,0))</f>
        <v>1</v>
      </c>
      <c r="T950" s="4" t="s">
        <v>10120</v>
      </c>
      <c r="U950" s="4" t="str">
        <f t="shared" si="49"/>
        <v>膺</v>
      </c>
    </row>
    <row r="951" spans="1:22">
      <c r="A951" s="3">
        <v>950</v>
      </c>
      <c r="B951" s="3" t="s">
        <v>1249</v>
      </c>
      <c r="C951" s="3" t="s">
        <v>6072</v>
      </c>
      <c r="D951" s="3" t="s">
        <v>6001</v>
      </c>
      <c r="E951" s="3" t="s">
        <v>5991</v>
      </c>
      <c r="F951" s="3" t="s">
        <v>1250</v>
      </c>
      <c r="G951" s="3" t="s">
        <v>5993</v>
      </c>
      <c r="H951" s="3" t="s">
        <v>1257</v>
      </c>
      <c r="I951" s="3" t="s">
        <v>1251</v>
      </c>
      <c r="J951" s="5" t="s">
        <v>1258</v>
      </c>
      <c r="L951" s="3" t="s">
        <v>1108</v>
      </c>
      <c r="M951" s="3">
        <v>4</v>
      </c>
      <c r="N951" s="4" t="s">
        <v>1250</v>
      </c>
      <c r="O951" s="4">
        <v>44</v>
      </c>
      <c r="P951" s="11" t="s">
        <v>9754</v>
      </c>
      <c r="Q951" s="11" t="s">
        <v>10120</v>
      </c>
      <c r="S951" s="4" t="b">
        <f>ISNUMBER(MATCH(Q951,T:T,0))</f>
        <v>1</v>
      </c>
      <c r="T951" s="4" t="s">
        <v>10121</v>
      </c>
      <c r="U951" s="4" t="str">
        <f t="shared" si="49"/>
        <v>陵</v>
      </c>
    </row>
    <row r="952" spans="1:22">
      <c r="A952" s="3">
        <v>951</v>
      </c>
      <c r="B952" s="3" t="s">
        <v>1249</v>
      </c>
      <c r="C952" s="3" t="s">
        <v>6045</v>
      </c>
      <c r="D952" s="3" t="s">
        <v>6001</v>
      </c>
      <c r="E952" s="3" t="s">
        <v>5991</v>
      </c>
      <c r="F952" s="3" t="s">
        <v>1250</v>
      </c>
      <c r="G952" s="3" t="s">
        <v>5993</v>
      </c>
      <c r="H952" s="3" t="s">
        <v>1259</v>
      </c>
      <c r="I952" s="3" t="s">
        <v>1251</v>
      </c>
      <c r="J952" s="8" t="s">
        <v>7904</v>
      </c>
      <c r="L952" s="3" t="s">
        <v>1113</v>
      </c>
      <c r="M952" s="3">
        <v>5</v>
      </c>
      <c r="N952" s="4" t="s">
        <v>1250</v>
      </c>
      <c r="O952" s="4">
        <v>44</v>
      </c>
      <c r="P952" s="11" t="s">
        <v>9926</v>
      </c>
      <c r="Q952" s="11" t="s">
        <v>10122</v>
      </c>
      <c r="R952" s="4" t="s">
        <v>13061</v>
      </c>
      <c r="S952" s="4" t="b">
        <f>ISNUMBER(MATCH(Q952,T:T,0))</f>
        <v>0</v>
      </c>
      <c r="T952" s="4" t="s">
        <v>11434</v>
      </c>
      <c r="U952" s="4" t="str">
        <f t="shared" si="49"/>
        <v>冫</v>
      </c>
      <c r="V952" s="4" t="b">
        <f>ISNUMBER(MATCH(R952,T:T,0))</f>
        <v>1</v>
      </c>
    </row>
    <row r="953" spans="1:22">
      <c r="A953" s="3">
        <v>952</v>
      </c>
      <c r="B953" s="3" t="s">
        <v>1249</v>
      </c>
      <c r="C953" s="3" t="s">
        <v>6049</v>
      </c>
      <c r="D953" s="3" t="s">
        <v>6001</v>
      </c>
      <c r="E953" s="3" t="s">
        <v>5991</v>
      </c>
      <c r="F953" s="3" t="s">
        <v>1250</v>
      </c>
      <c r="G953" s="3" t="s">
        <v>5993</v>
      </c>
      <c r="H953" s="3" t="s">
        <v>1260</v>
      </c>
      <c r="I953" s="3" t="s">
        <v>1251</v>
      </c>
      <c r="J953" s="8" t="s">
        <v>7905</v>
      </c>
      <c r="L953" s="3" t="s">
        <v>1127</v>
      </c>
      <c r="M953" s="3">
        <v>3</v>
      </c>
      <c r="N953" s="4" t="s">
        <v>1250</v>
      </c>
      <c r="O953" s="4">
        <v>44</v>
      </c>
      <c r="P953" s="11" t="s">
        <v>10123</v>
      </c>
      <c r="Q953" s="11" t="s">
        <v>10120</v>
      </c>
      <c r="S953" s="4" t="b">
        <f>ISNUMBER(MATCH(Q953,T:T,0))</f>
        <v>1</v>
      </c>
      <c r="T953" s="4" t="s">
        <v>11435</v>
      </c>
      <c r="U953" s="4" t="str">
        <f t="shared" si="49"/>
        <v>陵</v>
      </c>
    </row>
    <row r="954" spans="1:22">
      <c r="A954" s="3">
        <v>953</v>
      </c>
      <c r="B954" s="3" t="s">
        <v>1249</v>
      </c>
      <c r="C954" s="3" t="s">
        <v>6028</v>
      </c>
      <c r="D954" s="3" t="s">
        <v>6001</v>
      </c>
      <c r="E954" s="3" t="s">
        <v>5991</v>
      </c>
      <c r="F954" s="3" t="s">
        <v>1250</v>
      </c>
      <c r="G954" s="3" t="s">
        <v>5993</v>
      </c>
      <c r="H954" s="3" t="s">
        <v>1261</v>
      </c>
      <c r="I954" s="3" t="s">
        <v>1251</v>
      </c>
      <c r="J954" s="5" t="s">
        <v>1262</v>
      </c>
      <c r="L954" s="3" t="s">
        <v>1139</v>
      </c>
      <c r="M954" s="3">
        <v>1</v>
      </c>
      <c r="N954" s="4" t="s">
        <v>1250</v>
      </c>
      <c r="O954" s="4">
        <v>44</v>
      </c>
      <c r="P954" s="11" t="s">
        <v>9850</v>
      </c>
      <c r="Q954" s="11" t="s">
        <v>10120</v>
      </c>
      <c r="S954" s="4" t="b">
        <f>ISNUMBER(MATCH(Q954,T:T,0))</f>
        <v>1</v>
      </c>
      <c r="T954" s="4" t="s">
        <v>1262</v>
      </c>
      <c r="U954" s="4" t="str">
        <f t="shared" si="49"/>
        <v>陵</v>
      </c>
    </row>
    <row r="955" spans="1:22" ht="28.5">
      <c r="A955" s="3">
        <v>954</v>
      </c>
      <c r="B955" s="3" t="s">
        <v>1249</v>
      </c>
      <c r="C955" s="3" t="s">
        <v>3093</v>
      </c>
      <c r="D955" s="3" t="s">
        <v>6001</v>
      </c>
      <c r="E955" s="3" t="s">
        <v>5991</v>
      </c>
      <c r="F955" s="3" t="s">
        <v>1250</v>
      </c>
      <c r="G955" s="3" t="s">
        <v>5993</v>
      </c>
      <c r="H955" s="3" t="s">
        <v>1263</v>
      </c>
      <c r="I955" s="3" t="s">
        <v>1251</v>
      </c>
      <c r="J955" s="5" t="s">
        <v>7906</v>
      </c>
      <c r="L955" s="3" t="s">
        <v>1106</v>
      </c>
      <c r="M955" s="3">
        <v>12</v>
      </c>
      <c r="N955" s="4" t="s">
        <v>1250</v>
      </c>
      <c r="O955" s="4">
        <v>44</v>
      </c>
      <c r="P955" s="11" t="s">
        <v>9929</v>
      </c>
      <c r="Q955" s="11" t="s">
        <v>10120</v>
      </c>
      <c r="S955" s="4" t="b">
        <f>ISNUMBER(MATCH(Q955,T:T,0))</f>
        <v>1</v>
      </c>
      <c r="T955" s="4" t="s">
        <v>11436</v>
      </c>
      <c r="U955" s="4" t="str">
        <f t="shared" si="49"/>
        <v>陵</v>
      </c>
    </row>
    <row r="956" spans="1:22" ht="28.5">
      <c r="A956" s="3">
        <v>955</v>
      </c>
      <c r="B956" s="3" t="s">
        <v>1249</v>
      </c>
      <c r="C956" s="3" t="s">
        <v>6120</v>
      </c>
      <c r="D956" s="3" t="s">
        <v>6001</v>
      </c>
      <c r="E956" s="3" t="s">
        <v>5991</v>
      </c>
      <c r="F956" s="3" t="s">
        <v>1250</v>
      </c>
      <c r="G956" s="3" t="s">
        <v>5993</v>
      </c>
      <c r="H956" s="3" t="s">
        <v>1264</v>
      </c>
      <c r="I956" s="3" t="s">
        <v>1251</v>
      </c>
      <c r="J956" s="5" t="s">
        <v>7907</v>
      </c>
      <c r="L956" s="3" t="s">
        <v>1134</v>
      </c>
      <c r="M956" s="3">
        <v>5</v>
      </c>
      <c r="N956" s="4" t="s">
        <v>1250</v>
      </c>
      <c r="O956" s="4">
        <v>44</v>
      </c>
      <c r="P956" s="11" t="s">
        <v>10124</v>
      </c>
      <c r="Q956" s="11" t="s">
        <v>1250</v>
      </c>
      <c r="S956" s="4" t="b">
        <f>ISNUMBER(MATCH(Q956,T:T,0))</f>
        <v>1</v>
      </c>
      <c r="T956" s="4" t="s">
        <v>10129</v>
      </c>
      <c r="U956" s="4" t="str">
        <f t="shared" si="49"/>
        <v>蒸</v>
      </c>
    </row>
    <row r="957" spans="1:22">
      <c r="A957" s="3">
        <v>956</v>
      </c>
      <c r="B957" s="3" t="s">
        <v>1249</v>
      </c>
      <c r="C957" s="3" t="s">
        <v>6021</v>
      </c>
      <c r="D957" s="3" t="s">
        <v>6001</v>
      </c>
      <c r="E957" s="3" t="s">
        <v>5991</v>
      </c>
      <c r="F957" s="3" t="s">
        <v>1250</v>
      </c>
      <c r="G957" s="3" t="s">
        <v>5993</v>
      </c>
      <c r="H957" s="3" t="s">
        <v>717</v>
      </c>
      <c r="I957" s="3" t="s">
        <v>1251</v>
      </c>
      <c r="J957" s="5" t="s">
        <v>7908</v>
      </c>
      <c r="L957" s="3" t="s">
        <v>1265</v>
      </c>
      <c r="M957" s="3">
        <v>7</v>
      </c>
      <c r="N957" s="4" t="s">
        <v>1250</v>
      </c>
      <c r="O957" s="4">
        <v>44</v>
      </c>
      <c r="P957" s="11" t="s">
        <v>9715</v>
      </c>
      <c r="Q957" s="11" t="s">
        <v>10125</v>
      </c>
      <c r="S957" s="4" t="b">
        <f>ISNUMBER(MATCH(Q957,T:T,0))</f>
        <v>1</v>
      </c>
      <c r="T957" s="4" t="s">
        <v>10119</v>
      </c>
      <c r="U957" s="4" t="str">
        <f t="shared" si="49"/>
        <v>乗</v>
      </c>
    </row>
    <row r="958" spans="1:22">
      <c r="A958" s="3">
        <v>957</v>
      </c>
      <c r="B958" s="3" t="s">
        <v>1249</v>
      </c>
      <c r="C958" s="3" t="s">
        <v>6025</v>
      </c>
      <c r="D958" s="3" t="s">
        <v>6001</v>
      </c>
      <c r="E958" s="3" t="s">
        <v>5991</v>
      </c>
      <c r="F958" s="3" t="s">
        <v>1250</v>
      </c>
      <c r="G958" s="3" t="s">
        <v>5993</v>
      </c>
      <c r="H958" s="3" t="s">
        <v>1266</v>
      </c>
      <c r="I958" s="3" t="s">
        <v>1251</v>
      </c>
      <c r="J958" s="5" t="s">
        <v>1267</v>
      </c>
      <c r="L958" s="3" t="s">
        <v>1115</v>
      </c>
      <c r="M958" s="3">
        <v>2</v>
      </c>
      <c r="N958" s="4" t="s">
        <v>1250</v>
      </c>
      <c r="O958" s="4">
        <v>44</v>
      </c>
      <c r="P958" s="11" t="s">
        <v>9717</v>
      </c>
      <c r="Q958" s="11" t="s">
        <v>10120</v>
      </c>
      <c r="S958" s="4" t="b">
        <f>ISNUMBER(MATCH(Q958,T:T,0))</f>
        <v>1</v>
      </c>
      <c r="T958" s="4" t="s">
        <v>10128</v>
      </c>
      <c r="U958" s="4" t="str">
        <f t="shared" si="49"/>
        <v>陵</v>
      </c>
    </row>
    <row r="959" spans="1:22" ht="28.5">
      <c r="A959" s="3">
        <v>958</v>
      </c>
      <c r="B959" s="3" t="s">
        <v>1249</v>
      </c>
      <c r="C959" s="3" t="s">
        <v>6000</v>
      </c>
      <c r="D959" s="3" t="s">
        <v>6001</v>
      </c>
      <c r="E959" s="3" t="s">
        <v>5991</v>
      </c>
      <c r="F959" s="3" t="s">
        <v>1250</v>
      </c>
      <c r="G959" s="3" t="s">
        <v>5993</v>
      </c>
      <c r="H959" s="3" t="s">
        <v>1268</v>
      </c>
      <c r="I959" s="3" t="s">
        <v>1251</v>
      </c>
      <c r="J959" s="5" t="s">
        <v>1269</v>
      </c>
      <c r="L959" s="3" t="s">
        <v>1122</v>
      </c>
      <c r="M959" s="3">
        <v>4</v>
      </c>
      <c r="N959" s="4" t="s">
        <v>1250</v>
      </c>
      <c r="O959" s="4">
        <v>44</v>
      </c>
      <c r="P959" s="11" t="s">
        <v>9707</v>
      </c>
      <c r="Q959" s="11" t="s">
        <v>10120</v>
      </c>
      <c r="S959" s="4" t="b">
        <f>ISNUMBER(MATCH(Q959,T:T,0))</f>
        <v>1</v>
      </c>
      <c r="T959" s="4" t="s">
        <v>10768</v>
      </c>
      <c r="U959" s="4" t="str">
        <f t="shared" si="49"/>
        <v>陵</v>
      </c>
    </row>
    <row r="960" spans="1:22">
      <c r="A960" s="3">
        <v>959</v>
      </c>
      <c r="B960" s="3" t="s">
        <v>1249</v>
      </c>
      <c r="C960" s="3" t="s">
        <v>6069</v>
      </c>
      <c r="D960" s="3" t="s">
        <v>6001</v>
      </c>
      <c r="E960" s="3" t="s">
        <v>5991</v>
      </c>
      <c r="F960" s="3" t="s">
        <v>1250</v>
      </c>
      <c r="G960" s="3" t="s">
        <v>5993</v>
      </c>
      <c r="H960" s="3" t="s">
        <v>1270</v>
      </c>
      <c r="I960" s="3" t="s">
        <v>1251</v>
      </c>
      <c r="J960" s="5" t="s">
        <v>7909</v>
      </c>
      <c r="L960" s="3" t="s">
        <v>1136</v>
      </c>
      <c r="M960" s="3">
        <v>6</v>
      </c>
      <c r="N960" s="4" t="s">
        <v>1250</v>
      </c>
      <c r="O960" s="4">
        <v>44</v>
      </c>
      <c r="P960" s="11" t="s">
        <v>9756</v>
      </c>
      <c r="Q960" s="11" t="s">
        <v>10120</v>
      </c>
      <c r="S960" s="4" t="b">
        <f>ISNUMBER(MATCH(Q960,T:T,0))</f>
        <v>1</v>
      </c>
      <c r="T960" s="4" t="s">
        <v>11437</v>
      </c>
      <c r="U960" s="4" t="str">
        <f t="shared" si="49"/>
        <v>陵</v>
      </c>
    </row>
    <row r="961" spans="1:22">
      <c r="A961" s="3">
        <v>960</v>
      </c>
      <c r="B961" s="3" t="s">
        <v>1249</v>
      </c>
      <c r="C961" s="3" t="s">
        <v>6092</v>
      </c>
      <c r="D961" s="3" t="s">
        <v>6001</v>
      </c>
      <c r="E961" s="3" t="s">
        <v>5991</v>
      </c>
      <c r="F961" s="3" t="s">
        <v>1250</v>
      </c>
      <c r="G961" s="3" t="s">
        <v>5993</v>
      </c>
      <c r="H961" s="3" t="s">
        <v>4940</v>
      </c>
      <c r="I961" s="3" t="s">
        <v>1251</v>
      </c>
      <c r="J961" s="5" t="s">
        <v>4941</v>
      </c>
      <c r="L961" s="3" t="s">
        <v>1139</v>
      </c>
      <c r="M961" s="3">
        <v>1</v>
      </c>
      <c r="N961" s="4" t="s">
        <v>1250</v>
      </c>
      <c r="O961" s="4">
        <v>44</v>
      </c>
      <c r="P961" s="11" t="s">
        <v>6462</v>
      </c>
      <c r="Q961" s="11" t="s">
        <v>10120</v>
      </c>
      <c r="S961" s="4" t="b">
        <f>ISNUMBER(MATCH(Q961,T:T,0))</f>
        <v>1</v>
      </c>
      <c r="T961" s="4" t="s">
        <v>4941</v>
      </c>
      <c r="U961" s="4" t="str">
        <f t="shared" si="49"/>
        <v>陵</v>
      </c>
    </row>
    <row r="962" spans="1:22">
      <c r="A962" s="3">
        <v>961</v>
      </c>
      <c r="B962" s="3" t="s">
        <v>1249</v>
      </c>
      <c r="C962" s="3" t="s">
        <v>6089</v>
      </c>
      <c r="D962" s="3" t="s">
        <v>6001</v>
      </c>
      <c r="E962" s="3" t="s">
        <v>5991</v>
      </c>
      <c r="F962" s="3" t="s">
        <v>1250</v>
      </c>
      <c r="G962" s="3" t="s">
        <v>5993</v>
      </c>
      <c r="H962" s="7" t="s">
        <v>718</v>
      </c>
      <c r="I962" s="3" t="s">
        <v>1251</v>
      </c>
      <c r="J962" s="5" t="s">
        <v>4942</v>
      </c>
      <c r="K962" s="3" t="s">
        <v>4943</v>
      </c>
      <c r="L962" s="3" t="s">
        <v>1215</v>
      </c>
      <c r="M962" s="3">
        <v>3</v>
      </c>
      <c r="N962" s="4" t="s">
        <v>1250</v>
      </c>
      <c r="O962" s="4">
        <v>44</v>
      </c>
      <c r="P962" s="11" t="s">
        <v>9958</v>
      </c>
      <c r="Q962" s="11" t="s">
        <v>10120</v>
      </c>
      <c r="S962" s="4" t="b">
        <f>ISNUMBER(MATCH(Q962,T:T,0))</f>
        <v>1</v>
      </c>
      <c r="T962" s="4" t="s">
        <v>10216</v>
      </c>
      <c r="U962" s="4" t="str">
        <f t="shared" si="49"/>
        <v>陵</v>
      </c>
    </row>
    <row r="963" spans="1:22" ht="28.5">
      <c r="A963" s="3">
        <v>962</v>
      </c>
      <c r="B963" s="3" t="s">
        <v>1249</v>
      </c>
      <c r="C963" s="3" t="s">
        <v>6055</v>
      </c>
      <c r="D963" s="3" t="s">
        <v>6001</v>
      </c>
      <c r="E963" s="3" t="s">
        <v>5991</v>
      </c>
      <c r="F963" s="3" t="s">
        <v>1250</v>
      </c>
      <c r="G963" s="3" t="s">
        <v>5993</v>
      </c>
      <c r="H963" s="3" t="s">
        <v>4944</v>
      </c>
      <c r="I963" s="3" t="s">
        <v>1251</v>
      </c>
      <c r="J963" s="5" t="s">
        <v>7910</v>
      </c>
      <c r="L963" s="3" t="s">
        <v>1101</v>
      </c>
      <c r="M963" s="3">
        <v>3</v>
      </c>
      <c r="N963" s="4" t="s">
        <v>1250</v>
      </c>
      <c r="O963" s="4">
        <v>44</v>
      </c>
      <c r="P963" s="11" t="s">
        <v>9809</v>
      </c>
      <c r="Q963" s="11" t="s">
        <v>10120</v>
      </c>
      <c r="S963" s="4" t="b">
        <f>ISNUMBER(MATCH(Q963,T:T,0))</f>
        <v>1</v>
      </c>
      <c r="T963" s="4" t="s">
        <v>11438</v>
      </c>
      <c r="U963" s="4" t="str">
        <f t="shared" ref="U963:U1026" si="50">IF(ISBLANK(R963),Q963,R963)</f>
        <v>陵</v>
      </c>
    </row>
    <row r="964" spans="1:22">
      <c r="A964" s="3">
        <v>963</v>
      </c>
      <c r="B964" s="3" t="s">
        <v>1249</v>
      </c>
      <c r="C964" s="3" t="s">
        <v>6041</v>
      </c>
      <c r="D964" s="3" t="s">
        <v>6001</v>
      </c>
      <c r="E964" s="3" t="s">
        <v>5991</v>
      </c>
      <c r="F964" s="3" t="s">
        <v>1250</v>
      </c>
      <c r="G964" s="3" t="s">
        <v>5993</v>
      </c>
      <c r="H964" s="3" t="s">
        <v>4945</v>
      </c>
      <c r="I964" s="3" t="s">
        <v>1251</v>
      </c>
      <c r="J964" s="5" t="s">
        <v>4946</v>
      </c>
      <c r="L964" s="3" t="s">
        <v>1136</v>
      </c>
      <c r="M964" s="3">
        <v>2</v>
      </c>
      <c r="N964" s="4" t="s">
        <v>1250</v>
      </c>
      <c r="O964" s="4">
        <v>44</v>
      </c>
      <c r="P964" s="11" t="s">
        <v>9830</v>
      </c>
      <c r="Q964" s="11" t="s">
        <v>10126</v>
      </c>
      <c r="R964" s="4" t="s">
        <v>13062</v>
      </c>
      <c r="S964" s="4" t="b">
        <f>ISNUMBER(MATCH(Q964,T:T,0))</f>
        <v>0</v>
      </c>
      <c r="T964" s="4" t="s">
        <v>3873</v>
      </c>
      <c r="U964" s="4" t="str">
        <f t="shared" si="50"/>
        <v>兢</v>
      </c>
      <c r="V964" s="4" t="b">
        <f t="shared" ref="V964:V965" si="51">ISNUMBER(MATCH(R964,T:T,0))</f>
        <v>1</v>
      </c>
    </row>
    <row r="965" spans="1:22" ht="28.5">
      <c r="A965" s="3">
        <v>964</v>
      </c>
      <c r="B965" s="3" t="s">
        <v>1249</v>
      </c>
      <c r="C965" s="3" t="s">
        <v>6180</v>
      </c>
      <c r="D965" s="3" t="s">
        <v>6001</v>
      </c>
      <c r="E965" s="3" t="s">
        <v>5991</v>
      </c>
      <c r="F965" s="3" t="s">
        <v>1250</v>
      </c>
      <c r="G965" s="3" t="s">
        <v>5993</v>
      </c>
      <c r="H965" s="3" t="s">
        <v>4947</v>
      </c>
      <c r="I965" s="3" t="s">
        <v>1251</v>
      </c>
      <c r="J965" s="5" t="s">
        <v>4948</v>
      </c>
      <c r="L965" s="3" t="s">
        <v>1134</v>
      </c>
      <c r="M965" s="3">
        <v>1</v>
      </c>
      <c r="N965" s="4" t="s">
        <v>1250</v>
      </c>
      <c r="O965" s="4">
        <v>44</v>
      </c>
      <c r="P965" s="11" t="s">
        <v>6836</v>
      </c>
      <c r="Q965" s="11" t="s">
        <v>10126</v>
      </c>
      <c r="R965" s="4" t="s">
        <v>13062</v>
      </c>
      <c r="S965" s="4" t="b">
        <f>ISNUMBER(MATCH(Q965,T:T,0))</f>
        <v>0</v>
      </c>
      <c r="T965" s="4" t="s">
        <v>4948</v>
      </c>
      <c r="U965" s="4" t="str">
        <f t="shared" si="50"/>
        <v>兢</v>
      </c>
      <c r="V965" s="4" t="b">
        <f t="shared" si="51"/>
        <v>1</v>
      </c>
    </row>
    <row r="966" spans="1:22">
      <c r="A966" s="3">
        <v>965</v>
      </c>
      <c r="B966" s="3" t="s">
        <v>1249</v>
      </c>
      <c r="C966" s="3" t="s">
        <v>6038</v>
      </c>
      <c r="D966" s="3" t="s">
        <v>6001</v>
      </c>
      <c r="E966" s="3" t="s">
        <v>5991</v>
      </c>
      <c r="F966" s="3" t="s">
        <v>1250</v>
      </c>
      <c r="G966" s="3" t="s">
        <v>5993</v>
      </c>
      <c r="H966" s="3" t="s">
        <v>4949</v>
      </c>
      <c r="I966" s="3" t="s">
        <v>1251</v>
      </c>
      <c r="J966" s="5" t="s">
        <v>4950</v>
      </c>
      <c r="L966" s="3" t="s">
        <v>1132</v>
      </c>
      <c r="M966" s="3">
        <v>1</v>
      </c>
      <c r="N966" s="4" t="s">
        <v>1250</v>
      </c>
      <c r="O966" s="4">
        <v>44</v>
      </c>
      <c r="P966" s="11" t="s">
        <v>10127</v>
      </c>
      <c r="Q966" s="11" t="s">
        <v>10128</v>
      </c>
      <c r="S966" s="4" t="b">
        <f>ISNUMBER(MATCH(Q966,T:T,0))</f>
        <v>1</v>
      </c>
      <c r="T966" s="4" t="s">
        <v>4950</v>
      </c>
      <c r="U966" s="4" t="str">
        <f t="shared" si="50"/>
        <v>兢</v>
      </c>
    </row>
    <row r="967" spans="1:22" ht="28.5">
      <c r="A967" s="3">
        <v>966</v>
      </c>
      <c r="B967" s="3" t="s">
        <v>1249</v>
      </c>
      <c r="C967" s="3" t="s">
        <v>6011</v>
      </c>
      <c r="D967" s="3" t="s">
        <v>6001</v>
      </c>
      <c r="E967" s="3" t="s">
        <v>5991</v>
      </c>
      <c r="F967" s="3" t="s">
        <v>1250</v>
      </c>
      <c r="G967" s="3" t="s">
        <v>5993</v>
      </c>
      <c r="H967" s="3" t="s">
        <v>4951</v>
      </c>
      <c r="I967" s="3" t="s">
        <v>1251</v>
      </c>
      <c r="J967" s="8" t="s">
        <v>7911</v>
      </c>
      <c r="L967" s="3" t="s">
        <v>1101</v>
      </c>
      <c r="M967" s="3">
        <v>3</v>
      </c>
      <c r="N967" s="4" t="s">
        <v>1250</v>
      </c>
      <c r="O967" s="4">
        <v>44</v>
      </c>
      <c r="P967" s="11" t="s">
        <v>9757</v>
      </c>
      <c r="Q967" s="11" t="s">
        <v>10129</v>
      </c>
      <c r="S967" s="4" t="b">
        <f>ISNUMBER(MATCH(Q967,T:T,0))</f>
        <v>1</v>
      </c>
      <c r="T967" s="4" t="s">
        <v>11439</v>
      </c>
      <c r="U967" s="4" t="str">
        <f t="shared" si="50"/>
        <v>升</v>
      </c>
    </row>
    <row r="968" spans="1:22" ht="28.5">
      <c r="A968" s="3">
        <v>967</v>
      </c>
      <c r="B968" s="3" t="s">
        <v>1249</v>
      </c>
      <c r="C968" s="3" t="s">
        <v>6015</v>
      </c>
      <c r="D968" s="3" t="s">
        <v>6001</v>
      </c>
      <c r="E968" s="3" t="s">
        <v>5991</v>
      </c>
      <c r="F968" s="3" t="s">
        <v>1250</v>
      </c>
      <c r="G968" s="3" t="s">
        <v>5993</v>
      </c>
      <c r="H968" s="3" t="s">
        <v>4952</v>
      </c>
      <c r="I968" s="3" t="s">
        <v>1251</v>
      </c>
      <c r="J968" s="5" t="s">
        <v>4953</v>
      </c>
      <c r="L968" s="3" t="s">
        <v>1106</v>
      </c>
      <c r="M968" s="3">
        <v>1</v>
      </c>
      <c r="N968" s="4" t="s">
        <v>1250</v>
      </c>
      <c r="O968" s="4">
        <v>44</v>
      </c>
      <c r="P968" s="11" t="s">
        <v>9866</v>
      </c>
      <c r="Q968" s="11" t="s">
        <v>10128</v>
      </c>
      <c r="S968" s="4" t="b">
        <f>ISNUMBER(MATCH(Q968,T:T,0))</f>
        <v>1</v>
      </c>
      <c r="T968" s="4" t="s">
        <v>4953</v>
      </c>
      <c r="U968" s="4" t="str">
        <f t="shared" si="50"/>
        <v>兢</v>
      </c>
    </row>
    <row r="969" spans="1:22">
      <c r="A969" s="3">
        <v>968</v>
      </c>
      <c r="B969" s="3" t="s">
        <v>1249</v>
      </c>
      <c r="C969" s="3" t="s">
        <v>6053</v>
      </c>
      <c r="D969" s="3" t="s">
        <v>6001</v>
      </c>
      <c r="E969" s="3" t="s">
        <v>5991</v>
      </c>
      <c r="F969" s="3" t="s">
        <v>1250</v>
      </c>
      <c r="G969" s="3" t="s">
        <v>5993</v>
      </c>
      <c r="H969" s="3" t="s">
        <v>4954</v>
      </c>
      <c r="I969" s="3" t="s">
        <v>1251</v>
      </c>
      <c r="J969" s="5" t="s">
        <v>4955</v>
      </c>
      <c r="L969" s="3" t="s">
        <v>1111</v>
      </c>
      <c r="M969" s="3">
        <v>1</v>
      </c>
      <c r="N969" s="4" t="s">
        <v>1250</v>
      </c>
      <c r="O969" s="4">
        <v>44</v>
      </c>
      <c r="P969" s="11" t="s">
        <v>10130</v>
      </c>
      <c r="Q969" s="11" t="s">
        <v>10122</v>
      </c>
      <c r="R969" s="4" t="s">
        <v>13061</v>
      </c>
      <c r="S969" s="4" t="b">
        <f>ISNUMBER(MATCH(Q969,T:T,0))</f>
        <v>0</v>
      </c>
      <c r="T969" s="4" t="s">
        <v>4955</v>
      </c>
      <c r="U969" s="4" t="str">
        <f t="shared" si="50"/>
        <v>冫</v>
      </c>
      <c r="V969" s="4" t="b">
        <f t="shared" ref="V969:V970" si="52">ISNUMBER(MATCH(R969,T:T,0))</f>
        <v>1</v>
      </c>
    </row>
    <row r="970" spans="1:22">
      <c r="A970" s="3">
        <v>969</v>
      </c>
      <c r="B970" s="3" t="s">
        <v>4956</v>
      </c>
      <c r="C970" s="3" t="s">
        <v>5989</v>
      </c>
      <c r="D970" s="3" t="s">
        <v>5990</v>
      </c>
      <c r="E970" s="3" t="s">
        <v>5991</v>
      </c>
      <c r="F970" s="3" t="s">
        <v>4957</v>
      </c>
      <c r="G970" s="3" t="s">
        <v>5993</v>
      </c>
      <c r="H970" s="3" t="s">
        <v>4958</v>
      </c>
      <c r="I970" s="3" t="s">
        <v>1251</v>
      </c>
      <c r="J970" s="5" t="s">
        <v>4959</v>
      </c>
      <c r="L970" s="3" t="s">
        <v>4960</v>
      </c>
      <c r="M970" s="3">
        <v>8</v>
      </c>
      <c r="N970" s="4" t="s">
        <v>4957</v>
      </c>
      <c r="O970" s="4">
        <v>45</v>
      </c>
      <c r="P970" s="11" t="s">
        <v>9742</v>
      </c>
      <c r="Q970" s="11" t="s">
        <v>10131</v>
      </c>
      <c r="R970" s="4" t="s">
        <v>13063</v>
      </c>
      <c r="S970" s="4" t="b">
        <f>ISNUMBER(MATCH(Q970,T:T,0))</f>
        <v>0</v>
      </c>
      <c r="T970" s="4" t="s">
        <v>4957</v>
      </c>
      <c r="U970" s="4" t="str">
        <f t="shared" si="50"/>
        <v>騰</v>
      </c>
      <c r="V970" s="4" t="b">
        <f t="shared" si="52"/>
        <v>1</v>
      </c>
    </row>
    <row r="971" spans="1:22">
      <c r="A971" s="3">
        <v>970</v>
      </c>
      <c r="B971" s="3" t="s">
        <v>4956</v>
      </c>
      <c r="C971" s="3" t="s">
        <v>6058</v>
      </c>
      <c r="D971" s="3" t="s">
        <v>5990</v>
      </c>
      <c r="E971" s="3" t="s">
        <v>5991</v>
      </c>
      <c r="F971" s="3" t="s">
        <v>4957</v>
      </c>
      <c r="G971" s="3" t="s">
        <v>5993</v>
      </c>
      <c r="H971" s="3" t="s">
        <v>4961</v>
      </c>
      <c r="I971" s="3" t="s">
        <v>1251</v>
      </c>
      <c r="J971" s="5" t="s">
        <v>7912</v>
      </c>
      <c r="L971" s="3" t="s">
        <v>4962</v>
      </c>
      <c r="M971" s="3">
        <v>6</v>
      </c>
      <c r="N971" s="4" t="s">
        <v>4957</v>
      </c>
      <c r="O971" s="4">
        <v>45</v>
      </c>
      <c r="P971" s="11" t="s">
        <v>9920</v>
      </c>
      <c r="Q971" s="11" t="s">
        <v>4957</v>
      </c>
      <c r="S971" s="4" t="b">
        <f>ISNUMBER(MATCH(Q971,T:T,0))</f>
        <v>1</v>
      </c>
      <c r="T971" s="4" t="s">
        <v>10132</v>
      </c>
      <c r="U971" s="4" t="str">
        <f t="shared" si="50"/>
        <v>登</v>
      </c>
    </row>
    <row r="972" spans="1:22">
      <c r="A972" s="3">
        <v>971</v>
      </c>
      <c r="B972" s="3" t="s">
        <v>4956</v>
      </c>
      <c r="C972" s="3" t="s">
        <v>6017</v>
      </c>
      <c r="D972" s="3" t="s">
        <v>5990</v>
      </c>
      <c r="E972" s="3" t="s">
        <v>5991</v>
      </c>
      <c r="F972" s="3" t="s">
        <v>4957</v>
      </c>
      <c r="G972" s="3" t="s">
        <v>5993</v>
      </c>
      <c r="H972" s="3" t="s">
        <v>4963</v>
      </c>
      <c r="I972" s="3" t="s">
        <v>1251</v>
      </c>
      <c r="J972" s="5" t="s">
        <v>4964</v>
      </c>
      <c r="L972" s="3" t="s">
        <v>4965</v>
      </c>
      <c r="M972" s="3">
        <v>3</v>
      </c>
      <c r="N972" s="4" t="s">
        <v>4957</v>
      </c>
      <c r="O972" s="4">
        <v>45</v>
      </c>
      <c r="P972" s="11" t="s">
        <v>9741</v>
      </c>
      <c r="Q972" s="11" t="s">
        <v>32</v>
      </c>
      <c r="S972" s="4" t="b">
        <f>ISNUMBER(MATCH(Q972,T:T,0))</f>
        <v>1</v>
      </c>
      <c r="T972" s="4" t="s">
        <v>11440</v>
      </c>
      <c r="U972" s="4" t="str">
        <f t="shared" si="50"/>
        <v>增</v>
      </c>
    </row>
    <row r="973" spans="1:22">
      <c r="A973" s="3">
        <v>972</v>
      </c>
      <c r="B973" s="3" t="s">
        <v>4956</v>
      </c>
      <c r="C973" s="3" t="s">
        <v>6049</v>
      </c>
      <c r="D973" s="3" t="s">
        <v>5990</v>
      </c>
      <c r="E973" s="3" t="s">
        <v>5991</v>
      </c>
      <c r="F973" s="3" t="s">
        <v>4957</v>
      </c>
      <c r="G973" s="3" t="s">
        <v>5993</v>
      </c>
      <c r="H973" s="3" t="s">
        <v>4966</v>
      </c>
      <c r="I973" s="3" t="s">
        <v>1251</v>
      </c>
      <c r="J973" s="5" t="s">
        <v>4967</v>
      </c>
      <c r="L973" s="3" t="s">
        <v>1092</v>
      </c>
      <c r="M973" s="3">
        <v>1</v>
      </c>
      <c r="N973" s="4" t="s">
        <v>4957</v>
      </c>
      <c r="O973" s="4">
        <v>45</v>
      </c>
      <c r="P973" s="11" t="s">
        <v>9979</v>
      </c>
      <c r="Q973" s="11" t="s">
        <v>10131</v>
      </c>
      <c r="R973" s="4" t="s">
        <v>13063</v>
      </c>
      <c r="S973" s="4" t="b">
        <f>ISNUMBER(MATCH(Q973,T:T,0))</f>
        <v>0</v>
      </c>
      <c r="T973" s="4" t="s">
        <v>4967</v>
      </c>
      <c r="U973" s="4" t="str">
        <f t="shared" si="50"/>
        <v>騰</v>
      </c>
      <c r="V973" s="4" t="b">
        <f t="shared" ref="V973:V974" si="53">ISNUMBER(MATCH(R973,T:T,0))</f>
        <v>1</v>
      </c>
    </row>
    <row r="974" spans="1:22">
      <c r="A974" s="3">
        <v>973</v>
      </c>
      <c r="B974" s="3" t="s">
        <v>4956</v>
      </c>
      <c r="C974" s="3" t="s">
        <v>6083</v>
      </c>
      <c r="D974" s="3" t="s">
        <v>5990</v>
      </c>
      <c r="E974" s="3" t="s">
        <v>5991</v>
      </c>
      <c r="F974" s="3" t="s">
        <v>4957</v>
      </c>
      <c r="G974" s="3" t="s">
        <v>5993</v>
      </c>
      <c r="H974" s="3" t="s">
        <v>4968</v>
      </c>
      <c r="I974" s="3" t="s">
        <v>1251</v>
      </c>
      <c r="J974" s="5" t="s">
        <v>7913</v>
      </c>
      <c r="L974" s="3" t="s">
        <v>4969</v>
      </c>
      <c r="M974" s="3">
        <v>12</v>
      </c>
      <c r="N974" s="4" t="s">
        <v>4957</v>
      </c>
      <c r="O974" s="4">
        <v>45</v>
      </c>
      <c r="P974" s="11" t="s">
        <v>9745</v>
      </c>
      <c r="Q974" s="11" t="s">
        <v>10131</v>
      </c>
      <c r="R974" s="4" t="s">
        <v>13063</v>
      </c>
      <c r="S974" s="4" t="b">
        <f>ISNUMBER(MATCH(Q974,T:T,0))</f>
        <v>0</v>
      </c>
      <c r="T974" s="4" t="s">
        <v>32</v>
      </c>
      <c r="U974" s="4" t="str">
        <f t="shared" si="50"/>
        <v>騰</v>
      </c>
      <c r="V974" s="4" t="b">
        <f t="shared" si="53"/>
        <v>1</v>
      </c>
    </row>
    <row r="975" spans="1:22">
      <c r="A975" s="3">
        <v>974</v>
      </c>
      <c r="B975" s="3" t="s">
        <v>4956</v>
      </c>
      <c r="C975" s="3" t="s">
        <v>6035</v>
      </c>
      <c r="D975" s="3" t="s">
        <v>5990</v>
      </c>
      <c r="E975" s="3" t="s">
        <v>5991</v>
      </c>
      <c r="F975" s="3" t="s">
        <v>4957</v>
      </c>
      <c r="G975" s="3" t="s">
        <v>5993</v>
      </c>
      <c r="H975" s="3" t="s">
        <v>4970</v>
      </c>
      <c r="I975" s="3" t="s">
        <v>1251</v>
      </c>
      <c r="J975" s="5" t="s">
        <v>4971</v>
      </c>
      <c r="L975" s="3" t="s">
        <v>6037</v>
      </c>
      <c r="M975" s="3">
        <v>4</v>
      </c>
      <c r="N975" s="4" t="s">
        <v>4957</v>
      </c>
      <c r="O975" s="4">
        <v>45</v>
      </c>
      <c r="P975" s="11" t="s">
        <v>9794</v>
      </c>
      <c r="Q975" s="11" t="s">
        <v>4957</v>
      </c>
      <c r="S975" s="4" t="b">
        <f>ISNUMBER(MATCH(Q975,T:T,0))</f>
        <v>1</v>
      </c>
      <c r="T975" s="4" t="s">
        <v>10912</v>
      </c>
      <c r="U975" s="4" t="str">
        <f t="shared" si="50"/>
        <v>登</v>
      </c>
    </row>
    <row r="976" spans="1:22">
      <c r="A976" s="3">
        <v>975</v>
      </c>
      <c r="B976" s="3" t="s">
        <v>4956</v>
      </c>
      <c r="C976" s="3" t="s">
        <v>6069</v>
      </c>
      <c r="D976" s="3" t="s">
        <v>5990</v>
      </c>
      <c r="E976" s="3" t="s">
        <v>5991</v>
      </c>
      <c r="F976" s="3" t="s">
        <v>4957</v>
      </c>
      <c r="G976" s="3" t="s">
        <v>5993</v>
      </c>
      <c r="H976" s="3" t="s">
        <v>4972</v>
      </c>
      <c r="I976" s="3" t="s">
        <v>1251</v>
      </c>
      <c r="J976" s="5" t="s">
        <v>4973</v>
      </c>
      <c r="L976" s="3" t="s">
        <v>4974</v>
      </c>
      <c r="M976" s="3">
        <v>3</v>
      </c>
      <c r="N976" s="4" t="s">
        <v>4957</v>
      </c>
      <c r="O976" s="4">
        <v>45</v>
      </c>
      <c r="P976" s="11" t="s">
        <v>9880</v>
      </c>
      <c r="Q976" s="11" t="s">
        <v>10132</v>
      </c>
      <c r="S976" s="4" t="b">
        <f>ISNUMBER(MATCH(Q976,T:T,0))</f>
        <v>1</v>
      </c>
      <c r="T976" s="4" t="s">
        <v>11441</v>
      </c>
      <c r="U976" s="4" t="str">
        <f t="shared" si="50"/>
        <v>楞</v>
      </c>
    </row>
    <row r="977" spans="1:21">
      <c r="A977" s="3">
        <v>976</v>
      </c>
      <c r="B977" s="3" t="s">
        <v>4956</v>
      </c>
      <c r="C977" s="3" t="s">
        <v>6045</v>
      </c>
      <c r="D977" s="3" t="s">
        <v>5990</v>
      </c>
      <c r="E977" s="3" t="s">
        <v>5991</v>
      </c>
      <c r="F977" s="3" t="s">
        <v>4957</v>
      </c>
      <c r="G977" s="3" t="s">
        <v>5993</v>
      </c>
      <c r="H977" s="3" t="s">
        <v>4975</v>
      </c>
      <c r="I977" s="3" t="s">
        <v>1251</v>
      </c>
      <c r="J977" s="5" t="s">
        <v>4976</v>
      </c>
      <c r="L977" s="3" t="s">
        <v>6088</v>
      </c>
      <c r="M977" s="3">
        <v>6</v>
      </c>
      <c r="N977" s="4" t="s">
        <v>4957</v>
      </c>
      <c r="O977" s="4">
        <v>45</v>
      </c>
      <c r="P977" s="11" t="s">
        <v>9908</v>
      </c>
      <c r="Q977" s="11" t="s">
        <v>4967</v>
      </c>
      <c r="S977" s="4" t="b">
        <f>ISNUMBER(MATCH(Q977,T:T,0))</f>
        <v>1</v>
      </c>
      <c r="T977" s="4" t="s">
        <v>10136</v>
      </c>
      <c r="U977" s="4" t="str">
        <f t="shared" si="50"/>
        <v>崩</v>
      </c>
    </row>
    <row r="978" spans="1:21">
      <c r="A978" s="3">
        <v>977</v>
      </c>
      <c r="B978" s="3" t="s">
        <v>4956</v>
      </c>
      <c r="C978" s="3" t="s">
        <v>6067</v>
      </c>
      <c r="D978" s="3" t="s">
        <v>5990</v>
      </c>
      <c r="E978" s="3" t="s">
        <v>6212</v>
      </c>
      <c r="F978" s="3" t="s">
        <v>4957</v>
      </c>
      <c r="G978" s="3" t="s">
        <v>5993</v>
      </c>
      <c r="H978" s="3" t="s">
        <v>4977</v>
      </c>
      <c r="I978" s="3" t="s">
        <v>1251</v>
      </c>
      <c r="J978" s="5" t="s">
        <v>4978</v>
      </c>
      <c r="L978" s="3" t="s">
        <v>6068</v>
      </c>
      <c r="M978" s="3">
        <v>3</v>
      </c>
      <c r="N978" s="4" t="s">
        <v>4957</v>
      </c>
      <c r="O978" s="4">
        <v>45</v>
      </c>
      <c r="P978" s="11" t="s">
        <v>9870</v>
      </c>
      <c r="Q978" s="11" t="s">
        <v>10133</v>
      </c>
      <c r="S978" s="4" t="b">
        <f>ISNUMBER(MATCH(Q978,T:T,0))</f>
        <v>1</v>
      </c>
      <c r="T978" s="4" t="s">
        <v>10134</v>
      </c>
      <c r="U978" s="4" t="str">
        <f t="shared" si="50"/>
        <v>肱</v>
      </c>
    </row>
    <row r="979" spans="1:21">
      <c r="A979" s="3">
        <v>978</v>
      </c>
      <c r="B979" s="3" t="s">
        <v>4956</v>
      </c>
      <c r="C979" s="3" t="s">
        <v>6025</v>
      </c>
      <c r="D979" s="3" t="s">
        <v>5990</v>
      </c>
      <c r="E979" s="3" t="s">
        <v>6212</v>
      </c>
      <c r="F979" s="3" t="s">
        <v>4957</v>
      </c>
      <c r="G979" s="3" t="s">
        <v>5993</v>
      </c>
      <c r="H979" s="3" t="s">
        <v>4979</v>
      </c>
      <c r="I979" s="3" t="s">
        <v>1251</v>
      </c>
      <c r="J979" s="5" t="s">
        <v>4980</v>
      </c>
      <c r="L979" s="3" t="s">
        <v>6064</v>
      </c>
      <c r="M979" s="3">
        <v>2</v>
      </c>
      <c r="N979" s="4" t="s">
        <v>4957</v>
      </c>
      <c r="O979" s="4">
        <v>45</v>
      </c>
      <c r="P979" s="11" t="s">
        <v>9729</v>
      </c>
      <c r="Q979" s="11" t="s">
        <v>10134</v>
      </c>
      <c r="S979" s="4" t="b">
        <f>ISNUMBER(MATCH(Q979,T:T,0))</f>
        <v>1</v>
      </c>
      <c r="T979" s="4" t="s">
        <v>10133</v>
      </c>
      <c r="U979" s="4" t="str">
        <f t="shared" si="50"/>
        <v>弘</v>
      </c>
    </row>
    <row r="980" spans="1:21">
      <c r="A980" s="3">
        <v>979</v>
      </c>
      <c r="B980" s="3" t="s">
        <v>4956</v>
      </c>
      <c r="C980" s="3" t="s">
        <v>6089</v>
      </c>
      <c r="D980" s="3" t="s">
        <v>5990</v>
      </c>
      <c r="E980" s="3" t="s">
        <v>6212</v>
      </c>
      <c r="F980" s="3" t="s">
        <v>4957</v>
      </c>
      <c r="G980" s="3" t="s">
        <v>5993</v>
      </c>
      <c r="H980" s="3" t="s">
        <v>4981</v>
      </c>
      <c r="I980" s="3" t="s">
        <v>1251</v>
      </c>
      <c r="J980" s="5" t="s">
        <v>4982</v>
      </c>
      <c r="L980" s="3" t="s">
        <v>6091</v>
      </c>
      <c r="M980" s="3">
        <v>5</v>
      </c>
      <c r="N980" s="4" t="s">
        <v>4957</v>
      </c>
      <c r="O980" s="4">
        <v>45</v>
      </c>
      <c r="P980" s="11" t="s">
        <v>9739</v>
      </c>
      <c r="Q980" s="11" t="s">
        <v>10133</v>
      </c>
      <c r="S980" s="4" t="b">
        <f>ISNUMBER(MATCH(Q980,T:T,0))</f>
        <v>1</v>
      </c>
      <c r="T980" s="4" t="s">
        <v>11442</v>
      </c>
      <c r="U980" s="4" t="str">
        <f t="shared" si="50"/>
        <v>肱</v>
      </c>
    </row>
    <row r="981" spans="1:21">
      <c r="A981" s="3">
        <v>980</v>
      </c>
      <c r="B981" s="3" t="s">
        <v>4956</v>
      </c>
      <c r="C981" s="3" t="s">
        <v>6102</v>
      </c>
      <c r="D981" s="3" t="s">
        <v>5990</v>
      </c>
      <c r="E981" s="3" t="s">
        <v>5991</v>
      </c>
      <c r="F981" s="3" t="s">
        <v>4957</v>
      </c>
      <c r="G981" s="3" t="s">
        <v>5993</v>
      </c>
      <c r="H981" s="3" t="s">
        <v>4983</v>
      </c>
      <c r="I981" s="3" t="s">
        <v>1251</v>
      </c>
      <c r="J981" s="5" t="s">
        <v>4984</v>
      </c>
      <c r="L981" s="3" t="s">
        <v>1143</v>
      </c>
      <c r="M981" s="3">
        <v>1</v>
      </c>
      <c r="N981" s="4" t="s">
        <v>4957</v>
      </c>
      <c r="O981" s="4">
        <v>45</v>
      </c>
      <c r="P981" s="11" t="s">
        <v>9744</v>
      </c>
      <c r="Q981" s="11" t="s">
        <v>4957</v>
      </c>
      <c r="S981" s="4" t="b">
        <f>ISNUMBER(MATCH(Q981,T:T,0))</f>
        <v>1</v>
      </c>
      <c r="T981" s="4" t="s">
        <v>4984</v>
      </c>
      <c r="U981" s="4" t="str">
        <f t="shared" si="50"/>
        <v>登</v>
      </c>
    </row>
    <row r="982" spans="1:21">
      <c r="A982" s="3">
        <v>981</v>
      </c>
      <c r="B982" s="3" t="s">
        <v>4956</v>
      </c>
      <c r="C982" s="3" t="s">
        <v>5997</v>
      </c>
      <c r="D982" s="3" t="s">
        <v>5990</v>
      </c>
      <c r="E982" s="3" t="s">
        <v>5991</v>
      </c>
      <c r="F982" s="3" t="s">
        <v>4957</v>
      </c>
      <c r="G982" s="3" t="s">
        <v>5993</v>
      </c>
      <c r="H982" s="3" t="s">
        <v>4985</v>
      </c>
      <c r="I982" s="3" t="s">
        <v>1251</v>
      </c>
      <c r="J982" s="5" t="s">
        <v>7914</v>
      </c>
      <c r="L982" s="3" t="s">
        <v>4986</v>
      </c>
      <c r="M982" s="3">
        <v>12</v>
      </c>
      <c r="N982" s="4" t="s">
        <v>4957</v>
      </c>
      <c r="O982" s="4">
        <v>45</v>
      </c>
      <c r="P982" s="11" t="s">
        <v>9706</v>
      </c>
      <c r="Q982" s="11" t="s">
        <v>4957</v>
      </c>
      <c r="S982" s="4" t="b">
        <f>ISNUMBER(MATCH(Q982,T:T,0))</f>
        <v>1</v>
      </c>
      <c r="T982" s="4" t="s">
        <v>11443</v>
      </c>
      <c r="U982" s="4" t="str">
        <f t="shared" si="50"/>
        <v>登</v>
      </c>
    </row>
    <row r="983" spans="1:21">
      <c r="A983" s="3">
        <v>982</v>
      </c>
      <c r="B983" s="3" t="s">
        <v>4956</v>
      </c>
      <c r="C983" s="3" t="s">
        <v>6067</v>
      </c>
      <c r="D983" s="3" t="s">
        <v>5990</v>
      </c>
      <c r="E983" s="3" t="s">
        <v>5991</v>
      </c>
      <c r="F983" s="3" t="s">
        <v>4957</v>
      </c>
      <c r="G983" s="3" t="s">
        <v>5993</v>
      </c>
      <c r="H983" s="3" t="s">
        <v>4987</v>
      </c>
      <c r="I983" s="3" t="s">
        <v>1251</v>
      </c>
      <c r="J983" s="5" t="s">
        <v>4988</v>
      </c>
      <c r="L983" s="3" t="s">
        <v>1140</v>
      </c>
      <c r="M983" s="3">
        <v>3</v>
      </c>
      <c r="N983" s="4" t="s">
        <v>4957</v>
      </c>
      <c r="O983" s="4">
        <v>45</v>
      </c>
      <c r="P983" s="11" t="s">
        <v>9870</v>
      </c>
      <c r="Q983" s="11" t="s">
        <v>4957</v>
      </c>
      <c r="S983" s="4" t="b">
        <f>ISNUMBER(MATCH(Q983,T:T,0))</f>
        <v>1</v>
      </c>
      <c r="T983" s="4" t="s">
        <v>10135</v>
      </c>
      <c r="U983" s="4" t="str">
        <f t="shared" si="50"/>
        <v>登</v>
      </c>
    </row>
    <row r="984" spans="1:21">
      <c r="A984" s="3">
        <v>983</v>
      </c>
      <c r="B984" s="3" t="s">
        <v>4956</v>
      </c>
      <c r="C984" s="3" t="s">
        <v>6025</v>
      </c>
      <c r="D984" s="3" t="s">
        <v>5990</v>
      </c>
      <c r="E984" s="3" t="s">
        <v>5991</v>
      </c>
      <c r="F984" s="3" t="s">
        <v>4957</v>
      </c>
      <c r="G984" s="3" t="s">
        <v>5993</v>
      </c>
      <c r="H984" s="3" t="s">
        <v>4989</v>
      </c>
      <c r="I984" s="3" t="s">
        <v>1251</v>
      </c>
      <c r="J984" s="8" t="s">
        <v>4990</v>
      </c>
      <c r="L984" s="3" t="s">
        <v>1087</v>
      </c>
      <c r="M984" s="3">
        <v>3</v>
      </c>
      <c r="N984" s="4" t="s">
        <v>4957</v>
      </c>
      <c r="O984" s="4">
        <v>45</v>
      </c>
      <c r="P984" s="11" t="s">
        <v>9729</v>
      </c>
      <c r="Q984" s="11" t="s">
        <v>10135</v>
      </c>
      <c r="S984" s="4" t="b">
        <f>ISNUMBER(MATCH(Q984,T:T,0))</f>
        <v>1</v>
      </c>
      <c r="T984" s="4" t="s">
        <v>11444</v>
      </c>
      <c r="U984" s="4" t="str">
        <f t="shared" si="50"/>
        <v>恒</v>
      </c>
    </row>
    <row r="985" spans="1:21">
      <c r="A985" s="3">
        <v>984</v>
      </c>
      <c r="B985" s="3" t="s">
        <v>4956</v>
      </c>
      <c r="C985" s="3" t="s">
        <v>6079</v>
      </c>
      <c r="D985" s="3" t="s">
        <v>5990</v>
      </c>
      <c r="E985" s="3" t="s">
        <v>5991</v>
      </c>
      <c r="F985" s="3" t="s">
        <v>4957</v>
      </c>
      <c r="G985" s="3" t="s">
        <v>5993</v>
      </c>
      <c r="H985" s="3" t="s">
        <v>4991</v>
      </c>
      <c r="I985" s="3" t="s">
        <v>1251</v>
      </c>
      <c r="J985" s="8" t="s">
        <v>7915</v>
      </c>
      <c r="L985" s="3" t="s">
        <v>4992</v>
      </c>
      <c r="M985" s="3">
        <v>4</v>
      </c>
      <c r="N985" s="4" t="s">
        <v>4957</v>
      </c>
      <c r="O985" s="4">
        <v>45</v>
      </c>
      <c r="P985" s="11" t="s">
        <v>9736</v>
      </c>
      <c r="Q985" s="11" t="s">
        <v>4957</v>
      </c>
      <c r="S985" s="4" t="b">
        <f>ISNUMBER(MATCH(Q985,T:T,0))</f>
        <v>1</v>
      </c>
      <c r="T985" s="4" t="s">
        <v>11445</v>
      </c>
      <c r="U985" s="4" t="str">
        <f t="shared" si="50"/>
        <v>登</v>
      </c>
    </row>
    <row r="986" spans="1:21">
      <c r="A986" s="3">
        <v>985</v>
      </c>
      <c r="B986" s="3" t="s">
        <v>4956</v>
      </c>
      <c r="C986" s="3" t="s">
        <v>6053</v>
      </c>
      <c r="D986" s="3" t="s">
        <v>5990</v>
      </c>
      <c r="E986" s="3" t="s">
        <v>5991</v>
      </c>
      <c r="F986" s="3" t="s">
        <v>4957</v>
      </c>
      <c r="G986" s="3" t="s">
        <v>5993</v>
      </c>
      <c r="H986" s="3" t="s">
        <v>4993</v>
      </c>
      <c r="I986" s="3" t="s">
        <v>1251</v>
      </c>
      <c r="J986" s="5" t="s">
        <v>4994</v>
      </c>
      <c r="L986" s="3" t="s">
        <v>1163</v>
      </c>
      <c r="M986" s="3">
        <v>2</v>
      </c>
      <c r="N986" s="4" t="s">
        <v>4957</v>
      </c>
      <c r="O986" s="4">
        <v>45</v>
      </c>
      <c r="P986" s="11" t="s">
        <v>9884</v>
      </c>
      <c r="Q986" s="11" t="s">
        <v>10136</v>
      </c>
      <c r="S986" s="4" t="b">
        <f>ISNUMBER(MATCH(Q986,T:T,0))</f>
        <v>1</v>
      </c>
      <c r="T986" s="4" t="s">
        <v>11446</v>
      </c>
      <c r="U986" s="4" t="str">
        <f t="shared" si="50"/>
        <v>朋</v>
      </c>
    </row>
    <row r="987" spans="1:21">
      <c r="A987" s="3">
        <v>986</v>
      </c>
      <c r="B987" s="3" t="s">
        <v>4995</v>
      </c>
      <c r="C987" s="3" t="s">
        <v>6032</v>
      </c>
      <c r="D987" s="3" t="s">
        <v>6001</v>
      </c>
      <c r="E987" s="3" t="s">
        <v>5991</v>
      </c>
      <c r="F987" s="3" t="s">
        <v>4996</v>
      </c>
      <c r="G987" s="3" t="s">
        <v>5993</v>
      </c>
      <c r="H987" s="3" t="s">
        <v>4997</v>
      </c>
      <c r="I987" s="3" t="s">
        <v>4998</v>
      </c>
      <c r="J987" s="5" t="s">
        <v>7916</v>
      </c>
      <c r="L987" s="3" t="s">
        <v>4999</v>
      </c>
      <c r="M987" s="3">
        <v>9</v>
      </c>
      <c r="N987" s="4" t="s">
        <v>4996</v>
      </c>
      <c r="O987" s="4">
        <v>46</v>
      </c>
      <c r="P987" s="11" t="s">
        <v>9718</v>
      </c>
      <c r="Q987" s="11" t="s">
        <v>10062</v>
      </c>
      <c r="S987" s="4" t="b">
        <f>ISNUMBER(MATCH(Q987,T:T,0))</f>
        <v>1</v>
      </c>
      <c r="T987" s="4" t="s">
        <v>4996</v>
      </c>
      <c r="U987" s="4" t="str">
        <f t="shared" si="50"/>
        <v>求</v>
      </c>
    </row>
    <row r="988" spans="1:21">
      <c r="A988" s="3">
        <v>987</v>
      </c>
      <c r="B988" s="3" t="s">
        <v>4995</v>
      </c>
      <c r="C988" s="3" t="s">
        <v>6072</v>
      </c>
      <c r="D988" s="3" t="s">
        <v>6001</v>
      </c>
      <c r="E988" s="3" t="s">
        <v>5991</v>
      </c>
      <c r="F988" s="3" t="s">
        <v>4996</v>
      </c>
      <c r="G988" s="3" t="s">
        <v>5993</v>
      </c>
      <c r="H988" s="3" t="s">
        <v>5000</v>
      </c>
      <c r="I988" s="3" t="s">
        <v>4998</v>
      </c>
      <c r="J988" s="5" t="s">
        <v>7917</v>
      </c>
      <c r="L988" s="3" t="s">
        <v>5001</v>
      </c>
      <c r="M988" s="3">
        <v>17</v>
      </c>
      <c r="N988" s="4" t="s">
        <v>4996</v>
      </c>
      <c r="O988" s="4">
        <v>46</v>
      </c>
      <c r="P988" s="11" t="s">
        <v>9754</v>
      </c>
      <c r="Q988" s="11" t="s">
        <v>10062</v>
      </c>
      <c r="S988" s="4" t="b">
        <f>ISNUMBER(MATCH(Q988,T:T,0))</f>
        <v>1</v>
      </c>
      <c r="T988" s="4" t="s">
        <v>10834</v>
      </c>
      <c r="U988" s="4" t="str">
        <f t="shared" si="50"/>
        <v>求</v>
      </c>
    </row>
    <row r="989" spans="1:21" ht="58.5">
      <c r="A989" s="3">
        <v>988</v>
      </c>
      <c r="B989" s="3" t="s">
        <v>4995</v>
      </c>
      <c r="C989" s="3" t="s">
        <v>6058</v>
      </c>
      <c r="D989" s="3" t="s">
        <v>6001</v>
      </c>
      <c r="E989" s="3" t="s">
        <v>5991</v>
      </c>
      <c r="F989" s="3" t="s">
        <v>4996</v>
      </c>
      <c r="G989" s="3" t="s">
        <v>5993</v>
      </c>
      <c r="H989" s="3" t="s">
        <v>5002</v>
      </c>
      <c r="I989" s="3" t="s">
        <v>4998</v>
      </c>
      <c r="J989" s="5" t="s">
        <v>7918</v>
      </c>
      <c r="L989" s="3" t="s">
        <v>5003</v>
      </c>
      <c r="M989" s="3">
        <v>44</v>
      </c>
      <c r="N989" s="4" t="s">
        <v>4996</v>
      </c>
      <c r="O989" s="4">
        <v>46</v>
      </c>
      <c r="P989" s="11" t="s">
        <v>9727</v>
      </c>
      <c r="Q989" s="11" t="s">
        <v>10062</v>
      </c>
      <c r="S989" s="4" t="b">
        <f>ISNUMBER(MATCH(Q989,T:T,0))</f>
        <v>1</v>
      </c>
      <c r="T989" s="4" t="s">
        <v>11447</v>
      </c>
      <c r="U989" s="4" t="str">
        <f t="shared" si="50"/>
        <v>求</v>
      </c>
    </row>
    <row r="990" spans="1:21" ht="39">
      <c r="A990" s="3">
        <v>989</v>
      </c>
      <c r="B990" s="3" t="s">
        <v>4995</v>
      </c>
      <c r="C990" s="3" t="s">
        <v>6076</v>
      </c>
      <c r="D990" s="3" t="s">
        <v>6001</v>
      </c>
      <c r="E990" s="3" t="s">
        <v>5991</v>
      </c>
      <c r="F990" s="3" t="s">
        <v>4996</v>
      </c>
      <c r="G990" s="3" t="s">
        <v>5993</v>
      </c>
      <c r="H990" s="3" t="s">
        <v>5004</v>
      </c>
      <c r="I990" s="3" t="s">
        <v>4998</v>
      </c>
      <c r="J990" s="5" t="s">
        <v>7919</v>
      </c>
      <c r="L990" s="3" t="s">
        <v>5005</v>
      </c>
      <c r="M990" s="3">
        <v>17</v>
      </c>
      <c r="N990" s="4" t="s">
        <v>4996</v>
      </c>
      <c r="O990" s="4">
        <v>46</v>
      </c>
      <c r="P990" s="11" t="s">
        <v>9766</v>
      </c>
      <c r="Q990" s="11" t="s">
        <v>10137</v>
      </c>
      <c r="S990" s="4" t="b">
        <f>ISNUMBER(MATCH(Q990,T:T,0))</f>
        <v>1</v>
      </c>
      <c r="T990" s="4" t="s">
        <v>10140</v>
      </c>
      <c r="U990" s="4" t="str">
        <f t="shared" si="50"/>
        <v>由</v>
      </c>
    </row>
    <row r="991" spans="1:21" ht="58.5">
      <c r="A991" s="3">
        <v>990</v>
      </c>
      <c r="B991" s="3" t="s">
        <v>4995</v>
      </c>
      <c r="C991" s="3" t="s">
        <v>6028</v>
      </c>
      <c r="D991" s="3" t="s">
        <v>6001</v>
      </c>
      <c r="E991" s="3" t="s">
        <v>5991</v>
      </c>
      <c r="F991" s="3" t="s">
        <v>4996</v>
      </c>
      <c r="G991" s="3" t="s">
        <v>5993</v>
      </c>
      <c r="H991" s="3" t="s">
        <v>5006</v>
      </c>
      <c r="I991" s="3" t="s">
        <v>4998</v>
      </c>
      <c r="J991" s="5" t="s">
        <v>7920</v>
      </c>
      <c r="L991" s="3" t="s">
        <v>4999</v>
      </c>
      <c r="M991" s="3">
        <v>45</v>
      </c>
      <c r="N991" s="4" t="s">
        <v>4996</v>
      </c>
      <c r="O991" s="4">
        <v>46</v>
      </c>
      <c r="P991" s="11" t="s">
        <v>6028</v>
      </c>
      <c r="Q991" s="11" t="s">
        <v>10138</v>
      </c>
      <c r="S991" s="4" t="b">
        <f>ISNUMBER(MATCH(Q991,T:T,0))</f>
        <v>1</v>
      </c>
      <c r="T991" s="4" t="s">
        <v>10137</v>
      </c>
      <c r="U991" s="4" t="str">
        <f t="shared" si="50"/>
        <v>周</v>
      </c>
    </row>
    <row r="992" spans="1:21">
      <c r="A992" s="3">
        <v>991</v>
      </c>
      <c r="B992" s="3" t="s">
        <v>4995</v>
      </c>
      <c r="C992" s="3" t="s">
        <v>6092</v>
      </c>
      <c r="D992" s="3" t="s">
        <v>6001</v>
      </c>
      <c r="E992" s="3" t="s">
        <v>5991</v>
      </c>
      <c r="F992" s="3" t="s">
        <v>4996</v>
      </c>
      <c r="G992" s="3" t="s">
        <v>5993</v>
      </c>
      <c r="H992" s="3" t="s">
        <v>5007</v>
      </c>
      <c r="I992" s="3" t="s">
        <v>4998</v>
      </c>
      <c r="J992" s="5" t="s">
        <v>5008</v>
      </c>
      <c r="L992" s="3" t="s">
        <v>4999</v>
      </c>
      <c r="M992" s="3">
        <v>1</v>
      </c>
      <c r="N992" s="4" t="s">
        <v>4996</v>
      </c>
      <c r="O992" s="4">
        <v>46</v>
      </c>
      <c r="P992" s="11" t="s">
        <v>9001</v>
      </c>
      <c r="Q992" s="11" t="s">
        <v>10062</v>
      </c>
      <c r="S992" s="4" t="b">
        <f>ISNUMBER(MATCH(Q992,T:T,0))</f>
        <v>1</v>
      </c>
      <c r="T992" s="4" t="s">
        <v>5008</v>
      </c>
      <c r="U992" s="4" t="str">
        <f t="shared" si="50"/>
        <v>求</v>
      </c>
    </row>
    <row r="993" spans="1:22">
      <c r="A993" s="3">
        <v>992</v>
      </c>
      <c r="B993" s="3" t="s">
        <v>4995</v>
      </c>
      <c r="C993" s="3" t="s">
        <v>6083</v>
      </c>
      <c r="D993" s="3" t="s">
        <v>6001</v>
      </c>
      <c r="E993" s="3" t="s">
        <v>5991</v>
      </c>
      <c r="F993" s="3" t="s">
        <v>4996</v>
      </c>
      <c r="G993" s="3" t="s">
        <v>5993</v>
      </c>
      <c r="H993" s="3" t="s">
        <v>5009</v>
      </c>
      <c r="I993" s="3" t="s">
        <v>4998</v>
      </c>
      <c r="J993" s="5" t="s">
        <v>7921</v>
      </c>
      <c r="L993" s="3" t="s">
        <v>5010</v>
      </c>
      <c r="M993" s="3">
        <v>11</v>
      </c>
      <c r="N993" s="4" t="s">
        <v>4996</v>
      </c>
      <c r="O993" s="4">
        <v>46</v>
      </c>
      <c r="P993" s="11" t="s">
        <v>9760</v>
      </c>
      <c r="Q993" s="11" t="s">
        <v>10137</v>
      </c>
      <c r="S993" s="4" t="b">
        <f>ISNUMBER(MATCH(Q993,T:T,0))</f>
        <v>1</v>
      </c>
      <c r="T993" s="4" t="s">
        <v>11448</v>
      </c>
      <c r="U993" s="4" t="str">
        <f t="shared" si="50"/>
        <v>由</v>
      </c>
    </row>
    <row r="994" spans="1:22">
      <c r="A994" s="3">
        <v>993</v>
      </c>
      <c r="B994" s="3" t="s">
        <v>4995</v>
      </c>
      <c r="C994" s="3" t="s">
        <v>6069</v>
      </c>
      <c r="D994" s="3" t="s">
        <v>6001</v>
      </c>
      <c r="E994" s="3" t="s">
        <v>5991</v>
      </c>
      <c r="F994" s="3" t="s">
        <v>4996</v>
      </c>
      <c r="G994" s="3" t="s">
        <v>5993</v>
      </c>
      <c r="H994" s="3" t="s">
        <v>5011</v>
      </c>
      <c r="I994" s="3" t="s">
        <v>4998</v>
      </c>
      <c r="J994" s="5" t="s">
        <v>7922</v>
      </c>
      <c r="K994" s="3" t="s">
        <v>5012</v>
      </c>
      <c r="L994" s="3" t="s">
        <v>5013</v>
      </c>
      <c r="M994" s="3">
        <v>11</v>
      </c>
      <c r="N994" s="4" t="s">
        <v>4996</v>
      </c>
      <c r="O994" s="4">
        <v>46</v>
      </c>
      <c r="P994" s="11" t="s">
        <v>10139</v>
      </c>
      <c r="Q994" s="11" t="s">
        <v>10140</v>
      </c>
      <c r="S994" s="4" t="b">
        <f>ISNUMBER(MATCH(Q994,T:T,0))</f>
        <v>1</v>
      </c>
      <c r="T994" s="4" t="s">
        <v>11449</v>
      </c>
      <c r="U994" s="4" t="str">
        <f t="shared" si="50"/>
        <v>秋</v>
      </c>
    </row>
    <row r="995" spans="1:22">
      <c r="A995" s="3">
        <v>994</v>
      </c>
      <c r="B995" s="3" t="s">
        <v>4995</v>
      </c>
      <c r="C995" s="3" t="s">
        <v>6017</v>
      </c>
      <c r="D995" s="3" t="s">
        <v>6001</v>
      </c>
      <c r="E995" s="3" t="s">
        <v>5991</v>
      </c>
      <c r="F995" s="3" t="s">
        <v>4996</v>
      </c>
      <c r="G995" s="3" t="s">
        <v>5993</v>
      </c>
      <c r="H995" s="3" t="s">
        <v>5014</v>
      </c>
      <c r="I995" s="3" t="s">
        <v>4998</v>
      </c>
      <c r="J995" s="5" t="s">
        <v>5015</v>
      </c>
      <c r="L995" s="3" t="s">
        <v>5016</v>
      </c>
      <c r="M995" s="3">
        <v>7</v>
      </c>
      <c r="N995" s="4" t="s">
        <v>4996</v>
      </c>
      <c r="O995" s="4">
        <v>46</v>
      </c>
      <c r="P995" s="11" t="s">
        <v>9714</v>
      </c>
      <c r="Q995" s="11" t="s">
        <v>4998</v>
      </c>
      <c r="R995" s="4" t="s">
        <v>13064</v>
      </c>
      <c r="S995" s="4" t="b">
        <f>ISNUMBER(MATCH(Q995,T:T,0))</f>
        <v>0</v>
      </c>
      <c r="T995" s="4" t="s">
        <v>11450</v>
      </c>
      <c r="U995" s="4" t="str">
        <f t="shared" si="50"/>
        <v>留</v>
      </c>
      <c r="V995" s="4" t="b">
        <f>ISNUMBER(MATCH(R995,T:T,0))</f>
        <v>1</v>
      </c>
    </row>
    <row r="996" spans="1:22">
      <c r="A996" s="3">
        <v>995</v>
      </c>
      <c r="B996" s="3" t="s">
        <v>4995</v>
      </c>
      <c r="C996" s="3" t="s">
        <v>6011</v>
      </c>
      <c r="D996" s="3" t="s">
        <v>6001</v>
      </c>
      <c r="E996" s="3" t="s">
        <v>5991</v>
      </c>
      <c r="F996" s="3" t="s">
        <v>4996</v>
      </c>
      <c r="G996" s="3" t="s">
        <v>5993</v>
      </c>
      <c r="H996" s="3" t="s">
        <v>5017</v>
      </c>
      <c r="I996" s="3" t="s">
        <v>4998</v>
      </c>
      <c r="J996" s="5" t="s">
        <v>5018</v>
      </c>
      <c r="L996" s="3" t="s">
        <v>5019</v>
      </c>
      <c r="M996" s="3">
        <v>8</v>
      </c>
      <c r="N996" s="4" t="s">
        <v>4996</v>
      </c>
      <c r="O996" s="4">
        <v>46</v>
      </c>
      <c r="P996" s="11" t="s">
        <v>9757</v>
      </c>
      <c r="Q996" s="11" t="s">
        <v>10141</v>
      </c>
      <c r="S996" s="4" t="b">
        <f>ISNUMBER(MATCH(Q996,T:T,0))</f>
        <v>1</v>
      </c>
      <c r="T996" s="4" t="s">
        <v>10513</v>
      </c>
      <c r="U996" s="4" t="str">
        <f t="shared" si="50"/>
        <v>鳩</v>
      </c>
    </row>
    <row r="997" spans="1:22" ht="28.5">
      <c r="A997" s="3">
        <v>996</v>
      </c>
      <c r="B997" s="3" t="s">
        <v>4995</v>
      </c>
      <c r="C997" s="3" t="s">
        <v>6038</v>
      </c>
      <c r="D997" s="3" t="s">
        <v>6001</v>
      </c>
      <c r="E997" s="3" t="s">
        <v>5991</v>
      </c>
      <c r="F997" s="3" t="s">
        <v>4996</v>
      </c>
      <c r="G997" s="3" t="s">
        <v>5993</v>
      </c>
      <c r="H997" s="3" t="s">
        <v>5020</v>
      </c>
      <c r="I997" s="3" t="s">
        <v>4998</v>
      </c>
      <c r="J997" s="5" t="s">
        <v>5021</v>
      </c>
      <c r="K997" s="3" t="s">
        <v>593</v>
      </c>
      <c r="L997" s="3" t="s">
        <v>5005</v>
      </c>
      <c r="M997" s="3">
        <v>3</v>
      </c>
      <c r="N997" s="4" t="s">
        <v>4996</v>
      </c>
      <c r="O997" s="4">
        <v>46</v>
      </c>
      <c r="P997" s="11" t="s">
        <v>4210</v>
      </c>
      <c r="Q997" s="11" t="s">
        <v>10140</v>
      </c>
      <c r="S997" s="4" t="b">
        <f>ISNUMBER(MATCH(Q997,T:T,0))</f>
        <v>1</v>
      </c>
      <c r="T997" s="4" t="s">
        <v>11451</v>
      </c>
      <c r="U997" s="4" t="str">
        <f t="shared" si="50"/>
        <v>秋</v>
      </c>
    </row>
    <row r="998" spans="1:22">
      <c r="A998" s="3">
        <v>997</v>
      </c>
      <c r="B998" s="3" t="s">
        <v>4995</v>
      </c>
      <c r="C998" s="3" t="s">
        <v>6055</v>
      </c>
      <c r="D998" s="3" t="s">
        <v>6001</v>
      </c>
      <c r="E998" s="3" t="s">
        <v>5991</v>
      </c>
      <c r="F998" s="3" t="s">
        <v>4996</v>
      </c>
      <c r="G998" s="3" t="s">
        <v>5993</v>
      </c>
      <c r="H998" s="3" t="s">
        <v>5022</v>
      </c>
      <c r="I998" s="3" t="s">
        <v>4998</v>
      </c>
      <c r="J998" s="8" t="s">
        <v>7923</v>
      </c>
      <c r="L998" s="3" t="s">
        <v>5019</v>
      </c>
      <c r="M998" s="3">
        <v>2</v>
      </c>
      <c r="N998" s="4" t="s">
        <v>4996</v>
      </c>
      <c r="O998" s="4">
        <v>46</v>
      </c>
      <c r="P998" s="11" t="s">
        <v>9835</v>
      </c>
      <c r="Q998" s="11" t="s">
        <v>10138</v>
      </c>
      <c r="S998" s="4" t="b">
        <f>ISNUMBER(MATCH(Q998,T:T,0))</f>
        <v>1</v>
      </c>
      <c r="T998" s="4" t="s">
        <v>11452</v>
      </c>
      <c r="U998" s="4" t="str">
        <f t="shared" si="50"/>
        <v>周</v>
      </c>
    </row>
    <row r="999" spans="1:22">
      <c r="A999" s="3">
        <v>998</v>
      </c>
      <c r="B999" s="3" t="s">
        <v>4995</v>
      </c>
      <c r="C999" s="3" t="s">
        <v>6009</v>
      </c>
      <c r="D999" s="3" t="s">
        <v>6001</v>
      </c>
      <c r="E999" s="3" t="s">
        <v>5991</v>
      </c>
      <c r="F999" s="3" t="s">
        <v>4996</v>
      </c>
      <c r="G999" s="3" t="s">
        <v>5993</v>
      </c>
      <c r="H999" s="3" t="s">
        <v>5023</v>
      </c>
      <c r="I999" s="3" t="s">
        <v>4998</v>
      </c>
      <c r="J999" s="5" t="s">
        <v>7924</v>
      </c>
      <c r="L999" s="3" t="s">
        <v>5024</v>
      </c>
      <c r="M999" s="3">
        <v>10</v>
      </c>
      <c r="N999" s="4" t="s">
        <v>4996</v>
      </c>
      <c r="O999" s="4">
        <v>46</v>
      </c>
      <c r="P999" s="11" t="s">
        <v>1726</v>
      </c>
      <c r="Q999" s="11" t="s">
        <v>4998</v>
      </c>
      <c r="R999" s="4" t="s">
        <v>13064</v>
      </c>
      <c r="S999" s="4" t="b">
        <f>ISNUMBER(MATCH(Q999,T:T,0))</f>
        <v>0</v>
      </c>
      <c r="T999" s="4" t="s">
        <v>10138</v>
      </c>
      <c r="U999" s="4" t="str">
        <f t="shared" si="50"/>
        <v>留</v>
      </c>
      <c r="V999" s="4" t="b">
        <f t="shared" ref="V999:V1000" si="54">ISNUMBER(MATCH(R999,T:T,0))</f>
        <v>1</v>
      </c>
    </row>
    <row r="1000" spans="1:22">
      <c r="A1000" s="3">
        <v>999</v>
      </c>
      <c r="B1000" s="3" t="s">
        <v>4995</v>
      </c>
      <c r="C1000" s="3" t="s">
        <v>6148</v>
      </c>
      <c r="D1000" s="3" t="s">
        <v>6001</v>
      </c>
      <c r="E1000" s="3" t="s">
        <v>5991</v>
      </c>
      <c r="F1000" s="3" t="s">
        <v>4996</v>
      </c>
      <c r="G1000" s="3" t="s">
        <v>5993</v>
      </c>
      <c r="H1000" s="3" t="s">
        <v>5025</v>
      </c>
      <c r="I1000" s="3" t="s">
        <v>4998</v>
      </c>
      <c r="J1000" s="5" t="s">
        <v>7925</v>
      </c>
      <c r="L1000" s="3" t="s">
        <v>5026</v>
      </c>
      <c r="M1000" s="3">
        <v>10</v>
      </c>
      <c r="N1000" s="4" t="s">
        <v>4996</v>
      </c>
      <c r="O1000" s="4">
        <v>46</v>
      </c>
      <c r="P1000" s="11" t="s">
        <v>9829</v>
      </c>
      <c r="Q1000" s="11" t="s">
        <v>4998</v>
      </c>
      <c r="R1000" s="4" t="s">
        <v>13064</v>
      </c>
      <c r="S1000" s="4" t="b">
        <f>ISNUMBER(MATCH(Q1000,T:T,0))</f>
        <v>0</v>
      </c>
      <c r="T1000" s="4" t="s">
        <v>11453</v>
      </c>
      <c r="U1000" s="4" t="str">
        <f t="shared" si="50"/>
        <v>留</v>
      </c>
      <c r="V1000" s="4" t="b">
        <f t="shared" si="54"/>
        <v>1</v>
      </c>
    </row>
    <row r="1001" spans="1:22">
      <c r="A1001" s="3">
        <v>1000</v>
      </c>
      <c r="B1001" s="3" t="s">
        <v>4995</v>
      </c>
      <c r="C1001" s="3" t="s">
        <v>6021</v>
      </c>
      <c r="D1001" s="3" t="s">
        <v>6001</v>
      </c>
      <c r="E1001" s="3" t="s">
        <v>5991</v>
      </c>
      <c r="F1001" s="3" t="s">
        <v>4996</v>
      </c>
      <c r="G1001" s="3" t="s">
        <v>5993</v>
      </c>
      <c r="H1001" s="3" t="s">
        <v>5027</v>
      </c>
      <c r="I1001" s="3" t="s">
        <v>4998</v>
      </c>
      <c r="J1001" s="5" t="s">
        <v>7926</v>
      </c>
      <c r="L1001" s="3" t="s">
        <v>5028</v>
      </c>
      <c r="M1001" s="3">
        <v>16</v>
      </c>
      <c r="N1001" s="4" t="s">
        <v>4996</v>
      </c>
      <c r="O1001" s="4">
        <v>46</v>
      </c>
      <c r="P1001" s="11" t="s">
        <v>10142</v>
      </c>
      <c r="Q1001" s="11" t="s">
        <v>10137</v>
      </c>
      <c r="S1001" s="4" t="b">
        <f>ISNUMBER(MATCH(Q1001,T:T,0))</f>
        <v>1</v>
      </c>
      <c r="T1001" s="4" t="s">
        <v>11454</v>
      </c>
      <c r="U1001" s="4" t="str">
        <f t="shared" si="50"/>
        <v>由</v>
      </c>
    </row>
    <row r="1002" spans="1:22">
      <c r="A1002" s="3">
        <v>1001</v>
      </c>
      <c r="B1002" s="3" t="s">
        <v>4995</v>
      </c>
      <c r="C1002" s="3" t="s">
        <v>6120</v>
      </c>
      <c r="D1002" s="3" t="s">
        <v>6001</v>
      </c>
      <c r="E1002" s="3" t="s">
        <v>5991</v>
      </c>
      <c r="F1002" s="3" t="s">
        <v>4996</v>
      </c>
      <c r="G1002" s="3" t="s">
        <v>5993</v>
      </c>
      <c r="H1002" s="3" t="s">
        <v>5029</v>
      </c>
      <c r="I1002" s="3" t="s">
        <v>4998</v>
      </c>
      <c r="J1002" s="5" t="s">
        <v>5030</v>
      </c>
      <c r="L1002" s="3" t="s">
        <v>5031</v>
      </c>
      <c r="M1002" s="3">
        <v>1</v>
      </c>
      <c r="N1002" s="4" t="s">
        <v>4996</v>
      </c>
      <c r="O1002" s="4">
        <v>46</v>
      </c>
      <c r="P1002" s="11" t="s">
        <v>9793</v>
      </c>
      <c r="Q1002" s="11" t="s">
        <v>10143</v>
      </c>
      <c r="R1002" s="4" t="s">
        <v>13065</v>
      </c>
      <c r="S1002" s="4" t="b">
        <f>ISNUMBER(MATCH(Q1002,T:T,0))</f>
        <v>0</v>
      </c>
      <c r="T1002" s="4" t="s">
        <v>5030</v>
      </c>
      <c r="U1002" s="4" t="str">
        <f t="shared" si="50"/>
        <v>周</v>
      </c>
      <c r="V1002" s="4" t="b">
        <f>ISNUMBER(MATCH(R1002,T:T,0))</f>
        <v>1</v>
      </c>
    </row>
    <row r="1003" spans="1:22">
      <c r="A1003" s="3">
        <v>1002</v>
      </c>
      <c r="B1003" s="3" t="s">
        <v>4995</v>
      </c>
      <c r="C1003" s="3" t="s">
        <v>6038</v>
      </c>
      <c r="D1003" s="3" t="s">
        <v>6001</v>
      </c>
      <c r="E1003" s="3" t="s">
        <v>5991</v>
      </c>
      <c r="F1003" s="3" t="s">
        <v>4996</v>
      </c>
      <c r="G1003" s="3" t="s">
        <v>5993</v>
      </c>
      <c r="H1003" s="3" t="s">
        <v>5032</v>
      </c>
      <c r="I1003" s="3" t="s">
        <v>4998</v>
      </c>
      <c r="J1003" s="5" t="s">
        <v>7927</v>
      </c>
      <c r="L1003" s="3" t="s">
        <v>5005</v>
      </c>
      <c r="M1003" s="3">
        <v>6</v>
      </c>
      <c r="N1003" s="4" t="s">
        <v>4996</v>
      </c>
      <c r="O1003" s="4">
        <v>46</v>
      </c>
      <c r="P1003" s="11" t="s">
        <v>4210</v>
      </c>
      <c r="Q1003" s="11" t="s">
        <v>10141</v>
      </c>
      <c r="S1003" s="4" t="b">
        <f>ISNUMBER(MATCH(Q1003,T:T,0))</f>
        <v>1</v>
      </c>
      <c r="T1003" s="4" t="s">
        <v>9825</v>
      </c>
      <c r="U1003" s="4" t="str">
        <f t="shared" si="50"/>
        <v>鳩</v>
      </c>
    </row>
    <row r="1004" spans="1:22">
      <c r="A1004" s="3">
        <v>1003</v>
      </c>
      <c r="B1004" s="3" t="s">
        <v>4995</v>
      </c>
      <c r="C1004" s="3" t="s">
        <v>6053</v>
      </c>
      <c r="D1004" s="3" t="s">
        <v>6001</v>
      </c>
      <c r="E1004" s="3" t="s">
        <v>5991</v>
      </c>
      <c r="F1004" s="3" t="s">
        <v>4996</v>
      </c>
      <c r="G1004" s="3" t="s">
        <v>5993</v>
      </c>
      <c r="H1004" s="3" t="s">
        <v>5033</v>
      </c>
      <c r="I1004" s="3" t="s">
        <v>4998</v>
      </c>
      <c r="J1004" s="5" t="s">
        <v>7928</v>
      </c>
      <c r="L1004" s="3" t="s">
        <v>5034</v>
      </c>
      <c r="M1004" s="3">
        <v>7</v>
      </c>
      <c r="N1004" s="4" t="s">
        <v>4996</v>
      </c>
      <c r="O1004" s="4">
        <v>46</v>
      </c>
      <c r="P1004" s="11" t="s">
        <v>9772</v>
      </c>
      <c r="Q1004" s="11" t="s">
        <v>4996</v>
      </c>
      <c r="S1004" s="4" t="b">
        <f>ISNUMBER(MATCH(Q1004,T:T,0))</f>
        <v>1</v>
      </c>
      <c r="T1004" s="4" t="s">
        <v>11455</v>
      </c>
      <c r="U1004" s="4" t="str">
        <f t="shared" si="50"/>
        <v>尤</v>
      </c>
    </row>
    <row r="1005" spans="1:22">
      <c r="A1005" s="3">
        <v>1004</v>
      </c>
      <c r="B1005" s="3" t="s">
        <v>4995</v>
      </c>
      <c r="C1005" s="3" t="s">
        <v>6025</v>
      </c>
      <c r="D1005" s="3" t="s">
        <v>6001</v>
      </c>
      <c r="E1005" s="3" t="s">
        <v>5991</v>
      </c>
      <c r="F1005" s="3" t="s">
        <v>4996</v>
      </c>
      <c r="G1005" s="3" t="s">
        <v>5993</v>
      </c>
      <c r="H1005" s="3" t="s">
        <v>5035</v>
      </c>
      <c r="I1005" s="3" t="s">
        <v>4998</v>
      </c>
      <c r="J1005" s="5" t="s">
        <v>7929</v>
      </c>
      <c r="L1005" s="3" t="s">
        <v>5010</v>
      </c>
      <c r="M1005" s="3">
        <v>10</v>
      </c>
      <c r="N1005" s="4" t="s">
        <v>4996</v>
      </c>
      <c r="O1005" s="4">
        <v>46</v>
      </c>
      <c r="P1005" s="11" t="s">
        <v>9717</v>
      </c>
      <c r="Q1005" s="11" t="s">
        <v>10062</v>
      </c>
      <c r="S1005" s="4" t="b">
        <f>ISNUMBER(MATCH(Q1005,T:T,0))</f>
        <v>1</v>
      </c>
      <c r="T1005" s="4" t="s">
        <v>10141</v>
      </c>
      <c r="U1005" s="4" t="str">
        <f t="shared" si="50"/>
        <v>求</v>
      </c>
    </row>
    <row r="1006" spans="1:22">
      <c r="A1006" s="3">
        <v>1005</v>
      </c>
      <c r="B1006" s="3" t="s">
        <v>4995</v>
      </c>
      <c r="C1006" s="3" t="s">
        <v>6049</v>
      </c>
      <c r="D1006" s="3" t="s">
        <v>6001</v>
      </c>
      <c r="E1006" s="3" t="s">
        <v>5991</v>
      </c>
      <c r="F1006" s="3" t="s">
        <v>4996</v>
      </c>
      <c r="G1006" s="3" t="s">
        <v>5993</v>
      </c>
      <c r="H1006" s="3" t="s">
        <v>5036</v>
      </c>
      <c r="I1006" s="3" t="s">
        <v>4998</v>
      </c>
      <c r="J1006" s="5" t="s">
        <v>7930</v>
      </c>
      <c r="L1006" s="3" t="s">
        <v>5034</v>
      </c>
      <c r="M1006" s="3">
        <v>5</v>
      </c>
      <c r="N1006" s="4" t="s">
        <v>4996</v>
      </c>
      <c r="O1006" s="4">
        <v>46</v>
      </c>
      <c r="P1006" s="11" t="s">
        <v>9842</v>
      </c>
      <c r="Q1006" s="11" t="s">
        <v>10141</v>
      </c>
      <c r="S1006" s="4" t="b">
        <f>ISNUMBER(MATCH(Q1006,T:T,0))</f>
        <v>1</v>
      </c>
      <c r="T1006" s="4" t="s">
        <v>11456</v>
      </c>
      <c r="U1006" s="4" t="str">
        <f t="shared" si="50"/>
        <v>鳩</v>
      </c>
    </row>
    <row r="1007" spans="1:22" ht="39">
      <c r="A1007" s="3">
        <v>1006</v>
      </c>
      <c r="B1007" s="3" t="s">
        <v>4995</v>
      </c>
      <c r="C1007" s="3" t="s">
        <v>6180</v>
      </c>
      <c r="D1007" s="3" t="s">
        <v>6001</v>
      </c>
      <c r="E1007" s="3" t="s">
        <v>5991</v>
      </c>
      <c r="F1007" s="3" t="s">
        <v>4996</v>
      </c>
      <c r="G1007" s="3" t="s">
        <v>5993</v>
      </c>
      <c r="H1007" s="3" t="s">
        <v>5037</v>
      </c>
      <c r="I1007" s="3" t="s">
        <v>4998</v>
      </c>
      <c r="J1007" s="5" t="s">
        <v>7931</v>
      </c>
      <c r="L1007" s="3" t="s">
        <v>5031</v>
      </c>
      <c r="M1007" s="3">
        <v>17</v>
      </c>
      <c r="N1007" s="4" t="s">
        <v>4996</v>
      </c>
      <c r="O1007" s="4">
        <v>46</v>
      </c>
      <c r="P1007" s="11" t="s">
        <v>9774</v>
      </c>
      <c r="Q1007" s="11" t="s">
        <v>10141</v>
      </c>
      <c r="S1007" s="4" t="b">
        <f>ISNUMBER(MATCH(Q1007,T:T,0))</f>
        <v>1</v>
      </c>
      <c r="T1007" s="4" t="s">
        <v>11457</v>
      </c>
      <c r="U1007" s="4" t="str">
        <f t="shared" si="50"/>
        <v>鳩</v>
      </c>
    </row>
    <row r="1008" spans="1:22">
      <c r="A1008" s="3">
        <v>1007</v>
      </c>
      <c r="B1008" s="3" t="s">
        <v>4995</v>
      </c>
      <c r="C1008" s="3" t="s">
        <v>6167</v>
      </c>
      <c r="D1008" s="3" t="s">
        <v>6001</v>
      </c>
      <c r="E1008" s="3" t="s">
        <v>5991</v>
      </c>
      <c r="F1008" s="3" t="s">
        <v>4996</v>
      </c>
      <c r="G1008" s="3" t="s">
        <v>5993</v>
      </c>
      <c r="H1008" s="3" t="s">
        <v>5038</v>
      </c>
      <c r="I1008" s="3" t="s">
        <v>4998</v>
      </c>
      <c r="J1008" s="5" t="s">
        <v>7932</v>
      </c>
      <c r="L1008" s="3" t="s">
        <v>5019</v>
      </c>
      <c r="M1008" s="3">
        <v>7</v>
      </c>
      <c r="N1008" s="4" t="s">
        <v>4996</v>
      </c>
      <c r="O1008" s="4">
        <v>46</v>
      </c>
      <c r="P1008" s="11" t="s">
        <v>9769</v>
      </c>
      <c r="Q1008" s="11" t="s">
        <v>10141</v>
      </c>
      <c r="S1008" s="4" t="b">
        <f>ISNUMBER(MATCH(Q1008,T:T,0))</f>
        <v>1</v>
      </c>
      <c r="T1008" s="4" t="s">
        <v>11458</v>
      </c>
      <c r="U1008" s="4" t="str">
        <f t="shared" si="50"/>
        <v>鳩</v>
      </c>
    </row>
    <row r="1009" spans="1:22">
      <c r="A1009" s="3">
        <v>1008</v>
      </c>
      <c r="B1009" s="3" t="s">
        <v>4995</v>
      </c>
      <c r="C1009" s="3" t="s">
        <v>6318</v>
      </c>
      <c r="D1009" s="3" t="s">
        <v>6001</v>
      </c>
      <c r="E1009" s="3" t="s">
        <v>5991</v>
      </c>
      <c r="F1009" s="3" t="s">
        <v>4996</v>
      </c>
      <c r="G1009" s="3" t="s">
        <v>5993</v>
      </c>
      <c r="H1009" s="3" t="s">
        <v>5039</v>
      </c>
      <c r="I1009" s="3" t="s">
        <v>4998</v>
      </c>
      <c r="J1009" s="5" t="s">
        <v>7933</v>
      </c>
      <c r="L1009" s="3" t="s">
        <v>5024</v>
      </c>
      <c r="M1009" s="3">
        <v>14</v>
      </c>
      <c r="N1009" s="4" t="s">
        <v>4996</v>
      </c>
      <c r="O1009" s="4">
        <v>46</v>
      </c>
      <c r="P1009" s="11" t="s">
        <v>9804</v>
      </c>
      <c r="Q1009" s="11" t="s">
        <v>10141</v>
      </c>
      <c r="S1009" s="4" t="b">
        <f>ISNUMBER(MATCH(Q1009,T:T,0))</f>
        <v>1</v>
      </c>
      <c r="T1009" s="4" t="s">
        <v>10802</v>
      </c>
      <c r="U1009" s="4" t="str">
        <f t="shared" si="50"/>
        <v>鳩</v>
      </c>
    </row>
    <row r="1010" spans="1:22">
      <c r="A1010" s="3">
        <v>1009</v>
      </c>
      <c r="B1010" s="3" t="s">
        <v>4995</v>
      </c>
      <c r="C1010" s="3" t="s">
        <v>6015</v>
      </c>
      <c r="D1010" s="3" t="s">
        <v>6001</v>
      </c>
      <c r="E1010" s="3" t="s">
        <v>5991</v>
      </c>
      <c r="F1010" s="3" t="s">
        <v>4996</v>
      </c>
      <c r="G1010" s="3" t="s">
        <v>5993</v>
      </c>
      <c r="H1010" s="3" t="s">
        <v>5040</v>
      </c>
      <c r="I1010" s="3" t="s">
        <v>4998</v>
      </c>
      <c r="J1010" s="5" t="s">
        <v>5041</v>
      </c>
      <c r="L1010" s="3" t="s">
        <v>5026</v>
      </c>
      <c r="M1010" s="3">
        <v>2</v>
      </c>
      <c r="N1010" s="4" t="s">
        <v>4996</v>
      </c>
      <c r="O1010" s="4">
        <v>46</v>
      </c>
      <c r="P1010" s="11" t="s">
        <v>9777</v>
      </c>
      <c r="Q1010" s="11" t="s">
        <v>4996</v>
      </c>
      <c r="S1010" s="4" t="b">
        <f>ISNUMBER(MATCH(Q1010,T:T,0))</f>
        <v>1</v>
      </c>
      <c r="T1010" s="4" t="s">
        <v>11459</v>
      </c>
      <c r="U1010" s="4" t="str">
        <f t="shared" si="50"/>
        <v>尤</v>
      </c>
    </row>
    <row r="1011" spans="1:22">
      <c r="A1011" s="3">
        <v>1010</v>
      </c>
      <c r="B1011" s="3" t="s">
        <v>4995</v>
      </c>
      <c r="C1011" s="3" t="s">
        <v>6089</v>
      </c>
      <c r="D1011" s="3" t="s">
        <v>6001</v>
      </c>
      <c r="E1011" s="3" t="s">
        <v>5991</v>
      </c>
      <c r="F1011" s="3" t="s">
        <v>4996</v>
      </c>
      <c r="G1011" s="3" t="s">
        <v>5993</v>
      </c>
      <c r="H1011" s="3" t="s">
        <v>5042</v>
      </c>
      <c r="I1011" s="3" t="s">
        <v>4998</v>
      </c>
      <c r="J1011" s="5" t="s">
        <v>7934</v>
      </c>
      <c r="L1011" s="3" t="s">
        <v>5016</v>
      </c>
      <c r="M1011" s="3">
        <v>13</v>
      </c>
      <c r="N1011" s="4" t="s">
        <v>4996</v>
      </c>
      <c r="O1011" s="4">
        <v>46</v>
      </c>
      <c r="P1011" s="11" t="s">
        <v>9753</v>
      </c>
      <c r="Q1011" s="11" t="s">
        <v>4996</v>
      </c>
      <c r="S1011" s="4" t="b">
        <f>ISNUMBER(MATCH(Q1011,T:T,0))</f>
        <v>1</v>
      </c>
      <c r="T1011" s="4" t="s">
        <v>10288</v>
      </c>
      <c r="U1011" s="4" t="str">
        <f t="shared" si="50"/>
        <v>尤</v>
      </c>
    </row>
    <row r="1012" spans="1:22">
      <c r="A1012" s="3">
        <v>1011</v>
      </c>
      <c r="B1012" s="3" t="s">
        <v>4995</v>
      </c>
      <c r="C1012" s="3" t="s">
        <v>6123</v>
      </c>
      <c r="D1012" s="3" t="s">
        <v>6001</v>
      </c>
      <c r="E1012" s="3" t="s">
        <v>5991</v>
      </c>
      <c r="F1012" s="3" t="s">
        <v>4996</v>
      </c>
      <c r="G1012" s="3" t="s">
        <v>5993</v>
      </c>
      <c r="H1012" s="3" t="s">
        <v>5043</v>
      </c>
      <c r="I1012" s="3" t="s">
        <v>4998</v>
      </c>
      <c r="J1012" s="5" t="s">
        <v>7935</v>
      </c>
      <c r="L1012" s="3" t="s">
        <v>5044</v>
      </c>
      <c r="M1012" s="3">
        <v>6</v>
      </c>
      <c r="N1012" s="4" t="s">
        <v>4996</v>
      </c>
      <c r="O1012" s="4">
        <v>46</v>
      </c>
      <c r="P1012" s="11" t="s">
        <v>9833</v>
      </c>
      <c r="Q1012" s="11" t="s">
        <v>4996</v>
      </c>
      <c r="S1012" s="4" t="b">
        <f>ISNUMBER(MATCH(Q1012,T:T,0))</f>
        <v>1</v>
      </c>
      <c r="T1012" s="4" t="s">
        <v>11460</v>
      </c>
      <c r="U1012" s="4" t="str">
        <f t="shared" si="50"/>
        <v>尤</v>
      </c>
    </row>
    <row r="1013" spans="1:22" ht="39">
      <c r="A1013" s="3">
        <v>1012</v>
      </c>
      <c r="B1013" s="3" t="s">
        <v>4995</v>
      </c>
      <c r="C1013" s="3" t="s">
        <v>6005</v>
      </c>
      <c r="D1013" s="3" t="s">
        <v>6001</v>
      </c>
      <c r="E1013" s="3" t="s">
        <v>5991</v>
      </c>
      <c r="F1013" s="3" t="s">
        <v>4996</v>
      </c>
      <c r="G1013" s="3" t="s">
        <v>5993</v>
      </c>
      <c r="H1013" s="3" t="s">
        <v>5045</v>
      </c>
      <c r="I1013" s="3" t="s">
        <v>4998</v>
      </c>
      <c r="J1013" s="5" t="s">
        <v>7936</v>
      </c>
      <c r="L1013" s="3" t="s">
        <v>5026</v>
      </c>
      <c r="M1013" s="3">
        <v>27</v>
      </c>
      <c r="N1013" s="4" t="s">
        <v>4996</v>
      </c>
      <c r="O1013" s="4">
        <v>46</v>
      </c>
      <c r="P1013" s="11" t="s">
        <v>9709</v>
      </c>
      <c r="Q1013" s="11" t="s">
        <v>10137</v>
      </c>
      <c r="S1013" s="4" t="b">
        <f>ISNUMBER(MATCH(Q1013,T:T,0))</f>
        <v>1</v>
      </c>
      <c r="T1013" s="4" t="s">
        <v>11461</v>
      </c>
      <c r="U1013" s="4" t="str">
        <f t="shared" si="50"/>
        <v>由</v>
      </c>
    </row>
    <row r="1014" spans="1:22">
      <c r="A1014" s="3">
        <v>1013</v>
      </c>
      <c r="B1014" s="3" t="s">
        <v>4995</v>
      </c>
      <c r="C1014" s="3" t="s">
        <v>6000</v>
      </c>
      <c r="D1014" s="3" t="s">
        <v>6001</v>
      </c>
      <c r="E1014" s="3" t="s">
        <v>5991</v>
      </c>
      <c r="F1014" s="3" t="s">
        <v>4996</v>
      </c>
      <c r="G1014" s="3" t="s">
        <v>5993</v>
      </c>
      <c r="H1014" s="3" t="s">
        <v>5046</v>
      </c>
      <c r="I1014" s="3" t="s">
        <v>4998</v>
      </c>
      <c r="J1014" s="5" t="s">
        <v>7937</v>
      </c>
      <c r="L1014" s="3" t="s">
        <v>5024</v>
      </c>
      <c r="M1014" s="3">
        <v>11</v>
      </c>
      <c r="N1014" s="4" t="s">
        <v>4996</v>
      </c>
      <c r="O1014" s="4">
        <v>46</v>
      </c>
      <c r="P1014" s="11" t="s">
        <v>10007</v>
      </c>
      <c r="Q1014" s="11" t="s">
        <v>4998</v>
      </c>
      <c r="R1014" s="4" t="s">
        <v>13064</v>
      </c>
      <c r="S1014" s="4" t="b">
        <f>ISNUMBER(MATCH(Q1014,T:T,0))</f>
        <v>0</v>
      </c>
      <c r="T1014" s="4" t="s">
        <v>11462</v>
      </c>
      <c r="U1014" s="4" t="str">
        <f t="shared" si="50"/>
        <v>留</v>
      </c>
      <c r="V1014" s="4" t="b">
        <f>ISNUMBER(MATCH(R1014,T:T,0))</f>
        <v>1</v>
      </c>
    </row>
    <row r="1015" spans="1:22" ht="58.5">
      <c r="A1015" s="3">
        <v>1014</v>
      </c>
      <c r="B1015" s="3" t="s">
        <v>4995</v>
      </c>
      <c r="C1015" s="3" t="s">
        <v>6041</v>
      </c>
      <c r="D1015" s="3" t="s">
        <v>6001</v>
      </c>
      <c r="E1015" s="3" t="s">
        <v>5991</v>
      </c>
      <c r="F1015" s="3" t="s">
        <v>4996</v>
      </c>
      <c r="G1015" s="3" t="s">
        <v>5993</v>
      </c>
      <c r="H1015" s="3" t="s">
        <v>5047</v>
      </c>
      <c r="I1015" s="3" t="s">
        <v>4998</v>
      </c>
      <c r="J1015" s="5" t="s">
        <v>7938</v>
      </c>
      <c r="L1015" s="3" t="s">
        <v>5013</v>
      </c>
      <c r="M1015" s="3">
        <v>44</v>
      </c>
      <c r="N1015" s="4" t="s">
        <v>4996</v>
      </c>
      <c r="O1015" s="4">
        <v>46</v>
      </c>
      <c r="P1015" s="11" t="s">
        <v>9789</v>
      </c>
      <c r="Q1015" s="11" t="s">
        <v>10141</v>
      </c>
      <c r="S1015" s="4" t="b">
        <f>ISNUMBER(MATCH(Q1015,T:T,0))</f>
        <v>1</v>
      </c>
      <c r="T1015" s="4" t="s">
        <v>10062</v>
      </c>
      <c r="U1015" s="4" t="str">
        <f t="shared" si="50"/>
        <v>鳩</v>
      </c>
    </row>
    <row r="1016" spans="1:22" ht="39">
      <c r="A1016" s="3">
        <v>1015</v>
      </c>
      <c r="B1016" s="3" t="s">
        <v>4995</v>
      </c>
      <c r="C1016" s="3" t="s">
        <v>6045</v>
      </c>
      <c r="D1016" s="3" t="s">
        <v>6001</v>
      </c>
      <c r="E1016" s="3" t="s">
        <v>5991</v>
      </c>
      <c r="F1016" s="3" t="s">
        <v>4996</v>
      </c>
      <c r="G1016" s="3" t="s">
        <v>5993</v>
      </c>
      <c r="H1016" s="3" t="s">
        <v>5048</v>
      </c>
      <c r="I1016" s="3" t="s">
        <v>4998</v>
      </c>
      <c r="J1016" s="5" t="s">
        <v>7939</v>
      </c>
      <c r="L1016" s="3" t="s">
        <v>5049</v>
      </c>
      <c r="M1016" s="3">
        <v>24</v>
      </c>
      <c r="N1016" s="4" t="s">
        <v>4996</v>
      </c>
      <c r="O1016" s="4">
        <v>46</v>
      </c>
      <c r="P1016" s="11" t="s">
        <v>2428</v>
      </c>
      <c r="Q1016" s="11" t="s">
        <v>10144</v>
      </c>
      <c r="S1016" s="4" t="b">
        <f>ISNUMBER(MATCH(Q1016,T:T,0))</f>
        <v>1</v>
      </c>
      <c r="T1016" s="4" t="s">
        <v>10145</v>
      </c>
      <c r="U1016" s="4" t="str">
        <f t="shared" si="50"/>
        <v>謀</v>
      </c>
    </row>
    <row r="1017" spans="1:22" ht="39">
      <c r="A1017" s="3">
        <v>1016</v>
      </c>
      <c r="B1017" s="3" t="s">
        <v>4995</v>
      </c>
      <c r="C1017" s="3" t="s">
        <v>6035</v>
      </c>
      <c r="D1017" s="3" t="s">
        <v>6001</v>
      </c>
      <c r="E1017" s="3" t="s">
        <v>5991</v>
      </c>
      <c r="F1017" s="3" t="s">
        <v>4996</v>
      </c>
      <c r="G1017" s="3" t="s">
        <v>5993</v>
      </c>
      <c r="H1017" s="3" t="s">
        <v>5050</v>
      </c>
      <c r="I1017" s="3" t="s">
        <v>4998</v>
      </c>
      <c r="J1017" s="5" t="s">
        <v>7940</v>
      </c>
      <c r="K1017" s="3" t="s">
        <v>594</v>
      </c>
      <c r="L1017" s="3" t="s">
        <v>5051</v>
      </c>
      <c r="M1017" s="3">
        <v>24</v>
      </c>
      <c r="N1017" s="4" t="s">
        <v>4996</v>
      </c>
      <c r="O1017" s="4">
        <v>46</v>
      </c>
      <c r="P1017" s="11" t="s">
        <v>9719</v>
      </c>
      <c r="Q1017" s="11" t="s">
        <v>10145</v>
      </c>
      <c r="S1017" s="4" t="b">
        <f>ISNUMBER(MATCH(Q1017,T:T,0))</f>
        <v>1</v>
      </c>
      <c r="T1017" s="4" t="s">
        <v>10144</v>
      </c>
      <c r="U1017" s="4" t="str">
        <f t="shared" si="50"/>
        <v>浮</v>
      </c>
    </row>
    <row r="1018" spans="1:22" ht="39">
      <c r="A1018" s="3">
        <v>1017</v>
      </c>
      <c r="B1018" s="3" t="s">
        <v>5052</v>
      </c>
      <c r="C1018" s="3" t="s">
        <v>6067</v>
      </c>
      <c r="D1018" s="3" t="s">
        <v>5990</v>
      </c>
      <c r="E1018" s="3" t="s">
        <v>5991</v>
      </c>
      <c r="F1018" s="3" t="s">
        <v>5053</v>
      </c>
      <c r="G1018" s="3" t="s">
        <v>5993</v>
      </c>
      <c r="H1018" s="7" t="s">
        <v>719</v>
      </c>
      <c r="I1018" s="3" t="s">
        <v>4998</v>
      </c>
      <c r="J1018" s="5" t="s">
        <v>7941</v>
      </c>
      <c r="L1018" s="3" t="s">
        <v>5054</v>
      </c>
      <c r="M1018" s="3">
        <v>24</v>
      </c>
      <c r="N1018" s="4" t="s">
        <v>5053</v>
      </c>
      <c r="O1018" s="4">
        <v>47</v>
      </c>
      <c r="P1018" s="11" t="s">
        <v>9731</v>
      </c>
      <c r="Q1018" s="11" t="s">
        <v>10146</v>
      </c>
      <c r="S1018" s="4" t="b">
        <f>ISNUMBER(MATCH(Q1018,T:T,0))</f>
        <v>1</v>
      </c>
      <c r="T1018" s="4" t="s">
        <v>5053</v>
      </c>
      <c r="U1018" s="4" t="str">
        <f t="shared" si="50"/>
        <v>鉤</v>
      </c>
    </row>
    <row r="1019" spans="1:22">
      <c r="A1019" s="3">
        <v>1018</v>
      </c>
      <c r="B1019" s="3" t="s">
        <v>5052</v>
      </c>
      <c r="C1019" s="3" t="s">
        <v>6072</v>
      </c>
      <c r="D1019" s="3" t="s">
        <v>5990</v>
      </c>
      <c r="E1019" s="3" t="s">
        <v>5991</v>
      </c>
      <c r="F1019" s="3" t="s">
        <v>5053</v>
      </c>
      <c r="G1019" s="3" t="s">
        <v>5993</v>
      </c>
      <c r="H1019" s="3" t="s">
        <v>5055</v>
      </c>
      <c r="I1019" s="3" t="s">
        <v>4998</v>
      </c>
      <c r="J1019" s="5" t="s">
        <v>7942</v>
      </c>
      <c r="L1019" s="3" t="s">
        <v>5056</v>
      </c>
      <c r="M1019" s="3">
        <v>16</v>
      </c>
      <c r="N1019" s="4" t="s">
        <v>5053</v>
      </c>
      <c r="O1019" s="4">
        <v>47</v>
      </c>
      <c r="P1019" s="11" t="s">
        <v>9734</v>
      </c>
      <c r="Q1019" s="11" t="s">
        <v>5053</v>
      </c>
      <c r="S1019" s="4" t="b">
        <f>ISNUMBER(MATCH(Q1019,T:T,0))</f>
        <v>1</v>
      </c>
      <c r="T1019" s="4" t="s">
        <v>11463</v>
      </c>
      <c r="U1019" s="4" t="str">
        <f t="shared" si="50"/>
        <v>侯</v>
      </c>
    </row>
    <row r="1020" spans="1:22">
      <c r="A1020" s="3">
        <v>1019</v>
      </c>
      <c r="B1020" s="3" t="s">
        <v>5052</v>
      </c>
      <c r="C1020" s="3" t="s">
        <v>6102</v>
      </c>
      <c r="D1020" s="3" t="s">
        <v>5990</v>
      </c>
      <c r="E1020" s="3" t="s">
        <v>5991</v>
      </c>
      <c r="F1020" s="3" t="s">
        <v>5053</v>
      </c>
      <c r="G1020" s="3" t="s">
        <v>5993</v>
      </c>
      <c r="H1020" s="3" t="s">
        <v>5057</v>
      </c>
      <c r="I1020" s="3" t="s">
        <v>4998</v>
      </c>
      <c r="J1020" s="5" t="s">
        <v>5058</v>
      </c>
      <c r="L1020" s="3" t="s">
        <v>5059</v>
      </c>
      <c r="M1020" s="3">
        <v>4</v>
      </c>
      <c r="N1020" s="4" t="s">
        <v>5053</v>
      </c>
      <c r="O1020" s="4">
        <v>47</v>
      </c>
      <c r="P1020" s="11" t="s">
        <v>9744</v>
      </c>
      <c r="Q1020" s="11" t="s">
        <v>10146</v>
      </c>
      <c r="S1020" s="4" t="b">
        <f>ISNUMBER(MATCH(Q1020,T:T,0))</f>
        <v>1</v>
      </c>
      <c r="T1020" s="4" t="s">
        <v>11464</v>
      </c>
      <c r="U1020" s="4" t="str">
        <f t="shared" si="50"/>
        <v>鉤</v>
      </c>
    </row>
    <row r="1021" spans="1:22" ht="39">
      <c r="A1021" s="3">
        <v>1020</v>
      </c>
      <c r="B1021" s="3" t="s">
        <v>5052</v>
      </c>
      <c r="C1021" s="3" t="s">
        <v>6058</v>
      </c>
      <c r="D1021" s="3" t="s">
        <v>5990</v>
      </c>
      <c r="E1021" s="3" t="s">
        <v>5991</v>
      </c>
      <c r="F1021" s="3" t="s">
        <v>5053</v>
      </c>
      <c r="G1021" s="3" t="s">
        <v>5993</v>
      </c>
      <c r="H1021" s="3" t="s">
        <v>5060</v>
      </c>
      <c r="I1021" s="3" t="s">
        <v>4998</v>
      </c>
      <c r="J1021" s="5" t="s">
        <v>7943</v>
      </c>
      <c r="L1021" s="3" t="s">
        <v>5061</v>
      </c>
      <c r="M1021" s="3">
        <v>29</v>
      </c>
      <c r="N1021" s="4" t="s">
        <v>5053</v>
      </c>
      <c r="O1021" s="4">
        <v>47</v>
      </c>
      <c r="P1021" s="11" t="s">
        <v>9877</v>
      </c>
      <c r="Q1021" s="11" t="s">
        <v>5053</v>
      </c>
      <c r="S1021" s="4" t="b">
        <f>ISNUMBER(MATCH(Q1021,T:T,0))</f>
        <v>1</v>
      </c>
      <c r="T1021" s="4" t="s">
        <v>11465</v>
      </c>
      <c r="U1021" s="4" t="str">
        <f t="shared" si="50"/>
        <v>侯</v>
      </c>
    </row>
    <row r="1022" spans="1:22">
      <c r="A1022" s="3">
        <v>1021</v>
      </c>
      <c r="B1022" s="3" t="s">
        <v>5052</v>
      </c>
      <c r="C1022" s="3" t="s">
        <v>6017</v>
      </c>
      <c r="D1022" s="3" t="s">
        <v>5990</v>
      </c>
      <c r="E1022" s="3" t="s">
        <v>5991</v>
      </c>
      <c r="F1022" s="3" t="s">
        <v>5053</v>
      </c>
      <c r="G1022" s="3" t="s">
        <v>5993</v>
      </c>
      <c r="H1022" s="3" t="s">
        <v>5062</v>
      </c>
      <c r="I1022" s="3" t="s">
        <v>4998</v>
      </c>
      <c r="J1022" s="5" t="s">
        <v>7944</v>
      </c>
      <c r="L1022" s="3" t="s">
        <v>5063</v>
      </c>
      <c r="M1022" s="3">
        <v>8</v>
      </c>
      <c r="N1022" s="4" t="s">
        <v>5053</v>
      </c>
      <c r="O1022" s="4">
        <v>47</v>
      </c>
      <c r="P1022" s="11" t="s">
        <v>10147</v>
      </c>
      <c r="Q1022" s="11" t="s">
        <v>5053</v>
      </c>
      <c r="S1022" s="4" t="b">
        <f>ISNUMBER(MATCH(Q1022,T:T,0))</f>
        <v>1</v>
      </c>
      <c r="T1022" s="4" t="s">
        <v>11466</v>
      </c>
      <c r="U1022" s="4" t="str">
        <f t="shared" si="50"/>
        <v>侯</v>
      </c>
    </row>
    <row r="1023" spans="1:22">
      <c r="A1023" s="3">
        <v>1022</v>
      </c>
      <c r="B1023" s="3" t="s">
        <v>5052</v>
      </c>
      <c r="C1023" s="3" t="s">
        <v>6038</v>
      </c>
      <c r="D1023" s="3" t="s">
        <v>5990</v>
      </c>
      <c r="E1023" s="3" t="s">
        <v>5991</v>
      </c>
      <c r="F1023" s="3" t="s">
        <v>5053</v>
      </c>
      <c r="G1023" s="3" t="s">
        <v>5993</v>
      </c>
      <c r="H1023" s="3" t="s">
        <v>5064</v>
      </c>
      <c r="I1023" s="3" t="s">
        <v>4998</v>
      </c>
      <c r="J1023" s="5" t="s">
        <v>7945</v>
      </c>
      <c r="L1023" s="3" t="s">
        <v>5065</v>
      </c>
      <c r="M1023" s="3">
        <v>8</v>
      </c>
      <c r="N1023" s="4" t="s">
        <v>5053</v>
      </c>
      <c r="O1023" s="4">
        <v>47</v>
      </c>
      <c r="P1023" s="11" t="s">
        <v>10148</v>
      </c>
      <c r="Q1023" s="11" t="s">
        <v>5053</v>
      </c>
      <c r="S1023" s="4" t="b">
        <f>ISNUMBER(MATCH(Q1023,T:T,0))</f>
        <v>1</v>
      </c>
      <c r="T1023" s="4" t="s">
        <v>11467</v>
      </c>
      <c r="U1023" s="4" t="str">
        <f t="shared" si="50"/>
        <v>侯</v>
      </c>
    </row>
    <row r="1024" spans="1:22">
      <c r="A1024" s="3">
        <v>1023</v>
      </c>
      <c r="B1024" s="3" t="s">
        <v>5052</v>
      </c>
      <c r="C1024" s="3" t="s">
        <v>6089</v>
      </c>
      <c r="D1024" s="3" t="s">
        <v>5990</v>
      </c>
      <c r="E1024" s="3" t="s">
        <v>5991</v>
      </c>
      <c r="F1024" s="3" t="s">
        <v>5053</v>
      </c>
      <c r="G1024" s="3" t="s">
        <v>5993</v>
      </c>
      <c r="H1024" s="3" t="s">
        <v>5066</v>
      </c>
      <c r="I1024" s="3" t="s">
        <v>4998</v>
      </c>
      <c r="J1024" s="5" t="s">
        <v>5067</v>
      </c>
      <c r="L1024" s="3" t="s">
        <v>5068</v>
      </c>
      <c r="M1024" s="3">
        <v>2</v>
      </c>
      <c r="N1024" s="4" t="s">
        <v>5053</v>
      </c>
      <c r="O1024" s="4">
        <v>47</v>
      </c>
      <c r="P1024" s="11" t="s">
        <v>9739</v>
      </c>
      <c r="Q1024" s="11" t="s">
        <v>5053</v>
      </c>
      <c r="S1024" s="4" t="b">
        <f>ISNUMBER(MATCH(Q1024,T:T,0))</f>
        <v>1</v>
      </c>
      <c r="T1024" s="4" t="s">
        <v>11468</v>
      </c>
      <c r="U1024" s="4" t="str">
        <f t="shared" si="50"/>
        <v>侯</v>
      </c>
    </row>
    <row r="1025" spans="1:22">
      <c r="A1025" s="3">
        <v>1024</v>
      </c>
      <c r="B1025" s="3" t="s">
        <v>5052</v>
      </c>
      <c r="C1025" s="3" t="s">
        <v>6083</v>
      </c>
      <c r="D1025" s="3" t="s">
        <v>5990</v>
      </c>
      <c r="E1025" s="3" t="s">
        <v>5991</v>
      </c>
      <c r="F1025" s="3" t="s">
        <v>5053</v>
      </c>
      <c r="G1025" s="3" t="s">
        <v>5993</v>
      </c>
      <c r="H1025" s="3" t="s">
        <v>5069</v>
      </c>
      <c r="I1025" s="3" t="s">
        <v>4998</v>
      </c>
      <c r="J1025" s="5" t="s">
        <v>5070</v>
      </c>
      <c r="L1025" s="3" t="s">
        <v>5071</v>
      </c>
      <c r="M1025" s="3">
        <v>5</v>
      </c>
      <c r="N1025" s="4" t="s">
        <v>5053</v>
      </c>
      <c r="O1025" s="4">
        <v>47</v>
      </c>
      <c r="P1025" s="11" t="s">
        <v>9737</v>
      </c>
      <c r="Q1025" s="11" t="s">
        <v>5053</v>
      </c>
      <c r="S1025" s="4" t="b">
        <f>ISNUMBER(MATCH(Q1025,T:T,0))</f>
        <v>1</v>
      </c>
      <c r="T1025" s="4" t="s">
        <v>11469</v>
      </c>
      <c r="U1025" s="4" t="str">
        <f t="shared" si="50"/>
        <v>侯</v>
      </c>
    </row>
    <row r="1026" spans="1:22">
      <c r="A1026" s="3">
        <v>1025</v>
      </c>
      <c r="B1026" s="3" t="s">
        <v>5052</v>
      </c>
      <c r="C1026" s="3" t="s">
        <v>6079</v>
      </c>
      <c r="D1026" s="3" t="s">
        <v>5990</v>
      </c>
      <c r="E1026" s="3" t="s">
        <v>5991</v>
      </c>
      <c r="F1026" s="3" t="s">
        <v>5053</v>
      </c>
      <c r="G1026" s="3" t="s">
        <v>5993</v>
      </c>
      <c r="H1026" s="3" t="s">
        <v>5072</v>
      </c>
      <c r="I1026" s="3" t="s">
        <v>4998</v>
      </c>
      <c r="J1026" s="5" t="s">
        <v>7946</v>
      </c>
      <c r="L1026" s="3" t="s">
        <v>5073</v>
      </c>
      <c r="M1026" s="3">
        <v>4</v>
      </c>
      <c r="N1026" s="4" t="s">
        <v>5053</v>
      </c>
      <c r="O1026" s="4">
        <v>47</v>
      </c>
      <c r="P1026" s="11" t="s">
        <v>10054</v>
      </c>
      <c r="Q1026" s="11" t="s">
        <v>5053</v>
      </c>
      <c r="S1026" s="4" t="b">
        <f>ISNUMBER(MATCH(Q1026,T:T,0))</f>
        <v>1</v>
      </c>
      <c r="T1026" s="4" t="s">
        <v>11470</v>
      </c>
      <c r="U1026" s="4" t="str">
        <f t="shared" si="50"/>
        <v>侯</v>
      </c>
    </row>
    <row r="1027" spans="1:22">
      <c r="A1027" s="3">
        <v>1026</v>
      </c>
      <c r="B1027" s="3" t="s">
        <v>5052</v>
      </c>
      <c r="C1027" s="3" t="s">
        <v>5997</v>
      </c>
      <c r="D1027" s="3" t="s">
        <v>5990</v>
      </c>
      <c r="E1027" s="3" t="s">
        <v>5991</v>
      </c>
      <c r="F1027" s="3" t="s">
        <v>5053</v>
      </c>
      <c r="G1027" s="3" t="s">
        <v>5993</v>
      </c>
      <c r="H1027" s="3" t="s">
        <v>5074</v>
      </c>
      <c r="I1027" s="3" t="s">
        <v>4998</v>
      </c>
      <c r="J1027" s="5" t="s">
        <v>7947</v>
      </c>
      <c r="L1027" s="3" t="s">
        <v>5075</v>
      </c>
      <c r="M1027" s="3">
        <v>15</v>
      </c>
      <c r="N1027" s="4" t="s">
        <v>5053</v>
      </c>
      <c r="O1027" s="4">
        <v>47</v>
      </c>
      <c r="P1027" s="11" t="s">
        <v>9976</v>
      </c>
      <c r="Q1027" s="11" t="s">
        <v>5053</v>
      </c>
      <c r="S1027" s="4" t="b">
        <f>ISNUMBER(MATCH(Q1027,T:T,0))</f>
        <v>1</v>
      </c>
      <c r="T1027" s="4" t="s">
        <v>11471</v>
      </c>
      <c r="U1027" s="4" t="str">
        <f t="shared" ref="U1027:U1090" si="55">IF(ISBLANK(R1027),Q1027,R1027)</f>
        <v>侯</v>
      </c>
    </row>
    <row r="1028" spans="1:22">
      <c r="A1028" s="3">
        <v>1027</v>
      </c>
      <c r="B1028" s="3" t="s">
        <v>5052</v>
      </c>
      <c r="C1028" s="3" t="s">
        <v>6092</v>
      </c>
      <c r="D1028" s="3" t="s">
        <v>5990</v>
      </c>
      <c r="E1028" s="3" t="s">
        <v>5991</v>
      </c>
      <c r="F1028" s="3" t="s">
        <v>5053</v>
      </c>
      <c r="G1028" s="3" t="s">
        <v>5993</v>
      </c>
      <c r="H1028" s="3" t="s">
        <v>5076</v>
      </c>
      <c r="I1028" s="3" t="s">
        <v>4998</v>
      </c>
      <c r="J1028" s="5" t="s">
        <v>5077</v>
      </c>
      <c r="L1028" s="3" t="s">
        <v>5078</v>
      </c>
      <c r="M1028" s="3">
        <v>1</v>
      </c>
      <c r="N1028" s="4" t="s">
        <v>5053</v>
      </c>
      <c r="O1028" s="4">
        <v>47</v>
      </c>
      <c r="P1028" s="11" t="s">
        <v>9740</v>
      </c>
      <c r="Q1028" s="11" t="s">
        <v>10149</v>
      </c>
      <c r="R1028" s="4" t="s">
        <v>13066</v>
      </c>
      <c r="S1028" s="4" t="b">
        <f>ISNUMBER(MATCH(Q1028,T:T,0))</f>
        <v>0</v>
      </c>
      <c r="T1028" s="4" t="s">
        <v>5077</v>
      </c>
      <c r="U1028" s="4" t="str">
        <f t="shared" si="55"/>
        <v>樓</v>
      </c>
      <c r="V1028" s="4" t="b">
        <f>ISNUMBER(MATCH(R1028,T:T,0))</f>
        <v>1</v>
      </c>
    </row>
    <row r="1029" spans="1:22" ht="39">
      <c r="A1029" s="3">
        <v>1028</v>
      </c>
      <c r="B1029" s="3" t="s">
        <v>5052</v>
      </c>
      <c r="C1029" s="3" t="s">
        <v>6025</v>
      </c>
      <c r="D1029" s="3" t="s">
        <v>5990</v>
      </c>
      <c r="E1029" s="3" t="s">
        <v>5991</v>
      </c>
      <c r="F1029" s="3" t="s">
        <v>5053</v>
      </c>
      <c r="G1029" s="3" t="s">
        <v>5993</v>
      </c>
      <c r="H1029" s="3" t="s">
        <v>5079</v>
      </c>
      <c r="I1029" s="3" t="s">
        <v>4998</v>
      </c>
      <c r="J1029" s="5" t="s">
        <v>7948</v>
      </c>
      <c r="L1029" s="3" t="s">
        <v>5080</v>
      </c>
      <c r="M1029" s="3">
        <v>18</v>
      </c>
      <c r="N1029" s="4" t="s">
        <v>5053</v>
      </c>
      <c r="O1029" s="4">
        <v>47</v>
      </c>
      <c r="P1029" s="11" t="s">
        <v>9729</v>
      </c>
      <c r="Q1029" s="11" t="s">
        <v>5053</v>
      </c>
      <c r="S1029" s="4" t="b">
        <f>ISNUMBER(MATCH(Q1029,T:T,0))</f>
        <v>1</v>
      </c>
      <c r="T1029" s="4" t="s">
        <v>10146</v>
      </c>
      <c r="U1029" s="4" t="str">
        <f t="shared" si="55"/>
        <v>侯</v>
      </c>
    </row>
    <row r="1030" spans="1:22">
      <c r="A1030" s="3">
        <v>1029</v>
      </c>
      <c r="B1030" s="3" t="s">
        <v>5052</v>
      </c>
      <c r="C1030" s="3" t="s">
        <v>5989</v>
      </c>
      <c r="D1030" s="3" t="s">
        <v>5990</v>
      </c>
      <c r="E1030" s="3" t="s">
        <v>5991</v>
      </c>
      <c r="F1030" s="3" t="s">
        <v>5053</v>
      </c>
      <c r="G1030" s="3" t="s">
        <v>5993</v>
      </c>
      <c r="H1030" s="3" t="s">
        <v>5081</v>
      </c>
      <c r="I1030" s="3" t="s">
        <v>4998</v>
      </c>
      <c r="J1030" s="5" t="s">
        <v>7949</v>
      </c>
      <c r="L1030" s="3" t="s">
        <v>5082</v>
      </c>
      <c r="M1030" s="3">
        <v>10</v>
      </c>
      <c r="N1030" s="4" t="s">
        <v>5053</v>
      </c>
      <c r="O1030" s="4">
        <v>47</v>
      </c>
      <c r="P1030" s="11" t="s">
        <v>9883</v>
      </c>
      <c r="Q1030" s="11" t="s">
        <v>5053</v>
      </c>
      <c r="S1030" s="4" t="b">
        <f>ISNUMBER(MATCH(Q1030,T:T,0))</f>
        <v>1</v>
      </c>
      <c r="T1030" s="4" t="s">
        <v>11472</v>
      </c>
      <c r="U1030" s="4" t="str">
        <f t="shared" si="55"/>
        <v>侯</v>
      </c>
    </row>
    <row r="1031" spans="1:22">
      <c r="A1031" s="3">
        <v>1030</v>
      </c>
      <c r="B1031" s="3" t="s">
        <v>5052</v>
      </c>
      <c r="C1031" s="3" t="s">
        <v>6069</v>
      </c>
      <c r="D1031" s="3" t="s">
        <v>5990</v>
      </c>
      <c r="E1031" s="3" t="s">
        <v>5991</v>
      </c>
      <c r="F1031" s="3" t="s">
        <v>5053</v>
      </c>
      <c r="G1031" s="3" t="s">
        <v>5993</v>
      </c>
      <c r="H1031" s="3" t="s">
        <v>5083</v>
      </c>
      <c r="I1031" s="3" t="s">
        <v>4998</v>
      </c>
      <c r="J1031" s="5" t="s">
        <v>5084</v>
      </c>
      <c r="L1031" s="3" t="s">
        <v>5085</v>
      </c>
      <c r="M1031" s="3">
        <v>2</v>
      </c>
      <c r="N1031" s="4" t="s">
        <v>5053</v>
      </c>
      <c r="O1031" s="4">
        <v>47</v>
      </c>
      <c r="P1031" s="11" t="s">
        <v>9733</v>
      </c>
      <c r="Q1031" s="11" t="s">
        <v>10146</v>
      </c>
      <c r="S1031" s="4" t="b">
        <f>ISNUMBER(MATCH(Q1031,T:T,0))</f>
        <v>1</v>
      </c>
      <c r="T1031" s="4" t="s">
        <v>11473</v>
      </c>
      <c r="U1031" s="4" t="str">
        <f t="shared" si="55"/>
        <v>鉤</v>
      </c>
    </row>
    <row r="1032" spans="1:22">
      <c r="A1032" s="3">
        <v>1031</v>
      </c>
      <c r="B1032" s="3" t="s">
        <v>5052</v>
      </c>
      <c r="C1032" s="3" t="s">
        <v>6045</v>
      </c>
      <c r="D1032" s="3" t="s">
        <v>5990</v>
      </c>
      <c r="E1032" s="3" t="s">
        <v>5991</v>
      </c>
      <c r="F1032" s="3" t="s">
        <v>5053</v>
      </c>
      <c r="G1032" s="3" t="s">
        <v>5993</v>
      </c>
      <c r="H1032" s="3" t="s">
        <v>5086</v>
      </c>
      <c r="I1032" s="3" t="s">
        <v>4998</v>
      </c>
      <c r="J1032" s="5" t="s">
        <v>7950</v>
      </c>
      <c r="L1032" s="3" t="s">
        <v>5087</v>
      </c>
      <c r="M1032" s="3">
        <v>9</v>
      </c>
      <c r="N1032" s="4" t="s">
        <v>5053</v>
      </c>
      <c r="O1032" s="4">
        <v>47</v>
      </c>
      <c r="P1032" s="11" t="s">
        <v>9738</v>
      </c>
      <c r="Q1032" s="11" t="s">
        <v>5053</v>
      </c>
      <c r="S1032" s="4" t="b">
        <f>ISNUMBER(MATCH(Q1032,T:T,0))</f>
        <v>1</v>
      </c>
      <c r="T1032" s="4" t="s">
        <v>11474</v>
      </c>
      <c r="U1032" s="4" t="str">
        <f t="shared" si="55"/>
        <v>侯</v>
      </c>
    </row>
    <row r="1033" spans="1:22">
      <c r="A1033" s="3">
        <v>1032</v>
      </c>
      <c r="B1033" s="3" t="s">
        <v>5052</v>
      </c>
      <c r="C1033" s="3" t="s">
        <v>6076</v>
      </c>
      <c r="D1033" s="3" t="s">
        <v>5990</v>
      </c>
      <c r="E1033" s="3" t="s">
        <v>5991</v>
      </c>
      <c r="F1033" s="3" t="s">
        <v>5053</v>
      </c>
      <c r="G1033" s="3" t="s">
        <v>5993</v>
      </c>
      <c r="H1033" s="3" t="s">
        <v>5088</v>
      </c>
      <c r="I1033" s="3" t="s">
        <v>4998</v>
      </c>
      <c r="J1033" s="5" t="s">
        <v>5089</v>
      </c>
      <c r="L1033" s="3" t="s">
        <v>5090</v>
      </c>
      <c r="M1033" s="3">
        <v>1</v>
      </c>
      <c r="N1033" s="4" t="s">
        <v>5053</v>
      </c>
      <c r="O1033" s="4">
        <v>47</v>
      </c>
      <c r="P1033" s="11" t="s">
        <v>10150</v>
      </c>
      <c r="Q1033" s="11" t="s">
        <v>5053</v>
      </c>
      <c r="S1033" s="4" t="b">
        <f>ISNUMBER(MATCH(Q1033,T:T,0))</f>
        <v>1</v>
      </c>
      <c r="T1033" s="4" t="s">
        <v>5089</v>
      </c>
      <c r="U1033" s="4" t="str">
        <f t="shared" si="55"/>
        <v>侯</v>
      </c>
    </row>
    <row r="1034" spans="1:22">
      <c r="A1034" s="3">
        <v>1033</v>
      </c>
      <c r="B1034" s="3" t="s">
        <v>5052</v>
      </c>
      <c r="C1034" s="3" t="s">
        <v>6035</v>
      </c>
      <c r="D1034" s="3" t="s">
        <v>5990</v>
      </c>
      <c r="E1034" s="3" t="s">
        <v>5991</v>
      </c>
      <c r="F1034" s="3" t="s">
        <v>5053</v>
      </c>
      <c r="G1034" s="3" t="s">
        <v>5993</v>
      </c>
      <c r="H1034" s="3" t="s">
        <v>5091</v>
      </c>
      <c r="I1034" s="3" t="s">
        <v>4998</v>
      </c>
      <c r="J1034" s="5" t="s">
        <v>5092</v>
      </c>
      <c r="L1034" s="3" t="s">
        <v>5093</v>
      </c>
      <c r="M1034" s="3">
        <v>1</v>
      </c>
      <c r="N1034" s="4" t="s">
        <v>5053</v>
      </c>
      <c r="O1034" s="4">
        <v>47</v>
      </c>
      <c r="P1034" s="11" t="s">
        <v>10151</v>
      </c>
      <c r="Q1034" s="11" t="s">
        <v>5053</v>
      </c>
      <c r="S1034" s="4" t="b">
        <f>ISNUMBER(MATCH(Q1034,T:T,0))</f>
        <v>1</v>
      </c>
      <c r="T1034" s="4" t="s">
        <v>5092</v>
      </c>
      <c r="U1034" s="4" t="str">
        <f t="shared" si="55"/>
        <v>侯</v>
      </c>
    </row>
    <row r="1035" spans="1:22">
      <c r="A1035" s="3">
        <v>1034</v>
      </c>
      <c r="B1035" s="3" t="s">
        <v>5094</v>
      </c>
      <c r="C1035" s="3" t="s">
        <v>6072</v>
      </c>
      <c r="D1035" s="3" t="s">
        <v>6001</v>
      </c>
      <c r="E1035" s="3" t="s">
        <v>5991</v>
      </c>
      <c r="F1035" s="3" t="s">
        <v>5095</v>
      </c>
      <c r="G1035" s="3" t="s">
        <v>5993</v>
      </c>
      <c r="H1035" s="3" t="s">
        <v>5096</v>
      </c>
      <c r="I1035" s="3" t="s">
        <v>4998</v>
      </c>
      <c r="J1035" s="5" t="s">
        <v>5097</v>
      </c>
      <c r="K1035" s="3" t="s">
        <v>5099</v>
      </c>
      <c r="L1035" s="3" t="s">
        <v>5001</v>
      </c>
      <c r="M1035" s="3">
        <v>7</v>
      </c>
      <c r="N1035" s="4" t="s">
        <v>5095</v>
      </c>
      <c r="O1035" s="4">
        <v>48</v>
      </c>
      <c r="P1035" s="11" t="s">
        <v>9754</v>
      </c>
      <c r="Q1035" s="11" t="s">
        <v>10152</v>
      </c>
      <c r="S1035" s="4" t="b">
        <f>ISNUMBER(MATCH(Q1035,T:T,0))</f>
        <v>1</v>
      </c>
      <c r="T1035" s="4" t="s">
        <v>5095</v>
      </c>
      <c r="U1035" s="4" t="str">
        <f t="shared" si="55"/>
        <v>虯</v>
      </c>
    </row>
    <row r="1036" spans="1:22">
      <c r="A1036" s="3">
        <v>1035</v>
      </c>
      <c r="B1036" s="3" t="s">
        <v>5094</v>
      </c>
      <c r="C1036" s="3" t="s">
        <v>6041</v>
      </c>
      <c r="D1036" s="3" t="s">
        <v>6001</v>
      </c>
      <c r="E1036" s="3" t="s">
        <v>5991</v>
      </c>
      <c r="F1036" s="3" t="s">
        <v>5095</v>
      </c>
      <c r="G1036" s="3" t="s">
        <v>5993</v>
      </c>
      <c r="H1036" s="3" t="s">
        <v>5100</v>
      </c>
      <c r="I1036" s="3" t="s">
        <v>4998</v>
      </c>
      <c r="J1036" s="5" t="s">
        <v>5101</v>
      </c>
      <c r="L1036" s="3" t="s">
        <v>5013</v>
      </c>
      <c r="M1036" s="3">
        <v>7</v>
      </c>
      <c r="N1036" s="4" t="s">
        <v>5095</v>
      </c>
      <c r="O1036" s="4">
        <v>48</v>
      </c>
      <c r="P1036" s="11" t="s">
        <v>9721</v>
      </c>
      <c r="Q1036" s="11" t="s">
        <v>5095</v>
      </c>
      <c r="S1036" s="4" t="b">
        <f>ISNUMBER(MATCH(Q1036,T:T,0))</f>
        <v>1</v>
      </c>
      <c r="T1036" s="4" t="s">
        <v>10152</v>
      </c>
      <c r="U1036" s="4" t="str">
        <f t="shared" si="55"/>
        <v>幽</v>
      </c>
    </row>
    <row r="1037" spans="1:22">
      <c r="A1037" s="3">
        <v>1036</v>
      </c>
      <c r="B1037" s="3" t="s">
        <v>5094</v>
      </c>
      <c r="C1037" s="3" t="s">
        <v>6049</v>
      </c>
      <c r="D1037" s="3" t="s">
        <v>6001</v>
      </c>
      <c r="E1037" s="3" t="s">
        <v>5991</v>
      </c>
      <c r="F1037" s="3" t="s">
        <v>5095</v>
      </c>
      <c r="G1037" s="3" t="s">
        <v>5993</v>
      </c>
      <c r="H1037" s="3" t="s">
        <v>5102</v>
      </c>
      <c r="I1037" s="3" t="s">
        <v>4998</v>
      </c>
      <c r="J1037" s="5" t="s">
        <v>5103</v>
      </c>
      <c r="L1037" s="3" t="s">
        <v>8301</v>
      </c>
      <c r="M1037" s="3">
        <v>3</v>
      </c>
      <c r="N1037" s="4" t="s">
        <v>5095</v>
      </c>
      <c r="O1037" s="4">
        <v>48</v>
      </c>
      <c r="P1037" s="11" t="s">
        <v>9842</v>
      </c>
      <c r="Q1037" s="11" t="s">
        <v>10153</v>
      </c>
      <c r="R1037" s="4" t="s">
        <v>13067</v>
      </c>
      <c r="S1037" s="4" t="b">
        <f>ISNUMBER(MATCH(Q1037,T:T,0))</f>
        <v>0</v>
      </c>
      <c r="T1037" s="4" t="s">
        <v>10155</v>
      </c>
      <c r="U1037" s="4" t="str">
        <f t="shared" si="55"/>
        <v>飍</v>
      </c>
      <c r="V1037" s="4" t="b">
        <f>ISNUMBER(MATCH(R1037,T:T,0))</f>
        <v>1</v>
      </c>
    </row>
    <row r="1038" spans="1:22">
      <c r="A1038" s="3">
        <v>1037</v>
      </c>
      <c r="B1038" s="3" t="s">
        <v>5094</v>
      </c>
      <c r="C1038" s="3" t="s">
        <v>6058</v>
      </c>
      <c r="D1038" s="3" t="s">
        <v>6001</v>
      </c>
      <c r="E1038" s="3" t="s">
        <v>5991</v>
      </c>
      <c r="F1038" s="3" t="s">
        <v>5095</v>
      </c>
      <c r="G1038" s="3" t="s">
        <v>5993</v>
      </c>
      <c r="H1038" s="3" t="s">
        <v>5104</v>
      </c>
      <c r="I1038" s="3" t="s">
        <v>4998</v>
      </c>
      <c r="J1038" s="5" t="s">
        <v>5105</v>
      </c>
      <c r="L1038" s="3" t="s">
        <v>5003</v>
      </c>
      <c r="M1038" s="3">
        <v>2</v>
      </c>
      <c r="N1038" s="4" t="s">
        <v>5095</v>
      </c>
      <c r="O1038" s="4">
        <v>48</v>
      </c>
      <c r="P1038" s="11" t="s">
        <v>9727</v>
      </c>
      <c r="Q1038" s="11" t="s">
        <v>5095</v>
      </c>
      <c r="S1038" s="4" t="b">
        <f>ISNUMBER(MATCH(Q1038,T:T,0))</f>
        <v>1</v>
      </c>
      <c r="T1038" s="4" t="s">
        <v>11475</v>
      </c>
      <c r="U1038" s="4" t="str">
        <f t="shared" si="55"/>
        <v>幽</v>
      </c>
    </row>
    <row r="1039" spans="1:22">
      <c r="A1039" s="3">
        <v>1038</v>
      </c>
      <c r="B1039" s="3" t="s">
        <v>5094</v>
      </c>
      <c r="C1039" s="3" t="s">
        <v>6025</v>
      </c>
      <c r="D1039" s="3" t="s">
        <v>6001</v>
      </c>
      <c r="E1039" s="3" t="s">
        <v>5991</v>
      </c>
      <c r="F1039" s="3" t="s">
        <v>5095</v>
      </c>
      <c r="G1039" s="3" t="s">
        <v>5993</v>
      </c>
      <c r="H1039" s="3" t="s">
        <v>5106</v>
      </c>
      <c r="I1039" s="3" t="s">
        <v>4998</v>
      </c>
      <c r="J1039" s="5" t="s">
        <v>5107</v>
      </c>
      <c r="L1039" s="3" t="s">
        <v>5010</v>
      </c>
      <c r="M1039" s="3">
        <v>5</v>
      </c>
      <c r="N1039" s="4" t="s">
        <v>5095</v>
      </c>
      <c r="O1039" s="4">
        <v>48</v>
      </c>
      <c r="P1039" s="11" t="s">
        <v>9717</v>
      </c>
      <c r="Q1039" s="11" t="s">
        <v>10152</v>
      </c>
      <c r="S1039" s="4" t="b">
        <f>ISNUMBER(MATCH(Q1039,T:T,0))</f>
        <v>1</v>
      </c>
      <c r="T1039" s="4" t="s">
        <v>11476</v>
      </c>
      <c r="U1039" s="4" t="str">
        <f t="shared" si="55"/>
        <v>虯</v>
      </c>
    </row>
    <row r="1040" spans="1:22">
      <c r="A1040" s="3">
        <v>1039</v>
      </c>
      <c r="B1040" s="3" t="s">
        <v>5094</v>
      </c>
      <c r="C1040" s="3" t="s">
        <v>6045</v>
      </c>
      <c r="D1040" s="3" t="s">
        <v>6001</v>
      </c>
      <c r="E1040" s="3" t="s">
        <v>5991</v>
      </c>
      <c r="F1040" s="3" t="s">
        <v>5095</v>
      </c>
      <c r="G1040" s="3" t="s">
        <v>5993</v>
      </c>
      <c r="H1040" s="3" t="s">
        <v>5108</v>
      </c>
      <c r="I1040" s="3" t="s">
        <v>4998</v>
      </c>
      <c r="J1040" s="5" t="s">
        <v>5109</v>
      </c>
      <c r="L1040" s="3" t="s">
        <v>8306</v>
      </c>
      <c r="M1040" s="3">
        <v>3</v>
      </c>
      <c r="N1040" s="4" t="s">
        <v>5095</v>
      </c>
      <c r="O1040" s="4">
        <v>48</v>
      </c>
      <c r="P1040" s="11" t="s">
        <v>10154</v>
      </c>
      <c r="Q1040" s="11" t="s">
        <v>10155</v>
      </c>
      <c r="S1040" s="4" t="b">
        <f>ISNUMBER(MATCH(Q1040,T:T,0))</f>
        <v>1</v>
      </c>
      <c r="T1040" s="4" t="s">
        <v>11477</v>
      </c>
      <c r="U1040" s="4" t="str">
        <f t="shared" si="55"/>
        <v>彪</v>
      </c>
    </row>
    <row r="1041" spans="1:22">
      <c r="A1041" s="3">
        <v>1040</v>
      </c>
      <c r="B1041" s="3" t="s">
        <v>5094</v>
      </c>
      <c r="C1041" s="3" t="s">
        <v>6083</v>
      </c>
      <c r="D1041" s="3" t="s">
        <v>6001</v>
      </c>
      <c r="E1041" s="3" t="s">
        <v>5991</v>
      </c>
      <c r="F1041" s="3" t="s">
        <v>5095</v>
      </c>
      <c r="G1041" s="3" t="s">
        <v>5993</v>
      </c>
      <c r="H1041" s="3" t="s">
        <v>5110</v>
      </c>
      <c r="I1041" s="3" t="s">
        <v>4998</v>
      </c>
      <c r="J1041" s="8" t="s">
        <v>5111</v>
      </c>
      <c r="L1041" s="3" t="s">
        <v>5010</v>
      </c>
      <c r="M1041" s="3">
        <v>1</v>
      </c>
      <c r="N1041" s="4" t="s">
        <v>5095</v>
      </c>
      <c r="O1041" s="4">
        <v>48</v>
      </c>
      <c r="P1041" s="11" t="s">
        <v>9737</v>
      </c>
      <c r="Q1041" s="11" t="s">
        <v>5095</v>
      </c>
      <c r="S1041" s="4" t="b">
        <f>ISNUMBER(MATCH(Q1041,T:T,0))</f>
        <v>1</v>
      </c>
      <c r="T1041" s="4" t="s">
        <v>5111</v>
      </c>
      <c r="U1041" s="4" t="str">
        <f t="shared" si="55"/>
        <v>幽</v>
      </c>
    </row>
    <row r="1042" spans="1:22">
      <c r="A1042" s="3">
        <v>1041</v>
      </c>
      <c r="B1042" s="3" t="s">
        <v>5094</v>
      </c>
      <c r="C1042" s="3" t="s">
        <v>6180</v>
      </c>
      <c r="D1042" s="3" t="s">
        <v>6001</v>
      </c>
      <c r="E1042" s="3" t="s">
        <v>5991</v>
      </c>
      <c r="F1042" s="3" t="s">
        <v>5095</v>
      </c>
      <c r="G1042" s="3" t="s">
        <v>5993</v>
      </c>
      <c r="H1042" s="3" t="s">
        <v>5112</v>
      </c>
      <c r="I1042" s="3" t="s">
        <v>4998</v>
      </c>
      <c r="J1042" s="8" t="s">
        <v>5113</v>
      </c>
      <c r="L1042" s="3" t="s">
        <v>5031</v>
      </c>
      <c r="M1042" s="3">
        <v>1</v>
      </c>
      <c r="N1042" s="4" t="s">
        <v>5095</v>
      </c>
      <c r="O1042" s="4">
        <v>48</v>
      </c>
      <c r="P1042" s="11" t="s">
        <v>6836</v>
      </c>
      <c r="Q1042" s="11" t="s">
        <v>5095</v>
      </c>
      <c r="S1042" s="4" t="b">
        <f>ISNUMBER(MATCH(Q1042,T:T,0))</f>
        <v>1</v>
      </c>
      <c r="T1042" s="4" t="s">
        <v>5113</v>
      </c>
      <c r="U1042" s="4" t="str">
        <f t="shared" si="55"/>
        <v>幽</v>
      </c>
    </row>
    <row r="1043" spans="1:22">
      <c r="A1043" s="3">
        <v>1042</v>
      </c>
      <c r="B1043" s="3" t="s">
        <v>5094</v>
      </c>
      <c r="C1043" s="3" t="s">
        <v>6092</v>
      </c>
      <c r="D1043" s="3" t="s">
        <v>6001</v>
      </c>
      <c r="E1043" s="3" t="s">
        <v>5991</v>
      </c>
      <c r="F1043" s="3" t="s">
        <v>5095</v>
      </c>
      <c r="G1043" s="3" t="s">
        <v>5993</v>
      </c>
      <c r="H1043" s="3" t="s">
        <v>5114</v>
      </c>
      <c r="I1043" s="3" t="s">
        <v>4998</v>
      </c>
      <c r="J1043" s="5" t="s">
        <v>5115</v>
      </c>
      <c r="L1043" s="3" t="s">
        <v>4999</v>
      </c>
      <c r="M1043" s="3">
        <v>1</v>
      </c>
      <c r="N1043" s="4" t="s">
        <v>5095</v>
      </c>
      <c r="O1043" s="4">
        <v>48</v>
      </c>
      <c r="P1043" s="11" t="s">
        <v>9001</v>
      </c>
      <c r="Q1043" s="11" t="s">
        <v>10152</v>
      </c>
      <c r="S1043" s="4" t="b">
        <f>ISNUMBER(MATCH(Q1043,T:T,0))</f>
        <v>1</v>
      </c>
      <c r="T1043" s="4" t="s">
        <v>5115</v>
      </c>
      <c r="U1043" s="4" t="str">
        <f t="shared" si="55"/>
        <v>虯</v>
      </c>
    </row>
    <row r="1044" spans="1:22">
      <c r="A1044" s="3">
        <v>1043</v>
      </c>
      <c r="B1044" s="3" t="s">
        <v>5094</v>
      </c>
      <c r="C1044" s="3" t="s">
        <v>6089</v>
      </c>
      <c r="D1044" s="3" t="s">
        <v>6001</v>
      </c>
      <c r="E1044" s="3" t="s">
        <v>5991</v>
      </c>
      <c r="F1044" s="3" t="s">
        <v>5095</v>
      </c>
      <c r="G1044" s="3" t="s">
        <v>5993</v>
      </c>
      <c r="H1044" s="3" t="s">
        <v>5116</v>
      </c>
      <c r="I1044" s="3" t="s">
        <v>4998</v>
      </c>
      <c r="J1044" s="8" t="s">
        <v>7951</v>
      </c>
      <c r="L1044" s="3" t="s">
        <v>5016</v>
      </c>
      <c r="M1044" s="3">
        <v>2</v>
      </c>
      <c r="N1044" s="4" t="s">
        <v>5095</v>
      </c>
      <c r="O1044" s="4">
        <v>48</v>
      </c>
      <c r="P1044" s="11" t="s">
        <v>9797</v>
      </c>
      <c r="Q1044" s="11" t="s">
        <v>5095</v>
      </c>
      <c r="S1044" s="4" t="b">
        <f>ISNUMBER(MATCH(Q1044,T:T,0))</f>
        <v>1</v>
      </c>
      <c r="T1044" s="4" t="s">
        <v>11478</v>
      </c>
      <c r="U1044" s="4" t="str">
        <f t="shared" si="55"/>
        <v>幽</v>
      </c>
    </row>
    <row r="1045" spans="1:22">
      <c r="A1045" s="3">
        <v>1044</v>
      </c>
      <c r="B1045" s="3" t="s">
        <v>5094</v>
      </c>
      <c r="C1045" s="3" t="s">
        <v>6035</v>
      </c>
      <c r="D1045" s="3" t="s">
        <v>6001</v>
      </c>
      <c r="E1045" s="3" t="s">
        <v>5991</v>
      </c>
      <c r="F1045" s="3" t="s">
        <v>5095</v>
      </c>
      <c r="G1045" s="3" t="s">
        <v>5993</v>
      </c>
      <c r="H1045" s="3" t="s">
        <v>5117</v>
      </c>
      <c r="I1045" s="3" t="s">
        <v>4998</v>
      </c>
      <c r="J1045" s="5" t="s">
        <v>5118</v>
      </c>
      <c r="L1045" s="3" t="s">
        <v>8309</v>
      </c>
      <c r="M1045" s="3">
        <v>3</v>
      </c>
      <c r="N1045" s="4" t="s">
        <v>5095</v>
      </c>
      <c r="O1045" s="4">
        <v>48</v>
      </c>
      <c r="P1045" s="11" t="s">
        <v>9794</v>
      </c>
      <c r="Q1045" s="11" t="s">
        <v>10155</v>
      </c>
      <c r="S1045" s="4" t="b">
        <f>ISNUMBER(MATCH(Q1045,T:T,0))</f>
        <v>1</v>
      </c>
      <c r="T1045" s="4" t="s">
        <v>11479</v>
      </c>
      <c r="U1045" s="4" t="str">
        <f t="shared" si="55"/>
        <v>彪</v>
      </c>
    </row>
    <row r="1046" spans="1:22">
      <c r="A1046" s="3">
        <v>4007</v>
      </c>
      <c r="B1046" s="3" t="s">
        <v>5094</v>
      </c>
      <c r="C1046" s="3" t="s">
        <v>5989</v>
      </c>
      <c r="D1046" s="3" t="s">
        <v>6001</v>
      </c>
      <c r="E1046" s="3" t="s">
        <v>5991</v>
      </c>
      <c r="F1046" s="3" t="s">
        <v>5095</v>
      </c>
      <c r="G1046" s="3" t="s">
        <v>5993</v>
      </c>
      <c r="I1046" s="3" t="s">
        <v>4998</v>
      </c>
      <c r="J1046" s="5" t="s">
        <v>1322</v>
      </c>
      <c r="N1046" s="4" t="s">
        <v>5095</v>
      </c>
      <c r="O1046" s="4">
        <v>48</v>
      </c>
      <c r="U1046" s="4">
        <f t="shared" si="55"/>
        <v>0</v>
      </c>
    </row>
    <row r="1047" spans="1:22">
      <c r="A1047" s="3">
        <v>1045</v>
      </c>
      <c r="B1047" s="3" t="s">
        <v>5119</v>
      </c>
      <c r="C1047" s="3" t="s">
        <v>6076</v>
      </c>
      <c r="D1047" s="3" t="s">
        <v>6001</v>
      </c>
      <c r="E1047" s="3" t="s">
        <v>5991</v>
      </c>
      <c r="F1047" s="3" t="s">
        <v>5120</v>
      </c>
      <c r="G1047" s="3" t="s">
        <v>5993</v>
      </c>
      <c r="H1047" s="3" t="s">
        <v>5121</v>
      </c>
      <c r="I1047" s="3" t="s">
        <v>5122</v>
      </c>
      <c r="J1047" s="5" t="s">
        <v>5123</v>
      </c>
      <c r="L1047" s="3" t="s">
        <v>3097</v>
      </c>
      <c r="M1047" s="3">
        <v>7</v>
      </c>
      <c r="N1047" s="4" t="s">
        <v>5124</v>
      </c>
      <c r="O1047" s="4">
        <v>49</v>
      </c>
      <c r="P1047" s="11" t="s">
        <v>9766</v>
      </c>
      <c r="Q1047" s="11" t="s">
        <v>10156</v>
      </c>
      <c r="S1047" s="4" t="b">
        <f>ISNUMBER(MATCH(Q1047,T:T,0))</f>
        <v>1</v>
      </c>
      <c r="T1047" s="4" t="s">
        <v>5124</v>
      </c>
      <c r="U1047" s="4" t="str">
        <f t="shared" si="55"/>
        <v>林</v>
      </c>
    </row>
    <row r="1048" spans="1:22">
      <c r="A1048" s="3">
        <v>1046</v>
      </c>
      <c r="B1048" s="3" t="s">
        <v>5119</v>
      </c>
      <c r="C1048" s="3" t="s">
        <v>6123</v>
      </c>
      <c r="D1048" s="3" t="s">
        <v>6001</v>
      </c>
      <c r="E1048" s="3" t="s">
        <v>5991</v>
      </c>
      <c r="F1048" s="3" t="s">
        <v>5120</v>
      </c>
      <c r="G1048" s="3" t="s">
        <v>5993</v>
      </c>
      <c r="H1048" s="3" t="s">
        <v>5125</v>
      </c>
      <c r="I1048" s="3" t="s">
        <v>5122</v>
      </c>
      <c r="J1048" s="5" t="s">
        <v>7952</v>
      </c>
      <c r="L1048" s="3" t="s">
        <v>5126</v>
      </c>
      <c r="M1048" s="3">
        <v>16</v>
      </c>
      <c r="N1048" s="4" t="s">
        <v>5124</v>
      </c>
      <c r="O1048" s="4">
        <v>49</v>
      </c>
      <c r="P1048" s="11" t="s">
        <v>10110</v>
      </c>
      <c r="Q1048" s="11" t="s">
        <v>10156</v>
      </c>
      <c r="S1048" s="4" t="b">
        <f>ISNUMBER(MATCH(Q1048,T:T,0))</f>
        <v>1</v>
      </c>
      <c r="T1048" s="4" t="s">
        <v>10157</v>
      </c>
      <c r="U1048" s="4" t="str">
        <f t="shared" si="55"/>
        <v>林</v>
      </c>
    </row>
    <row r="1049" spans="1:22">
      <c r="A1049" s="3">
        <v>1047</v>
      </c>
      <c r="B1049" s="3" t="s">
        <v>5119</v>
      </c>
      <c r="C1049" s="3" t="s">
        <v>6058</v>
      </c>
      <c r="D1049" s="3" t="s">
        <v>6001</v>
      </c>
      <c r="E1049" s="3" t="s">
        <v>5991</v>
      </c>
      <c r="F1049" s="3" t="s">
        <v>5120</v>
      </c>
      <c r="G1049" s="3" t="s">
        <v>5993</v>
      </c>
      <c r="H1049" s="3" t="s">
        <v>5127</v>
      </c>
      <c r="I1049" s="3" t="s">
        <v>5122</v>
      </c>
      <c r="J1049" s="5" t="s">
        <v>7953</v>
      </c>
      <c r="L1049" s="3" t="s">
        <v>3106</v>
      </c>
      <c r="M1049" s="3">
        <v>8</v>
      </c>
      <c r="N1049" s="4" t="s">
        <v>5124</v>
      </c>
      <c r="O1049" s="4">
        <v>49</v>
      </c>
      <c r="P1049" s="11" t="s">
        <v>9727</v>
      </c>
      <c r="Q1049" s="11" t="s">
        <v>10157</v>
      </c>
      <c r="S1049" s="4" t="b">
        <f>ISNUMBER(MATCH(Q1049,T:T,0))</f>
        <v>1</v>
      </c>
      <c r="T1049" s="4" t="s">
        <v>10156</v>
      </c>
      <c r="U1049" s="4" t="str">
        <f t="shared" si="55"/>
        <v>尋</v>
      </c>
    </row>
    <row r="1050" spans="1:22">
      <c r="A1050" s="3">
        <v>1048</v>
      </c>
      <c r="B1050" s="3" t="s">
        <v>5119</v>
      </c>
      <c r="C1050" s="3" t="s">
        <v>6011</v>
      </c>
      <c r="D1050" s="3" t="s">
        <v>6001</v>
      </c>
      <c r="E1050" s="3" t="s">
        <v>5991</v>
      </c>
      <c r="F1050" s="3" t="s">
        <v>5128</v>
      </c>
      <c r="G1050" s="3" t="s">
        <v>5993</v>
      </c>
      <c r="H1050" s="3" t="s">
        <v>5129</v>
      </c>
      <c r="I1050" s="3" t="s">
        <v>5122</v>
      </c>
      <c r="J1050" s="5" t="s">
        <v>5130</v>
      </c>
      <c r="L1050" s="3" t="s">
        <v>3084</v>
      </c>
      <c r="M1050" s="3">
        <v>7</v>
      </c>
      <c r="N1050" s="4" t="s">
        <v>5124</v>
      </c>
      <c r="O1050" s="4">
        <v>49</v>
      </c>
      <c r="P1050" s="11" t="s">
        <v>9757</v>
      </c>
      <c r="Q1050" s="11" t="s">
        <v>10156</v>
      </c>
      <c r="S1050" s="4" t="b">
        <f>ISNUMBER(MATCH(Q1050,T:T,0))</f>
        <v>1</v>
      </c>
      <c r="T1050" s="4" t="s">
        <v>11480</v>
      </c>
      <c r="U1050" s="4" t="str">
        <f t="shared" si="55"/>
        <v>林</v>
      </c>
    </row>
    <row r="1051" spans="1:22">
      <c r="A1051" s="3">
        <v>1049</v>
      </c>
      <c r="B1051" s="3" t="s">
        <v>5119</v>
      </c>
      <c r="C1051" s="3" t="s">
        <v>6009</v>
      </c>
      <c r="D1051" s="3" t="s">
        <v>6001</v>
      </c>
      <c r="E1051" s="3" t="s">
        <v>5991</v>
      </c>
      <c r="F1051" s="3" t="s">
        <v>5120</v>
      </c>
      <c r="G1051" s="3" t="s">
        <v>5993</v>
      </c>
      <c r="H1051" s="3" t="s">
        <v>5131</v>
      </c>
      <c r="I1051" s="3" t="s">
        <v>5122</v>
      </c>
      <c r="J1051" s="5" t="s">
        <v>5132</v>
      </c>
      <c r="L1051" s="3" t="s">
        <v>3080</v>
      </c>
      <c r="M1051" s="3">
        <v>9</v>
      </c>
      <c r="N1051" s="4" t="s">
        <v>5124</v>
      </c>
      <c r="O1051" s="4">
        <v>49</v>
      </c>
      <c r="P1051" s="11" t="s">
        <v>1726</v>
      </c>
      <c r="Q1051" s="11" t="s">
        <v>5122</v>
      </c>
      <c r="S1051" s="4" t="b">
        <f>ISNUMBER(MATCH(Q1051,T:T,0))</f>
        <v>1</v>
      </c>
      <c r="T1051" s="4" t="s">
        <v>1861</v>
      </c>
      <c r="U1051" s="4" t="str">
        <f t="shared" si="55"/>
        <v>深</v>
      </c>
    </row>
    <row r="1052" spans="1:22">
      <c r="A1052" s="3">
        <v>1050</v>
      </c>
      <c r="B1052" s="3" t="s">
        <v>5119</v>
      </c>
      <c r="C1052" s="3" t="s">
        <v>6005</v>
      </c>
      <c r="D1052" s="3" t="s">
        <v>6001</v>
      </c>
      <c r="E1052" s="3" t="s">
        <v>5991</v>
      </c>
      <c r="F1052" s="3" t="s">
        <v>5128</v>
      </c>
      <c r="G1052" s="3" t="s">
        <v>5993</v>
      </c>
      <c r="H1052" s="3" t="s">
        <v>5133</v>
      </c>
      <c r="I1052" s="3" t="s">
        <v>5122</v>
      </c>
      <c r="J1052" s="5" t="s">
        <v>7954</v>
      </c>
      <c r="L1052" s="3" t="s">
        <v>3090</v>
      </c>
      <c r="M1052" s="3">
        <v>9</v>
      </c>
      <c r="N1052" s="4" t="s">
        <v>5124</v>
      </c>
      <c r="O1052" s="4">
        <v>49</v>
      </c>
      <c r="P1052" s="11" t="s">
        <v>9709</v>
      </c>
      <c r="Q1052" s="11" t="s">
        <v>5122</v>
      </c>
      <c r="S1052" s="4" t="b">
        <f>ISNUMBER(MATCH(Q1052,T:T,0))</f>
        <v>1</v>
      </c>
      <c r="T1052" s="4" t="s">
        <v>11481</v>
      </c>
      <c r="U1052" s="4" t="str">
        <f t="shared" si="55"/>
        <v>深</v>
      </c>
    </row>
    <row r="1053" spans="1:22">
      <c r="A1053" s="3">
        <v>1051</v>
      </c>
      <c r="B1053" s="3" t="s">
        <v>5119</v>
      </c>
      <c r="C1053" s="3" t="s">
        <v>6000</v>
      </c>
      <c r="D1053" s="3" t="s">
        <v>6001</v>
      </c>
      <c r="E1053" s="3" t="s">
        <v>5991</v>
      </c>
      <c r="F1053" s="3" t="s">
        <v>5128</v>
      </c>
      <c r="G1053" s="3" t="s">
        <v>5993</v>
      </c>
      <c r="H1053" s="3" t="s">
        <v>5134</v>
      </c>
      <c r="I1053" s="3" t="s">
        <v>5122</v>
      </c>
      <c r="J1053" s="5" t="s">
        <v>5135</v>
      </c>
      <c r="L1053" s="3" t="s">
        <v>3080</v>
      </c>
      <c r="M1053" s="3">
        <v>5</v>
      </c>
      <c r="N1053" s="4" t="s">
        <v>5124</v>
      </c>
      <c r="O1053" s="4">
        <v>49</v>
      </c>
      <c r="P1053" s="11" t="s">
        <v>6000</v>
      </c>
      <c r="Q1053" s="11" t="s">
        <v>10156</v>
      </c>
      <c r="S1053" s="4" t="b">
        <f>ISNUMBER(MATCH(Q1053,T:T,0))</f>
        <v>1</v>
      </c>
      <c r="T1053" s="4" t="s">
        <v>11482</v>
      </c>
      <c r="U1053" s="4" t="str">
        <f t="shared" si="55"/>
        <v>林</v>
      </c>
    </row>
    <row r="1054" spans="1:22">
      <c r="A1054" s="3">
        <v>1052</v>
      </c>
      <c r="B1054" s="3" t="s">
        <v>5119</v>
      </c>
      <c r="C1054" s="3" t="s">
        <v>6148</v>
      </c>
      <c r="D1054" s="3" t="s">
        <v>6001</v>
      </c>
      <c r="E1054" s="3" t="s">
        <v>5991</v>
      </c>
      <c r="F1054" s="3" t="s">
        <v>5120</v>
      </c>
      <c r="G1054" s="3" t="s">
        <v>5993</v>
      </c>
      <c r="H1054" s="3" t="s">
        <v>5136</v>
      </c>
      <c r="I1054" s="3" t="s">
        <v>5122</v>
      </c>
      <c r="J1054" s="5" t="s">
        <v>7955</v>
      </c>
      <c r="L1054" s="3" t="s">
        <v>3090</v>
      </c>
      <c r="M1054" s="3">
        <v>7</v>
      </c>
      <c r="N1054" s="4" t="s">
        <v>5124</v>
      </c>
      <c r="O1054" s="4">
        <v>49</v>
      </c>
      <c r="P1054" s="11" t="s">
        <v>10158</v>
      </c>
      <c r="Q1054" s="11" t="s">
        <v>10159</v>
      </c>
      <c r="S1054" s="4" t="b">
        <f>ISNUMBER(MATCH(Q1054,T:T,0))</f>
        <v>1</v>
      </c>
      <c r="T1054" s="4" t="s">
        <v>11483</v>
      </c>
      <c r="U1054" s="4" t="str">
        <f t="shared" si="55"/>
        <v>任</v>
      </c>
    </row>
    <row r="1055" spans="1:22">
      <c r="A1055" s="3">
        <v>1053</v>
      </c>
      <c r="B1055" s="3" t="s">
        <v>5119</v>
      </c>
      <c r="C1055" s="3" t="s">
        <v>6021</v>
      </c>
      <c r="D1055" s="3" t="s">
        <v>6001</v>
      </c>
      <c r="E1055" s="3" t="s">
        <v>5991</v>
      </c>
      <c r="F1055" s="3" t="s">
        <v>5120</v>
      </c>
      <c r="G1055" s="3" t="s">
        <v>5993</v>
      </c>
      <c r="H1055" s="3" t="s">
        <v>5137</v>
      </c>
      <c r="I1055" s="3" t="s">
        <v>5122</v>
      </c>
      <c r="J1055" s="5" t="s">
        <v>5138</v>
      </c>
      <c r="L1055" s="3" t="s">
        <v>3092</v>
      </c>
      <c r="M1055" s="3">
        <v>7</v>
      </c>
      <c r="N1055" s="4" t="s">
        <v>5124</v>
      </c>
      <c r="O1055" s="4">
        <v>49</v>
      </c>
      <c r="P1055" s="11" t="s">
        <v>9715</v>
      </c>
      <c r="Q1055" s="11" t="s">
        <v>10156</v>
      </c>
      <c r="S1055" s="4" t="b">
        <f>ISNUMBER(MATCH(Q1055,T:T,0))</f>
        <v>1</v>
      </c>
      <c r="T1055" s="4" t="s">
        <v>10159</v>
      </c>
      <c r="U1055" s="4" t="str">
        <f t="shared" si="55"/>
        <v>林</v>
      </c>
    </row>
    <row r="1056" spans="1:22">
      <c r="A1056" s="3">
        <v>1054</v>
      </c>
      <c r="B1056" s="3" t="s">
        <v>5119</v>
      </c>
      <c r="C1056" s="3" t="s">
        <v>6120</v>
      </c>
      <c r="D1056" s="3" t="s">
        <v>6001</v>
      </c>
      <c r="E1056" s="3" t="s">
        <v>5991</v>
      </c>
      <c r="F1056" s="3" t="s">
        <v>5120</v>
      </c>
      <c r="G1056" s="3" t="s">
        <v>5993</v>
      </c>
      <c r="H1056" s="3" t="s">
        <v>5139</v>
      </c>
      <c r="I1056" s="3" t="s">
        <v>5122</v>
      </c>
      <c r="J1056" s="5" t="s">
        <v>5140</v>
      </c>
      <c r="L1056" s="3" t="s">
        <v>3102</v>
      </c>
      <c r="M1056" s="3">
        <v>2</v>
      </c>
      <c r="N1056" s="4" t="s">
        <v>5124</v>
      </c>
      <c r="O1056" s="4">
        <v>49</v>
      </c>
      <c r="P1056" s="11" t="s">
        <v>9793</v>
      </c>
      <c r="Q1056" s="11" t="s">
        <v>10160</v>
      </c>
      <c r="R1056" s="4" t="s">
        <v>13068</v>
      </c>
      <c r="S1056" s="4" t="b">
        <f>ISNUMBER(MATCH(Q1056,T:T,0))</f>
        <v>0</v>
      </c>
      <c r="T1056" s="4" t="s">
        <v>5122</v>
      </c>
      <c r="U1056" s="4" t="str">
        <f t="shared" si="55"/>
        <v>斟</v>
      </c>
      <c r="V1056" s="4" t="b">
        <f t="shared" ref="V1056:V1057" si="56">ISNUMBER(MATCH(R1056,T:T,0))</f>
        <v>1</v>
      </c>
    </row>
    <row r="1057" spans="1:22">
      <c r="A1057" s="3">
        <v>1055</v>
      </c>
      <c r="B1057" s="3" t="s">
        <v>5119</v>
      </c>
      <c r="C1057" s="3" t="s">
        <v>6028</v>
      </c>
      <c r="D1057" s="3" t="s">
        <v>6001</v>
      </c>
      <c r="E1057" s="3" t="s">
        <v>5991</v>
      </c>
      <c r="F1057" s="3" t="s">
        <v>5120</v>
      </c>
      <c r="G1057" s="3" t="s">
        <v>5993</v>
      </c>
      <c r="H1057" s="3" t="s">
        <v>5141</v>
      </c>
      <c r="I1057" s="3" t="s">
        <v>5122</v>
      </c>
      <c r="J1057" s="5" t="s">
        <v>7956</v>
      </c>
      <c r="L1057" s="3" t="s">
        <v>3100</v>
      </c>
      <c r="M1057" s="3">
        <v>15</v>
      </c>
      <c r="N1057" s="4" t="s">
        <v>5124</v>
      </c>
      <c r="O1057" s="4">
        <v>49</v>
      </c>
      <c r="P1057" s="11" t="s">
        <v>9750</v>
      </c>
      <c r="Q1057" s="11" t="s">
        <v>10160</v>
      </c>
      <c r="R1057" s="4" t="s">
        <v>13068</v>
      </c>
      <c r="S1057" s="4" t="b">
        <f>ISNUMBER(MATCH(Q1057,T:T,0))</f>
        <v>0</v>
      </c>
      <c r="T1057" s="4" t="s">
        <v>10162</v>
      </c>
      <c r="U1057" s="4" t="str">
        <f t="shared" si="55"/>
        <v>斟</v>
      </c>
      <c r="V1057" s="4" t="b">
        <f t="shared" si="56"/>
        <v>1</v>
      </c>
    </row>
    <row r="1058" spans="1:22">
      <c r="A1058" s="3">
        <v>1056</v>
      </c>
      <c r="B1058" s="3" t="s">
        <v>5119</v>
      </c>
      <c r="C1058" s="3" t="s">
        <v>6017</v>
      </c>
      <c r="D1058" s="3" t="s">
        <v>6001</v>
      </c>
      <c r="E1058" s="3" t="s">
        <v>5991</v>
      </c>
      <c r="F1058" s="3" t="s">
        <v>5120</v>
      </c>
      <c r="G1058" s="3" t="s">
        <v>5993</v>
      </c>
      <c r="H1058" s="3" t="s">
        <v>5142</v>
      </c>
      <c r="I1058" s="3" t="s">
        <v>5122</v>
      </c>
      <c r="J1058" s="5" t="s">
        <v>5143</v>
      </c>
      <c r="L1058" s="3" t="s">
        <v>3088</v>
      </c>
      <c r="M1058" s="3">
        <v>4</v>
      </c>
      <c r="N1058" s="4" t="s">
        <v>5124</v>
      </c>
      <c r="O1058" s="4">
        <v>49</v>
      </c>
      <c r="P1058" s="11" t="s">
        <v>9714</v>
      </c>
      <c r="Q1058" s="11" t="s">
        <v>10156</v>
      </c>
      <c r="S1058" s="4" t="b">
        <f>ISNUMBER(MATCH(Q1058,T:T,0))</f>
        <v>1</v>
      </c>
      <c r="T1058" s="4" t="s">
        <v>6017</v>
      </c>
      <c r="U1058" s="4" t="str">
        <f t="shared" si="55"/>
        <v>林</v>
      </c>
    </row>
    <row r="1059" spans="1:22">
      <c r="A1059" s="3">
        <v>1057</v>
      </c>
      <c r="B1059" s="3" t="s">
        <v>5119</v>
      </c>
      <c r="C1059" s="3" t="s">
        <v>6072</v>
      </c>
      <c r="D1059" s="3" t="s">
        <v>6001</v>
      </c>
      <c r="E1059" s="3" t="s">
        <v>5991</v>
      </c>
      <c r="F1059" s="3" t="s">
        <v>5120</v>
      </c>
      <c r="G1059" s="3" t="s">
        <v>5993</v>
      </c>
      <c r="H1059" s="3" t="s">
        <v>5144</v>
      </c>
      <c r="I1059" s="3" t="s">
        <v>5122</v>
      </c>
      <c r="J1059" s="5" t="s">
        <v>5145</v>
      </c>
      <c r="L1059" s="3" t="s">
        <v>3085</v>
      </c>
      <c r="M1059" s="3">
        <v>2</v>
      </c>
      <c r="N1059" s="4" t="s">
        <v>5124</v>
      </c>
      <c r="O1059" s="4">
        <v>49</v>
      </c>
      <c r="P1059" s="11" t="s">
        <v>10161</v>
      </c>
      <c r="Q1059" s="11" t="s">
        <v>10162</v>
      </c>
      <c r="S1059" s="4" t="b">
        <f>ISNUMBER(MATCH(Q1059,T:T,0))</f>
        <v>1</v>
      </c>
      <c r="T1059" s="4" t="s">
        <v>11484</v>
      </c>
      <c r="U1059" s="4" t="str">
        <f t="shared" si="55"/>
        <v>淫</v>
      </c>
    </row>
    <row r="1060" spans="1:22">
      <c r="A1060" s="3">
        <v>1058</v>
      </c>
      <c r="B1060" s="3" t="s">
        <v>5119</v>
      </c>
      <c r="C1060" s="3" t="s">
        <v>6083</v>
      </c>
      <c r="D1060" s="3" t="s">
        <v>6001</v>
      </c>
      <c r="E1060" s="3" t="s">
        <v>5991</v>
      </c>
      <c r="F1060" s="3" t="s">
        <v>5120</v>
      </c>
      <c r="G1060" s="3" t="s">
        <v>5993</v>
      </c>
      <c r="H1060" s="3" t="s">
        <v>5146</v>
      </c>
      <c r="I1060" s="3" t="s">
        <v>5122</v>
      </c>
      <c r="J1060" s="5" t="s">
        <v>7957</v>
      </c>
      <c r="L1060" s="3" t="s">
        <v>3114</v>
      </c>
      <c r="M1060" s="3">
        <v>9</v>
      </c>
      <c r="N1060" s="4" t="s">
        <v>5124</v>
      </c>
      <c r="O1060" s="4">
        <v>49</v>
      </c>
      <c r="P1060" s="11" t="s">
        <v>9737</v>
      </c>
      <c r="Q1060" s="11" t="s">
        <v>6017</v>
      </c>
      <c r="S1060" s="4" t="b">
        <f>ISNUMBER(MATCH(Q1060,T:T,0))</f>
        <v>1</v>
      </c>
      <c r="T1060" s="4" t="s">
        <v>11485</v>
      </c>
      <c r="U1060" s="4" t="str">
        <f t="shared" si="55"/>
        <v>心</v>
      </c>
    </row>
    <row r="1061" spans="1:22">
      <c r="A1061" s="3">
        <v>1059</v>
      </c>
      <c r="B1061" s="3" t="s">
        <v>5119</v>
      </c>
      <c r="C1061" s="3" t="s">
        <v>6069</v>
      </c>
      <c r="D1061" s="3" t="s">
        <v>6001</v>
      </c>
      <c r="E1061" s="3" t="s">
        <v>5991</v>
      </c>
      <c r="F1061" s="3" t="s">
        <v>5120</v>
      </c>
      <c r="G1061" s="3" t="s">
        <v>5993</v>
      </c>
      <c r="H1061" s="3" t="s">
        <v>5147</v>
      </c>
      <c r="I1061" s="3" t="s">
        <v>5122</v>
      </c>
      <c r="J1061" s="5" t="s">
        <v>5148</v>
      </c>
      <c r="L1061" s="3" t="s">
        <v>3108</v>
      </c>
      <c r="M1061" s="3">
        <v>10</v>
      </c>
      <c r="N1061" s="4" t="s">
        <v>5124</v>
      </c>
      <c r="O1061" s="4">
        <v>49</v>
      </c>
      <c r="P1061" s="11" t="s">
        <v>9880</v>
      </c>
      <c r="Q1061" s="11" t="s">
        <v>10162</v>
      </c>
      <c r="S1061" s="4" t="b">
        <f>ISNUMBER(MATCH(Q1061,T:T,0))</f>
        <v>1</v>
      </c>
      <c r="T1061" s="4" t="s">
        <v>11486</v>
      </c>
      <c r="U1061" s="4" t="str">
        <f t="shared" si="55"/>
        <v>淫</v>
      </c>
    </row>
    <row r="1062" spans="1:22">
      <c r="A1062" s="3">
        <v>1060</v>
      </c>
      <c r="B1062" s="3" t="s">
        <v>5119</v>
      </c>
      <c r="C1062" s="3" t="s">
        <v>6137</v>
      </c>
      <c r="D1062" s="3" t="s">
        <v>6001</v>
      </c>
      <c r="E1062" s="3" t="s">
        <v>5991</v>
      </c>
      <c r="F1062" s="3" t="s">
        <v>5128</v>
      </c>
      <c r="G1062" s="3" t="s">
        <v>5993</v>
      </c>
      <c r="H1062" s="3" t="s">
        <v>5149</v>
      </c>
      <c r="I1062" s="3" t="s">
        <v>5122</v>
      </c>
      <c r="J1062" s="5" t="s">
        <v>5150</v>
      </c>
      <c r="L1062" s="3" t="s">
        <v>3121</v>
      </c>
      <c r="M1062" s="3">
        <v>3</v>
      </c>
      <c r="N1062" s="4" t="s">
        <v>5124</v>
      </c>
      <c r="O1062" s="4">
        <v>49</v>
      </c>
      <c r="P1062" s="11" t="s">
        <v>9755</v>
      </c>
      <c r="Q1062" s="11" t="s">
        <v>6017</v>
      </c>
      <c r="S1062" s="4" t="b">
        <f>ISNUMBER(MATCH(Q1062,T:T,0))</f>
        <v>1</v>
      </c>
      <c r="T1062" s="4" t="s">
        <v>11487</v>
      </c>
      <c r="U1062" s="4" t="str">
        <f t="shared" si="55"/>
        <v>心</v>
      </c>
    </row>
    <row r="1063" spans="1:22" ht="39">
      <c r="A1063" s="3">
        <v>1061</v>
      </c>
      <c r="B1063" s="3" t="s">
        <v>5119</v>
      </c>
      <c r="C1063" s="3" t="s">
        <v>6041</v>
      </c>
      <c r="D1063" s="3" t="s">
        <v>6001</v>
      </c>
      <c r="E1063" s="3" t="s">
        <v>5991</v>
      </c>
      <c r="F1063" s="3" t="s">
        <v>5128</v>
      </c>
      <c r="G1063" s="3" t="s">
        <v>5993</v>
      </c>
      <c r="H1063" s="3" t="s">
        <v>5151</v>
      </c>
      <c r="I1063" s="3" t="s">
        <v>5122</v>
      </c>
      <c r="J1063" s="5" t="s">
        <v>7958</v>
      </c>
      <c r="L1063" s="3" t="s">
        <v>3108</v>
      </c>
      <c r="M1063" s="3">
        <v>22</v>
      </c>
      <c r="N1063" s="4" t="s">
        <v>5124</v>
      </c>
      <c r="O1063" s="4">
        <v>49</v>
      </c>
      <c r="P1063" s="11" t="s">
        <v>9789</v>
      </c>
      <c r="Q1063" s="11" t="s">
        <v>10163</v>
      </c>
      <c r="S1063" s="4" t="b">
        <f>ISNUMBER(MATCH(Q1063,T:T,0))</f>
        <v>1</v>
      </c>
      <c r="T1063" s="4" t="s">
        <v>11488</v>
      </c>
      <c r="U1063" s="4" t="str">
        <f t="shared" si="55"/>
        <v>金</v>
      </c>
    </row>
    <row r="1064" spans="1:22">
      <c r="A1064" s="3">
        <v>1062</v>
      </c>
      <c r="B1064" s="3" t="s">
        <v>5119</v>
      </c>
      <c r="C1064" s="3" t="s">
        <v>6038</v>
      </c>
      <c r="D1064" s="3" t="s">
        <v>6001</v>
      </c>
      <c r="E1064" s="3" t="s">
        <v>5991</v>
      </c>
      <c r="F1064" s="3" t="s">
        <v>5128</v>
      </c>
      <c r="G1064" s="3" t="s">
        <v>5993</v>
      </c>
      <c r="H1064" s="3" t="s">
        <v>8479</v>
      </c>
      <c r="I1064" s="3" t="s">
        <v>5122</v>
      </c>
      <c r="J1064" s="5" t="s">
        <v>8480</v>
      </c>
      <c r="L1064" s="3" t="s">
        <v>3097</v>
      </c>
      <c r="M1064" s="3">
        <v>5</v>
      </c>
      <c r="N1064" s="4" t="s">
        <v>5124</v>
      </c>
      <c r="O1064" s="4">
        <v>49</v>
      </c>
      <c r="P1064" s="11" t="s">
        <v>4210</v>
      </c>
      <c r="Q1064" s="11" t="s">
        <v>10163</v>
      </c>
      <c r="S1064" s="4" t="b">
        <f>ISNUMBER(MATCH(Q1064,T:T,0))</f>
        <v>1</v>
      </c>
      <c r="T1064" s="4" t="s">
        <v>10428</v>
      </c>
      <c r="U1064" s="4" t="str">
        <f t="shared" si="55"/>
        <v>金</v>
      </c>
    </row>
    <row r="1065" spans="1:22">
      <c r="A1065" s="3">
        <v>1063</v>
      </c>
      <c r="B1065" s="3" t="s">
        <v>5119</v>
      </c>
      <c r="C1065" s="3" t="s">
        <v>6092</v>
      </c>
      <c r="D1065" s="3" t="s">
        <v>6001</v>
      </c>
      <c r="E1065" s="3" t="s">
        <v>5991</v>
      </c>
      <c r="F1065" s="3" t="s">
        <v>5128</v>
      </c>
      <c r="G1065" s="3" t="s">
        <v>5993</v>
      </c>
      <c r="H1065" s="3" t="s">
        <v>8481</v>
      </c>
      <c r="I1065" s="3" t="s">
        <v>5122</v>
      </c>
      <c r="J1065" s="5" t="s">
        <v>7959</v>
      </c>
      <c r="L1065" s="3" t="s">
        <v>3100</v>
      </c>
      <c r="M1065" s="3">
        <v>10</v>
      </c>
      <c r="N1065" s="4" t="s">
        <v>5124</v>
      </c>
      <c r="O1065" s="4">
        <v>49</v>
      </c>
      <c r="P1065" s="11" t="s">
        <v>6462</v>
      </c>
      <c r="Q1065" s="11" t="s">
        <v>10163</v>
      </c>
      <c r="S1065" s="4" t="b">
        <f>ISNUMBER(MATCH(Q1065,T:T,0))</f>
        <v>1</v>
      </c>
      <c r="T1065" s="4" t="s">
        <v>383</v>
      </c>
      <c r="U1065" s="4" t="str">
        <f t="shared" si="55"/>
        <v>金</v>
      </c>
    </row>
    <row r="1066" spans="1:22">
      <c r="A1066" s="3">
        <v>1064</v>
      </c>
      <c r="B1066" s="3" t="s">
        <v>5119</v>
      </c>
      <c r="C1066" s="3" t="s">
        <v>6089</v>
      </c>
      <c r="D1066" s="3" t="s">
        <v>6001</v>
      </c>
      <c r="E1066" s="3" t="s">
        <v>5991</v>
      </c>
      <c r="F1066" s="3" t="s">
        <v>5128</v>
      </c>
      <c r="G1066" s="3" t="s">
        <v>5993</v>
      </c>
      <c r="H1066" s="3" t="s">
        <v>8482</v>
      </c>
      <c r="I1066" s="3" t="s">
        <v>5122</v>
      </c>
      <c r="J1066" s="5" t="s">
        <v>7960</v>
      </c>
      <c r="L1066" s="3" t="s">
        <v>3088</v>
      </c>
      <c r="M1066" s="3">
        <v>4</v>
      </c>
      <c r="N1066" s="4" t="s">
        <v>5124</v>
      </c>
      <c r="O1066" s="4">
        <v>49</v>
      </c>
      <c r="P1066" s="11" t="s">
        <v>9753</v>
      </c>
      <c r="Q1066" s="11" t="s">
        <v>10163</v>
      </c>
      <c r="S1066" s="4" t="b">
        <f>ISNUMBER(MATCH(Q1066,T:T,0))</f>
        <v>1</v>
      </c>
      <c r="T1066" s="4" t="s">
        <v>11489</v>
      </c>
      <c r="U1066" s="4" t="str">
        <f t="shared" si="55"/>
        <v>金</v>
      </c>
    </row>
    <row r="1067" spans="1:22">
      <c r="A1067" s="3">
        <v>1065</v>
      </c>
      <c r="B1067" s="3" t="s">
        <v>5119</v>
      </c>
      <c r="C1067" s="3" t="s">
        <v>6025</v>
      </c>
      <c r="D1067" s="3" t="s">
        <v>6001</v>
      </c>
      <c r="E1067" s="3" t="s">
        <v>5991</v>
      </c>
      <c r="F1067" s="3" t="s">
        <v>5128</v>
      </c>
      <c r="G1067" s="3" t="s">
        <v>5993</v>
      </c>
      <c r="H1067" s="3" t="s">
        <v>8483</v>
      </c>
      <c r="I1067" s="3" t="s">
        <v>5122</v>
      </c>
      <c r="J1067" s="5" t="s">
        <v>7961</v>
      </c>
      <c r="L1067" s="3" t="s">
        <v>3114</v>
      </c>
      <c r="M1067" s="3">
        <v>9</v>
      </c>
      <c r="N1067" s="4" t="s">
        <v>5124</v>
      </c>
      <c r="O1067" s="4">
        <v>49</v>
      </c>
      <c r="P1067" s="11" t="s">
        <v>9717</v>
      </c>
      <c r="Q1067" s="11" t="s">
        <v>383</v>
      </c>
      <c r="S1067" s="4" t="b">
        <f>ISNUMBER(MATCH(Q1067,T:T,0))</f>
        <v>1</v>
      </c>
      <c r="T1067" s="4" t="s">
        <v>10163</v>
      </c>
      <c r="U1067" s="4" t="str">
        <f t="shared" si="55"/>
        <v>吟</v>
      </c>
    </row>
    <row r="1068" spans="1:22">
      <c r="A1068" s="3">
        <v>1066</v>
      </c>
      <c r="B1068" s="3" t="s">
        <v>5119</v>
      </c>
      <c r="C1068" s="3" t="s">
        <v>6072</v>
      </c>
      <c r="D1068" s="3" t="s">
        <v>6001</v>
      </c>
      <c r="E1068" s="3" t="s">
        <v>5991</v>
      </c>
      <c r="F1068" s="3" t="s">
        <v>5128</v>
      </c>
      <c r="G1068" s="3" t="s">
        <v>5993</v>
      </c>
      <c r="H1068" s="3" t="s">
        <v>8484</v>
      </c>
      <c r="I1068" s="3" t="s">
        <v>5122</v>
      </c>
      <c r="J1068" s="5" t="s">
        <v>7962</v>
      </c>
      <c r="L1068" s="3" t="s">
        <v>3085</v>
      </c>
      <c r="M1068" s="3">
        <v>8</v>
      </c>
      <c r="N1068" s="4" t="s">
        <v>5124</v>
      </c>
      <c r="O1068" s="4">
        <v>49</v>
      </c>
      <c r="P1068" s="11" t="s">
        <v>9754</v>
      </c>
      <c r="Q1068" s="11" t="s">
        <v>10163</v>
      </c>
      <c r="S1068" s="4" t="b">
        <f>ISNUMBER(MATCH(Q1068,T:T,0))</f>
        <v>1</v>
      </c>
      <c r="T1068" s="4" t="s">
        <v>11490</v>
      </c>
      <c r="U1068" s="4" t="str">
        <f t="shared" si="55"/>
        <v>金</v>
      </c>
    </row>
    <row r="1069" spans="1:22">
      <c r="A1069" s="3">
        <v>1067</v>
      </c>
      <c r="B1069" s="3" t="s">
        <v>5119</v>
      </c>
      <c r="C1069" s="3" t="s">
        <v>6180</v>
      </c>
      <c r="D1069" s="3" t="s">
        <v>6001</v>
      </c>
      <c r="E1069" s="3" t="s">
        <v>5991</v>
      </c>
      <c r="F1069" s="3" t="s">
        <v>5128</v>
      </c>
      <c r="G1069" s="3" t="s">
        <v>5993</v>
      </c>
      <c r="H1069" s="3" t="s">
        <v>8485</v>
      </c>
      <c r="I1069" s="3" t="s">
        <v>5122</v>
      </c>
      <c r="J1069" s="5" t="s">
        <v>7963</v>
      </c>
      <c r="L1069" s="3" t="s">
        <v>3102</v>
      </c>
      <c r="M1069" s="3">
        <v>10</v>
      </c>
      <c r="N1069" s="4" t="s">
        <v>5124</v>
      </c>
      <c r="O1069" s="4">
        <v>49</v>
      </c>
      <c r="P1069" s="11" t="s">
        <v>9774</v>
      </c>
      <c r="Q1069" s="11" t="s">
        <v>10164</v>
      </c>
      <c r="R1069" s="4" t="s">
        <v>13069</v>
      </c>
      <c r="S1069" s="4" t="b">
        <f>ISNUMBER(MATCH(Q1069,T:T,0))</f>
        <v>0</v>
      </c>
      <c r="T1069" s="4" t="s">
        <v>11491</v>
      </c>
      <c r="U1069" s="4" t="str">
        <f t="shared" si="55"/>
        <v>金</v>
      </c>
      <c r="V1069" s="4" t="b">
        <f t="shared" ref="V1069:V1070" si="57">ISNUMBER(MATCH(R1069,T:T,0))</f>
        <v>1</v>
      </c>
    </row>
    <row r="1070" spans="1:22">
      <c r="A1070" s="3">
        <v>1068</v>
      </c>
      <c r="B1070" s="3" t="s">
        <v>5119</v>
      </c>
      <c r="C1070" s="3" t="s">
        <v>6015</v>
      </c>
      <c r="D1070" s="3" t="s">
        <v>6001</v>
      </c>
      <c r="E1070" s="3" t="s">
        <v>5991</v>
      </c>
      <c r="F1070" s="3" t="s">
        <v>5128</v>
      </c>
      <c r="G1070" s="3" t="s">
        <v>5993</v>
      </c>
      <c r="H1070" s="3" t="s">
        <v>8486</v>
      </c>
      <c r="I1070" s="3" t="s">
        <v>5122</v>
      </c>
      <c r="J1070" s="5" t="s">
        <v>8487</v>
      </c>
      <c r="L1070" s="3" t="s">
        <v>3090</v>
      </c>
      <c r="M1070" s="3">
        <v>9</v>
      </c>
      <c r="N1070" s="4" t="s">
        <v>5124</v>
      </c>
      <c r="O1070" s="4">
        <v>49</v>
      </c>
      <c r="P1070" s="11" t="s">
        <v>9713</v>
      </c>
      <c r="Q1070" s="11" t="s">
        <v>10160</v>
      </c>
      <c r="R1070" s="4" t="s">
        <v>13068</v>
      </c>
      <c r="S1070" s="4" t="b">
        <f>ISNUMBER(MATCH(Q1070,T:T,0))</f>
        <v>0</v>
      </c>
      <c r="T1070" s="4" t="s">
        <v>11492</v>
      </c>
      <c r="U1070" s="4" t="str">
        <f t="shared" si="55"/>
        <v>斟</v>
      </c>
      <c r="V1070" s="4" t="b">
        <f t="shared" si="57"/>
        <v>1</v>
      </c>
    </row>
    <row r="1071" spans="1:22">
      <c r="A1071" s="3">
        <v>1069</v>
      </c>
      <c r="B1071" s="3" t="s">
        <v>5119</v>
      </c>
      <c r="C1071" s="3" t="s">
        <v>6318</v>
      </c>
      <c r="D1071" s="3" t="s">
        <v>6001</v>
      </c>
      <c r="E1071" s="3" t="s">
        <v>5991</v>
      </c>
      <c r="F1071" s="3" t="s">
        <v>5128</v>
      </c>
      <c r="G1071" s="3" t="s">
        <v>5993</v>
      </c>
      <c r="H1071" s="3" t="s">
        <v>8488</v>
      </c>
      <c r="I1071" s="3" t="s">
        <v>5122</v>
      </c>
      <c r="J1071" s="5" t="s">
        <v>7964</v>
      </c>
      <c r="L1071" s="3" t="s">
        <v>3080</v>
      </c>
      <c r="M1071" s="3">
        <v>4</v>
      </c>
      <c r="N1071" s="4" t="s">
        <v>5124</v>
      </c>
      <c r="O1071" s="4">
        <v>49</v>
      </c>
      <c r="P1071" s="11" t="s">
        <v>9804</v>
      </c>
      <c r="Q1071" s="11" t="s">
        <v>383</v>
      </c>
      <c r="S1071" s="4" t="b">
        <f>ISNUMBER(MATCH(Q1071,T:T,0))</f>
        <v>1</v>
      </c>
      <c r="T1071" s="4" t="s">
        <v>11493</v>
      </c>
      <c r="U1071" s="4" t="str">
        <f t="shared" si="55"/>
        <v>吟</v>
      </c>
    </row>
    <row r="1072" spans="1:22">
      <c r="A1072" s="3">
        <v>1070</v>
      </c>
      <c r="B1072" s="3" t="s">
        <v>5119</v>
      </c>
      <c r="C1072" s="3" t="s">
        <v>6167</v>
      </c>
      <c r="D1072" s="3" t="s">
        <v>6001</v>
      </c>
      <c r="E1072" s="3" t="s">
        <v>5991</v>
      </c>
      <c r="F1072" s="3" t="s">
        <v>5128</v>
      </c>
      <c r="G1072" s="3" t="s">
        <v>5993</v>
      </c>
      <c r="H1072" s="3" t="s">
        <v>8489</v>
      </c>
      <c r="I1072" s="3" t="s">
        <v>5122</v>
      </c>
      <c r="J1072" s="5" t="s">
        <v>8490</v>
      </c>
      <c r="L1072" s="3" t="s">
        <v>3084</v>
      </c>
      <c r="M1072" s="3">
        <v>6</v>
      </c>
      <c r="N1072" s="4" t="s">
        <v>5124</v>
      </c>
      <c r="O1072" s="4">
        <v>49</v>
      </c>
      <c r="P1072" s="11" t="s">
        <v>9769</v>
      </c>
      <c r="Q1072" s="11" t="s">
        <v>10165</v>
      </c>
      <c r="S1072" s="4" t="b">
        <f>ISNUMBER(MATCH(Q1072,T:T,0))</f>
        <v>1</v>
      </c>
      <c r="T1072" s="4" t="s">
        <v>11494</v>
      </c>
      <c r="U1072" s="4" t="str">
        <f t="shared" si="55"/>
        <v>簪</v>
      </c>
    </row>
    <row r="1073" spans="1:22">
      <c r="A1073" s="3">
        <v>1071</v>
      </c>
      <c r="B1073" s="3" t="s">
        <v>5119</v>
      </c>
      <c r="C1073" s="3" t="s">
        <v>6055</v>
      </c>
      <c r="D1073" s="3" t="s">
        <v>6001</v>
      </c>
      <c r="E1073" s="3" t="s">
        <v>5991</v>
      </c>
      <c r="F1073" s="3" t="s">
        <v>5120</v>
      </c>
      <c r="G1073" s="3" t="s">
        <v>5993</v>
      </c>
      <c r="H1073" s="3" t="s">
        <v>8491</v>
      </c>
      <c r="I1073" s="3" t="s">
        <v>5122</v>
      </c>
      <c r="J1073" s="5" t="s">
        <v>8492</v>
      </c>
      <c r="L1073" s="3" t="s">
        <v>3084</v>
      </c>
      <c r="M1073" s="3">
        <v>1</v>
      </c>
      <c r="N1073" s="4" t="s">
        <v>5124</v>
      </c>
      <c r="O1073" s="4">
        <v>49</v>
      </c>
      <c r="P1073" s="11" t="s">
        <v>9992</v>
      </c>
      <c r="Q1073" s="11" t="s">
        <v>10160</v>
      </c>
      <c r="R1073" s="4" t="s">
        <v>13068</v>
      </c>
      <c r="S1073" s="4" t="b">
        <f>ISNUMBER(MATCH(Q1073,T:T,0))</f>
        <v>0</v>
      </c>
      <c r="T1073" s="4" t="s">
        <v>8492</v>
      </c>
      <c r="U1073" s="4" t="str">
        <f t="shared" si="55"/>
        <v>斟</v>
      </c>
      <c r="V1073" s="4" t="b">
        <f>ISNUMBER(MATCH(R1073,T:T,0))</f>
        <v>1</v>
      </c>
    </row>
    <row r="1074" spans="1:22" ht="39">
      <c r="A1074" s="3">
        <v>1072</v>
      </c>
      <c r="B1074" s="3" t="s">
        <v>8493</v>
      </c>
      <c r="C1074" s="3" t="s">
        <v>5997</v>
      </c>
      <c r="D1074" s="3" t="s">
        <v>5990</v>
      </c>
      <c r="E1074" s="3" t="s">
        <v>5991</v>
      </c>
      <c r="F1074" s="3" t="s">
        <v>8494</v>
      </c>
      <c r="G1074" s="3" t="s">
        <v>5993</v>
      </c>
      <c r="H1074" s="3" t="s">
        <v>8495</v>
      </c>
      <c r="I1074" s="3" t="s">
        <v>8496</v>
      </c>
      <c r="J1074" s="5" t="s">
        <v>7965</v>
      </c>
      <c r="L1074" s="3" t="s">
        <v>6949</v>
      </c>
      <c r="M1074" s="3">
        <v>20</v>
      </c>
      <c r="N1074" s="4" t="s">
        <v>8494</v>
      </c>
      <c r="O1074" s="4">
        <v>50</v>
      </c>
      <c r="P1074" s="11" t="s">
        <v>9706</v>
      </c>
      <c r="Q1074" s="11" t="s">
        <v>10166</v>
      </c>
      <c r="S1074" s="4" t="b">
        <f>ISNUMBER(MATCH(Q1074,T:T,0))</f>
        <v>1</v>
      </c>
      <c r="T1074" s="4" t="s">
        <v>8494</v>
      </c>
      <c r="U1074" s="4" t="str">
        <f t="shared" si="55"/>
        <v>含</v>
      </c>
    </row>
    <row r="1075" spans="1:22">
      <c r="A1075" s="3">
        <v>1073</v>
      </c>
      <c r="B1075" s="3" t="s">
        <v>8493</v>
      </c>
      <c r="C1075" s="3" t="s">
        <v>6076</v>
      </c>
      <c r="D1075" s="3" t="s">
        <v>5990</v>
      </c>
      <c r="E1075" s="3" t="s">
        <v>5991</v>
      </c>
      <c r="F1075" s="3" t="s">
        <v>8494</v>
      </c>
      <c r="G1075" s="3" t="s">
        <v>5993</v>
      </c>
      <c r="H1075" s="3" t="s">
        <v>8497</v>
      </c>
      <c r="I1075" s="3" t="s">
        <v>8496</v>
      </c>
      <c r="J1075" s="5" t="s">
        <v>7966</v>
      </c>
      <c r="L1075" s="3" t="s">
        <v>6942</v>
      </c>
      <c r="M1075" s="3">
        <v>5</v>
      </c>
      <c r="N1075" s="4" t="s">
        <v>8494</v>
      </c>
      <c r="O1075" s="4">
        <v>50</v>
      </c>
      <c r="P1075" s="11" t="s">
        <v>9735</v>
      </c>
      <c r="Q1075" s="11" t="s">
        <v>10166</v>
      </c>
      <c r="S1075" s="4" t="b">
        <f>ISNUMBER(MATCH(Q1075,T:T,0))</f>
        <v>1</v>
      </c>
      <c r="T1075" s="4" t="s">
        <v>11495</v>
      </c>
      <c r="U1075" s="4" t="str">
        <f t="shared" si="55"/>
        <v>含</v>
      </c>
    </row>
    <row r="1076" spans="1:22">
      <c r="A1076" s="3">
        <v>1074</v>
      </c>
      <c r="B1076" s="3" t="s">
        <v>8493</v>
      </c>
      <c r="C1076" s="3" t="s">
        <v>6102</v>
      </c>
      <c r="D1076" s="3" t="s">
        <v>5990</v>
      </c>
      <c r="E1076" s="3" t="s">
        <v>5991</v>
      </c>
      <c r="F1076" s="3" t="s">
        <v>8494</v>
      </c>
      <c r="G1076" s="3" t="s">
        <v>5993</v>
      </c>
      <c r="H1076" s="3" t="s">
        <v>8498</v>
      </c>
      <c r="I1076" s="3" t="s">
        <v>8496</v>
      </c>
      <c r="J1076" s="5" t="s">
        <v>8499</v>
      </c>
      <c r="L1076" s="3" t="s">
        <v>6940</v>
      </c>
      <c r="M1076" s="3">
        <v>7</v>
      </c>
      <c r="N1076" s="4" t="s">
        <v>8494</v>
      </c>
      <c r="O1076" s="4">
        <v>50</v>
      </c>
      <c r="P1076" s="11" t="s">
        <v>9971</v>
      </c>
      <c r="Q1076" s="11" t="s">
        <v>10166</v>
      </c>
      <c r="S1076" s="4" t="b">
        <f>ISNUMBER(MATCH(Q1076,T:T,0))</f>
        <v>1</v>
      </c>
      <c r="T1076" s="4" t="s">
        <v>10168</v>
      </c>
      <c r="U1076" s="4" t="str">
        <f t="shared" si="55"/>
        <v>含</v>
      </c>
    </row>
    <row r="1077" spans="1:22">
      <c r="A1077" s="3">
        <v>1075</v>
      </c>
      <c r="B1077" s="3" t="s">
        <v>8493</v>
      </c>
      <c r="C1077" s="3" t="s">
        <v>6072</v>
      </c>
      <c r="D1077" s="3" t="s">
        <v>5990</v>
      </c>
      <c r="E1077" s="3" t="s">
        <v>5991</v>
      </c>
      <c r="F1077" s="3" t="s">
        <v>8494</v>
      </c>
      <c r="G1077" s="3" t="s">
        <v>5993</v>
      </c>
      <c r="H1077" s="3" t="s">
        <v>8500</v>
      </c>
      <c r="I1077" s="3" t="s">
        <v>8496</v>
      </c>
      <c r="J1077" s="5" t="s">
        <v>7967</v>
      </c>
      <c r="L1077" s="3" t="s">
        <v>6937</v>
      </c>
      <c r="M1077" s="3">
        <v>12</v>
      </c>
      <c r="N1077" s="4" t="s">
        <v>8494</v>
      </c>
      <c r="O1077" s="4">
        <v>50</v>
      </c>
      <c r="P1077" s="11" t="s">
        <v>9734</v>
      </c>
      <c r="Q1077" s="11" t="s">
        <v>10166</v>
      </c>
      <c r="S1077" s="4" t="b">
        <f>ISNUMBER(MATCH(Q1077,T:T,0))</f>
        <v>1</v>
      </c>
      <c r="T1077" s="4" t="s">
        <v>11496</v>
      </c>
      <c r="U1077" s="4" t="str">
        <f t="shared" si="55"/>
        <v>含</v>
      </c>
    </row>
    <row r="1078" spans="1:22" ht="39">
      <c r="A1078" s="3">
        <v>1076</v>
      </c>
      <c r="B1078" s="3" t="s">
        <v>8493</v>
      </c>
      <c r="C1078" s="3" t="s">
        <v>6067</v>
      </c>
      <c r="D1078" s="3" t="s">
        <v>5990</v>
      </c>
      <c r="E1078" s="3" t="s">
        <v>5991</v>
      </c>
      <c r="F1078" s="3" t="s">
        <v>8494</v>
      </c>
      <c r="G1078" s="3" t="s">
        <v>5993</v>
      </c>
      <c r="H1078" s="3" t="s">
        <v>8501</v>
      </c>
      <c r="I1078" s="3" t="s">
        <v>8496</v>
      </c>
      <c r="J1078" s="5" t="s">
        <v>7968</v>
      </c>
      <c r="K1078" s="3" t="s">
        <v>8502</v>
      </c>
      <c r="L1078" s="3" t="s">
        <v>6929</v>
      </c>
      <c r="M1078" s="3">
        <v>20</v>
      </c>
      <c r="N1078" s="4" t="s">
        <v>8494</v>
      </c>
      <c r="O1078" s="4">
        <v>50</v>
      </c>
      <c r="P1078" s="11" t="s">
        <v>9870</v>
      </c>
      <c r="Q1078" s="11" t="s">
        <v>10167</v>
      </c>
      <c r="R1078" s="4" t="s">
        <v>13070</v>
      </c>
      <c r="S1078" s="4" t="b">
        <f>ISNUMBER(MATCH(Q1078,T:T,0))</f>
        <v>0</v>
      </c>
      <c r="T1078" s="4" t="s">
        <v>10166</v>
      </c>
      <c r="U1078" s="4" t="str">
        <f t="shared" si="55"/>
        <v>南</v>
      </c>
      <c r="V1078" s="4" t="b">
        <f>ISNUMBER(MATCH(R1078,T:T,0))</f>
        <v>1</v>
      </c>
    </row>
    <row r="1079" spans="1:22">
      <c r="A1079" s="3">
        <v>1077</v>
      </c>
      <c r="B1079" s="3" t="s">
        <v>8493</v>
      </c>
      <c r="C1079" s="3" t="s">
        <v>6058</v>
      </c>
      <c r="D1079" s="3" t="s">
        <v>5990</v>
      </c>
      <c r="E1079" s="3" t="s">
        <v>5991</v>
      </c>
      <c r="F1079" s="3" t="s">
        <v>8494</v>
      </c>
      <c r="G1079" s="3" t="s">
        <v>5993</v>
      </c>
      <c r="H1079" s="3" t="s">
        <v>8503</v>
      </c>
      <c r="I1079" s="3" t="s">
        <v>8496</v>
      </c>
      <c r="J1079" s="5" t="s">
        <v>7969</v>
      </c>
      <c r="L1079" s="3" t="s">
        <v>6956</v>
      </c>
      <c r="M1079" s="3">
        <v>6</v>
      </c>
      <c r="N1079" s="4" t="s">
        <v>8494</v>
      </c>
      <c r="O1079" s="4">
        <v>50</v>
      </c>
      <c r="P1079" s="11" t="s">
        <v>9730</v>
      </c>
      <c r="Q1079" s="11" t="s">
        <v>10166</v>
      </c>
      <c r="S1079" s="4" t="b">
        <f>ISNUMBER(MATCH(Q1079,T:T,0))</f>
        <v>1</v>
      </c>
      <c r="T1079" s="4" t="s">
        <v>11497</v>
      </c>
      <c r="U1079" s="4" t="str">
        <f t="shared" si="55"/>
        <v>含</v>
      </c>
    </row>
    <row r="1080" spans="1:22">
      <c r="A1080" s="3">
        <v>1078</v>
      </c>
      <c r="B1080" s="3" t="s">
        <v>8493</v>
      </c>
      <c r="C1080" s="3" t="s">
        <v>6069</v>
      </c>
      <c r="D1080" s="3" t="s">
        <v>5990</v>
      </c>
      <c r="E1080" s="3" t="s">
        <v>5991</v>
      </c>
      <c r="F1080" s="3" t="s">
        <v>8494</v>
      </c>
      <c r="G1080" s="3" t="s">
        <v>5993</v>
      </c>
      <c r="H1080" s="3" t="s">
        <v>8504</v>
      </c>
      <c r="I1080" s="3" t="s">
        <v>8496</v>
      </c>
      <c r="J1080" s="5" t="s">
        <v>8505</v>
      </c>
      <c r="L1080" s="3" t="s">
        <v>6952</v>
      </c>
      <c r="M1080" s="3">
        <v>4</v>
      </c>
      <c r="N1080" s="4" t="s">
        <v>8494</v>
      </c>
      <c r="O1080" s="4">
        <v>50</v>
      </c>
      <c r="P1080" s="11" t="s">
        <v>9880</v>
      </c>
      <c r="Q1080" s="11" t="s">
        <v>10166</v>
      </c>
      <c r="S1080" s="4" t="b">
        <f>ISNUMBER(MATCH(Q1080,T:T,0))</f>
        <v>1</v>
      </c>
      <c r="T1080" s="4" t="s">
        <v>11498</v>
      </c>
      <c r="U1080" s="4" t="str">
        <f t="shared" si="55"/>
        <v>含</v>
      </c>
    </row>
    <row r="1081" spans="1:22">
      <c r="A1081" s="3">
        <v>1079</v>
      </c>
      <c r="B1081" s="3" t="s">
        <v>8493</v>
      </c>
      <c r="C1081" s="3" t="s">
        <v>6083</v>
      </c>
      <c r="D1081" s="3" t="s">
        <v>5990</v>
      </c>
      <c r="E1081" s="3" t="s">
        <v>5991</v>
      </c>
      <c r="F1081" s="3" t="s">
        <v>8494</v>
      </c>
      <c r="G1081" s="3" t="s">
        <v>5993</v>
      </c>
      <c r="H1081" s="3" t="s">
        <v>8506</v>
      </c>
      <c r="I1081" s="3" t="s">
        <v>8496</v>
      </c>
      <c r="J1081" s="5" t="s">
        <v>7970</v>
      </c>
      <c r="K1081" s="3" t="s">
        <v>8507</v>
      </c>
      <c r="L1081" s="3" t="s">
        <v>8508</v>
      </c>
      <c r="M1081" s="3">
        <v>7</v>
      </c>
      <c r="N1081" s="4" t="s">
        <v>8494</v>
      </c>
      <c r="O1081" s="4">
        <v>50</v>
      </c>
      <c r="P1081" s="11" t="s">
        <v>9745</v>
      </c>
      <c r="Q1081" s="11" t="s">
        <v>10166</v>
      </c>
      <c r="S1081" s="4" t="b">
        <f>ISNUMBER(MATCH(Q1081,T:T,0))</f>
        <v>1</v>
      </c>
      <c r="T1081" s="4" t="s">
        <v>10165</v>
      </c>
      <c r="U1081" s="4" t="str">
        <f t="shared" si="55"/>
        <v>含</v>
      </c>
    </row>
    <row r="1082" spans="1:22">
      <c r="A1082" s="3">
        <v>1080</v>
      </c>
      <c r="B1082" s="3" t="s">
        <v>8493</v>
      </c>
      <c r="C1082" s="3" t="s">
        <v>6079</v>
      </c>
      <c r="D1082" s="3" t="s">
        <v>5990</v>
      </c>
      <c r="E1082" s="3" t="s">
        <v>5991</v>
      </c>
      <c r="F1082" s="3" t="s">
        <v>8494</v>
      </c>
      <c r="G1082" s="3" t="s">
        <v>5993</v>
      </c>
      <c r="H1082" s="3" t="s">
        <v>8509</v>
      </c>
      <c r="I1082" s="3" t="s">
        <v>8496</v>
      </c>
      <c r="J1082" s="5" t="s">
        <v>8510</v>
      </c>
      <c r="K1082" s="3" t="s">
        <v>8511</v>
      </c>
      <c r="L1082" s="3" t="s">
        <v>6944</v>
      </c>
      <c r="M1082" s="3">
        <v>3</v>
      </c>
      <c r="N1082" s="4" t="s">
        <v>8494</v>
      </c>
      <c r="O1082" s="4">
        <v>50</v>
      </c>
      <c r="P1082" s="11" t="s">
        <v>9736</v>
      </c>
      <c r="Q1082" s="11" t="s">
        <v>10166</v>
      </c>
      <c r="S1082" s="4" t="b">
        <f>ISNUMBER(MATCH(Q1082,T:T,0))</f>
        <v>1</v>
      </c>
      <c r="T1082" s="4" t="s">
        <v>11499</v>
      </c>
      <c r="U1082" s="4" t="str">
        <f t="shared" si="55"/>
        <v>含</v>
      </c>
    </row>
    <row r="1083" spans="1:22">
      <c r="A1083" s="3">
        <v>1081</v>
      </c>
      <c r="B1083" s="3" t="s">
        <v>8493</v>
      </c>
      <c r="C1083" s="3" t="s">
        <v>5989</v>
      </c>
      <c r="D1083" s="3" t="s">
        <v>5990</v>
      </c>
      <c r="E1083" s="3" t="s">
        <v>5991</v>
      </c>
      <c r="F1083" s="3" t="s">
        <v>8494</v>
      </c>
      <c r="G1083" s="3" t="s">
        <v>5993</v>
      </c>
      <c r="H1083" s="3" t="s">
        <v>8512</v>
      </c>
      <c r="I1083" s="3" t="s">
        <v>8496</v>
      </c>
      <c r="J1083" s="5" t="s">
        <v>7971</v>
      </c>
      <c r="L1083" s="3" t="s">
        <v>6935</v>
      </c>
      <c r="M1083" s="3">
        <v>9</v>
      </c>
      <c r="N1083" s="4" t="s">
        <v>8494</v>
      </c>
      <c r="O1083" s="4">
        <v>50</v>
      </c>
      <c r="P1083" s="11" t="s">
        <v>9822</v>
      </c>
      <c r="Q1083" s="11" t="s">
        <v>10166</v>
      </c>
      <c r="S1083" s="4" t="b">
        <f>ISNUMBER(MATCH(Q1083,T:T,0))</f>
        <v>1</v>
      </c>
      <c r="T1083" s="4" t="s">
        <v>11500</v>
      </c>
      <c r="U1083" s="4" t="str">
        <f t="shared" si="55"/>
        <v>含</v>
      </c>
    </row>
    <row r="1084" spans="1:22">
      <c r="A1084" s="3">
        <v>1082</v>
      </c>
      <c r="B1084" s="3" t="s">
        <v>8493</v>
      </c>
      <c r="C1084" s="3" t="s">
        <v>6038</v>
      </c>
      <c r="D1084" s="3" t="s">
        <v>5990</v>
      </c>
      <c r="E1084" s="3" t="s">
        <v>5991</v>
      </c>
      <c r="F1084" s="3" t="s">
        <v>8494</v>
      </c>
      <c r="G1084" s="3" t="s">
        <v>5993</v>
      </c>
      <c r="H1084" s="3" t="s">
        <v>8513</v>
      </c>
      <c r="I1084" s="3" t="s">
        <v>8496</v>
      </c>
      <c r="J1084" s="5" t="s">
        <v>8514</v>
      </c>
      <c r="L1084" s="3" t="s">
        <v>8004</v>
      </c>
      <c r="M1084" s="3">
        <v>10</v>
      </c>
      <c r="N1084" s="4" t="s">
        <v>8494</v>
      </c>
      <c r="O1084" s="4">
        <v>50</v>
      </c>
      <c r="P1084" s="11" t="s">
        <v>9915</v>
      </c>
      <c r="Q1084" s="11" t="s">
        <v>10166</v>
      </c>
      <c r="S1084" s="4" t="b">
        <f>ISNUMBER(MATCH(Q1084,T:T,0))</f>
        <v>1</v>
      </c>
      <c r="T1084" s="4" t="s">
        <v>11501</v>
      </c>
      <c r="U1084" s="4" t="str">
        <f t="shared" si="55"/>
        <v>含</v>
      </c>
    </row>
    <row r="1085" spans="1:22">
      <c r="A1085" s="3">
        <v>1083</v>
      </c>
      <c r="B1085" s="3" t="s">
        <v>8493</v>
      </c>
      <c r="C1085" s="3" t="s">
        <v>6089</v>
      </c>
      <c r="D1085" s="3" t="s">
        <v>5990</v>
      </c>
      <c r="E1085" s="3" t="s">
        <v>5991</v>
      </c>
      <c r="F1085" s="3" t="s">
        <v>8494</v>
      </c>
      <c r="G1085" s="3" t="s">
        <v>5993</v>
      </c>
      <c r="H1085" s="3" t="s">
        <v>8515</v>
      </c>
      <c r="I1085" s="3" t="s">
        <v>8496</v>
      </c>
      <c r="J1085" s="5" t="s">
        <v>7972</v>
      </c>
      <c r="L1085" s="3" t="s">
        <v>8007</v>
      </c>
      <c r="M1085" s="3">
        <v>8</v>
      </c>
      <c r="N1085" s="4" t="s">
        <v>8494</v>
      </c>
      <c r="O1085" s="4">
        <v>50</v>
      </c>
      <c r="P1085" s="11" t="s">
        <v>9904</v>
      </c>
      <c r="Q1085" s="11" t="s">
        <v>10166</v>
      </c>
      <c r="S1085" s="4" t="b">
        <f>ISNUMBER(MATCH(Q1085,T:T,0))</f>
        <v>1</v>
      </c>
      <c r="T1085" s="4" t="s">
        <v>11502</v>
      </c>
      <c r="U1085" s="4" t="str">
        <f t="shared" si="55"/>
        <v>含</v>
      </c>
    </row>
    <row r="1086" spans="1:22">
      <c r="A1086" s="3">
        <v>1084</v>
      </c>
      <c r="B1086" s="3" t="s">
        <v>8493</v>
      </c>
      <c r="C1086" s="3" t="s">
        <v>6017</v>
      </c>
      <c r="D1086" s="3" t="s">
        <v>5990</v>
      </c>
      <c r="E1086" s="3" t="s">
        <v>5991</v>
      </c>
      <c r="F1086" s="3" t="s">
        <v>8494</v>
      </c>
      <c r="G1086" s="3" t="s">
        <v>5993</v>
      </c>
      <c r="H1086" s="3" t="s">
        <v>8516</v>
      </c>
      <c r="I1086" s="3" t="s">
        <v>8496</v>
      </c>
      <c r="J1086" s="5" t="s">
        <v>7973</v>
      </c>
      <c r="L1086" s="3" t="s">
        <v>6947</v>
      </c>
      <c r="M1086" s="3">
        <v>3</v>
      </c>
      <c r="N1086" s="4" t="s">
        <v>8494</v>
      </c>
      <c r="O1086" s="4">
        <v>50</v>
      </c>
      <c r="P1086" s="11" t="s">
        <v>9741</v>
      </c>
      <c r="Q1086" s="11" t="s">
        <v>10166</v>
      </c>
      <c r="S1086" s="4" t="b">
        <f>ISNUMBER(MATCH(Q1086,T:T,0))</f>
        <v>1</v>
      </c>
      <c r="T1086" s="4" t="s">
        <v>11503</v>
      </c>
      <c r="U1086" s="4" t="str">
        <f t="shared" si="55"/>
        <v>含</v>
      </c>
    </row>
    <row r="1087" spans="1:22">
      <c r="A1087" s="3">
        <v>1085</v>
      </c>
      <c r="B1087" s="3" t="s">
        <v>8493</v>
      </c>
      <c r="C1087" s="3" t="s">
        <v>6025</v>
      </c>
      <c r="D1087" s="3" t="s">
        <v>5990</v>
      </c>
      <c r="E1087" s="3" t="s">
        <v>5991</v>
      </c>
      <c r="F1087" s="3" t="s">
        <v>8494</v>
      </c>
      <c r="G1087" s="3" t="s">
        <v>5993</v>
      </c>
      <c r="H1087" s="3" t="s">
        <v>8517</v>
      </c>
      <c r="I1087" s="3" t="s">
        <v>8496</v>
      </c>
      <c r="J1087" s="5" t="s">
        <v>8518</v>
      </c>
      <c r="L1087" s="3" t="s">
        <v>6954</v>
      </c>
      <c r="M1087" s="3">
        <v>5</v>
      </c>
      <c r="N1087" s="4" t="s">
        <v>8494</v>
      </c>
      <c r="O1087" s="4">
        <v>50</v>
      </c>
      <c r="P1087" s="11" t="s">
        <v>9729</v>
      </c>
      <c r="Q1087" s="11" t="s">
        <v>10168</v>
      </c>
      <c r="S1087" s="4" t="b">
        <f>ISNUMBER(MATCH(Q1087,T:T,0))</f>
        <v>1</v>
      </c>
      <c r="T1087" s="4" t="s">
        <v>11504</v>
      </c>
      <c r="U1087" s="4" t="str">
        <f t="shared" si="55"/>
        <v>南</v>
      </c>
    </row>
    <row r="1088" spans="1:22">
      <c r="A1088" s="3">
        <v>1086</v>
      </c>
      <c r="B1088" s="3" t="s">
        <v>8493</v>
      </c>
      <c r="C1088" s="3" t="s">
        <v>6092</v>
      </c>
      <c r="D1088" s="3" t="s">
        <v>5990</v>
      </c>
      <c r="E1088" s="3" t="s">
        <v>5991</v>
      </c>
      <c r="F1088" s="3" t="s">
        <v>8494</v>
      </c>
      <c r="G1088" s="3" t="s">
        <v>5993</v>
      </c>
      <c r="H1088" s="3" t="s">
        <v>8519</v>
      </c>
      <c r="I1088" s="3" t="s">
        <v>8496</v>
      </c>
      <c r="J1088" s="5" t="s">
        <v>8520</v>
      </c>
      <c r="L1088" s="3" t="s">
        <v>6932</v>
      </c>
      <c r="M1088" s="3">
        <v>3</v>
      </c>
      <c r="N1088" s="4" t="s">
        <v>8494</v>
      </c>
      <c r="O1088" s="4">
        <v>50</v>
      </c>
      <c r="P1088" s="11" t="s">
        <v>9740</v>
      </c>
      <c r="Q1088" s="11" t="s">
        <v>10166</v>
      </c>
      <c r="S1088" s="4" t="b">
        <f>ISNUMBER(MATCH(Q1088,T:T,0))</f>
        <v>1</v>
      </c>
      <c r="T1088" s="4" t="s">
        <v>11505</v>
      </c>
      <c r="U1088" s="4" t="str">
        <f t="shared" si="55"/>
        <v>含</v>
      </c>
    </row>
    <row r="1089" spans="1:21">
      <c r="A1089" s="3">
        <v>1087</v>
      </c>
      <c r="B1089" s="3" t="s">
        <v>8521</v>
      </c>
      <c r="C1089" s="3" t="s">
        <v>5997</v>
      </c>
      <c r="D1089" s="3" t="s">
        <v>5990</v>
      </c>
      <c r="E1089" s="3" t="s">
        <v>5991</v>
      </c>
      <c r="F1089" s="3" t="s">
        <v>8522</v>
      </c>
      <c r="G1089" s="3" t="s">
        <v>5993</v>
      </c>
      <c r="H1089" s="3" t="s">
        <v>8523</v>
      </c>
      <c r="I1089" s="3" t="s">
        <v>8496</v>
      </c>
      <c r="J1089" s="5" t="s">
        <v>8524</v>
      </c>
      <c r="L1089" s="3" t="s">
        <v>6949</v>
      </c>
      <c r="M1089" s="3">
        <v>11</v>
      </c>
      <c r="N1089" s="4" t="s">
        <v>8522</v>
      </c>
      <c r="O1089" s="4">
        <v>51</v>
      </c>
      <c r="P1089" s="11" t="s">
        <v>9706</v>
      </c>
      <c r="Q1089" s="11" t="s">
        <v>10169</v>
      </c>
      <c r="S1089" s="4" t="b">
        <f>ISNUMBER(MATCH(Q1089,T:T,0))</f>
        <v>1</v>
      </c>
      <c r="T1089" s="4" t="s">
        <v>8522</v>
      </c>
      <c r="U1089" s="4" t="str">
        <f t="shared" si="55"/>
        <v>甘</v>
      </c>
    </row>
    <row r="1090" spans="1:21">
      <c r="A1090" s="3">
        <v>1088</v>
      </c>
      <c r="B1090" s="3" t="s">
        <v>8521</v>
      </c>
      <c r="C1090" s="3" t="s">
        <v>6025</v>
      </c>
      <c r="D1090" s="3" t="s">
        <v>5990</v>
      </c>
      <c r="E1090" s="3" t="s">
        <v>5991</v>
      </c>
      <c r="F1090" s="3" t="s">
        <v>8522</v>
      </c>
      <c r="G1090" s="3" t="s">
        <v>5993</v>
      </c>
      <c r="H1090" s="3" t="s">
        <v>8525</v>
      </c>
      <c r="I1090" s="3" t="s">
        <v>8496</v>
      </c>
      <c r="J1090" s="5" t="s">
        <v>7974</v>
      </c>
      <c r="L1090" s="3" t="s">
        <v>6954</v>
      </c>
      <c r="M1090" s="3">
        <v>7</v>
      </c>
      <c r="N1090" s="4" t="s">
        <v>8522</v>
      </c>
      <c r="O1090" s="4">
        <v>51</v>
      </c>
      <c r="P1090" s="11" t="s">
        <v>9729</v>
      </c>
      <c r="Q1090" s="11" t="s">
        <v>6001</v>
      </c>
      <c r="S1090" s="4" t="b">
        <f>ISNUMBER(MATCH(Q1090,T:T,0))</f>
        <v>1</v>
      </c>
      <c r="T1090" s="4" t="s">
        <v>10169</v>
      </c>
      <c r="U1090" s="4" t="str">
        <f t="shared" si="55"/>
        <v>三</v>
      </c>
    </row>
    <row r="1091" spans="1:21">
      <c r="A1091" s="3">
        <v>1089</v>
      </c>
      <c r="B1091" s="3" t="s">
        <v>8521</v>
      </c>
      <c r="C1091" s="3" t="s">
        <v>5989</v>
      </c>
      <c r="D1091" s="3" t="s">
        <v>5990</v>
      </c>
      <c r="E1091" s="3" t="s">
        <v>5991</v>
      </c>
      <c r="F1091" s="3" t="s">
        <v>8522</v>
      </c>
      <c r="G1091" s="3" t="s">
        <v>5993</v>
      </c>
      <c r="H1091" s="3" t="s">
        <v>8526</v>
      </c>
      <c r="I1091" s="3" t="s">
        <v>8496</v>
      </c>
      <c r="J1091" s="5" t="s">
        <v>7975</v>
      </c>
      <c r="L1091" s="3" t="s">
        <v>6935</v>
      </c>
      <c r="M1091" s="3">
        <v>5</v>
      </c>
      <c r="N1091" s="4" t="s">
        <v>8522</v>
      </c>
      <c r="O1091" s="4">
        <v>51</v>
      </c>
      <c r="P1091" s="11" t="s">
        <v>9742</v>
      </c>
      <c r="Q1091" s="11" t="s">
        <v>10169</v>
      </c>
      <c r="S1091" s="4" t="b">
        <f>ISNUMBER(MATCH(Q1091,T:T,0))</f>
        <v>1</v>
      </c>
      <c r="T1091" s="4" t="s">
        <v>11506</v>
      </c>
      <c r="U1091" s="4" t="str">
        <f t="shared" ref="U1091:U1154" si="58">IF(ISBLANK(R1091),Q1091,R1091)</f>
        <v>甘</v>
      </c>
    </row>
    <row r="1092" spans="1:21">
      <c r="A1092" s="3">
        <v>1090</v>
      </c>
      <c r="B1092" s="3" t="s">
        <v>8521</v>
      </c>
      <c r="C1092" s="3" t="s">
        <v>6017</v>
      </c>
      <c r="D1092" s="3" t="s">
        <v>5990</v>
      </c>
      <c r="E1092" s="3" t="s">
        <v>5991</v>
      </c>
      <c r="F1092" s="3" t="s">
        <v>8522</v>
      </c>
      <c r="G1092" s="3" t="s">
        <v>5993</v>
      </c>
      <c r="H1092" s="3" t="s">
        <v>8527</v>
      </c>
      <c r="I1092" s="3" t="s">
        <v>8496</v>
      </c>
      <c r="J1092" s="5" t="s">
        <v>7976</v>
      </c>
      <c r="L1092" s="3" t="s">
        <v>6947</v>
      </c>
      <c r="M1092" s="3">
        <v>5</v>
      </c>
      <c r="N1092" s="4" t="s">
        <v>8522</v>
      </c>
      <c r="O1092" s="4">
        <v>51</v>
      </c>
      <c r="P1092" s="11" t="s">
        <v>9741</v>
      </c>
      <c r="Q1092" s="11" t="s">
        <v>10169</v>
      </c>
      <c r="S1092" s="4" t="b">
        <f>ISNUMBER(MATCH(Q1092,T:T,0))</f>
        <v>1</v>
      </c>
      <c r="T1092" s="4" t="s">
        <v>6001</v>
      </c>
      <c r="U1092" s="4" t="str">
        <f t="shared" si="58"/>
        <v>甘</v>
      </c>
    </row>
    <row r="1093" spans="1:21">
      <c r="A1093" s="3">
        <v>1091</v>
      </c>
      <c r="B1093" s="3" t="s">
        <v>8521</v>
      </c>
      <c r="C1093" s="3" t="s">
        <v>6058</v>
      </c>
      <c r="D1093" s="3" t="s">
        <v>5990</v>
      </c>
      <c r="E1093" s="3" t="s">
        <v>5991</v>
      </c>
      <c r="F1093" s="3" t="s">
        <v>8522</v>
      </c>
      <c r="G1093" s="3" t="s">
        <v>5993</v>
      </c>
      <c r="H1093" s="3" t="s">
        <v>8528</v>
      </c>
      <c r="I1093" s="3" t="s">
        <v>8496</v>
      </c>
      <c r="J1093" s="5" t="s">
        <v>7977</v>
      </c>
      <c r="L1093" s="3" t="s">
        <v>6956</v>
      </c>
      <c r="M1093" s="3">
        <v>11</v>
      </c>
      <c r="N1093" s="4" t="s">
        <v>8522</v>
      </c>
      <c r="O1093" s="4">
        <v>51</v>
      </c>
      <c r="P1093" s="11" t="s">
        <v>9920</v>
      </c>
      <c r="Q1093" s="11" t="s">
        <v>10169</v>
      </c>
      <c r="S1093" s="4" t="b">
        <f>ISNUMBER(MATCH(Q1093,T:T,0))</f>
        <v>1</v>
      </c>
      <c r="T1093" s="4" t="s">
        <v>11507</v>
      </c>
      <c r="U1093" s="4" t="str">
        <f t="shared" si="58"/>
        <v>甘</v>
      </c>
    </row>
    <row r="1094" spans="1:21">
      <c r="A1094" s="3">
        <v>1092</v>
      </c>
      <c r="B1094" s="3" t="s">
        <v>8521</v>
      </c>
      <c r="C1094" s="3" t="s">
        <v>6038</v>
      </c>
      <c r="D1094" s="3" t="s">
        <v>5990</v>
      </c>
      <c r="E1094" s="3" t="s">
        <v>5991</v>
      </c>
      <c r="F1094" s="3" t="s">
        <v>8522</v>
      </c>
      <c r="G1094" s="3" t="s">
        <v>5993</v>
      </c>
      <c r="H1094" s="3" t="s">
        <v>8529</v>
      </c>
      <c r="I1094" s="3" t="s">
        <v>8496</v>
      </c>
      <c r="J1094" s="5" t="s">
        <v>8530</v>
      </c>
      <c r="L1094" s="3" t="s">
        <v>8004</v>
      </c>
      <c r="M1094" s="3">
        <v>1</v>
      </c>
      <c r="N1094" s="4" t="s">
        <v>8522</v>
      </c>
      <c r="O1094" s="4">
        <v>51</v>
      </c>
      <c r="P1094" s="11" t="s">
        <v>9728</v>
      </c>
      <c r="Q1094" s="11" t="s">
        <v>10169</v>
      </c>
      <c r="S1094" s="4" t="b">
        <f>ISNUMBER(MATCH(Q1094,T:T,0))</f>
        <v>1</v>
      </c>
      <c r="T1094" s="4" t="s">
        <v>8530</v>
      </c>
      <c r="U1094" s="4" t="str">
        <f t="shared" si="58"/>
        <v>甘</v>
      </c>
    </row>
    <row r="1095" spans="1:21">
      <c r="A1095" s="3">
        <v>1093</v>
      </c>
      <c r="B1095" s="3" t="s">
        <v>8521</v>
      </c>
      <c r="C1095" s="3" t="s">
        <v>6079</v>
      </c>
      <c r="D1095" s="3" t="s">
        <v>5990</v>
      </c>
      <c r="E1095" s="3" t="s">
        <v>5991</v>
      </c>
      <c r="F1095" s="3" t="s">
        <v>8522</v>
      </c>
      <c r="G1095" s="3" t="s">
        <v>5993</v>
      </c>
      <c r="H1095" s="3" t="s">
        <v>8531</v>
      </c>
      <c r="I1095" s="3" t="s">
        <v>8496</v>
      </c>
      <c r="J1095" s="5" t="s">
        <v>8532</v>
      </c>
      <c r="L1095" s="3" t="s">
        <v>6944</v>
      </c>
      <c r="M1095" s="3">
        <v>9</v>
      </c>
      <c r="N1095" s="4" t="s">
        <v>8522</v>
      </c>
      <c r="O1095" s="4">
        <v>51</v>
      </c>
      <c r="P1095" s="11" t="s">
        <v>9736</v>
      </c>
      <c r="Q1095" s="11" t="s">
        <v>10170</v>
      </c>
      <c r="S1095" s="4" t="b">
        <f>ISNUMBER(MATCH(Q1095,T:T,0))</f>
        <v>1</v>
      </c>
      <c r="T1095" s="4" t="s">
        <v>11508</v>
      </c>
      <c r="U1095" s="4" t="str">
        <f t="shared" si="58"/>
        <v>酣</v>
      </c>
    </row>
    <row r="1096" spans="1:21">
      <c r="A1096" s="3">
        <v>1094</v>
      </c>
      <c r="B1096" s="3" t="s">
        <v>8521</v>
      </c>
      <c r="C1096" s="3" t="s">
        <v>6069</v>
      </c>
      <c r="D1096" s="3" t="s">
        <v>5990</v>
      </c>
      <c r="E1096" s="3" t="s">
        <v>5991</v>
      </c>
      <c r="F1096" s="3" t="s">
        <v>8522</v>
      </c>
      <c r="G1096" s="3" t="s">
        <v>5993</v>
      </c>
      <c r="H1096" s="3" t="s">
        <v>8533</v>
      </c>
      <c r="I1096" s="3" t="s">
        <v>8496</v>
      </c>
      <c r="J1096" s="8" t="s">
        <v>7978</v>
      </c>
      <c r="L1096" s="3" t="s">
        <v>6952</v>
      </c>
      <c r="M1096" s="3">
        <v>5</v>
      </c>
      <c r="N1096" s="4" t="s">
        <v>8522</v>
      </c>
      <c r="O1096" s="4">
        <v>51</v>
      </c>
      <c r="P1096" s="11" t="s">
        <v>9880</v>
      </c>
      <c r="Q1096" s="11" t="s">
        <v>10169</v>
      </c>
      <c r="S1096" s="4" t="b">
        <f>ISNUMBER(MATCH(Q1096,T:T,0))</f>
        <v>1</v>
      </c>
      <c r="T1096" s="4" t="s">
        <v>11509</v>
      </c>
      <c r="U1096" s="4" t="str">
        <f t="shared" si="58"/>
        <v>甘</v>
      </c>
    </row>
    <row r="1097" spans="1:21">
      <c r="A1097" s="3">
        <v>1095</v>
      </c>
      <c r="B1097" s="3" t="s">
        <v>8521</v>
      </c>
      <c r="C1097" s="3" t="s">
        <v>6067</v>
      </c>
      <c r="D1097" s="3" t="s">
        <v>5990</v>
      </c>
      <c r="E1097" s="3" t="s">
        <v>5991</v>
      </c>
      <c r="F1097" s="3" t="s">
        <v>8522</v>
      </c>
      <c r="G1097" s="3" t="s">
        <v>5993</v>
      </c>
      <c r="H1097" s="3" t="s">
        <v>8534</v>
      </c>
      <c r="I1097" s="3" t="s">
        <v>8496</v>
      </c>
      <c r="J1097" s="5" t="s">
        <v>7979</v>
      </c>
      <c r="L1097" s="3" t="s">
        <v>6929</v>
      </c>
      <c r="M1097" s="3">
        <v>8</v>
      </c>
      <c r="N1097" s="4" t="s">
        <v>8522</v>
      </c>
      <c r="O1097" s="4">
        <v>51</v>
      </c>
      <c r="P1097" s="11" t="s">
        <v>9870</v>
      </c>
      <c r="Q1097" s="11" t="s">
        <v>10169</v>
      </c>
      <c r="S1097" s="4" t="b">
        <f>ISNUMBER(MATCH(Q1097,T:T,0))</f>
        <v>1</v>
      </c>
      <c r="T1097" s="4" t="s">
        <v>10170</v>
      </c>
      <c r="U1097" s="4" t="str">
        <f t="shared" si="58"/>
        <v>甘</v>
      </c>
    </row>
    <row r="1098" spans="1:21">
      <c r="A1098" s="3">
        <v>1096</v>
      </c>
      <c r="B1098" s="3" t="s">
        <v>8521</v>
      </c>
      <c r="C1098" s="3" t="s">
        <v>6035</v>
      </c>
      <c r="D1098" s="3" t="s">
        <v>5990</v>
      </c>
      <c r="E1098" s="3" t="s">
        <v>5991</v>
      </c>
      <c r="F1098" s="3" t="s">
        <v>8522</v>
      </c>
      <c r="G1098" s="3" t="s">
        <v>5993</v>
      </c>
      <c r="H1098" s="3" t="s">
        <v>8535</v>
      </c>
      <c r="I1098" s="3" t="s">
        <v>8496</v>
      </c>
      <c r="J1098" s="5" t="s">
        <v>8536</v>
      </c>
      <c r="L1098" s="3" t="s">
        <v>8047</v>
      </c>
      <c r="M1098" s="3">
        <v>1</v>
      </c>
      <c r="N1098" s="4" t="s">
        <v>8522</v>
      </c>
      <c r="O1098" s="4">
        <v>51</v>
      </c>
      <c r="P1098" s="11" t="s">
        <v>9794</v>
      </c>
      <c r="Q1098" s="11" t="s">
        <v>10170</v>
      </c>
      <c r="S1098" s="4" t="b">
        <f>ISNUMBER(MATCH(Q1098,T:T,0))</f>
        <v>1</v>
      </c>
      <c r="T1098" s="4" t="s">
        <v>8536</v>
      </c>
      <c r="U1098" s="4" t="str">
        <f t="shared" si="58"/>
        <v>酣</v>
      </c>
    </row>
    <row r="1099" spans="1:21">
      <c r="A1099" s="3">
        <v>1097</v>
      </c>
      <c r="B1099" s="3" t="s">
        <v>8521</v>
      </c>
      <c r="C1099" s="3" t="s">
        <v>6069</v>
      </c>
      <c r="D1099" s="3" t="s">
        <v>5990</v>
      </c>
      <c r="E1099" s="3" t="s">
        <v>5991</v>
      </c>
      <c r="F1099" s="3" t="s">
        <v>8522</v>
      </c>
      <c r="G1099" s="3" t="s">
        <v>5993</v>
      </c>
      <c r="H1099" s="3" t="s">
        <v>8537</v>
      </c>
      <c r="I1099" s="3" t="s">
        <v>8496</v>
      </c>
      <c r="J1099" s="5" t="s">
        <v>8538</v>
      </c>
      <c r="L1099" s="3" t="s">
        <v>6952</v>
      </c>
      <c r="M1099" s="3">
        <v>1</v>
      </c>
      <c r="N1099" s="4" t="s">
        <v>8522</v>
      </c>
      <c r="O1099" s="4">
        <v>51</v>
      </c>
      <c r="P1099" s="11" t="s">
        <v>9880</v>
      </c>
      <c r="Q1099" s="11" t="s">
        <v>6001</v>
      </c>
      <c r="S1099" s="4" t="b">
        <f>ISNUMBER(MATCH(Q1099,T:T,0))</f>
        <v>1</v>
      </c>
      <c r="T1099" s="4" t="s">
        <v>8538</v>
      </c>
      <c r="U1099" s="4" t="str">
        <f t="shared" si="58"/>
        <v>三</v>
      </c>
    </row>
    <row r="1100" spans="1:21">
      <c r="A1100" s="3">
        <v>1098</v>
      </c>
      <c r="B1100" s="3" t="s">
        <v>8521</v>
      </c>
      <c r="C1100" s="3" t="s">
        <v>6089</v>
      </c>
      <c r="D1100" s="3" t="s">
        <v>5990</v>
      </c>
      <c r="E1100" s="3" t="s">
        <v>5991</v>
      </c>
      <c r="F1100" s="3" t="s">
        <v>8522</v>
      </c>
      <c r="G1100" s="3" t="s">
        <v>5993</v>
      </c>
      <c r="H1100" s="3" t="s">
        <v>8539</v>
      </c>
      <c r="I1100" s="3" t="s">
        <v>8496</v>
      </c>
      <c r="J1100" s="5" t="s">
        <v>7980</v>
      </c>
      <c r="L1100" s="3" t="s">
        <v>8007</v>
      </c>
      <c r="M1100" s="3">
        <v>5</v>
      </c>
      <c r="N1100" s="4" t="s">
        <v>8522</v>
      </c>
      <c r="O1100" s="4">
        <v>51</v>
      </c>
      <c r="P1100" s="11" t="s">
        <v>9739</v>
      </c>
      <c r="Q1100" s="11" t="s">
        <v>8522</v>
      </c>
      <c r="S1100" s="4" t="b">
        <f>ISNUMBER(MATCH(Q1100,T:T,0))</f>
        <v>1</v>
      </c>
      <c r="T1100" s="4" t="s">
        <v>11510</v>
      </c>
      <c r="U1100" s="4" t="str">
        <f t="shared" si="58"/>
        <v>談</v>
      </c>
    </row>
    <row r="1101" spans="1:21">
      <c r="A1101" s="3">
        <v>1099</v>
      </c>
      <c r="B1101" s="3" t="s">
        <v>8540</v>
      </c>
      <c r="C1101" s="3" t="s">
        <v>6028</v>
      </c>
      <c r="D1101" s="3" t="s">
        <v>6001</v>
      </c>
      <c r="E1101" s="3" t="s">
        <v>5991</v>
      </c>
      <c r="F1101" s="3" t="s">
        <v>8541</v>
      </c>
      <c r="G1101" s="3" t="s">
        <v>5993</v>
      </c>
      <c r="H1101" s="3" t="s">
        <v>8542</v>
      </c>
      <c r="I1101" s="3" t="s">
        <v>8496</v>
      </c>
      <c r="J1101" s="5" t="s">
        <v>7981</v>
      </c>
      <c r="L1101" s="3" t="s">
        <v>6849</v>
      </c>
      <c r="M1101" s="3">
        <v>15</v>
      </c>
      <c r="N1101" s="4" t="s">
        <v>8543</v>
      </c>
      <c r="O1101" s="4">
        <v>52</v>
      </c>
      <c r="P1101" s="11" t="s">
        <v>9850</v>
      </c>
      <c r="Q1101" s="11" t="s">
        <v>10171</v>
      </c>
      <c r="S1101" s="4" t="b">
        <f>ISNUMBER(MATCH(Q1101,T:T,0))</f>
        <v>1</v>
      </c>
      <c r="T1101" s="4" t="s">
        <v>8543</v>
      </c>
      <c r="U1101" s="4" t="str">
        <f t="shared" si="58"/>
        <v>廉</v>
      </c>
    </row>
    <row r="1102" spans="1:21" ht="39">
      <c r="A1102" s="3">
        <v>1100</v>
      </c>
      <c r="B1102" s="3" t="s">
        <v>8540</v>
      </c>
      <c r="C1102" s="3" t="s">
        <v>6058</v>
      </c>
      <c r="D1102" s="3" t="s">
        <v>6001</v>
      </c>
      <c r="E1102" s="3" t="s">
        <v>5991</v>
      </c>
      <c r="F1102" s="3" t="s">
        <v>8541</v>
      </c>
      <c r="G1102" s="3" t="s">
        <v>5993</v>
      </c>
      <c r="H1102" s="3" t="s">
        <v>8544</v>
      </c>
      <c r="I1102" s="3" t="s">
        <v>8496</v>
      </c>
      <c r="J1102" s="5" t="s">
        <v>7982</v>
      </c>
      <c r="L1102" s="3" t="s">
        <v>8134</v>
      </c>
      <c r="M1102" s="3">
        <v>20</v>
      </c>
      <c r="N1102" s="4" t="s">
        <v>8543</v>
      </c>
      <c r="O1102" s="4">
        <v>52</v>
      </c>
      <c r="P1102" s="11" t="s">
        <v>9727</v>
      </c>
      <c r="Q1102" s="11" t="s">
        <v>8543</v>
      </c>
      <c r="S1102" s="4" t="b">
        <f>ISNUMBER(MATCH(Q1102,T:T,0))</f>
        <v>1</v>
      </c>
      <c r="T1102" s="4" t="s">
        <v>10171</v>
      </c>
      <c r="U1102" s="4" t="str">
        <f t="shared" si="58"/>
        <v>鹽</v>
      </c>
    </row>
    <row r="1103" spans="1:21">
      <c r="A1103" s="3">
        <v>1101</v>
      </c>
      <c r="B1103" s="3" t="s">
        <v>8540</v>
      </c>
      <c r="C1103" s="3" t="s">
        <v>6049</v>
      </c>
      <c r="D1103" s="3" t="s">
        <v>6001</v>
      </c>
      <c r="E1103" s="3" t="s">
        <v>5991</v>
      </c>
      <c r="F1103" s="3" t="s">
        <v>8545</v>
      </c>
      <c r="G1103" s="3" t="s">
        <v>5993</v>
      </c>
      <c r="H1103" s="3" t="s">
        <v>8546</v>
      </c>
      <c r="I1103" s="3" t="s">
        <v>8496</v>
      </c>
      <c r="J1103" s="5" t="s">
        <v>8547</v>
      </c>
      <c r="L1103" s="3" t="s">
        <v>8155</v>
      </c>
      <c r="M1103" s="3">
        <v>2</v>
      </c>
      <c r="N1103" s="4" t="s">
        <v>8543</v>
      </c>
      <c r="O1103" s="4">
        <v>52</v>
      </c>
      <c r="P1103" s="11" t="s">
        <v>9752</v>
      </c>
      <c r="Q1103" s="11" t="s">
        <v>10171</v>
      </c>
      <c r="S1103" s="4" t="b">
        <f>ISNUMBER(MATCH(Q1103,T:T,0))</f>
        <v>1</v>
      </c>
      <c r="T1103" s="4" t="s">
        <v>11511</v>
      </c>
      <c r="U1103" s="4" t="str">
        <f t="shared" si="58"/>
        <v>廉</v>
      </c>
    </row>
    <row r="1104" spans="1:21">
      <c r="A1104" s="3">
        <v>1102</v>
      </c>
      <c r="B1104" s="3" t="s">
        <v>8540</v>
      </c>
      <c r="C1104" s="3" t="s">
        <v>6017</v>
      </c>
      <c r="D1104" s="3" t="s">
        <v>6001</v>
      </c>
      <c r="E1104" s="3" t="s">
        <v>5991</v>
      </c>
      <c r="F1104" s="3" t="s">
        <v>8541</v>
      </c>
      <c r="G1104" s="3" t="s">
        <v>5993</v>
      </c>
      <c r="H1104" s="3" t="s">
        <v>8548</v>
      </c>
      <c r="I1104" s="3" t="s">
        <v>8496</v>
      </c>
      <c r="J1104" s="5" t="s">
        <v>7983</v>
      </c>
      <c r="L1104" s="3" t="s">
        <v>6853</v>
      </c>
      <c r="M1104" s="3">
        <v>13</v>
      </c>
      <c r="N1104" s="4" t="s">
        <v>8543</v>
      </c>
      <c r="O1104" s="4">
        <v>52</v>
      </c>
      <c r="P1104" s="11" t="s">
        <v>9714</v>
      </c>
      <c r="Q1104" s="11" t="s">
        <v>10171</v>
      </c>
      <c r="S1104" s="4" t="b">
        <f>ISNUMBER(MATCH(Q1104,T:T,0))</f>
        <v>1</v>
      </c>
      <c r="T1104" s="4" t="s">
        <v>11512</v>
      </c>
      <c r="U1104" s="4" t="str">
        <f t="shared" si="58"/>
        <v>廉</v>
      </c>
    </row>
    <row r="1105" spans="1:21">
      <c r="A1105" s="3">
        <v>1103</v>
      </c>
      <c r="B1105" s="3" t="s">
        <v>8540</v>
      </c>
      <c r="C1105" s="3" t="s">
        <v>6076</v>
      </c>
      <c r="D1105" s="3" t="s">
        <v>6001</v>
      </c>
      <c r="E1105" s="3" t="s">
        <v>5991</v>
      </c>
      <c r="F1105" s="3" t="s">
        <v>8541</v>
      </c>
      <c r="G1105" s="3" t="s">
        <v>5993</v>
      </c>
      <c r="H1105" s="3" t="s">
        <v>8549</v>
      </c>
      <c r="I1105" s="3" t="s">
        <v>8496</v>
      </c>
      <c r="J1105" s="5" t="s">
        <v>8550</v>
      </c>
      <c r="L1105" s="3" t="s">
        <v>6851</v>
      </c>
      <c r="M1105" s="3">
        <v>10</v>
      </c>
      <c r="N1105" s="4" t="s">
        <v>8543</v>
      </c>
      <c r="O1105" s="4">
        <v>52</v>
      </c>
      <c r="P1105" s="11" t="s">
        <v>9766</v>
      </c>
      <c r="Q1105" s="11" t="s">
        <v>10171</v>
      </c>
      <c r="S1105" s="4" t="b">
        <f>ISNUMBER(MATCH(Q1105,T:T,0))</f>
        <v>1</v>
      </c>
      <c r="T1105" s="4" t="s">
        <v>11513</v>
      </c>
      <c r="U1105" s="4" t="str">
        <f t="shared" si="58"/>
        <v>廉</v>
      </c>
    </row>
    <row r="1106" spans="1:21">
      <c r="A1106" s="3">
        <v>1104</v>
      </c>
      <c r="B1106" s="3" t="s">
        <v>8540</v>
      </c>
      <c r="C1106" s="3" t="s">
        <v>6009</v>
      </c>
      <c r="D1106" s="3" t="s">
        <v>6001</v>
      </c>
      <c r="E1106" s="3" t="s">
        <v>5991</v>
      </c>
      <c r="F1106" s="3" t="s">
        <v>8541</v>
      </c>
      <c r="G1106" s="3" t="s">
        <v>5993</v>
      </c>
      <c r="H1106" s="3" t="s">
        <v>8551</v>
      </c>
      <c r="I1106" s="3" t="s">
        <v>8496</v>
      </c>
      <c r="J1106" s="5" t="s">
        <v>7984</v>
      </c>
      <c r="L1106" s="3" t="s">
        <v>8113</v>
      </c>
      <c r="M1106" s="3">
        <v>6</v>
      </c>
      <c r="N1106" s="4" t="s">
        <v>8543</v>
      </c>
      <c r="O1106" s="4">
        <v>52</v>
      </c>
      <c r="P1106" s="11" t="s">
        <v>1726</v>
      </c>
      <c r="Q1106" s="11" t="s">
        <v>10171</v>
      </c>
      <c r="S1106" s="4" t="b">
        <f>ISNUMBER(MATCH(Q1106,T:T,0))</f>
        <v>1</v>
      </c>
      <c r="T1106" s="4" t="s">
        <v>11514</v>
      </c>
      <c r="U1106" s="4" t="str">
        <f t="shared" si="58"/>
        <v>廉</v>
      </c>
    </row>
    <row r="1107" spans="1:21">
      <c r="A1107" s="3">
        <v>1105</v>
      </c>
      <c r="B1107" s="3" t="s">
        <v>8540</v>
      </c>
      <c r="C1107" s="3" t="s">
        <v>6148</v>
      </c>
      <c r="D1107" s="3" t="s">
        <v>6001</v>
      </c>
      <c r="E1107" s="3" t="s">
        <v>5991</v>
      </c>
      <c r="F1107" s="3" t="s">
        <v>8541</v>
      </c>
      <c r="G1107" s="3" t="s">
        <v>5993</v>
      </c>
      <c r="H1107" s="3" t="s">
        <v>8552</v>
      </c>
      <c r="I1107" s="3" t="s">
        <v>8496</v>
      </c>
      <c r="J1107" s="5" t="s">
        <v>8553</v>
      </c>
      <c r="L1107" s="3" t="s">
        <v>8090</v>
      </c>
      <c r="M1107" s="3">
        <v>3</v>
      </c>
      <c r="N1107" s="4" t="s">
        <v>8543</v>
      </c>
      <c r="O1107" s="4">
        <v>52</v>
      </c>
      <c r="P1107" s="11" t="s">
        <v>9818</v>
      </c>
      <c r="Q1107" s="11" t="s">
        <v>464</v>
      </c>
      <c r="S1107" s="4" t="b">
        <f>ISNUMBER(MATCH(Q1107,T:T,0))</f>
        <v>1</v>
      </c>
      <c r="T1107" s="4" t="s">
        <v>11515</v>
      </c>
      <c r="U1107" s="4" t="str">
        <f t="shared" si="58"/>
        <v>占</v>
      </c>
    </row>
    <row r="1108" spans="1:21">
      <c r="A1108" s="3">
        <v>1106</v>
      </c>
      <c r="B1108" s="3" t="s">
        <v>8540</v>
      </c>
      <c r="C1108" s="3" t="s">
        <v>6120</v>
      </c>
      <c r="D1108" s="3" t="s">
        <v>6001</v>
      </c>
      <c r="E1108" s="3" t="s">
        <v>5991</v>
      </c>
      <c r="F1108" s="3" t="s">
        <v>8541</v>
      </c>
      <c r="G1108" s="3" t="s">
        <v>5993</v>
      </c>
      <c r="H1108" s="3" t="s">
        <v>8554</v>
      </c>
      <c r="I1108" s="3" t="s">
        <v>8496</v>
      </c>
      <c r="J1108" s="5" t="s">
        <v>8555</v>
      </c>
      <c r="L1108" s="3" t="s">
        <v>8058</v>
      </c>
      <c r="M1108" s="3">
        <v>3</v>
      </c>
      <c r="N1108" s="4" t="s">
        <v>8543</v>
      </c>
      <c r="O1108" s="4">
        <v>52</v>
      </c>
      <c r="P1108" s="11" t="s">
        <v>9931</v>
      </c>
      <c r="Q1108" s="11" t="s">
        <v>10171</v>
      </c>
      <c r="S1108" s="4" t="b">
        <f>ISNUMBER(MATCH(Q1108,T:T,0))</f>
        <v>1</v>
      </c>
      <c r="T1108" s="4" t="s">
        <v>11516</v>
      </c>
      <c r="U1108" s="4" t="str">
        <f t="shared" si="58"/>
        <v>廉</v>
      </c>
    </row>
    <row r="1109" spans="1:21">
      <c r="A1109" s="3">
        <v>1107</v>
      </c>
      <c r="B1109" s="3" t="s">
        <v>8540</v>
      </c>
      <c r="C1109" s="3" t="s">
        <v>6055</v>
      </c>
      <c r="D1109" s="3" t="s">
        <v>6001</v>
      </c>
      <c r="E1109" s="3" t="s">
        <v>5991</v>
      </c>
      <c r="F1109" s="3" t="s">
        <v>8541</v>
      </c>
      <c r="G1109" s="3" t="s">
        <v>5993</v>
      </c>
      <c r="H1109" s="3" t="s">
        <v>8556</v>
      </c>
      <c r="I1109" s="3" t="s">
        <v>8496</v>
      </c>
      <c r="J1109" s="5" t="s">
        <v>8557</v>
      </c>
      <c r="L1109" s="3" t="s">
        <v>8184</v>
      </c>
      <c r="M1109" s="3">
        <v>11</v>
      </c>
      <c r="N1109" s="4" t="s">
        <v>8543</v>
      </c>
      <c r="O1109" s="4">
        <v>52</v>
      </c>
      <c r="P1109" s="11" t="s">
        <v>9809</v>
      </c>
      <c r="Q1109" s="11" t="s">
        <v>464</v>
      </c>
      <c r="S1109" s="4" t="b">
        <f>ISNUMBER(MATCH(Q1109,T:T,0))</f>
        <v>1</v>
      </c>
      <c r="T1109" s="4" t="s">
        <v>11517</v>
      </c>
      <c r="U1109" s="4" t="str">
        <f t="shared" si="58"/>
        <v>占</v>
      </c>
    </row>
    <row r="1110" spans="1:21">
      <c r="A1110" s="3">
        <v>1108</v>
      </c>
      <c r="B1110" s="3" t="s">
        <v>8540</v>
      </c>
      <c r="C1110" s="3" t="s">
        <v>6021</v>
      </c>
      <c r="D1110" s="3" t="s">
        <v>6001</v>
      </c>
      <c r="E1110" s="3" t="s">
        <v>5991</v>
      </c>
      <c r="F1110" s="3" t="s">
        <v>8541</v>
      </c>
      <c r="G1110" s="3" t="s">
        <v>5993</v>
      </c>
      <c r="H1110" s="3" t="s">
        <v>8558</v>
      </c>
      <c r="I1110" s="3" t="s">
        <v>8496</v>
      </c>
      <c r="J1110" s="5" t="s">
        <v>7985</v>
      </c>
      <c r="L1110" s="3" t="s">
        <v>8171</v>
      </c>
      <c r="M1110" s="3">
        <v>12</v>
      </c>
      <c r="N1110" s="4" t="s">
        <v>8543</v>
      </c>
      <c r="O1110" s="4">
        <v>52</v>
      </c>
      <c r="P1110" s="11" t="s">
        <v>9791</v>
      </c>
      <c r="Q1110" s="11" t="s">
        <v>8543</v>
      </c>
      <c r="S1110" s="4" t="b">
        <f>ISNUMBER(MATCH(Q1110,T:T,0))</f>
        <v>1</v>
      </c>
      <c r="T1110" s="4" t="s">
        <v>11518</v>
      </c>
      <c r="U1110" s="4" t="str">
        <f t="shared" si="58"/>
        <v>鹽</v>
      </c>
    </row>
    <row r="1111" spans="1:21">
      <c r="A1111" s="3">
        <v>1109</v>
      </c>
      <c r="B1111" s="3" t="s">
        <v>8540</v>
      </c>
      <c r="C1111" s="3" t="s">
        <v>6137</v>
      </c>
      <c r="D1111" s="3" t="s">
        <v>6001</v>
      </c>
      <c r="E1111" s="3" t="s">
        <v>5991</v>
      </c>
      <c r="F1111" s="3" t="s">
        <v>8545</v>
      </c>
      <c r="G1111" s="3" t="s">
        <v>5993</v>
      </c>
      <c r="H1111" s="3" t="s">
        <v>8559</v>
      </c>
      <c r="I1111" s="3" t="s">
        <v>8496</v>
      </c>
      <c r="J1111" s="5" t="s">
        <v>8560</v>
      </c>
      <c r="L1111" s="3" t="s">
        <v>8138</v>
      </c>
      <c r="M1111" s="3">
        <v>3</v>
      </c>
      <c r="N1111" s="4" t="s">
        <v>8543</v>
      </c>
      <c r="O1111" s="4">
        <v>52</v>
      </c>
      <c r="P1111" s="11" t="s">
        <v>9755</v>
      </c>
      <c r="Q1111" s="11" t="s">
        <v>10171</v>
      </c>
      <c r="S1111" s="4" t="b">
        <f>ISNUMBER(MATCH(Q1111,T:T,0))</f>
        <v>1</v>
      </c>
      <c r="T1111" s="4" t="s">
        <v>11519</v>
      </c>
      <c r="U1111" s="4" t="str">
        <f t="shared" si="58"/>
        <v>廉</v>
      </c>
    </row>
    <row r="1112" spans="1:21">
      <c r="A1112" s="3">
        <v>1110</v>
      </c>
      <c r="B1112" s="3" t="s">
        <v>8540</v>
      </c>
      <c r="C1112" s="3" t="s">
        <v>6032</v>
      </c>
      <c r="D1112" s="3" t="s">
        <v>6001</v>
      </c>
      <c r="E1112" s="3" t="s">
        <v>5991</v>
      </c>
      <c r="F1112" s="3" t="s">
        <v>8545</v>
      </c>
      <c r="G1112" s="3" t="s">
        <v>5993</v>
      </c>
      <c r="H1112" s="3" t="s">
        <v>8561</v>
      </c>
      <c r="I1112" s="3" t="s">
        <v>8496</v>
      </c>
      <c r="J1112" s="5" t="s">
        <v>8562</v>
      </c>
      <c r="L1112" s="3" t="s">
        <v>6849</v>
      </c>
      <c r="M1112" s="3">
        <v>1</v>
      </c>
      <c r="N1112" s="4" t="s">
        <v>8543</v>
      </c>
      <c r="O1112" s="4">
        <v>52</v>
      </c>
      <c r="P1112" s="11" t="s">
        <v>9859</v>
      </c>
      <c r="Q1112" s="11" t="s">
        <v>10171</v>
      </c>
      <c r="S1112" s="4" t="b">
        <f>ISNUMBER(MATCH(Q1112,T:T,0))</f>
        <v>1</v>
      </c>
      <c r="T1112" s="4" t="s">
        <v>8562</v>
      </c>
      <c r="U1112" s="4" t="str">
        <f t="shared" si="58"/>
        <v>廉</v>
      </c>
    </row>
    <row r="1113" spans="1:21">
      <c r="A1113" s="3">
        <v>1111</v>
      </c>
      <c r="B1113" s="3" t="s">
        <v>8540</v>
      </c>
      <c r="C1113" s="3" t="s">
        <v>6000</v>
      </c>
      <c r="D1113" s="3" t="s">
        <v>6001</v>
      </c>
      <c r="E1113" s="3" t="s">
        <v>5991</v>
      </c>
      <c r="F1113" s="3" t="s">
        <v>8545</v>
      </c>
      <c r="G1113" s="3" t="s">
        <v>5993</v>
      </c>
      <c r="H1113" s="3" t="s">
        <v>8563</v>
      </c>
      <c r="I1113" s="3" t="s">
        <v>8496</v>
      </c>
      <c r="J1113" s="5" t="s">
        <v>8564</v>
      </c>
      <c r="L1113" s="3" t="s">
        <v>8113</v>
      </c>
      <c r="M1113" s="3">
        <v>3</v>
      </c>
      <c r="N1113" s="4" t="s">
        <v>8543</v>
      </c>
      <c r="O1113" s="4">
        <v>52</v>
      </c>
      <c r="P1113" s="11" t="s">
        <v>10007</v>
      </c>
      <c r="Q1113" s="11" t="s">
        <v>10171</v>
      </c>
      <c r="S1113" s="4" t="b">
        <f>ISNUMBER(MATCH(Q1113,T:T,0))</f>
        <v>1</v>
      </c>
      <c r="T1113" s="4" t="s">
        <v>11520</v>
      </c>
      <c r="U1113" s="4" t="str">
        <f t="shared" si="58"/>
        <v>廉</v>
      </c>
    </row>
    <row r="1114" spans="1:21">
      <c r="A1114" s="3">
        <v>1112</v>
      </c>
      <c r="B1114" s="3" t="s">
        <v>8540</v>
      </c>
      <c r="C1114" s="3" t="s">
        <v>6011</v>
      </c>
      <c r="D1114" s="3" t="s">
        <v>6001</v>
      </c>
      <c r="E1114" s="3" t="s">
        <v>5991</v>
      </c>
      <c r="F1114" s="3" t="s">
        <v>8545</v>
      </c>
      <c r="G1114" s="3" t="s">
        <v>5993</v>
      </c>
      <c r="H1114" s="3" t="s">
        <v>8565</v>
      </c>
      <c r="I1114" s="3" t="s">
        <v>8496</v>
      </c>
      <c r="J1114" s="5" t="s">
        <v>8566</v>
      </c>
      <c r="L1114" s="3" t="s">
        <v>8184</v>
      </c>
      <c r="M1114" s="3">
        <v>2</v>
      </c>
      <c r="N1114" s="4" t="s">
        <v>8543</v>
      </c>
      <c r="O1114" s="4">
        <v>52</v>
      </c>
      <c r="P1114" s="11" t="s">
        <v>9757</v>
      </c>
      <c r="Q1114" s="11" t="s">
        <v>10171</v>
      </c>
      <c r="S1114" s="4" t="b">
        <f>ISNUMBER(MATCH(Q1114,T:T,0))</f>
        <v>1</v>
      </c>
      <c r="T1114" s="4" t="s">
        <v>11521</v>
      </c>
      <c r="U1114" s="4" t="str">
        <f t="shared" si="58"/>
        <v>廉</v>
      </c>
    </row>
    <row r="1115" spans="1:21">
      <c r="A1115" s="3">
        <v>1113</v>
      </c>
      <c r="B1115" s="3" t="s">
        <v>8540</v>
      </c>
      <c r="C1115" s="3" t="s">
        <v>6072</v>
      </c>
      <c r="D1115" s="3" t="s">
        <v>6001</v>
      </c>
      <c r="E1115" s="3" t="s">
        <v>5991</v>
      </c>
      <c r="F1115" s="3" t="s">
        <v>8545</v>
      </c>
      <c r="G1115" s="3" t="s">
        <v>5993</v>
      </c>
      <c r="H1115" s="3" t="s">
        <v>8567</v>
      </c>
      <c r="I1115" s="3" t="s">
        <v>8496</v>
      </c>
      <c r="J1115" s="5" t="s">
        <v>8568</v>
      </c>
      <c r="L1115" s="3" t="s">
        <v>6859</v>
      </c>
      <c r="M1115" s="3">
        <v>6</v>
      </c>
      <c r="N1115" s="4" t="s">
        <v>8543</v>
      </c>
      <c r="O1115" s="4">
        <v>52</v>
      </c>
      <c r="P1115" s="11" t="s">
        <v>9852</v>
      </c>
      <c r="Q1115" s="11" t="s">
        <v>8562</v>
      </c>
      <c r="S1115" s="4" t="b">
        <f>ISNUMBER(MATCH(Q1115,T:T,0))</f>
        <v>1</v>
      </c>
      <c r="T1115" s="4" t="s">
        <v>10172</v>
      </c>
      <c r="U1115" s="4" t="str">
        <f t="shared" si="58"/>
        <v>炎</v>
      </c>
    </row>
    <row r="1116" spans="1:21">
      <c r="A1116" s="3">
        <v>1114</v>
      </c>
      <c r="B1116" s="3" t="s">
        <v>8540</v>
      </c>
      <c r="C1116" s="3" t="s">
        <v>6038</v>
      </c>
      <c r="D1116" s="3" t="s">
        <v>6001</v>
      </c>
      <c r="E1116" s="3" t="s">
        <v>5991</v>
      </c>
      <c r="F1116" s="3" t="s">
        <v>8545</v>
      </c>
      <c r="G1116" s="3" t="s">
        <v>5993</v>
      </c>
      <c r="H1116" s="3" t="s">
        <v>8569</v>
      </c>
      <c r="I1116" s="3" t="s">
        <v>8496</v>
      </c>
      <c r="J1116" s="5" t="s">
        <v>8570</v>
      </c>
      <c r="L1116" s="3" t="s">
        <v>6851</v>
      </c>
      <c r="M1116" s="3">
        <v>2</v>
      </c>
      <c r="N1116" s="4" t="s">
        <v>8543</v>
      </c>
      <c r="O1116" s="4">
        <v>52</v>
      </c>
      <c r="P1116" s="11" t="s">
        <v>9825</v>
      </c>
      <c r="Q1116" s="11" t="s">
        <v>10171</v>
      </c>
      <c r="S1116" s="4" t="b">
        <f>ISNUMBER(MATCH(Q1116,T:T,0))</f>
        <v>1</v>
      </c>
      <c r="T1116" s="4" t="s">
        <v>11522</v>
      </c>
      <c r="U1116" s="4" t="str">
        <f t="shared" si="58"/>
        <v>廉</v>
      </c>
    </row>
    <row r="1117" spans="1:21">
      <c r="A1117" s="3">
        <v>1115</v>
      </c>
      <c r="B1117" s="3" t="s">
        <v>8540</v>
      </c>
      <c r="C1117" s="3" t="s">
        <v>6092</v>
      </c>
      <c r="D1117" s="3" t="s">
        <v>6001</v>
      </c>
      <c r="E1117" s="3" t="s">
        <v>5991</v>
      </c>
      <c r="F1117" s="3" t="s">
        <v>8545</v>
      </c>
      <c r="G1117" s="3" t="s">
        <v>5993</v>
      </c>
      <c r="H1117" s="3" t="s">
        <v>8571</v>
      </c>
      <c r="I1117" s="3" t="s">
        <v>8496</v>
      </c>
      <c r="J1117" s="5" t="s">
        <v>8572</v>
      </c>
      <c r="L1117" s="3" t="s">
        <v>6849</v>
      </c>
      <c r="M1117" s="3">
        <v>1</v>
      </c>
      <c r="N1117" s="4" t="s">
        <v>8543</v>
      </c>
      <c r="O1117" s="4">
        <v>52</v>
      </c>
      <c r="P1117" s="11" t="s">
        <v>9001</v>
      </c>
      <c r="Q1117" s="11" t="s">
        <v>10171</v>
      </c>
      <c r="S1117" s="4" t="b">
        <f>ISNUMBER(MATCH(Q1117,T:T,0))</f>
        <v>1</v>
      </c>
      <c r="T1117" s="4" t="s">
        <v>8572</v>
      </c>
      <c r="U1117" s="4" t="str">
        <f t="shared" si="58"/>
        <v>廉</v>
      </c>
    </row>
    <row r="1118" spans="1:21">
      <c r="A1118" s="3">
        <v>1116</v>
      </c>
      <c r="B1118" s="3" t="s">
        <v>8540</v>
      </c>
      <c r="C1118" s="3" t="s">
        <v>6083</v>
      </c>
      <c r="D1118" s="3" t="s">
        <v>6001</v>
      </c>
      <c r="E1118" s="3" t="s">
        <v>5991</v>
      </c>
      <c r="F1118" s="3" t="s">
        <v>8541</v>
      </c>
      <c r="G1118" s="3" t="s">
        <v>5993</v>
      </c>
      <c r="H1118" s="3" t="s">
        <v>8573</v>
      </c>
      <c r="I1118" s="3" t="s">
        <v>8496</v>
      </c>
      <c r="J1118" s="5" t="s">
        <v>8574</v>
      </c>
      <c r="L1118" s="3" t="s">
        <v>6856</v>
      </c>
      <c r="M1118" s="3">
        <v>13</v>
      </c>
      <c r="N1118" s="4" t="s">
        <v>8543</v>
      </c>
      <c r="O1118" s="4">
        <v>52</v>
      </c>
      <c r="P1118" s="11" t="s">
        <v>9737</v>
      </c>
      <c r="Q1118" s="11" t="s">
        <v>10171</v>
      </c>
      <c r="S1118" s="4" t="b">
        <f>ISNUMBER(MATCH(Q1118,T:T,0))</f>
        <v>1</v>
      </c>
      <c r="T1118" s="4" t="s">
        <v>11523</v>
      </c>
      <c r="U1118" s="4" t="str">
        <f t="shared" si="58"/>
        <v>廉</v>
      </c>
    </row>
    <row r="1119" spans="1:21">
      <c r="A1119" s="3">
        <v>1117</v>
      </c>
      <c r="B1119" s="3" t="s">
        <v>8540</v>
      </c>
      <c r="C1119" s="3" t="s">
        <v>6069</v>
      </c>
      <c r="D1119" s="3" t="s">
        <v>6001</v>
      </c>
      <c r="E1119" s="3" t="s">
        <v>5991</v>
      </c>
      <c r="F1119" s="3" t="s">
        <v>8541</v>
      </c>
      <c r="G1119" s="3" t="s">
        <v>5993</v>
      </c>
      <c r="H1119" s="3" t="s">
        <v>8575</v>
      </c>
      <c r="I1119" s="3" t="s">
        <v>8496</v>
      </c>
      <c r="J1119" s="5" t="s">
        <v>8576</v>
      </c>
      <c r="L1119" s="3" t="s">
        <v>6864</v>
      </c>
      <c r="M1119" s="3">
        <v>9</v>
      </c>
      <c r="N1119" s="4" t="s">
        <v>8543</v>
      </c>
      <c r="O1119" s="4">
        <v>52</v>
      </c>
      <c r="P1119" s="11" t="s">
        <v>9880</v>
      </c>
      <c r="Q1119" s="11" t="s">
        <v>8543</v>
      </c>
      <c r="S1119" s="4" t="b">
        <f>ISNUMBER(MATCH(Q1119,T:T,0))</f>
        <v>1</v>
      </c>
      <c r="T1119" s="4" t="s">
        <v>462</v>
      </c>
      <c r="U1119" s="4" t="str">
        <f t="shared" si="58"/>
        <v>鹽</v>
      </c>
    </row>
    <row r="1120" spans="1:21">
      <c r="A1120" s="3">
        <v>1118</v>
      </c>
      <c r="B1120" s="3" t="s">
        <v>8540</v>
      </c>
      <c r="C1120" s="3" t="s">
        <v>6041</v>
      </c>
      <c r="D1120" s="3" t="s">
        <v>6001</v>
      </c>
      <c r="E1120" s="3" t="s">
        <v>5991</v>
      </c>
      <c r="F1120" s="3" t="s">
        <v>8545</v>
      </c>
      <c r="G1120" s="3" t="s">
        <v>5993</v>
      </c>
      <c r="H1120" s="3" t="s">
        <v>8577</v>
      </c>
      <c r="I1120" s="3" t="s">
        <v>8496</v>
      </c>
      <c r="J1120" s="5" t="s">
        <v>8578</v>
      </c>
      <c r="L1120" s="3" t="s">
        <v>6864</v>
      </c>
      <c r="M1120" s="3">
        <v>12</v>
      </c>
      <c r="N1120" s="4" t="s">
        <v>8543</v>
      </c>
      <c r="O1120" s="4">
        <v>52</v>
      </c>
      <c r="P1120" s="11" t="s">
        <v>9789</v>
      </c>
      <c r="Q1120" s="11" t="s">
        <v>10172</v>
      </c>
      <c r="S1120" s="4" t="b">
        <f>ISNUMBER(MATCH(Q1120,T:T,0))</f>
        <v>1</v>
      </c>
      <c r="T1120" s="4" t="s">
        <v>11524</v>
      </c>
      <c r="U1120" s="4" t="str">
        <f t="shared" si="58"/>
        <v>淹</v>
      </c>
    </row>
    <row r="1121" spans="1:21">
      <c r="A1121" s="3">
        <v>1119</v>
      </c>
      <c r="B1121" s="3" t="s">
        <v>8540</v>
      </c>
      <c r="C1121" s="3" t="s">
        <v>6072</v>
      </c>
      <c r="D1121" s="3" t="s">
        <v>6001</v>
      </c>
      <c r="E1121" s="3" t="s">
        <v>5991</v>
      </c>
      <c r="F1121" s="3" t="s">
        <v>8541</v>
      </c>
      <c r="G1121" s="3" t="s">
        <v>5993</v>
      </c>
      <c r="H1121" s="3" t="s">
        <v>8579</v>
      </c>
      <c r="I1121" s="3" t="s">
        <v>8496</v>
      </c>
      <c r="J1121" s="8" t="s">
        <v>7986</v>
      </c>
      <c r="L1121" s="3" t="s">
        <v>6859</v>
      </c>
      <c r="M1121" s="3">
        <v>7</v>
      </c>
      <c r="N1121" s="4" t="s">
        <v>8543</v>
      </c>
      <c r="O1121" s="4">
        <v>52</v>
      </c>
      <c r="P1121" s="11" t="s">
        <v>5990</v>
      </c>
      <c r="Q1121" s="11" t="s">
        <v>8543</v>
      </c>
      <c r="S1121" s="4" t="b">
        <f>ISNUMBER(MATCH(Q1121,T:T,0))</f>
        <v>1</v>
      </c>
      <c r="T1121" s="4" t="s">
        <v>11525</v>
      </c>
      <c r="U1121" s="4" t="str">
        <f t="shared" si="58"/>
        <v>鹽</v>
      </c>
    </row>
    <row r="1122" spans="1:21">
      <c r="A1122" s="3">
        <v>1120</v>
      </c>
      <c r="B1122" s="3" t="s">
        <v>8540</v>
      </c>
      <c r="C1122" s="3" t="s">
        <v>6123</v>
      </c>
      <c r="D1122" s="3" t="s">
        <v>6001</v>
      </c>
      <c r="E1122" s="3" t="s">
        <v>5991</v>
      </c>
      <c r="F1122" s="3" t="s">
        <v>8541</v>
      </c>
      <c r="G1122" s="3" t="s">
        <v>5993</v>
      </c>
      <c r="H1122" s="3" t="s">
        <v>8580</v>
      </c>
      <c r="I1122" s="3" t="s">
        <v>8496</v>
      </c>
      <c r="J1122" s="5" t="s">
        <v>8581</v>
      </c>
      <c r="L1122" s="3" t="s">
        <v>8086</v>
      </c>
      <c r="M1122" s="3">
        <v>9</v>
      </c>
      <c r="N1122" s="4" t="s">
        <v>8543</v>
      </c>
      <c r="O1122" s="4">
        <v>52</v>
      </c>
      <c r="P1122" s="11" t="s">
        <v>10110</v>
      </c>
      <c r="Q1122" s="11" t="s">
        <v>8543</v>
      </c>
      <c r="S1122" s="4" t="b">
        <f>ISNUMBER(MATCH(Q1122,T:T,0))</f>
        <v>1</v>
      </c>
      <c r="T1122" s="4" t="s">
        <v>11526</v>
      </c>
      <c r="U1122" s="4" t="str">
        <f t="shared" si="58"/>
        <v>鹽</v>
      </c>
    </row>
    <row r="1123" spans="1:21">
      <c r="A1123" s="3">
        <v>1121</v>
      </c>
      <c r="B1123" s="3" t="s">
        <v>8540</v>
      </c>
      <c r="C1123" s="3" t="s">
        <v>6180</v>
      </c>
      <c r="D1123" s="3" t="s">
        <v>6001</v>
      </c>
      <c r="E1123" s="3" t="s">
        <v>5991</v>
      </c>
      <c r="F1123" s="3" t="s">
        <v>8545</v>
      </c>
      <c r="G1123" s="3" t="s">
        <v>5993</v>
      </c>
      <c r="H1123" s="3" t="s">
        <v>8582</v>
      </c>
      <c r="I1123" s="3" t="s">
        <v>8496</v>
      </c>
      <c r="J1123" s="5" t="s">
        <v>8583</v>
      </c>
      <c r="L1123" s="3" t="s">
        <v>8058</v>
      </c>
      <c r="M1123" s="3">
        <v>1</v>
      </c>
      <c r="N1123" s="4" t="s">
        <v>8543</v>
      </c>
      <c r="O1123" s="4">
        <v>52</v>
      </c>
      <c r="P1123" s="11" t="s">
        <v>10173</v>
      </c>
      <c r="Q1123" s="11" t="s">
        <v>8562</v>
      </c>
      <c r="S1123" s="4" t="b">
        <f>ISNUMBER(MATCH(Q1123,T:T,0))</f>
        <v>1</v>
      </c>
      <c r="T1123" s="4" t="s">
        <v>8583</v>
      </c>
      <c r="U1123" s="4" t="str">
        <f t="shared" si="58"/>
        <v>炎</v>
      </c>
    </row>
    <row r="1124" spans="1:21">
      <c r="A1124" s="3">
        <v>1122</v>
      </c>
      <c r="B1124" s="3" t="s">
        <v>8540</v>
      </c>
      <c r="C1124" s="3" t="s">
        <v>6005</v>
      </c>
      <c r="D1124" s="3" t="s">
        <v>6001</v>
      </c>
      <c r="E1124" s="3" t="s">
        <v>5991</v>
      </c>
      <c r="F1124" s="3" t="s">
        <v>8545</v>
      </c>
      <c r="G1124" s="3" t="s">
        <v>5993</v>
      </c>
      <c r="H1124" s="3" t="s">
        <v>8584</v>
      </c>
      <c r="I1124" s="3" t="s">
        <v>8496</v>
      </c>
      <c r="J1124" s="5" t="s">
        <v>7987</v>
      </c>
      <c r="L1124" s="3" t="s">
        <v>8090</v>
      </c>
      <c r="M1124" s="3">
        <v>3</v>
      </c>
      <c r="N1124" s="4" t="s">
        <v>8543</v>
      </c>
      <c r="O1124" s="4">
        <v>52</v>
      </c>
      <c r="P1124" s="11" t="s">
        <v>9709</v>
      </c>
      <c r="Q1124" s="11" t="s">
        <v>8562</v>
      </c>
      <c r="S1124" s="4" t="b">
        <f>ISNUMBER(MATCH(Q1124,T:T,0))</f>
        <v>1</v>
      </c>
      <c r="T1124" s="4" t="s">
        <v>11527</v>
      </c>
      <c r="U1124" s="4" t="str">
        <f t="shared" si="58"/>
        <v>炎</v>
      </c>
    </row>
    <row r="1125" spans="1:21">
      <c r="A1125" s="3">
        <v>1123</v>
      </c>
      <c r="B1125" s="3" t="s">
        <v>8540</v>
      </c>
      <c r="C1125" s="3" t="s">
        <v>6041</v>
      </c>
      <c r="D1125" s="3" t="s">
        <v>6001</v>
      </c>
      <c r="E1125" s="3" t="s">
        <v>5991</v>
      </c>
      <c r="F1125" s="3" t="s">
        <v>8541</v>
      </c>
      <c r="G1125" s="3" t="s">
        <v>5993</v>
      </c>
      <c r="H1125" s="3" t="s">
        <v>8585</v>
      </c>
      <c r="I1125" s="3" t="s">
        <v>8496</v>
      </c>
      <c r="J1125" s="5" t="s">
        <v>8586</v>
      </c>
      <c r="L1125" s="3" t="s">
        <v>6864</v>
      </c>
      <c r="M1125" s="3">
        <v>1</v>
      </c>
      <c r="N1125" s="4" t="s">
        <v>8543</v>
      </c>
      <c r="O1125" s="4">
        <v>52</v>
      </c>
      <c r="P1125" s="11" t="s">
        <v>9789</v>
      </c>
      <c r="Q1125" s="11" t="s">
        <v>8543</v>
      </c>
      <c r="S1125" s="4" t="b">
        <f>ISNUMBER(MATCH(Q1125,T:T,0))</f>
        <v>1</v>
      </c>
      <c r="T1125" s="4" t="s">
        <v>8586</v>
      </c>
      <c r="U1125" s="4" t="str">
        <f t="shared" si="58"/>
        <v>鹽</v>
      </c>
    </row>
    <row r="1126" spans="1:21">
      <c r="A1126" s="3">
        <v>1124</v>
      </c>
      <c r="B1126" s="3" t="s">
        <v>8587</v>
      </c>
      <c r="C1126" s="3" t="s">
        <v>6079</v>
      </c>
      <c r="D1126" s="3" t="s">
        <v>2843</v>
      </c>
      <c r="E1126" s="3" t="s">
        <v>5991</v>
      </c>
      <c r="F1126" s="3" t="s">
        <v>8588</v>
      </c>
      <c r="G1126" s="3" t="s">
        <v>5993</v>
      </c>
      <c r="H1126" s="3" t="s">
        <v>8589</v>
      </c>
      <c r="I1126" s="3" t="s">
        <v>8496</v>
      </c>
      <c r="J1126" s="5" t="s">
        <v>7988</v>
      </c>
      <c r="L1126" s="3" t="s">
        <v>8128</v>
      </c>
      <c r="M1126" s="3">
        <v>4</v>
      </c>
      <c r="N1126" s="4" t="s">
        <v>8588</v>
      </c>
      <c r="O1126" s="4">
        <v>53</v>
      </c>
      <c r="P1126" s="11" t="s">
        <v>9736</v>
      </c>
      <c r="Q1126" s="11" t="s">
        <v>10174</v>
      </c>
      <c r="S1126" s="4" t="b">
        <f>ISNUMBER(MATCH(Q1126,T:T,0))</f>
        <v>1</v>
      </c>
      <c r="T1126" s="4" t="s">
        <v>8588</v>
      </c>
      <c r="U1126" s="4" t="str">
        <f t="shared" si="58"/>
        <v>兼</v>
      </c>
    </row>
    <row r="1127" spans="1:21">
      <c r="A1127" s="3">
        <v>1125</v>
      </c>
      <c r="B1127" s="3" t="s">
        <v>8587</v>
      </c>
      <c r="C1127" s="3" t="s">
        <v>5989</v>
      </c>
      <c r="D1127" s="3" t="s">
        <v>2843</v>
      </c>
      <c r="E1127" s="3" t="s">
        <v>5991</v>
      </c>
      <c r="F1127" s="3" t="s">
        <v>8588</v>
      </c>
      <c r="G1127" s="3" t="s">
        <v>5993</v>
      </c>
      <c r="H1127" s="3" t="s">
        <v>8590</v>
      </c>
      <c r="I1127" s="3" t="s">
        <v>8496</v>
      </c>
      <c r="J1127" s="5" t="s">
        <v>8591</v>
      </c>
      <c r="L1127" s="3" t="s">
        <v>8140</v>
      </c>
      <c r="M1127" s="3">
        <v>8</v>
      </c>
      <c r="N1127" s="4" t="s">
        <v>8588</v>
      </c>
      <c r="O1127" s="4">
        <v>53</v>
      </c>
      <c r="P1127" s="11" t="s">
        <v>9822</v>
      </c>
      <c r="Q1127" s="11" t="s">
        <v>10174</v>
      </c>
      <c r="S1127" s="4" t="b">
        <f>ISNUMBER(MATCH(Q1127,T:T,0))</f>
        <v>1</v>
      </c>
      <c r="T1127" s="4" t="s">
        <v>11528</v>
      </c>
      <c r="U1127" s="4" t="str">
        <f t="shared" si="58"/>
        <v>兼</v>
      </c>
    </row>
    <row r="1128" spans="1:21">
      <c r="A1128" s="3">
        <v>1126</v>
      </c>
      <c r="B1128" s="3" t="s">
        <v>8587</v>
      </c>
      <c r="C1128" s="3" t="s">
        <v>5997</v>
      </c>
      <c r="D1128" s="3" t="s">
        <v>2843</v>
      </c>
      <c r="E1128" s="3" t="s">
        <v>5991</v>
      </c>
      <c r="F1128" s="3" t="s">
        <v>8588</v>
      </c>
      <c r="G1128" s="3" t="s">
        <v>5993</v>
      </c>
      <c r="H1128" s="3" t="s">
        <v>8592</v>
      </c>
      <c r="I1128" s="3" t="s">
        <v>8496</v>
      </c>
      <c r="J1128" s="5" t="s">
        <v>8593</v>
      </c>
      <c r="L1128" s="3" t="s">
        <v>8137</v>
      </c>
      <c r="M1128" s="3">
        <v>5</v>
      </c>
      <c r="N1128" s="4" t="s">
        <v>8588</v>
      </c>
      <c r="O1128" s="4">
        <v>53</v>
      </c>
      <c r="P1128" s="11" t="s">
        <v>9706</v>
      </c>
      <c r="Q1128" s="11" t="s">
        <v>10174</v>
      </c>
      <c r="S1128" s="4" t="b">
        <f>ISNUMBER(MATCH(Q1128,T:T,0))</f>
        <v>1</v>
      </c>
      <c r="T1128" s="4" t="s">
        <v>10176</v>
      </c>
      <c r="U1128" s="4" t="str">
        <f t="shared" si="58"/>
        <v>兼</v>
      </c>
    </row>
    <row r="1129" spans="1:21">
      <c r="A1129" s="3">
        <v>1127</v>
      </c>
      <c r="B1129" s="3" t="s">
        <v>8587</v>
      </c>
      <c r="C1129" s="3" t="s">
        <v>6058</v>
      </c>
      <c r="D1129" s="3" t="s">
        <v>2843</v>
      </c>
      <c r="E1129" s="3" t="s">
        <v>5991</v>
      </c>
      <c r="F1129" s="3" t="s">
        <v>8588</v>
      </c>
      <c r="G1129" s="3" t="s">
        <v>5993</v>
      </c>
      <c r="H1129" s="3" t="s">
        <v>8594</v>
      </c>
      <c r="I1129" s="3" t="s">
        <v>8496</v>
      </c>
      <c r="J1129" s="5" t="s">
        <v>7989</v>
      </c>
      <c r="L1129" s="3" t="s">
        <v>8134</v>
      </c>
      <c r="M1129" s="3">
        <v>6</v>
      </c>
      <c r="N1129" s="4" t="s">
        <v>8588</v>
      </c>
      <c r="O1129" s="4">
        <v>53</v>
      </c>
      <c r="P1129" s="11" t="s">
        <v>10175</v>
      </c>
      <c r="Q1129" s="11" t="s">
        <v>10174</v>
      </c>
      <c r="S1129" s="4" t="b">
        <f>ISNUMBER(MATCH(Q1129,T:T,0))</f>
        <v>1</v>
      </c>
      <c r="T1129" s="4" t="s">
        <v>11529</v>
      </c>
      <c r="U1129" s="4" t="str">
        <f t="shared" si="58"/>
        <v>兼</v>
      </c>
    </row>
    <row r="1130" spans="1:21">
      <c r="A1130" s="3">
        <v>1128</v>
      </c>
      <c r="B1130" s="3" t="s">
        <v>8587</v>
      </c>
      <c r="C1130" s="3" t="s">
        <v>6038</v>
      </c>
      <c r="D1130" s="3" t="s">
        <v>2843</v>
      </c>
      <c r="E1130" s="3" t="s">
        <v>5991</v>
      </c>
      <c r="F1130" s="3" t="s">
        <v>8588</v>
      </c>
      <c r="G1130" s="3" t="s">
        <v>5993</v>
      </c>
      <c r="H1130" s="3" t="s">
        <v>8595</v>
      </c>
      <c r="I1130" s="3" t="s">
        <v>8496</v>
      </c>
      <c r="J1130" s="5" t="s">
        <v>8596</v>
      </c>
      <c r="L1130" s="3" t="s">
        <v>6851</v>
      </c>
      <c r="M1130" s="3">
        <v>2</v>
      </c>
      <c r="N1130" s="4" t="s">
        <v>8588</v>
      </c>
      <c r="O1130" s="4">
        <v>53</v>
      </c>
      <c r="P1130" s="11" t="s">
        <v>9728</v>
      </c>
      <c r="Q1130" s="11" t="s">
        <v>10174</v>
      </c>
      <c r="S1130" s="4" t="b">
        <f>ISNUMBER(MATCH(Q1130,T:T,0))</f>
        <v>1</v>
      </c>
      <c r="T1130" s="4" t="s">
        <v>10443</v>
      </c>
      <c r="U1130" s="4" t="str">
        <f t="shared" si="58"/>
        <v>兼</v>
      </c>
    </row>
    <row r="1131" spans="1:21">
      <c r="A1131" s="3">
        <v>1129</v>
      </c>
      <c r="B1131" s="3" t="s">
        <v>8587</v>
      </c>
      <c r="C1131" s="3" t="s">
        <v>6025</v>
      </c>
      <c r="D1131" s="3" t="s">
        <v>2843</v>
      </c>
      <c r="E1131" s="3" t="s">
        <v>5991</v>
      </c>
      <c r="F1131" s="3" t="s">
        <v>8588</v>
      </c>
      <c r="G1131" s="3" t="s">
        <v>5993</v>
      </c>
      <c r="H1131" s="3" t="s">
        <v>8597</v>
      </c>
      <c r="I1131" s="3" t="s">
        <v>8496</v>
      </c>
      <c r="J1131" s="5" t="s">
        <v>8598</v>
      </c>
      <c r="L1131" s="3" t="s">
        <v>6856</v>
      </c>
      <c r="M1131" s="3">
        <v>7</v>
      </c>
      <c r="N1131" s="4" t="s">
        <v>8588</v>
      </c>
      <c r="O1131" s="4">
        <v>53</v>
      </c>
      <c r="P1131" s="11" t="s">
        <v>9729</v>
      </c>
      <c r="Q1131" s="11" t="s">
        <v>10176</v>
      </c>
      <c r="S1131" s="4" t="b">
        <f>ISNUMBER(MATCH(Q1131,T:T,0))</f>
        <v>1</v>
      </c>
      <c r="T1131" s="4" t="s">
        <v>10174</v>
      </c>
      <c r="U1131" s="4" t="str">
        <f t="shared" si="58"/>
        <v>甜</v>
      </c>
    </row>
    <row r="1132" spans="1:21">
      <c r="A1132" s="3">
        <v>1130</v>
      </c>
      <c r="B1132" s="3" t="s">
        <v>8587</v>
      </c>
      <c r="C1132" s="3" t="s">
        <v>6067</v>
      </c>
      <c r="D1132" s="3" t="s">
        <v>2843</v>
      </c>
      <c r="E1132" s="3" t="s">
        <v>5991</v>
      </c>
      <c r="F1132" s="3" t="s">
        <v>8588</v>
      </c>
      <c r="G1132" s="3" t="s">
        <v>5993</v>
      </c>
      <c r="H1132" s="7" t="s">
        <v>720</v>
      </c>
      <c r="I1132" s="3" t="s">
        <v>8496</v>
      </c>
      <c r="J1132" s="5" t="s">
        <v>7990</v>
      </c>
      <c r="L1132" s="3" t="s">
        <v>8086</v>
      </c>
      <c r="M1132" s="3">
        <v>2</v>
      </c>
      <c r="N1132" s="4" t="s">
        <v>8588</v>
      </c>
      <c r="O1132" s="4">
        <v>53</v>
      </c>
      <c r="P1132" s="11" t="s">
        <v>9731</v>
      </c>
      <c r="Q1132" s="11" t="s">
        <v>10174</v>
      </c>
      <c r="S1132" s="4" t="b">
        <f>ISNUMBER(MATCH(Q1132,T:T,0))</f>
        <v>1</v>
      </c>
      <c r="T1132" s="4" t="s">
        <v>11530</v>
      </c>
      <c r="U1132" s="4" t="str">
        <f t="shared" si="58"/>
        <v>兼</v>
      </c>
    </row>
    <row r="1133" spans="1:21">
      <c r="A1133" s="3">
        <v>1131</v>
      </c>
      <c r="B1133" s="3" t="s">
        <v>8587</v>
      </c>
      <c r="C1133" s="3" t="s">
        <v>6102</v>
      </c>
      <c r="D1133" s="3" t="s">
        <v>2843</v>
      </c>
      <c r="E1133" s="3" t="s">
        <v>5991</v>
      </c>
      <c r="F1133" s="3" t="s">
        <v>8588</v>
      </c>
      <c r="G1133" s="3" t="s">
        <v>5993</v>
      </c>
      <c r="H1133" s="3" t="s">
        <v>8599</v>
      </c>
      <c r="I1133" s="3" t="s">
        <v>8496</v>
      </c>
      <c r="J1133" s="8" t="s">
        <v>7991</v>
      </c>
      <c r="L1133" s="3" t="s">
        <v>8138</v>
      </c>
      <c r="M1133" s="3">
        <v>3</v>
      </c>
      <c r="N1133" s="4" t="s">
        <v>8588</v>
      </c>
      <c r="O1133" s="4">
        <v>53</v>
      </c>
      <c r="P1133" s="11" t="s">
        <v>9744</v>
      </c>
      <c r="Q1133" s="11" t="s">
        <v>10174</v>
      </c>
      <c r="S1133" s="4" t="b">
        <f>ISNUMBER(MATCH(Q1133,T:T,0))</f>
        <v>1</v>
      </c>
      <c r="T1133" s="4" t="s">
        <v>11531</v>
      </c>
      <c r="U1133" s="4" t="str">
        <f t="shared" si="58"/>
        <v>兼</v>
      </c>
    </row>
    <row r="1134" spans="1:21">
      <c r="A1134" s="3">
        <v>1132</v>
      </c>
      <c r="B1134" s="3" t="s">
        <v>8587</v>
      </c>
      <c r="C1134" s="3" t="s">
        <v>6089</v>
      </c>
      <c r="D1134" s="3" t="s">
        <v>2843</v>
      </c>
      <c r="E1134" s="3" t="s">
        <v>5991</v>
      </c>
      <c r="F1134" s="3" t="s">
        <v>8588</v>
      </c>
      <c r="G1134" s="3" t="s">
        <v>5993</v>
      </c>
      <c r="H1134" s="3" t="s">
        <v>8600</v>
      </c>
      <c r="I1134" s="3" t="s">
        <v>8496</v>
      </c>
      <c r="J1134" s="5" t="s">
        <v>7992</v>
      </c>
      <c r="L1134" s="3" t="s">
        <v>6853</v>
      </c>
      <c r="M1134" s="3">
        <v>7</v>
      </c>
      <c r="N1134" s="4" t="s">
        <v>8588</v>
      </c>
      <c r="O1134" s="4">
        <v>53</v>
      </c>
      <c r="P1134" s="11" t="s">
        <v>9753</v>
      </c>
      <c r="Q1134" s="11" t="s">
        <v>10174</v>
      </c>
      <c r="S1134" s="4" t="b">
        <f>ISNUMBER(MATCH(Q1134,T:T,0))</f>
        <v>1</v>
      </c>
      <c r="T1134" s="4" t="s">
        <v>11532</v>
      </c>
      <c r="U1134" s="4" t="str">
        <f t="shared" si="58"/>
        <v>兼</v>
      </c>
    </row>
    <row r="1135" spans="1:21">
      <c r="A1135" s="3">
        <v>1133</v>
      </c>
      <c r="B1135" s="3" t="s">
        <v>8601</v>
      </c>
      <c r="C1135" s="3" t="s">
        <v>6067</v>
      </c>
      <c r="D1135" s="3" t="s">
        <v>6157</v>
      </c>
      <c r="E1135" s="3" t="s">
        <v>5991</v>
      </c>
      <c r="F1135" s="3" t="s">
        <v>8496</v>
      </c>
      <c r="G1135" s="3" t="s">
        <v>5993</v>
      </c>
      <c r="H1135" s="3" t="s">
        <v>8602</v>
      </c>
      <c r="I1135" s="3" t="s">
        <v>8496</v>
      </c>
      <c r="J1135" s="5" t="s">
        <v>7993</v>
      </c>
      <c r="L1135" s="3" t="s">
        <v>8086</v>
      </c>
      <c r="M1135" s="3">
        <v>11</v>
      </c>
      <c r="N1135" s="4" t="s">
        <v>8496</v>
      </c>
      <c r="O1135" s="4">
        <v>54</v>
      </c>
      <c r="P1135" s="11" t="s">
        <v>9870</v>
      </c>
      <c r="Q1135" s="11" t="s">
        <v>10177</v>
      </c>
      <c r="S1135" s="4" t="b">
        <f>ISNUMBER(MATCH(Q1135,T:T,0))</f>
        <v>1</v>
      </c>
      <c r="T1135" s="4" t="s">
        <v>8496</v>
      </c>
      <c r="U1135" s="4" t="str">
        <f t="shared" si="58"/>
        <v>讒</v>
      </c>
    </row>
    <row r="1136" spans="1:21">
      <c r="A1136" s="3">
        <v>1134</v>
      </c>
      <c r="B1136" s="3" t="s">
        <v>8601</v>
      </c>
      <c r="C1136" s="3" t="s">
        <v>6025</v>
      </c>
      <c r="D1136" s="3" t="s">
        <v>6157</v>
      </c>
      <c r="E1136" s="3" t="s">
        <v>5991</v>
      </c>
      <c r="F1136" s="3" t="s">
        <v>8496</v>
      </c>
      <c r="G1136" s="3" t="s">
        <v>5993</v>
      </c>
      <c r="H1136" s="3" t="s">
        <v>8603</v>
      </c>
      <c r="I1136" s="3" t="s">
        <v>8496</v>
      </c>
      <c r="J1136" s="5" t="s">
        <v>7994</v>
      </c>
      <c r="L1136" s="3" t="s">
        <v>6856</v>
      </c>
      <c r="M1136" s="3">
        <v>7</v>
      </c>
      <c r="N1136" s="4" t="s">
        <v>8496</v>
      </c>
      <c r="O1136" s="4">
        <v>54</v>
      </c>
      <c r="P1136" s="11" t="s">
        <v>9729</v>
      </c>
      <c r="Q1136" s="11" t="s">
        <v>8496</v>
      </c>
      <c r="S1136" s="4" t="b">
        <f>ISNUMBER(MATCH(Q1136,T:T,0))</f>
        <v>1</v>
      </c>
      <c r="T1136" s="4" t="s">
        <v>11533</v>
      </c>
      <c r="U1136" s="4" t="str">
        <f t="shared" si="58"/>
        <v>咸</v>
      </c>
    </row>
    <row r="1137" spans="1:21">
      <c r="A1137" s="3">
        <v>1135</v>
      </c>
      <c r="B1137" s="3" t="s">
        <v>8601</v>
      </c>
      <c r="C1137" s="3" t="s">
        <v>6180</v>
      </c>
      <c r="D1137" s="3" t="s">
        <v>6157</v>
      </c>
      <c r="E1137" s="3" t="s">
        <v>5991</v>
      </c>
      <c r="F1137" s="3" t="s">
        <v>8496</v>
      </c>
      <c r="G1137" s="3" t="s">
        <v>5993</v>
      </c>
      <c r="H1137" s="3" t="s">
        <v>8604</v>
      </c>
      <c r="I1137" s="3" t="s">
        <v>8496</v>
      </c>
      <c r="J1137" s="5" t="s">
        <v>7995</v>
      </c>
      <c r="L1137" s="3" t="s">
        <v>8058</v>
      </c>
      <c r="M1137" s="3">
        <v>11</v>
      </c>
      <c r="N1137" s="4" t="s">
        <v>8496</v>
      </c>
      <c r="O1137" s="4">
        <v>54</v>
      </c>
      <c r="P1137" s="11" t="s">
        <v>9774</v>
      </c>
      <c r="Q1137" s="11" t="s">
        <v>8496</v>
      </c>
      <c r="S1137" s="4" t="b">
        <f>ISNUMBER(MATCH(Q1137,T:T,0))</f>
        <v>1</v>
      </c>
      <c r="T1137" s="4" t="s">
        <v>11534</v>
      </c>
      <c r="U1137" s="4" t="str">
        <f t="shared" si="58"/>
        <v>咸</v>
      </c>
    </row>
    <row r="1138" spans="1:21">
      <c r="A1138" s="3">
        <v>1136</v>
      </c>
      <c r="B1138" s="3" t="s">
        <v>8601</v>
      </c>
      <c r="C1138" s="3" t="s">
        <v>6072</v>
      </c>
      <c r="D1138" s="3" t="s">
        <v>6157</v>
      </c>
      <c r="E1138" s="3" t="s">
        <v>5991</v>
      </c>
      <c r="F1138" s="3" t="s">
        <v>8496</v>
      </c>
      <c r="G1138" s="3" t="s">
        <v>5993</v>
      </c>
      <c r="H1138" s="3" t="s">
        <v>8605</v>
      </c>
      <c r="I1138" s="3" t="s">
        <v>8496</v>
      </c>
      <c r="J1138" s="5" t="s">
        <v>8606</v>
      </c>
      <c r="L1138" s="3" t="s">
        <v>6859</v>
      </c>
      <c r="M1138" s="3">
        <v>3</v>
      </c>
      <c r="N1138" s="4" t="s">
        <v>8496</v>
      </c>
      <c r="O1138" s="4">
        <v>54</v>
      </c>
      <c r="P1138" s="11" t="s">
        <v>9907</v>
      </c>
      <c r="Q1138" s="11" t="s">
        <v>8496</v>
      </c>
      <c r="S1138" s="4" t="b">
        <f>ISNUMBER(MATCH(Q1138,T:T,0))</f>
        <v>1</v>
      </c>
      <c r="T1138" s="4" t="s">
        <v>11535</v>
      </c>
      <c r="U1138" s="4" t="str">
        <f t="shared" si="58"/>
        <v>咸</v>
      </c>
    </row>
    <row r="1139" spans="1:21">
      <c r="A1139" s="3">
        <v>1137</v>
      </c>
      <c r="B1139" s="3" t="s">
        <v>8601</v>
      </c>
      <c r="C1139" s="3" t="s">
        <v>6092</v>
      </c>
      <c r="D1139" s="3" t="s">
        <v>6157</v>
      </c>
      <c r="E1139" s="3" t="s">
        <v>5991</v>
      </c>
      <c r="F1139" s="3" t="s">
        <v>8496</v>
      </c>
      <c r="G1139" s="3" t="s">
        <v>5993</v>
      </c>
      <c r="H1139" s="3" t="s">
        <v>8607</v>
      </c>
      <c r="I1139" s="3" t="s">
        <v>8496</v>
      </c>
      <c r="J1139" s="5" t="s">
        <v>7996</v>
      </c>
      <c r="L1139" s="3" t="s">
        <v>6849</v>
      </c>
      <c r="M1139" s="3">
        <v>10</v>
      </c>
      <c r="N1139" s="4" t="s">
        <v>8496</v>
      </c>
      <c r="O1139" s="4">
        <v>54</v>
      </c>
      <c r="P1139" s="11" t="s">
        <v>9740</v>
      </c>
      <c r="Q1139" s="11" t="s">
        <v>8496</v>
      </c>
      <c r="S1139" s="4" t="b">
        <f>ISNUMBER(MATCH(Q1139,T:T,0))</f>
        <v>1</v>
      </c>
      <c r="T1139" s="4" t="s">
        <v>11536</v>
      </c>
      <c r="U1139" s="4" t="str">
        <f t="shared" si="58"/>
        <v>咸</v>
      </c>
    </row>
    <row r="1140" spans="1:21">
      <c r="A1140" s="3">
        <v>1138</v>
      </c>
      <c r="B1140" s="3" t="s">
        <v>8601</v>
      </c>
      <c r="C1140" s="3" t="s">
        <v>6089</v>
      </c>
      <c r="D1140" s="3" t="s">
        <v>6157</v>
      </c>
      <c r="E1140" s="3" t="s">
        <v>5991</v>
      </c>
      <c r="F1140" s="3" t="s">
        <v>8496</v>
      </c>
      <c r="G1140" s="3" t="s">
        <v>5993</v>
      </c>
      <c r="H1140" s="3" t="s">
        <v>8608</v>
      </c>
      <c r="I1140" s="3" t="s">
        <v>8496</v>
      </c>
      <c r="J1140" s="5" t="s">
        <v>8609</v>
      </c>
      <c r="L1140" s="3" t="s">
        <v>6853</v>
      </c>
      <c r="M1140" s="3">
        <v>5</v>
      </c>
      <c r="N1140" s="4" t="s">
        <v>8496</v>
      </c>
      <c r="O1140" s="4">
        <v>54</v>
      </c>
      <c r="P1140" s="11" t="s">
        <v>9753</v>
      </c>
      <c r="Q1140" s="11" t="s">
        <v>8496</v>
      </c>
      <c r="S1140" s="4" t="b">
        <f>ISNUMBER(MATCH(Q1140,T:T,0))</f>
        <v>1</v>
      </c>
      <c r="T1140" s="4" t="s">
        <v>11537</v>
      </c>
      <c r="U1140" s="4" t="str">
        <f t="shared" si="58"/>
        <v>咸</v>
      </c>
    </row>
    <row r="1141" spans="1:21">
      <c r="A1141" s="3">
        <v>1139</v>
      </c>
      <c r="B1141" s="3" t="s">
        <v>8601</v>
      </c>
      <c r="C1141" s="3" t="s">
        <v>6000</v>
      </c>
      <c r="D1141" s="3" t="s">
        <v>6157</v>
      </c>
      <c r="E1141" s="3" t="s">
        <v>5991</v>
      </c>
      <c r="F1141" s="3" t="s">
        <v>8496</v>
      </c>
      <c r="G1141" s="3" t="s">
        <v>5993</v>
      </c>
      <c r="H1141" s="3" t="s">
        <v>8610</v>
      </c>
      <c r="I1141" s="3" t="s">
        <v>8496</v>
      </c>
      <c r="J1141" s="5" t="s">
        <v>7997</v>
      </c>
      <c r="L1141" s="3" t="s">
        <v>8113</v>
      </c>
      <c r="M1141" s="3">
        <v>4</v>
      </c>
      <c r="N1141" s="4" t="s">
        <v>8496</v>
      </c>
      <c r="O1141" s="4">
        <v>54</v>
      </c>
      <c r="P1141" s="11" t="s">
        <v>9803</v>
      </c>
      <c r="Q1141" s="11" t="s">
        <v>8496</v>
      </c>
      <c r="S1141" s="4" t="b">
        <f>ISNUMBER(MATCH(Q1141,T:T,0))</f>
        <v>1</v>
      </c>
      <c r="T1141" s="4" t="s">
        <v>11538</v>
      </c>
      <c r="U1141" s="4" t="str">
        <f t="shared" si="58"/>
        <v>咸</v>
      </c>
    </row>
    <row r="1142" spans="1:21">
      <c r="A1142" s="3">
        <v>1140</v>
      </c>
      <c r="B1142" s="3" t="s">
        <v>8601</v>
      </c>
      <c r="C1142" s="3" t="s">
        <v>6137</v>
      </c>
      <c r="D1142" s="3" t="s">
        <v>6157</v>
      </c>
      <c r="E1142" s="3" t="s">
        <v>5991</v>
      </c>
      <c r="F1142" s="3" t="s">
        <v>8496</v>
      </c>
      <c r="G1142" s="3" t="s">
        <v>5993</v>
      </c>
      <c r="H1142" s="3" t="s">
        <v>8611</v>
      </c>
      <c r="I1142" s="3" t="s">
        <v>8496</v>
      </c>
      <c r="J1142" s="5" t="s">
        <v>8612</v>
      </c>
      <c r="L1142" s="3" t="s">
        <v>6940</v>
      </c>
      <c r="M1142" s="3">
        <v>2</v>
      </c>
      <c r="N1142" s="4" t="s">
        <v>8496</v>
      </c>
      <c r="O1142" s="4">
        <v>54</v>
      </c>
      <c r="P1142" s="11" t="s">
        <v>9755</v>
      </c>
      <c r="Q1142" s="11" t="s">
        <v>8496</v>
      </c>
      <c r="S1142" s="4" t="b">
        <f>ISNUMBER(MATCH(Q1142,T:T,0))</f>
        <v>1</v>
      </c>
      <c r="T1142" s="4" t="s">
        <v>513</v>
      </c>
      <c r="U1142" s="4" t="str">
        <f t="shared" si="58"/>
        <v>咸</v>
      </c>
    </row>
    <row r="1143" spans="1:21">
      <c r="A1143" s="3">
        <v>1141</v>
      </c>
      <c r="B1143" s="3" t="s">
        <v>8601</v>
      </c>
      <c r="C1143" s="3" t="s">
        <v>6015</v>
      </c>
      <c r="D1143" s="3" t="s">
        <v>6157</v>
      </c>
      <c r="E1143" s="3" t="s">
        <v>5991</v>
      </c>
      <c r="F1143" s="3" t="s">
        <v>8496</v>
      </c>
      <c r="G1143" s="3" t="s">
        <v>5993</v>
      </c>
      <c r="H1143" s="3" t="s">
        <v>8613</v>
      </c>
      <c r="I1143" s="3" t="s">
        <v>8496</v>
      </c>
      <c r="J1143" s="5" t="s">
        <v>8614</v>
      </c>
      <c r="L1143" s="3" t="s">
        <v>8090</v>
      </c>
      <c r="M1143" s="3">
        <v>13</v>
      </c>
      <c r="N1143" s="4" t="s">
        <v>8496</v>
      </c>
      <c r="O1143" s="4">
        <v>54</v>
      </c>
      <c r="P1143" s="11" t="s">
        <v>9777</v>
      </c>
      <c r="Q1143" s="11" t="s">
        <v>8496</v>
      </c>
      <c r="S1143" s="4" t="b">
        <f>ISNUMBER(MATCH(Q1143,T:T,0))</f>
        <v>1</v>
      </c>
      <c r="T1143" s="4" t="s">
        <v>10177</v>
      </c>
      <c r="U1143" s="4" t="str">
        <f t="shared" si="58"/>
        <v>咸</v>
      </c>
    </row>
    <row r="1144" spans="1:21">
      <c r="A1144" s="3">
        <v>1142</v>
      </c>
      <c r="B1144" s="3" t="s">
        <v>8601</v>
      </c>
      <c r="C1144" s="3" t="s">
        <v>6038</v>
      </c>
      <c r="D1144" s="3" t="s">
        <v>6157</v>
      </c>
      <c r="E1144" s="3" t="s">
        <v>5991</v>
      </c>
      <c r="F1144" s="3" t="s">
        <v>8496</v>
      </c>
      <c r="G1144" s="3" t="s">
        <v>5993</v>
      </c>
      <c r="H1144" s="3" t="s">
        <v>8615</v>
      </c>
      <c r="I1144" s="3" t="s">
        <v>8496</v>
      </c>
      <c r="J1144" s="8" t="s">
        <v>7998</v>
      </c>
      <c r="L1144" s="3" t="s">
        <v>6851</v>
      </c>
      <c r="M1144" s="3">
        <v>5</v>
      </c>
      <c r="N1144" s="4" t="s">
        <v>8496</v>
      </c>
      <c r="O1144" s="4">
        <v>54</v>
      </c>
      <c r="P1144" s="11" t="s">
        <v>9728</v>
      </c>
      <c r="Q1144" s="11" t="s">
        <v>8496</v>
      </c>
      <c r="S1144" s="4" t="b">
        <f>ISNUMBER(MATCH(Q1144,T:T,0))</f>
        <v>1</v>
      </c>
      <c r="T1144" s="4" t="s">
        <v>11539</v>
      </c>
      <c r="U1144" s="4" t="str">
        <f t="shared" si="58"/>
        <v>咸</v>
      </c>
    </row>
    <row r="1145" spans="1:21">
      <c r="A1145" s="3">
        <v>1143</v>
      </c>
      <c r="B1145" s="3" t="s">
        <v>8616</v>
      </c>
      <c r="C1145" s="3" t="s">
        <v>6067</v>
      </c>
      <c r="D1145" s="3" t="s">
        <v>6157</v>
      </c>
      <c r="E1145" s="3" t="s">
        <v>5991</v>
      </c>
      <c r="F1145" s="3" t="s">
        <v>8617</v>
      </c>
      <c r="G1145" s="3" t="s">
        <v>5993</v>
      </c>
      <c r="H1145" s="7" t="s">
        <v>721</v>
      </c>
      <c r="I1145" s="3" t="s">
        <v>8496</v>
      </c>
      <c r="J1145" s="5" t="s">
        <v>7999</v>
      </c>
      <c r="L1145" s="3" t="s">
        <v>8086</v>
      </c>
      <c r="M1145" s="3">
        <v>2</v>
      </c>
      <c r="N1145" s="4" t="s">
        <v>8617</v>
      </c>
      <c r="O1145" s="4">
        <v>55</v>
      </c>
      <c r="P1145" s="11" t="s">
        <v>9731</v>
      </c>
      <c r="Q1145" s="11" t="s">
        <v>10178</v>
      </c>
      <c r="S1145" s="4" t="b">
        <f>ISNUMBER(MATCH(Q1145,T:T,0))</f>
        <v>1</v>
      </c>
      <c r="T1145" s="4" t="s">
        <v>8617</v>
      </c>
      <c r="U1145" s="4" t="str">
        <f t="shared" si="58"/>
        <v>監</v>
      </c>
    </row>
    <row r="1146" spans="1:21">
      <c r="A1146" s="3">
        <v>1144</v>
      </c>
      <c r="B1146" s="3" t="s">
        <v>8616</v>
      </c>
      <c r="C1146" s="3" t="s">
        <v>6015</v>
      </c>
      <c r="D1146" s="3" t="s">
        <v>6157</v>
      </c>
      <c r="E1146" s="3" t="s">
        <v>5991</v>
      </c>
      <c r="F1146" s="3" t="s">
        <v>8617</v>
      </c>
      <c r="G1146" s="3" t="s">
        <v>5993</v>
      </c>
      <c r="H1146" s="3" t="s">
        <v>8618</v>
      </c>
      <c r="I1146" s="3" t="s">
        <v>8496</v>
      </c>
      <c r="J1146" s="5" t="s">
        <v>8000</v>
      </c>
      <c r="L1146" s="3" t="s">
        <v>8090</v>
      </c>
      <c r="M1146" s="3">
        <v>8</v>
      </c>
      <c r="N1146" s="4" t="s">
        <v>8617</v>
      </c>
      <c r="O1146" s="4">
        <v>55</v>
      </c>
      <c r="P1146" s="11" t="s">
        <v>9713</v>
      </c>
      <c r="Q1146" s="11" t="s">
        <v>8617</v>
      </c>
      <c r="S1146" s="4" t="b">
        <f>ISNUMBER(MATCH(Q1146,T:T,0))</f>
        <v>1</v>
      </c>
      <c r="T1146" s="4" t="s">
        <v>4198</v>
      </c>
      <c r="U1146" s="4" t="str">
        <f t="shared" si="58"/>
        <v>銜</v>
      </c>
    </row>
    <row r="1147" spans="1:21">
      <c r="A1147" s="3">
        <v>1145</v>
      </c>
      <c r="B1147" s="3" t="s">
        <v>8616</v>
      </c>
      <c r="C1147" s="3" t="s">
        <v>6092</v>
      </c>
      <c r="D1147" s="3" t="s">
        <v>6157</v>
      </c>
      <c r="E1147" s="3" t="s">
        <v>5991</v>
      </c>
      <c r="F1147" s="3" t="s">
        <v>8617</v>
      </c>
      <c r="G1147" s="3" t="s">
        <v>5993</v>
      </c>
      <c r="H1147" s="3" t="s">
        <v>8619</v>
      </c>
      <c r="I1147" s="3" t="s">
        <v>8496</v>
      </c>
      <c r="J1147" s="5" t="s">
        <v>8620</v>
      </c>
      <c r="L1147" s="3" t="s">
        <v>6849</v>
      </c>
      <c r="M1147" s="3">
        <v>3</v>
      </c>
      <c r="N1147" s="4" t="s">
        <v>8617</v>
      </c>
      <c r="O1147" s="4">
        <v>55</v>
      </c>
      <c r="P1147" s="11" t="s">
        <v>9740</v>
      </c>
      <c r="Q1147" s="11" t="s">
        <v>8617</v>
      </c>
      <c r="S1147" s="4" t="b">
        <f>ISNUMBER(MATCH(Q1147,T:T,0))</f>
        <v>1</v>
      </c>
      <c r="T1147" s="4" t="s">
        <v>11540</v>
      </c>
      <c r="U1147" s="4" t="str">
        <f t="shared" si="58"/>
        <v>銜</v>
      </c>
    </row>
    <row r="1148" spans="1:21">
      <c r="A1148" s="3">
        <v>1146</v>
      </c>
      <c r="B1148" s="3" t="s">
        <v>8616</v>
      </c>
      <c r="C1148" s="3" t="s">
        <v>6167</v>
      </c>
      <c r="D1148" s="3" t="s">
        <v>6157</v>
      </c>
      <c r="E1148" s="3" t="s">
        <v>5991</v>
      </c>
      <c r="F1148" s="3" t="s">
        <v>8617</v>
      </c>
      <c r="G1148" s="3" t="s">
        <v>5993</v>
      </c>
      <c r="H1148" s="3" t="s">
        <v>8621</v>
      </c>
      <c r="I1148" s="3" t="s">
        <v>8496</v>
      </c>
      <c r="J1148" s="5" t="s">
        <v>8622</v>
      </c>
      <c r="L1148" s="3" t="s">
        <v>8184</v>
      </c>
      <c r="M1148" s="3">
        <v>1</v>
      </c>
      <c r="N1148" s="4" t="s">
        <v>8617</v>
      </c>
      <c r="O1148" s="4">
        <v>55</v>
      </c>
      <c r="P1148" s="11" t="s">
        <v>9769</v>
      </c>
      <c r="Q1148" s="11" t="s">
        <v>8617</v>
      </c>
      <c r="S1148" s="4" t="b">
        <f>ISNUMBER(MATCH(Q1148,T:T,0))</f>
        <v>1</v>
      </c>
      <c r="T1148" s="4" t="s">
        <v>8622</v>
      </c>
      <c r="U1148" s="4" t="str">
        <f t="shared" si="58"/>
        <v>銜</v>
      </c>
    </row>
    <row r="1149" spans="1:21">
      <c r="A1149" s="3">
        <v>1147</v>
      </c>
      <c r="B1149" s="3" t="s">
        <v>8616</v>
      </c>
      <c r="C1149" s="3" t="s">
        <v>6180</v>
      </c>
      <c r="D1149" s="3" t="s">
        <v>6157</v>
      </c>
      <c r="E1149" s="3" t="s">
        <v>5991</v>
      </c>
      <c r="F1149" s="3" t="s">
        <v>8617</v>
      </c>
      <c r="G1149" s="3" t="s">
        <v>5993</v>
      </c>
      <c r="H1149" s="3" t="s">
        <v>8623</v>
      </c>
      <c r="I1149" s="3" t="s">
        <v>8496</v>
      </c>
      <c r="J1149" s="5" t="s">
        <v>8001</v>
      </c>
      <c r="L1149" s="3" t="s">
        <v>8058</v>
      </c>
      <c r="M1149" s="3">
        <v>8</v>
      </c>
      <c r="N1149" s="4" t="s">
        <v>8617</v>
      </c>
      <c r="O1149" s="4">
        <v>55</v>
      </c>
      <c r="P1149" s="11" t="s">
        <v>9774</v>
      </c>
      <c r="Q1149" s="11" t="s">
        <v>8617</v>
      </c>
      <c r="S1149" s="4" t="b">
        <f>ISNUMBER(MATCH(Q1149,T:T,0))</f>
        <v>1</v>
      </c>
      <c r="T1149" s="4" t="s">
        <v>11541</v>
      </c>
      <c r="U1149" s="4" t="str">
        <f t="shared" si="58"/>
        <v>銜</v>
      </c>
    </row>
    <row r="1150" spans="1:21">
      <c r="A1150" s="3">
        <v>1148</v>
      </c>
      <c r="B1150" s="3" t="s">
        <v>8616</v>
      </c>
      <c r="C1150" s="3" t="s">
        <v>6025</v>
      </c>
      <c r="D1150" s="3" t="s">
        <v>6157</v>
      </c>
      <c r="E1150" s="3" t="s">
        <v>5991</v>
      </c>
      <c r="F1150" s="3" t="s">
        <v>8617</v>
      </c>
      <c r="G1150" s="3" t="s">
        <v>5993</v>
      </c>
      <c r="H1150" s="3" t="s">
        <v>8624</v>
      </c>
      <c r="I1150" s="3" t="s">
        <v>8496</v>
      </c>
      <c r="J1150" s="5" t="s">
        <v>8625</v>
      </c>
      <c r="L1150" s="3" t="s">
        <v>6856</v>
      </c>
      <c r="M1150" s="3">
        <v>5</v>
      </c>
      <c r="N1150" s="4" t="s">
        <v>8617</v>
      </c>
      <c r="O1150" s="4">
        <v>55</v>
      </c>
      <c r="P1150" s="11" t="s">
        <v>10179</v>
      </c>
      <c r="Q1150" s="11" t="s">
        <v>8617</v>
      </c>
      <c r="S1150" s="4" t="b">
        <f>ISNUMBER(MATCH(Q1150,T:T,0))</f>
        <v>1</v>
      </c>
      <c r="T1150" s="4" t="s">
        <v>10178</v>
      </c>
      <c r="U1150" s="4" t="str">
        <f t="shared" si="58"/>
        <v>銜</v>
      </c>
    </row>
    <row r="1151" spans="1:21">
      <c r="A1151" s="3">
        <v>1149</v>
      </c>
      <c r="B1151" s="3" t="s">
        <v>8616</v>
      </c>
      <c r="C1151" s="3" t="s">
        <v>6045</v>
      </c>
      <c r="D1151" s="3" t="s">
        <v>6157</v>
      </c>
      <c r="E1151" s="3" t="s">
        <v>5991</v>
      </c>
      <c r="F1151" s="3" t="s">
        <v>8617</v>
      </c>
      <c r="G1151" s="3" t="s">
        <v>5993</v>
      </c>
      <c r="H1151" s="3" t="s">
        <v>8626</v>
      </c>
      <c r="I1151" s="3" t="s">
        <v>8496</v>
      </c>
      <c r="J1151" s="5" t="s">
        <v>8627</v>
      </c>
      <c r="L1151" s="3" t="s">
        <v>8045</v>
      </c>
      <c r="M1151" s="3">
        <v>1</v>
      </c>
      <c r="N1151" s="4" t="s">
        <v>8617</v>
      </c>
      <c r="O1151" s="4">
        <v>55</v>
      </c>
      <c r="P1151" s="11" t="s">
        <v>10180</v>
      </c>
      <c r="Q1151" s="11" t="s">
        <v>8617</v>
      </c>
      <c r="S1151" s="4" t="b">
        <f>ISNUMBER(MATCH(Q1151,T:T,0))</f>
        <v>1</v>
      </c>
      <c r="T1151" s="4" t="s">
        <v>8627</v>
      </c>
      <c r="U1151" s="4" t="str">
        <f t="shared" si="58"/>
        <v>銜</v>
      </c>
    </row>
    <row r="1152" spans="1:21">
      <c r="A1152" s="3">
        <v>1150</v>
      </c>
      <c r="B1152" s="3" t="s">
        <v>8616</v>
      </c>
      <c r="C1152" s="3" t="s">
        <v>6038</v>
      </c>
      <c r="D1152" s="3" t="s">
        <v>6157</v>
      </c>
      <c r="E1152" s="3" t="s">
        <v>5991</v>
      </c>
      <c r="F1152" s="3" t="s">
        <v>8617</v>
      </c>
      <c r="G1152" s="3" t="s">
        <v>5993</v>
      </c>
      <c r="H1152" s="3" t="s">
        <v>8628</v>
      </c>
      <c r="I1152" s="3" t="s">
        <v>8496</v>
      </c>
      <c r="J1152" s="5" t="s">
        <v>8629</v>
      </c>
      <c r="L1152" s="3" t="s">
        <v>6851</v>
      </c>
      <c r="M1152" s="3">
        <v>1</v>
      </c>
      <c r="N1152" s="4" t="s">
        <v>8617</v>
      </c>
      <c r="O1152" s="4">
        <v>55</v>
      </c>
      <c r="P1152" s="11" t="s">
        <v>9915</v>
      </c>
      <c r="Q1152" s="11" t="s">
        <v>8617</v>
      </c>
      <c r="S1152" s="4" t="b">
        <f>ISNUMBER(MATCH(Q1152,T:T,0))</f>
        <v>1</v>
      </c>
      <c r="T1152" s="4" t="s">
        <v>8629</v>
      </c>
      <c r="U1152" s="4" t="str">
        <f t="shared" si="58"/>
        <v>銜</v>
      </c>
    </row>
    <row r="1153" spans="1:22">
      <c r="A1153" s="3">
        <v>1151</v>
      </c>
      <c r="B1153" s="3" t="s">
        <v>8630</v>
      </c>
      <c r="C1153" s="3" t="s">
        <v>6092</v>
      </c>
      <c r="D1153" s="3" t="s">
        <v>6001</v>
      </c>
      <c r="E1153" s="3" t="s">
        <v>5991</v>
      </c>
      <c r="F1153" s="3" t="s">
        <v>8631</v>
      </c>
      <c r="G1153" s="3" t="s">
        <v>5993</v>
      </c>
      <c r="H1153" s="3" t="s">
        <v>8632</v>
      </c>
      <c r="I1153" s="3" t="s">
        <v>8496</v>
      </c>
      <c r="J1153" s="5" t="s">
        <v>8633</v>
      </c>
      <c r="L1153" s="3" t="s">
        <v>6849</v>
      </c>
      <c r="M1153" s="3">
        <v>2</v>
      </c>
      <c r="N1153" s="4" t="s">
        <v>8631</v>
      </c>
      <c r="O1153" s="4">
        <v>56</v>
      </c>
      <c r="P1153" s="11" t="s">
        <v>9001</v>
      </c>
      <c r="Q1153" s="11" t="s">
        <v>10181</v>
      </c>
      <c r="S1153" s="4" t="b">
        <f>ISNUMBER(MATCH(Q1153,T:T,0))</f>
        <v>1</v>
      </c>
      <c r="T1153" s="4" t="s">
        <v>8631</v>
      </c>
      <c r="U1153" s="4" t="str">
        <f t="shared" si="58"/>
        <v>𩏩</v>
      </c>
    </row>
    <row r="1154" spans="1:22">
      <c r="A1154" s="3">
        <v>1152</v>
      </c>
      <c r="B1154" s="3" t="s">
        <v>8630</v>
      </c>
      <c r="C1154" s="3" t="s">
        <v>6089</v>
      </c>
      <c r="D1154" s="3" t="s">
        <v>6001</v>
      </c>
      <c r="E1154" s="3" t="s">
        <v>5991</v>
      </c>
      <c r="F1154" s="3" t="s">
        <v>8631</v>
      </c>
      <c r="G1154" s="3" t="s">
        <v>5993</v>
      </c>
      <c r="H1154" s="7" t="s">
        <v>722</v>
      </c>
      <c r="I1154" s="3" t="s">
        <v>8496</v>
      </c>
      <c r="J1154" s="5" t="s">
        <v>8634</v>
      </c>
      <c r="L1154" s="3" t="s">
        <v>6853</v>
      </c>
      <c r="M1154" s="3">
        <v>5</v>
      </c>
      <c r="N1154" s="4" t="s">
        <v>8631</v>
      </c>
      <c r="O1154" s="4">
        <v>56</v>
      </c>
      <c r="P1154" s="11" t="s">
        <v>9958</v>
      </c>
      <c r="Q1154" s="11" t="s">
        <v>8631</v>
      </c>
      <c r="S1154" s="4" t="b">
        <f>ISNUMBER(MATCH(Q1154,T:T,0))</f>
        <v>1</v>
      </c>
      <c r="T1154" s="4" t="s">
        <v>10181</v>
      </c>
      <c r="U1154" s="4" t="str">
        <f t="shared" si="58"/>
        <v>嚴</v>
      </c>
    </row>
    <row r="1155" spans="1:22">
      <c r="A1155" s="3">
        <v>1153</v>
      </c>
      <c r="B1155" s="3" t="s">
        <v>8630</v>
      </c>
      <c r="C1155" s="3" t="s">
        <v>6072</v>
      </c>
      <c r="D1155" s="3" t="s">
        <v>6001</v>
      </c>
      <c r="E1155" s="3" t="s">
        <v>5991</v>
      </c>
      <c r="F1155" s="3" t="s">
        <v>8631</v>
      </c>
      <c r="G1155" s="3" t="s">
        <v>5993</v>
      </c>
      <c r="H1155" s="3" t="s">
        <v>8635</v>
      </c>
      <c r="I1155" s="3" t="s">
        <v>8496</v>
      </c>
      <c r="J1155" s="5" t="s">
        <v>8636</v>
      </c>
      <c r="L1155" s="3" t="s">
        <v>6859</v>
      </c>
      <c r="M1155" s="3">
        <v>2</v>
      </c>
      <c r="N1155" s="4" t="s">
        <v>8631</v>
      </c>
      <c r="O1155" s="4">
        <v>56</v>
      </c>
      <c r="P1155" s="11" t="s">
        <v>9754</v>
      </c>
      <c r="Q1155" s="11" t="s">
        <v>8631</v>
      </c>
      <c r="S1155" s="4" t="b">
        <f>ISNUMBER(MATCH(Q1155,T:T,0))</f>
        <v>1</v>
      </c>
      <c r="T1155" s="4" t="s">
        <v>11542</v>
      </c>
      <c r="U1155" s="4" t="str">
        <f t="shared" ref="U1155:U1218" si="59">IF(ISBLANK(R1155),Q1155,R1155)</f>
        <v>嚴</v>
      </c>
    </row>
    <row r="1156" spans="1:22">
      <c r="A1156" s="3">
        <v>1154</v>
      </c>
      <c r="B1156" s="3" t="s">
        <v>8630</v>
      </c>
      <c r="C1156" s="3" t="s">
        <v>6038</v>
      </c>
      <c r="D1156" s="3" t="s">
        <v>6001</v>
      </c>
      <c r="E1156" s="3" t="s">
        <v>5991</v>
      </c>
      <c r="F1156" s="3" t="s">
        <v>8631</v>
      </c>
      <c r="G1156" s="3" t="s">
        <v>5993</v>
      </c>
      <c r="H1156" s="3" t="s">
        <v>8637</v>
      </c>
      <c r="I1156" s="3" t="s">
        <v>8496</v>
      </c>
      <c r="J1156" s="5" t="s">
        <v>8002</v>
      </c>
      <c r="L1156" s="3" t="s">
        <v>6851</v>
      </c>
      <c r="M1156" s="3">
        <v>2</v>
      </c>
      <c r="N1156" s="4" t="s">
        <v>8631</v>
      </c>
      <c r="O1156" s="4">
        <v>56</v>
      </c>
      <c r="P1156" s="11" t="s">
        <v>9825</v>
      </c>
      <c r="Q1156" s="11" t="s">
        <v>8631</v>
      </c>
      <c r="S1156" s="4" t="b">
        <f>ISNUMBER(MATCH(Q1156,T:T,0))</f>
        <v>1</v>
      </c>
      <c r="T1156" s="4" t="s">
        <v>11543</v>
      </c>
      <c r="U1156" s="4" t="str">
        <f t="shared" si="59"/>
        <v>嚴</v>
      </c>
    </row>
    <row r="1157" spans="1:22">
      <c r="A1157" s="3">
        <v>1155</v>
      </c>
      <c r="B1157" s="3" t="s">
        <v>8638</v>
      </c>
      <c r="C1157" s="3" t="s">
        <v>6045</v>
      </c>
      <c r="D1157" s="3" t="s">
        <v>6001</v>
      </c>
      <c r="E1157" s="3" t="s">
        <v>6212</v>
      </c>
      <c r="F1157" s="3" t="s">
        <v>8639</v>
      </c>
      <c r="G1157" s="3" t="s">
        <v>5993</v>
      </c>
      <c r="H1157" s="3" t="s">
        <v>8640</v>
      </c>
      <c r="I1157" s="3" t="s">
        <v>8496</v>
      </c>
      <c r="J1157" s="5" t="s">
        <v>8641</v>
      </c>
      <c r="L1157" s="3" t="s">
        <v>6840</v>
      </c>
      <c r="M1157" s="3">
        <v>7</v>
      </c>
      <c r="N1157" s="4" t="s">
        <v>8639</v>
      </c>
      <c r="O1157" s="4">
        <v>57</v>
      </c>
      <c r="P1157" s="11" t="s">
        <v>9759</v>
      </c>
      <c r="Q1157" s="11" t="s">
        <v>8496</v>
      </c>
      <c r="S1157" s="4" t="b">
        <f>ISNUMBER(MATCH(Q1157,T:T,0))</f>
        <v>1</v>
      </c>
      <c r="T1157" s="4" t="s">
        <v>8639</v>
      </c>
      <c r="U1157" s="4" t="str">
        <f t="shared" si="59"/>
        <v>咸</v>
      </c>
    </row>
    <row r="1158" spans="1:22">
      <c r="A1158" s="3">
        <v>1156</v>
      </c>
      <c r="B1158" s="3" t="s">
        <v>8638</v>
      </c>
      <c r="C1158" s="3" t="s">
        <v>6053</v>
      </c>
      <c r="D1158" s="3" t="s">
        <v>6001</v>
      </c>
      <c r="E1158" s="3" t="s">
        <v>6212</v>
      </c>
      <c r="F1158" s="3" t="s">
        <v>8639</v>
      </c>
      <c r="G1158" s="3" t="s">
        <v>5993</v>
      </c>
      <c r="H1158" s="3" t="s">
        <v>8642</v>
      </c>
      <c r="I1158" s="3" t="s">
        <v>8496</v>
      </c>
      <c r="J1158" s="5" t="s">
        <v>8643</v>
      </c>
      <c r="L1158" s="3" t="s">
        <v>6842</v>
      </c>
      <c r="M1158" s="3">
        <v>2</v>
      </c>
      <c r="N1158" s="4" t="s">
        <v>8639</v>
      </c>
      <c r="O1158" s="4">
        <v>57</v>
      </c>
      <c r="P1158" s="11" t="s">
        <v>9772</v>
      </c>
      <c r="Q1158" s="11" t="s">
        <v>8639</v>
      </c>
      <c r="S1158" s="4" t="b">
        <f>ISNUMBER(MATCH(Q1158,T:T,0))</f>
        <v>1</v>
      </c>
      <c r="T1158" s="4" t="s">
        <v>11544</v>
      </c>
      <c r="U1158" s="4" t="str">
        <f t="shared" si="59"/>
        <v>凡</v>
      </c>
    </row>
    <row r="1159" spans="1:22">
      <c r="A1159" s="3">
        <v>1157</v>
      </c>
      <c r="B1159" s="3" t="s">
        <v>8644</v>
      </c>
      <c r="C1159" s="3" t="s">
        <v>5989</v>
      </c>
      <c r="D1159" s="3" t="s">
        <v>5990</v>
      </c>
      <c r="E1159" s="3" t="s">
        <v>5991</v>
      </c>
      <c r="F1159" s="3" t="s">
        <v>5992</v>
      </c>
      <c r="G1159" s="3" t="s">
        <v>8645</v>
      </c>
      <c r="H1159" s="3" t="s">
        <v>8646</v>
      </c>
      <c r="I1159" s="3" t="s">
        <v>5995</v>
      </c>
      <c r="J1159" s="5" t="s">
        <v>8003</v>
      </c>
      <c r="L1159" s="3" t="s">
        <v>8647</v>
      </c>
      <c r="M1159" s="3">
        <v>7</v>
      </c>
      <c r="N1159" s="4" t="s">
        <v>9632</v>
      </c>
      <c r="O1159" s="4">
        <v>58</v>
      </c>
      <c r="P1159" s="11" t="s">
        <v>9975</v>
      </c>
      <c r="Q1159" s="11" t="s">
        <v>10182</v>
      </c>
      <c r="S1159" s="4" t="b">
        <f>ISNUMBER(MATCH(Q1159,T:T,0))</f>
        <v>1</v>
      </c>
      <c r="T1159" s="4" t="s">
        <v>9632</v>
      </c>
      <c r="U1159" s="4" t="str">
        <f t="shared" si="59"/>
        <v>動</v>
      </c>
    </row>
    <row r="1160" spans="1:22">
      <c r="A1160" s="3">
        <v>1158</v>
      </c>
      <c r="B1160" s="3" t="s">
        <v>8644</v>
      </c>
      <c r="C1160" s="3" t="s">
        <v>6035</v>
      </c>
      <c r="D1160" s="3" t="s">
        <v>5990</v>
      </c>
      <c r="E1160" s="3" t="s">
        <v>5991</v>
      </c>
      <c r="F1160" s="3" t="s">
        <v>5992</v>
      </c>
      <c r="G1160" s="3" t="s">
        <v>8645</v>
      </c>
      <c r="H1160" s="3" t="s">
        <v>8649</v>
      </c>
      <c r="I1160" s="3" t="s">
        <v>5995</v>
      </c>
      <c r="J1160" s="5" t="s">
        <v>8650</v>
      </c>
      <c r="L1160" s="3" t="s">
        <v>8651</v>
      </c>
      <c r="M1160" s="3">
        <v>7</v>
      </c>
      <c r="N1160" s="4" t="s">
        <v>9632</v>
      </c>
      <c r="O1160" s="4">
        <v>58</v>
      </c>
      <c r="P1160" s="11" t="s">
        <v>9719</v>
      </c>
      <c r="Q1160" s="11" t="s">
        <v>10183</v>
      </c>
      <c r="S1160" s="4" t="b">
        <f>ISNUMBER(MATCH(Q1160,T:T,0))</f>
        <v>1</v>
      </c>
      <c r="T1160" s="4" t="s">
        <v>10186</v>
      </c>
      <c r="U1160" s="4" t="str">
        <f t="shared" si="59"/>
        <v>孔</v>
      </c>
    </row>
    <row r="1161" spans="1:22">
      <c r="A1161" s="3">
        <v>1159</v>
      </c>
      <c r="B1161" s="3" t="s">
        <v>8644</v>
      </c>
      <c r="C1161" s="3" t="s">
        <v>6038</v>
      </c>
      <c r="D1161" s="3" t="s">
        <v>5990</v>
      </c>
      <c r="E1161" s="3" t="s">
        <v>5991</v>
      </c>
      <c r="F1161" s="3" t="s">
        <v>5992</v>
      </c>
      <c r="G1161" s="3" t="s">
        <v>8645</v>
      </c>
      <c r="H1161" s="3" t="s">
        <v>8652</v>
      </c>
      <c r="I1161" s="3" t="s">
        <v>5995</v>
      </c>
      <c r="J1161" s="5" t="s">
        <v>8653</v>
      </c>
      <c r="L1161" s="3" t="s">
        <v>8654</v>
      </c>
      <c r="M1161" s="3">
        <v>2</v>
      </c>
      <c r="N1161" s="4" t="s">
        <v>9632</v>
      </c>
      <c r="O1161" s="4">
        <v>58</v>
      </c>
      <c r="P1161" s="11" t="s">
        <v>10184</v>
      </c>
      <c r="Q1161" s="11" t="s">
        <v>8648</v>
      </c>
      <c r="R1161" s="4" t="s">
        <v>13071</v>
      </c>
      <c r="S1161" s="4" t="b">
        <f>ISNUMBER(MATCH(Q1161,T:T,0))</f>
        <v>0</v>
      </c>
      <c r="T1161" s="4" t="s">
        <v>10183</v>
      </c>
      <c r="U1161" s="4" t="str">
        <f t="shared" si="59"/>
        <v>懂</v>
      </c>
      <c r="V1161" s="4" t="b">
        <f>ISNUMBER(MATCH(R1161,T:T,0))</f>
        <v>1</v>
      </c>
    </row>
    <row r="1162" spans="1:22">
      <c r="A1162" s="3">
        <v>1160</v>
      </c>
      <c r="B1162" s="3" t="s">
        <v>8644</v>
      </c>
      <c r="C1162" s="3" t="s">
        <v>6017</v>
      </c>
      <c r="D1162" s="3" t="s">
        <v>5990</v>
      </c>
      <c r="E1162" s="3" t="s">
        <v>5991</v>
      </c>
      <c r="F1162" s="3" t="s">
        <v>5992</v>
      </c>
      <c r="G1162" s="3" t="s">
        <v>8645</v>
      </c>
      <c r="H1162" s="3" t="s">
        <v>8655</v>
      </c>
      <c r="I1162" s="3" t="s">
        <v>5995</v>
      </c>
      <c r="J1162" s="5" t="s">
        <v>8656</v>
      </c>
      <c r="L1162" s="3" t="s">
        <v>8657</v>
      </c>
      <c r="M1162" s="3">
        <v>3</v>
      </c>
      <c r="N1162" s="4" t="s">
        <v>9632</v>
      </c>
      <c r="O1162" s="4">
        <v>58</v>
      </c>
      <c r="P1162" s="11" t="s">
        <v>8121</v>
      </c>
      <c r="Q1162" s="11" t="s">
        <v>10183</v>
      </c>
      <c r="S1162" s="4" t="b">
        <f>ISNUMBER(MATCH(Q1162,T:T,0))</f>
        <v>1</v>
      </c>
      <c r="T1162" s="4" t="s">
        <v>11545</v>
      </c>
      <c r="U1162" s="4" t="str">
        <f t="shared" si="59"/>
        <v>孔</v>
      </c>
    </row>
    <row r="1163" spans="1:22">
      <c r="A1163" s="3">
        <v>1161</v>
      </c>
      <c r="B1163" s="3" t="s">
        <v>8644</v>
      </c>
      <c r="C1163" s="3" t="s">
        <v>6079</v>
      </c>
      <c r="D1163" s="3" t="s">
        <v>5990</v>
      </c>
      <c r="E1163" s="3" t="s">
        <v>5991</v>
      </c>
      <c r="F1163" s="3" t="s">
        <v>5992</v>
      </c>
      <c r="G1163" s="3" t="s">
        <v>8645</v>
      </c>
      <c r="H1163" s="3" t="s">
        <v>8658</v>
      </c>
      <c r="I1163" s="3" t="s">
        <v>5995</v>
      </c>
      <c r="J1163" s="5" t="s">
        <v>8659</v>
      </c>
      <c r="L1163" s="3" t="s">
        <v>8660</v>
      </c>
      <c r="M1163" s="3">
        <v>4</v>
      </c>
      <c r="N1163" s="4" t="s">
        <v>9632</v>
      </c>
      <c r="O1163" s="4">
        <v>58</v>
      </c>
      <c r="P1163" s="11" t="s">
        <v>9736</v>
      </c>
      <c r="Q1163" s="11" t="s">
        <v>10183</v>
      </c>
      <c r="S1163" s="4" t="b">
        <f>ISNUMBER(MATCH(Q1163,T:T,0))</f>
        <v>1</v>
      </c>
      <c r="T1163" s="4" t="s">
        <v>11546</v>
      </c>
      <c r="U1163" s="4" t="str">
        <f t="shared" si="59"/>
        <v>孔</v>
      </c>
    </row>
    <row r="1164" spans="1:22" ht="38.25">
      <c r="A1164" s="3">
        <v>1162</v>
      </c>
      <c r="B1164" s="3" t="s">
        <v>8644</v>
      </c>
      <c r="C1164" s="3" t="s">
        <v>6083</v>
      </c>
      <c r="D1164" s="3" t="s">
        <v>5990</v>
      </c>
      <c r="E1164" s="3" t="s">
        <v>5991</v>
      </c>
      <c r="F1164" s="3" t="s">
        <v>5992</v>
      </c>
      <c r="G1164" s="3" t="s">
        <v>8645</v>
      </c>
      <c r="H1164" s="3" t="s">
        <v>8661</v>
      </c>
      <c r="I1164" s="3" t="s">
        <v>5995</v>
      </c>
      <c r="J1164" s="5" t="s">
        <v>4671</v>
      </c>
      <c r="L1164" s="3" t="s">
        <v>8662</v>
      </c>
      <c r="M1164" s="3">
        <v>15</v>
      </c>
      <c r="N1164" s="4" t="s">
        <v>9632</v>
      </c>
      <c r="O1164" s="4">
        <v>58</v>
      </c>
      <c r="P1164" s="11" t="s">
        <v>9745</v>
      </c>
      <c r="Q1164" s="11" t="s">
        <v>10183</v>
      </c>
      <c r="S1164" s="4" t="b">
        <f>ISNUMBER(MATCH(Q1164,T:T,0))</f>
        <v>1</v>
      </c>
      <c r="T1164" s="4" t="s">
        <v>11547</v>
      </c>
      <c r="U1164" s="4" t="str">
        <f t="shared" si="59"/>
        <v>孔</v>
      </c>
    </row>
    <row r="1165" spans="1:22">
      <c r="A1165" s="3">
        <v>1163</v>
      </c>
      <c r="B1165" s="3" t="s">
        <v>8644</v>
      </c>
      <c r="C1165" s="3" t="s">
        <v>6067</v>
      </c>
      <c r="D1165" s="3" t="s">
        <v>5990</v>
      </c>
      <c r="E1165" s="3" t="s">
        <v>5991</v>
      </c>
      <c r="F1165" s="3" t="s">
        <v>5992</v>
      </c>
      <c r="G1165" s="3" t="s">
        <v>8645</v>
      </c>
      <c r="H1165" s="3" t="s">
        <v>8663</v>
      </c>
      <c r="I1165" s="3" t="s">
        <v>5995</v>
      </c>
      <c r="J1165" s="5" t="s">
        <v>8664</v>
      </c>
      <c r="L1165" s="3" t="s">
        <v>8665</v>
      </c>
      <c r="M1165" s="3">
        <v>5</v>
      </c>
      <c r="N1165" s="4" t="s">
        <v>9632</v>
      </c>
      <c r="O1165" s="4">
        <v>58</v>
      </c>
      <c r="P1165" s="11" t="s">
        <v>9870</v>
      </c>
      <c r="Q1165" s="11" t="s">
        <v>10183</v>
      </c>
      <c r="S1165" s="4" t="b">
        <f>ISNUMBER(MATCH(Q1165,T:T,0))</f>
        <v>1</v>
      </c>
      <c r="T1165" s="4" t="s">
        <v>11548</v>
      </c>
      <c r="U1165" s="4" t="str">
        <f t="shared" si="59"/>
        <v>孔</v>
      </c>
    </row>
    <row r="1166" spans="1:22">
      <c r="A1166" s="3">
        <v>1164</v>
      </c>
      <c r="B1166" s="3" t="s">
        <v>8644</v>
      </c>
      <c r="C1166" s="3" t="s">
        <v>6072</v>
      </c>
      <c r="D1166" s="3" t="s">
        <v>5990</v>
      </c>
      <c r="E1166" s="3" t="s">
        <v>5991</v>
      </c>
      <c r="F1166" s="3" t="s">
        <v>5992</v>
      </c>
      <c r="G1166" s="3" t="s">
        <v>8645</v>
      </c>
      <c r="H1166" s="3" t="s">
        <v>8666</v>
      </c>
      <c r="I1166" s="3" t="s">
        <v>5995</v>
      </c>
      <c r="J1166" s="5" t="s">
        <v>4672</v>
      </c>
      <c r="L1166" s="3" t="s">
        <v>8667</v>
      </c>
      <c r="M1166" s="3">
        <v>9</v>
      </c>
      <c r="N1166" s="4" t="s">
        <v>9632</v>
      </c>
      <c r="O1166" s="4">
        <v>58</v>
      </c>
      <c r="P1166" s="11" t="s">
        <v>9734</v>
      </c>
      <c r="Q1166" s="11" t="s">
        <v>10183</v>
      </c>
      <c r="S1166" s="4" t="b">
        <f>ISNUMBER(MATCH(Q1166,T:T,0))</f>
        <v>1</v>
      </c>
      <c r="T1166" s="4" t="s">
        <v>11549</v>
      </c>
      <c r="U1166" s="4" t="str">
        <f t="shared" si="59"/>
        <v>孔</v>
      </c>
    </row>
    <row r="1167" spans="1:22">
      <c r="A1167" s="3">
        <v>1165</v>
      </c>
      <c r="B1167" s="3" t="s">
        <v>8644</v>
      </c>
      <c r="C1167" s="3" t="s">
        <v>6102</v>
      </c>
      <c r="D1167" s="3" t="s">
        <v>5990</v>
      </c>
      <c r="E1167" s="3" t="s">
        <v>5991</v>
      </c>
      <c r="F1167" s="3" t="s">
        <v>5992</v>
      </c>
      <c r="G1167" s="3" t="s">
        <v>8645</v>
      </c>
      <c r="H1167" s="3" t="s">
        <v>8668</v>
      </c>
      <c r="I1167" s="3" t="s">
        <v>5995</v>
      </c>
      <c r="J1167" s="5" t="s">
        <v>8669</v>
      </c>
      <c r="L1167" s="3" t="s">
        <v>8670</v>
      </c>
      <c r="M1167" s="3">
        <v>1</v>
      </c>
      <c r="N1167" s="4" t="s">
        <v>9632</v>
      </c>
      <c r="O1167" s="4">
        <v>58</v>
      </c>
      <c r="P1167" s="11" t="s">
        <v>9744</v>
      </c>
      <c r="Q1167" s="11" t="s">
        <v>10182</v>
      </c>
      <c r="S1167" s="4" t="b">
        <f>ISNUMBER(MATCH(Q1167,T:T,0))</f>
        <v>1</v>
      </c>
      <c r="T1167" s="4" t="s">
        <v>8669</v>
      </c>
      <c r="U1167" s="4" t="str">
        <f t="shared" si="59"/>
        <v>動</v>
      </c>
    </row>
    <row r="1168" spans="1:22">
      <c r="A1168" s="3">
        <v>1166</v>
      </c>
      <c r="B1168" s="3" t="s">
        <v>8644</v>
      </c>
      <c r="C1168" s="3" t="s">
        <v>6049</v>
      </c>
      <c r="D1168" s="3" t="s">
        <v>5990</v>
      </c>
      <c r="E1168" s="3" t="s">
        <v>5991</v>
      </c>
      <c r="F1168" s="3" t="s">
        <v>5992</v>
      </c>
      <c r="G1168" s="3" t="s">
        <v>8645</v>
      </c>
      <c r="H1168" s="3" t="s">
        <v>8671</v>
      </c>
      <c r="I1168" s="3" t="s">
        <v>5995</v>
      </c>
      <c r="J1168" s="5" t="s">
        <v>8672</v>
      </c>
      <c r="L1168" s="3" t="s">
        <v>8673</v>
      </c>
      <c r="M1168" s="3">
        <v>4</v>
      </c>
      <c r="N1168" s="4" t="s">
        <v>9632</v>
      </c>
      <c r="O1168" s="4">
        <v>58</v>
      </c>
      <c r="P1168" s="11" t="s">
        <v>9889</v>
      </c>
      <c r="Q1168" s="11" t="s">
        <v>10183</v>
      </c>
      <c r="S1168" s="4" t="b">
        <f>ISNUMBER(MATCH(Q1168,T:T,0))</f>
        <v>1</v>
      </c>
      <c r="T1168" s="4" t="s">
        <v>11550</v>
      </c>
      <c r="U1168" s="4" t="str">
        <f t="shared" si="59"/>
        <v>孔</v>
      </c>
    </row>
    <row r="1169" spans="1:22">
      <c r="A1169" s="3">
        <v>1167</v>
      </c>
      <c r="B1169" s="3" t="s">
        <v>8644</v>
      </c>
      <c r="C1169" s="3" t="s">
        <v>6058</v>
      </c>
      <c r="D1169" s="3" t="s">
        <v>5990</v>
      </c>
      <c r="E1169" s="3" t="s">
        <v>5991</v>
      </c>
      <c r="F1169" s="3" t="s">
        <v>5992</v>
      </c>
      <c r="G1169" s="3" t="s">
        <v>8645</v>
      </c>
      <c r="H1169" s="3" t="s">
        <v>8674</v>
      </c>
      <c r="I1169" s="3" t="s">
        <v>5995</v>
      </c>
      <c r="J1169" s="5" t="s">
        <v>4673</v>
      </c>
      <c r="L1169" s="3" t="s">
        <v>8675</v>
      </c>
      <c r="M1169" s="3">
        <v>9</v>
      </c>
      <c r="N1169" s="4" t="s">
        <v>9632</v>
      </c>
      <c r="O1169" s="4">
        <v>58</v>
      </c>
      <c r="P1169" s="11" t="s">
        <v>9727</v>
      </c>
      <c r="Q1169" s="11" t="s">
        <v>8648</v>
      </c>
      <c r="R1169" s="4" t="s">
        <v>13071</v>
      </c>
      <c r="S1169" s="4" t="b">
        <f>ISNUMBER(MATCH(Q1169,T:T,0))</f>
        <v>0</v>
      </c>
      <c r="T1169" s="4" t="s">
        <v>11551</v>
      </c>
      <c r="U1169" s="4" t="str">
        <f t="shared" si="59"/>
        <v>懂</v>
      </c>
      <c r="V1169" s="4" t="b">
        <f>ISNUMBER(MATCH(R1169,T:T,0))</f>
        <v>1</v>
      </c>
    </row>
    <row r="1170" spans="1:22">
      <c r="A1170" s="3">
        <v>1168</v>
      </c>
      <c r="B1170" s="3" t="s">
        <v>8644</v>
      </c>
      <c r="C1170" s="3" t="s">
        <v>6089</v>
      </c>
      <c r="D1170" s="3" t="s">
        <v>5990</v>
      </c>
      <c r="E1170" s="3" t="s">
        <v>5991</v>
      </c>
      <c r="F1170" s="3" t="s">
        <v>5992</v>
      </c>
      <c r="G1170" s="3" t="s">
        <v>8645</v>
      </c>
      <c r="H1170" s="3" t="s">
        <v>8676</v>
      </c>
      <c r="I1170" s="3" t="s">
        <v>5995</v>
      </c>
      <c r="J1170" s="5" t="s">
        <v>8677</v>
      </c>
      <c r="L1170" s="3" t="s">
        <v>8678</v>
      </c>
      <c r="M1170" s="3">
        <v>2</v>
      </c>
      <c r="N1170" s="4" t="s">
        <v>9632</v>
      </c>
      <c r="O1170" s="4">
        <v>58</v>
      </c>
      <c r="P1170" s="11" t="s">
        <v>9739</v>
      </c>
      <c r="Q1170" s="11" t="s">
        <v>10183</v>
      </c>
      <c r="S1170" s="4" t="b">
        <f>ISNUMBER(MATCH(Q1170,T:T,0))</f>
        <v>1</v>
      </c>
      <c r="T1170" s="4" t="s">
        <v>11552</v>
      </c>
      <c r="U1170" s="4" t="str">
        <f t="shared" si="59"/>
        <v>孔</v>
      </c>
    </row>
    <row r="1171" spans="1:22">
      <c r="A1171" s="3">
        <v>1169</v>
      </c>
      <c r="B1171" s="3" t="s">
        <v>8644</v>
      </c>
      <c r="C1171" s="3" t="s">
        <v>5997</v>
      </c>
      <c r="D1171" s="3" t="s">
        <v>5990</v>
      </c>
      <c r="E1171" s="3" t="s">
        <v>5991</v>
      </c>
      <c r="F1171" s="3" t="s">
        <v>5992</v>
      </c>
      <c r="G1171" s="3" t="s">
        <v>8645</v>
      </c>
      <c r="H1171" s="3" t="s">
        <v>723</v>
      </c>
      <c r="I1171" s="3" t="s">
        <v>5995</v>
      </c>
      <c r="J1171" s="5" t="s">
        <v>4674</v>
      </c>
      <c r="L1171" s="3" t="s">
        <v>8679</v>
      </c>
      <c r="M1171" s="3">
        <v>9</v>
      </c>
      <c r="N1171" s="4" t="s">
        <v>9632</v>
      </c>
      <c r="O1171" s="4">
        <v>58</v>
      </c>
      <c r="P1171" s="11" t="s">
        <v>9706</v>
      </c>
      <c r="Q1171" s="11" t="s">
        <v>10185</v>
      </c>
      <c r="R1171" s="4" t="s">
        <v>13072</v>
      </c>
      <c r="S1171" s="4" t="b">
        <f>ISNUMBER(MATCH(Q1171,T:T,0))</f>
        <v>0</v>
      </c>
      <c r="T1171" s="4" t="s">
        <v>10182</v>
      </c>
      <c r="U1171" s="4" t="str">
        <f t="shared" si="59"/>
        <v>總</v>
      </c>
      <c r="V1171" s="4" t="b">
        <f>ISNUMBER(MATCH(R1171,T:T,0))</f>
        <v>1</v>
      </c>
    </row>
    <row r="1172" spans="1:22">
      <c r="A1172" s="3">
        <v>1170</v>
      </c>
      <c r="B1172" s="3" t="s">
        <v>8644</v>
      </c>
      <c r="C1172" s="3" t="s">
        <v>6045</v>
      </c>
      <c r="D1172" s="3" t="s">
        <v>5990</v>
      </c>
      <c r="E1172" s="3" t="s">
        <v>5991</v>
      </c>
      <c r="F1172" s="3" t="s">
        <v>5992</v>
      </c>
      <c r="G1172" s="3" t="s">
        <v>8645</v>
      </c>
      <c r="H1172" s="3" t="s">
        <v>8680</v>
      </c>
      <c r="I1172" s="3" t="s">
        <v>5995</v>
      </c>
      <c r="J1172" s="5" t="s">
        <v>8681</v>
      </c>
      <c r="L1172" s="3" t="s">
        <v>8682</v>
      </c>
      <c r="M1172" s="3">
        <v>3</v>
      </c>
      <c r="N1172" s="4" t="s">
        <v>9632</v>
      </c>
      <c r="O1172" s="4">
        <v>58</v>
      </c>
      <c r="P1172" s="11" t="s">
        <v>9965</v>
      </c>
      <c r="Q1172" s="11" t="s">
        <v>10186</v>
      </c>
      <c r="S1172" s="4" t="b">
        <f>ISNUMBER(MATCH(Q1172,T:T,0))</f>
        <v>1</v>
      </c>
      <c r="T1172" s="4" t="s">
        <v>11553</v>
      </c>
      <c r="U1172" s="4" t="str">
        <f t="shared" si="59"/>
        <v>蠓</v>
      </c>
    </row>
    <row r="1173" spans="1:22" ht="28.5">
      <c r="A1173" s="3">
        <v>1171</v>
      </c>
      <c r="B1173" s="3" t="s">
        <v>8683</v>
      </c>
      <c r="C1173" s="3" t="s">
        <v>6009</v>
      </c>
      <c r="D1173" s="3" t="s">
        <v>6001</v>
      </c>
      <c r="E1173" s="3" t="s">
        <v>5991</v>
      </c>
      <c r="F1173" s="3" t="s">
        <v>6117</v>
      </c>
      <c r="G1173" s="3" t="s">
        <v>8645</v>
      </c>
      <c r="H1173" s="3" t="s">
        <v>8684</v>
      </c>
      <c r="I1173" s="3" t="s">
        <v>5995</v>
      </c>
      <c r="J1173" s="5" t="s">
        <v>4675</v>
      </c>
      <c r="L1173" s="3" t="s">
        <v>8685</v>
      </c>
      <c r="M1173" s="3">
        <v>6</v>
      </c>
      <c r="N1173" s="4" t="s">
        <v>8686</v>
      </c>
      <c r="O1173" s="4">
        <v>59</v>
      </c>
      <c r="P1173" s="11" t="s">
        <v>6396</v>
      </c>
      <c r="Q1173" s="11" t="s">
        <v>10187</v>
      </c>
      <c r="S1173" s="4" t="b">
        <f>ISNUMBER(MATCH(Q1173,T:T,0))</f>
        <v>1</v>
      </c>
      <c r="T1173" s="4" t="s">
        <v>8686</v>
      </c>
      <c r="U1173" s="4" t="str">
        <f t="shared" si="59"/>
        <v>隴</v>
      </c>
    </row>
    <row r="1174" spans="1:22" ht="28.5">
      <c r="A1174" s="3">
        <v>1172</v>
      </c>
      <c r="B1174" s="3" t="s">
        <v>8683</v>
      </c>
      <c r="C1174" s="3" t="s">
        <v>6011</v>
      </c>
      <c r="D1174" s="3" t="s">
        <v>6001</v>
      </c>
      <c r="E1174" s="3" t="s">
        <v>5991</v>
      </c>
      <c r="F1174" s="3" t="s">
        <v>6117</v>
      </c>
      <c r="G1174" s="3" t="s">
        <v>8645</v>
      </c>
      <c r="H1174" s="3" t="s">
        <v>8687</v>
      </c>
      <c r="I1174" s="3" t="s">
        <v>5995</v>
      </c>
      <c r="J1174" s="5" t="s">
        <v>4676</v>
      </c>
      <c r="L1174" s="3" t="s">
        <v>8688</v>
      </c>
      <c r="M1174" s="3">
        <v>3</v>
      </c>
      <c r="N1174" s="4" t="s">
        <v>8686</v>
      </c>
      <c r="O1174" s="4">
        <v>59</v>
      </c>
      <c r="P1174" s="11" t="s">
        <v>9757</v>
      </c>
      <c r="Q1174" s="11" t="s">
        <v>10187</v>
      </c>
      <c r="S1174" s="4" t="b">
        <f>ISNUMBER(MATCH(Q1174,T:T,0))</f>
        <v>1</v>
      </c>
      <c r="T1174" s="4" t="s">
        <v>11554</v>
      </c>
      <c r="U1174" s="4" t="str">
        <f t="shared" si="59"/>
        <v>隴</v>
      </c>
    </row>
    <row r="1175" spans="1:22">
      <c r="A1175" s="3">
        <v>1173</v>
      </c>
      <c r="B1175" s="3" t="s">
        <v>8683</v>
      </c>
      <c r="C1175" s="3" t="s">
        <v>6058</v>
      </c>
      <c r="D1175" s="3" t="s">
        <v>6001</v>
      </c>
      <c r="E1175" s="3" t="s">
        <v>5991</v>
      </c>
      <c r="F1175" s="3" t="s">
        <v>6117</v>
      </c>
      <c r="G1175" s="3" t="s">
        <v>8645</v>
      </c>
      <c r="H1175" s="3" t="s">
        <v>8689</v>
      </c>
      <c r="I1175" s="3" t="s">
        <v>5995</v>
      </c>
      <c r="J1175" s="5" t="s">
        <v>4677</v>
      </c>
      <c r="L1175" s="3" t="s">
        <v>8675</v>
      </c>
      <c r="M1175" s="3">
        <v>3</v>
      </c>
      <c r="N1175" s="4" t="s">
        <v>8686</v>
      </c>
      <c r="O1175" s="4">
        <v>59</v>
      </c>
      <c r="P1175" s="11" t="s">
        <v>9727</v>
      </c>
      <c r="Q1175" s="11" t="s">
        <v>10188</v>
      </c>
      <c r="R1175" s="4" t="s">
        <v>13073</v>
      </c>
      <c r="S1175" s="4" t="b">
        <f>ISNUMBER(MATCH(Q1175,T:T,0))</f>
        <v>0</v>
      </c>
      <c r="T1175" s="4" t="s">
        <v>10187</v>
      </c>
      <c r="U1175" s="4" t="str">
        <f t="shared" si="59"/>
        <v>腫</v>
      </c>
      <c r="V1175" s="4" t="b">
        <f>ISNUMBER(MATCH(R1175,T:T,0))</f>
        <v>1</v>
      </c>
    </row>
    <row r="1176" spans="1:22">
      <c r="A1176" s="3">
        <v>1174</v>
      </c>
      <c r="B1176" s="3" t="s">
        <v>8683</v>
      </c>
      <c r="C1176" s="3" t="s">
        <v>6072</v>
      </c>
      <c r="D1176" s="3" t="s">
        <v>6001</v>
      </c>
      <c r="E1176" s="3" t="s">
        <v>5991</v>
      </c>
      <c r="F1176" s="3" t="s">
        <v>6117</v>
      </c>
      <c r="G1176" s="3" t="s">
        <v>8645</v>
      </c>
      <c r="H1176" s="3" t="s">
        <v>8690</v>
      </c>
      <c r="I1176" s="3" t="s">
        <v>5995</v>
      </c>
      <c r="J1176" s="5" t="s">
        <v>8691</v>
      </c>
      <c r="L1176" s="3" t="s">
        <v>8692</v>
      </c>
      <c r="M1176" s="3">
        <v>3</v>
      </c>
      <c r="N1176" s="4" t="s">
        <v>8686</v>
      </c>
      <c r="O1176" s="4">
        <v>59</v>
      </c>
      <c r="P1176" s="11" t="s">
        <v>9754</v>
      </c>
      <c r="Q1176" s="11" t="s">
        <v>10187</v>
      </c>
      <c r="S1176" s="4" t="b">
        <f>ISNUMBER(MATCH(Q1176,T:T,0))</f>
        <v>1</v>
      </c>
      <c r="T1176" s="4" t="s">
        <v>11555</v>
      </c>
      <c r="U1176" s="4" t="str">
        <f t="shared" si="59"/>
        <v>隴</v>
      </c>
    </row>
    <row r="1177" spans="1:22" ht="28.5">
      <c r="A1177" s="3">
        <v>1175</v>
      </c>
      <c r="B1177" s="3" t="s">
        <v>8683</v>
      </c>
      <c r="C1177" s="3" t="s">
        <v>6021</v>
      </c>
      <c r="D1177" s="3" t="s">
        <v>6001</v>
      </c>
      <c r="E1177" s="3" t="s">
        <v>5991</v>
      </c>
      <c r="F1177" s="3" t="s">
        <v>6117</v>
      </c>
      <c r="G1177" s="3" t="s">
        <v>8645</v>
      </c>
      <c r="H1177" s="3" t="s">
        <v>8693</v>
      </c>
      <c r="I1177" s="3" t="s">
        <v>5995</v>
      </c>
      <c r="J1177" s="8" t="s">
        <v>4678</v>
      </c>
      <c r="K1177" s="3" t="s">
        <v>595</v>
      </c>
      <c r="L1177" s="3" t="s">
        <v>8694</v>
      </c>
      <c r="M1177" s="3">
        <v>12</v>
      </c>
      <c r="N1177" s="4" t="s">
        <v>8686</v>
      </c>
      <c r="O1177" s="4">
        <v>59</v>
      </c>
      <c r="P1177" s="11" t="s">
        <v>9761</v>
      </c>
      <c r="Q1177" s="11" t="s">
        <v>10187</v>
      </c>
      <c r="S1177" s="4" t="b">
        <f>ISNUMBER(MATCH(Q1177,T:T,0))</f>
        <v>1</v>
      </c>
      <c r="T1177" s="4" t="s">
        <v>10191</v>
      </c>
      <c r="U1177" s="4" t="str">
        <f t="shared" si="59"/>
        <v>隴</v>
      </c>
    </row>
    <row r="1178" spans="1:22" ht="28.5">
      <c r="A1178" s="3">
        <v>1176</v>
      </c>
      <c r="B1178" s="3" t="s">
        <v>8683</v>
      </c>
      <c r="C1178" s="3" t="s">
        <v>6005</v>
      </c>
      <c r="D1178" s="3" t="s">
        <v>6001</v>
      </c>
      <c r="E1178" s="3" t="s">
        <v>5991</v>
      </c>
      <c r="F1178" s="3" t="s">
        <v>6117</v>
      </c>
      <c r="G1178" s="3" t="s">
        <v>8645</v>
      </c>
      <c r="H1178" s="3" t="s">
        <v>8695</v>
      </c>
      <c r="I1178" s="3" t="s">
        <v>5995</v>
      </c>
      <c r="J1178" s="5" t="s">
        <v>8696</v>
      </c>
      <c r="L1178" s="3" t="s">
        <v>8697</v>
      </c>
      <c r="M1178" s="3">
        <v>4</v>
      </c>
      <c r="N1178" s="4" t="s">
        <v>8686</v>
      </c>
      <c r="O1178" s="4">
        <v>59</v>
      </c>
      <c r="P1178" s="11" t="s">
        <v>9709</v>
      </c>
      <c r="Q1178" s="11" t="s">
        <v>10187</v>
      </c>
      <c r="S1178" s="4" t="b">
        <f>ISNUMBER(MATCH(Q1178,T:T,0))</f>
        <v>1</v>
      </c>
      <c r="T1178" s="4" t="s">
        <v>10942</v>
      </c>
      <c r="U1178" s="4" t="str">
        <f t="shared" si="59"/>
        <v>隴</v>
      </c>
    </row>
    <row r="1179" spans="1:22" ht="28.5">
      <c r="A1179" s="3">
        <v>1177</v>
      </c>
      <c r="B1179" s="3" t="s">
        <v>8683</v>
      </c>
      <c r="C1179" s="3" t="s">
        <v>6000</v>
      </c>
      <c r="D1179" s="3" t="s">
        <v>6001</v>
      </c>
      <c r="E1179" s="3" t="s">
        <v>5991</v>
      </c>
      <c r="F1179" s="3" t="s">
        <v>6117</v>
      </c>
      <c r="G1179" s="3" t="s">
        <v>8645</v>
      </c>
      <c r="H1179" s="3" t="s">
        <v>8698</v>
      </c>
      <c r="I1179" s="3" t="s">
        <v>5995</v>
      </c>
      <c r="J1179" s="5" t="s">
        <v>8699</v>
      </c>
      <c r="L1179" s="3" t="s">
        <v>8685</v>
      </c>
      <c r="M1179" s="3">
        <v>2</v>
      </c>
      <c r="N1179" s="4" t="s">
        <v>8686</v>
      </c>
      <c r="O1179" s="4">
        <v>59</v>
      </c>
      <c r="P1179" s="11" t="s">
        <v>6000</v>
      </c>
      <c r="Q1179" s="11" t="s">
        <v>10187</v>
      </c>
      <c r="S1179" s="4" t="b">
        <f>ISNUMBER(MATCH(Q1179,T:T,0))</f>
        <v>1</v>
      </c>
      <c r="T1179" s="4" t="s">
        <v>10196</v>
      </c>
      <c r="U1179" s="4" t="str">
        <f t="shared" si="59"/>
        <v>隴</v>
      </c>
    </row>
    <row r="1180" spans="1:22">
      <c r="A1180" s="3">
        <v>1178</v>
      </c>
      <c r="B1180" s="3" t="s">
        <v>8683</v>
      </c>
      <c r="C1180" s="3" t="s">
        <v>6045</v>
      </c>
      <c r="D1180" s="3" t="s">
        <v>6001</v>
      </c>
      <c r="E1180" s="3" t="s">
        <v>5991</v>
      </c>
      <c r="F1180" s="3" t="s">
        <v>6117</v>
      </c>
      <c r="G1180" s="3" t="s">
        <v>8645</v>
      </c>
      <c r="H1180" s="3" t="s">
        <v>8700</v>
      </c>
      <c r="I1180" s="3" t="s">
        <v>5995</v>
      </c>
      <c r="J1180" s="5" t="s">
        <v>8701</v>
      </c>
      <c r="L1180" s="3" t="s">
        <v>8702</v>
      </c>
      <c r="M1180" s="3">
        <v>2</v>
      </c>
      <c r="N1180" s="4" t="s">
        <v>8686</v>
      </c>
      <c r="O1180" s="4">
        <v>59</v>
      </c>
      <c r="P1180" s="11" t="s">
        <v>9926</v>
      </c>
      <c r="Q1180" s="11" t="s">
        <v>10187</v>
      </c>
      <c r="S1180" s="4" t="b">
        <f>ISNUMBER(MATCH(Q1180,T:T,0))</f>
        <v>1</v>
      </c>
      <c r="T1180" s="4" t="s">
        <v>10189</v>
      </c>
      <c r="U1180" s="4" t="str">
        <f t="shared" si="59"/>
        <v>隴</v>
      </c>
    </row>
    <row r="1181" spans="1:22">
      <c r="A1181" s="3">
        <v>1179</v>
      </c>
      <c r="B1181" s="3" t="s">
        <v>8683</v>
      </c>
      <c r="C1181" s="3" t="s">
        <v>6053</v>
      </c>
      <c r="D1181" s="3" t="s">
        <v>6001</v>
      </c>
      <c r="E1181" s="3" t="s">
        <v>5991</v>
      </c>
      <c r="F1181" s="3" t="s">
        <v>6117</v>
      </c>
      <c r="G1181" s="3" t="s">
        <v>8645</v>
      </c>
      <c r="H1181" s="3" t="s">
        <v>8703</v>
      </c>
      <c r="I1181" s="3" t="s">
        <v>5995</v>
      </c>
      <c r="J1181" s="5" t="s">
        <v>8704</v>
      </c>
      <c r="L1181" s="3" t="s">
        <v>8705</v>
      </c>
      <c r="M1181" s="3">
        <v>1</v>
      </c>
      <c r="N1181" s="4" t="s">
        <v>8686</v>
      </c>
      <c r="O1181" s="4">
        <v>59</v>
      </c>
      <c r="P1181" s="11" t="s">
        <v>9724</v>
      </c>
      <c r="Q1181" s="11" t="s">
        <v>10189</v>
      </c>
      <c r="S1181" s="4" t="b">
        <f>ISNUMBER(MATCH(Q1181,T:T,0))</f>
        <v>1</v>
      </c>
      <c r="T1181" s="4" t="s">
        <v>8704</v>
      </c>
      <c r="U1181" s="4" t="str">
        <f t="shared" si="59"/>
        <v>奉</v>
      </c>
    </row>
    <row r="1182" spans="1:22" ht="39">
      <c r="A1182" s="3">
        <v>1180</v>
      </c>
      <c r="B1182" s="3" t="s">
        <v>8683</v>
      </c>
      <c r="C1182" s="3" t="s">
        <v>6028</v>
      </c>
      <c r="D1182" s="3" t="s">
        <v>6001</v>
      </c>
      <c r="E1182" s="3" t="s">
        <v>5991</v>
      </c>
      <c r="F1182" s="3" t="s">
        <v>6117</v>
      </c>
      <c r="G1182" s="3" t="s">
        <v>8645</v>
      </c>
      <c r="H1182" s="3" t="s">
        <v>8706</v>
      </c>
      <c r="I1182" s="3" t="s">
        <v>5995</v>
      </c>
      <c r="J1182" s="5" t="s">
        <v>4679</v>
      </c>
      <c r="L1182" s="3" t="s">
        <v>8692</v>
      </c>
      <c r="M1182" s="3">
        <v>15</v>
      </c>
      <c r="N1182" s="4" t="s">
        <v>8686</v>
      </c>
      <c r="O1182" s="4">
        <v>59</v>
      </c>
      <c r="P1182" s="11" t="s">
        <v>9850</v>
      </c>
      <c r="Q1182" s="11" t="s">
        <v>10187</v>
      </c>
      <c r="S1182" s="4" t="b">
        <f>ISNUMBER(MATCH(Q1182,T:T,0))</f>
        <v>1</v>
      </c>
      <c r="T1182" s="4" t="s">
        <v>10194</v>
      </c>
      <c r="U1182" s="4" t="str">
        <f t="shared" si="59"/>
        <v>隴</v>
      </c>
    </row>
    <row r="1183" spans="1:22" ht="28.5">
      <c r="A1183" s="3">
        <v>1181</v>
      </c>
      <c r="B1183" s="3" t="s">
        <v>8683</v>
      </c>
      <c r="C1183" s="3" t="s">
        <v>6038</v>
      </c>
      <c r="D1183" s="3" t="s">
        <v>6001</v>
      </c>
      <c r="E1183" s="3" t="s">
        <v>5991</v>
      </c>
      <c r="F1183" s="3" t="s">
        <v>6117</v>
      </c>
      <c r="G1183" s="3" t="s">
        <v>8645</v>
      </c>
      <c r="H1183" s="3" t="s">
        <v>8707</v>
      </c>
      <c r="I1183" s="3" t="s">
        <v>5995</v>
      </c>
      <c r="J1183" s="5" t="s">
        <v>8708</v>
      </c>
      <c r="L1183" s="3" t="s">
        <v>8709</v>
      </c>
      <c r="M1183" s="3">
        <v>3</v>
      </c>
      <c r="N1183" s="4" t="s">
        <v>8686</v>
      </c>
      <c r="O1183" s="4">
        <v>59</v>
      </c>
      <c r="P1183" s="11" t="s">
        <v>9825</v>
      </c>
      <c r="Q1183" s="11" t="s">
        <v>10187</v>
      </c>
      <c r="S1183" s="4" t="b">
        <f>ISNUMBER(MATCH(Q1183,T:T,0))</f>
        <v>1</v>
      </c>
      <c r="T1183" s="4" t="s">
        <v>11556</v>
      </c>
      <c r="U1183" s="4" t="str">
        <f t="shared" si="59"/>
        <v>隴</v>
      </c>
    </row>
    <row r="1184" spans="1:22" ht="28.5">
      <c r="A1184" s="3">
        <v>1182</v>
      </c>
      <c r="B1184" s="3" t="s">
        <v>8683</v>
      </c>
      <c r="C1184" s="3" t="s">
        <v>6148</v>
      </c>
      <c r="D1184" s="3" t="s">
        <v>6001</v>
      </c>
      <c r="E1184" s="3" t="s">
        <v>5991</v>
      </c>
      <c r="F1184" s="3" t="s">
        <v>6117</v>
      </c>
      <c r="G1184" s="3" t="s">
        <v>8645</v>
      </c>
      <c r="H1184" s="3" t="s">
        <v>724</v>
      </c>
      <c r="I1184" s="3" t="s">
        <v>5995</v>
      </c>
      <c r="J1184" s="5" t="s">
        <v>4680</v>
      </c>
      <c r="L1184" s="3" t="s">
        <v>8710</v>
      </c>
      <c r="M1184" s="3">
        <v>3</v>
      </c>
      <c r="N1184" s="4" t="s">
        <v>8686</v>
      </c>
      <c r="O1184" s="4">
        <v>59</v>
      </c>
      <c r="P1184" s="11" t="s">
        <v>10190</v>
      </c>
      <c r="Q1184" s="11" t="s">
        <v>10191</v>
      </c>
      <c r="S1184" s="4" t="b">
        <f>ISNUMBER(MATCH(Q1184,T:T,0))</f>
        <v>1</v>
      </c>
      <c r="T1184" s="4" t="s">
        <v>11557</v>
      </c>
      <c r="U1184" s="4" t="str">
        <f t="shared" si="59"/>
        <v>宂</v>
      </c>
    </row>
    <row r="1185" spans="1:21" ht="28.5">
      <c r="A1185" s="3">
        <v>1183</v>
      </c>
      <c r="B1185" s="3" t="s">
        <v>8683</v>
      </c>
      <c r="C1185" s="3" t="s">
        <v>6025</v>
      </c>
      <c r="D1185" s="3" t="s">
        <v>6001</v>
      </c>
      <c r="E1185" s="3" t="s">
        <v>5991</v>
      </c>
      <c r="F1185" s="3" t="s">
        <v>6117</v>
      </c>
      <c r="G1185" s="3" t="s">
        <v>8645</v>
      </c>
      <c r="H1185" s="3" t="s">
        <v>8711</v>
      </c>
      <c r="I1185" s="3" t="s">
        <v>5995</v>
      </c>
      <c r="J1185" s="5" t="s">
        <v>4681</v>
      </c>
      <c r="L1185" s="3" t="s">
        <v>8712</v>
      </c>
      <c r="M1185" s="3">
        <v>18</v>
      </c>
      <c r="N1185" s="4" t="s">
        <v>8686</v>
      </c>
      <c r="O1185" s="4">
        <v>59</v>
      </c>
      <c r="P1185" s="11" t="s">
        <v>9717</v>
      </c>
      <c r="Q1185" s="11" t="s">
        <v>10192</v>
      </c>
      <c r="S1185" s="4" t="b">
        <f>ISNUMBER(MATCH(Q1185,T:T,0))</f>
        <v>1</v>
      </c>
      <c r="T1185" s="4" t="s">
        <v>10193</v>
      </c>
      <c r="U1185" s="4" t="str">
        <f t="shared" si="59"/>
        <v>悚</v>
      </c>
    </row>
    <row r="1186" spans="1:21">
      <c r="A1186" s="3">
        <v>1184</v>
      </c>
      <c r="B1186" s="3" t="s">
        <v>8683</v>
      </c>
      <c r="C1186" s="3" t="s">
        <v>6017</v>
      </c>
      <c r="D1186" s="3" t="s">
        <v>6001</v>
      </c>
      <c r="E1186" s="3" t="s">
        <v>5991</v>
      </c>
      <c r="F1186" s="3" t="s">
        <v>6117</v>
      </c>
      <c r="G1186" s="3" t="s">
        <v>8645</v>
      </c>
      <c r="H1186" s="3" t="s">
        <v>8713</v>
      </c>
      <c r="I1186" s="3" t="s">
        <v>5995</v>
      </c>
      <c r="J1186" s="5" t="s">
        <v>4682</v>
      </c>
      <c r="L1186" s="3" t="s">
        <v>8657</v>
      </c>
      <c r="M1186" s="3">
        <v>10</v>
      </c>
      <c r="N1186" s="4" t="s">
        <v>8686</v>
      </c>
      <c r="O1186" s="4">
        <v>59</v>
      </c>
      <c r="P1186" s="11" t="s">
        <v>9714</v>
      </c>
      <c r="Q1186" s="11" t="s">
        <v>10193</v>
      </c>
      <c r="S1186" s="4" t="b">
        <f>ISNUMBER(MATCH(Q1186,T:T,0))</f>
        <v>1</v>
      </c>
      <c r="T1186" s="4" t="s">
        <v>10192</v>
      </c>
      <c r="U1186" s="4" t="str">
        <f t="shared" si="59"/>
        <v>拱</v>
      </c>
    </row>
    <row r="1187" spans="1:21" ht="28.5">
      <c r="A1187" s="3">
        <v>1185</v>
      </c>
      <c r="B1187" s="3" t="s">
        <v>8683</v>
      </c>
      <c r="C1187" s="3" t="s">
        <v>6089</v>
      </c>
      <c r="D1187" s="3" t="s">
        <v>6001</v>
      </c>
      <c r="E1187" s="3" t="s">
        <v>5991</v>
      </c>
      <c r="F1187" s="3" t="s">
        <v>6117</v>
      </c>
      <c r="G1187" s="3" t="s">
        <v>8645</v>
      </c>
      <c r="H1187" s="3" t="s">
        <v>8714</v>
      </c>
      <c r="I1187" s="3" t="s">
        <v>5995</v>
      </c>
      <c r="J1187" s="5" t="s">
        <v>4683</v>
      </c>
      <c r="L1187" s="3" t="s">
        <v>8715</v>
      </c>
      <c r="M1187" s="3">
        <v>3</v>
      </c>
      <c r="N1187" s="4" t="s">
        <v>8686</v>
      </c>
      <c r="O1187" s="4">
        <v>59</v>
      </c>
      <c r="P1187" s="11" t="s">
        <v>9753</v>
      </c>
      <c r="Q1187" s="11" t="s">
        <v>10193</v>
      </c>
      <c r="S1187" s="4" t="b">
        <f>ISNUMBER(MATCH(Q1187,T:T,0))</f>
        <v>1</v>
      </c>
      <c r="T1187" s="4" t="s">
        <v>11558</v>
      </c>
      <c r="U1187" s="4" t="str">
        <f t="shared" si="59"/>
        <v>拱</v>
      </c>
    </row>
    <row r="1188" spans="1:21">
      <c r="A1188" s="3">
        <v>1186</v>
      </c>
      <c r="B1188" s="3" t="s">
        <v>8683</v>
      </c>
      <c r="C1188" s="3" t="s">
        <v>6049</v>
      </c>
      <c r="D1188" s="3" t="s">
        <v>6001</v>
      </c>
      <c r="E1188" s="3" t="s">
        <v>5991</v>
      </c>
      <c r="F1188" s="3" t="s">
        <v>6117</v>
      </c>
      <c r="G1188" s="3" t="s">
        <v>8645</v>
      </c>
      <c r="H1188" s="3" t="s">
        <v>8716</v>
      </c>
      <c r="I1188" s="3" t="s">
        <v>5995</v>
      </c>
      <c r="J1188" s="5" t="s">
        <v>8717</v>
      </c>
      <c r="L1188" s="3" t="s">
        <v>8705</v>
      </c>
      <c r="M1188" s="3">
        <v>2</v>
      </c>
      <c r="N1188" s="4" t="s">
        <v>8686</v>
      </c>
      <c r="O1188" s="4">
        <v>59</v>
      </c>
      <c r="P1188" s="11" t="s">
        <v>9723</v>
      </c>
      <c r="Q1188" s="11" t="s">
        <v>10194</v>
      </c>
      <c r="S1188" s="4" t="b">
        <f>ISNUMBER(MATCH(Q1188,T:T,0))</f>
        <v>1</v>
      </c>
      <c r="T1188" s="4" t="s">
        <v>11559</v>
      </c>
      <c r="U1188" s="4" t="str">
        <f t="shared" si="59"/>
        <v>勇</v>
      </c>
    </row>
    <row r="1189" spans="1:21">
      <c r="A1189" s="3">
        <v>1187</v>
      </c>
      <c r="B1189" s="3" t="s">
        <v>8718</v>
      </c>
      <c r="C1189" s="3" t="s">
        <v>5989</v>
      </c>
      <c r="D1189" s="3" t="s">
        <v>5990</v>
      </c>
      <c r="E1189" s="3" t="s">
        <v>5991</v>
      </c>
      <c r="F1189" s="3" t="s">
        <v>6098</v>
      </c>
      <c r="G1189" s="3" t="s">
        <v>8645</v>
      </c>
      <c r="H1189" s="3" t="s">
        <v>8719</v>
      </c>
      <c r="I1189" s="3" t="s">
        <v>5995</v>
      </c>
      <c r="J1189" s="5" t="s">
        <v>8720</v>
      </c>
      <c r="L1189" s="3" t="s">
        <v>8647</v>
      </c>
      <c r="M1189" s="3">
        <v>1</v>
      </c>
      <c r="N1189" s="4" t="s">
        <v>8686</v>
      </c>
      <c r="O1189" s="4">
        <v>59</v>
      </c>
      <c r="P1189" s="11" t="s">
        <v>9742</v>
      </c>
      <c r="Q1189" s="11" t="s">
        <v>10195</v>
      </c>
      <c r="S1189" s="4" t="b">
        <f>ISNUMBER(MATCH(Q1189,T:T,0))</f>
        <v>1</v>
      </c>
      <c r="T1189" s="4" t="s">
        <v>8720</v>
      </c>
      <c r="U1189" s="4" t="str">
        <f t="shared" si="59"/>
        <v>𪁪</v>
      </c>
    </row>
    <row r="1190" spans="1:21">
      <c r="A1190" s="3">
        <v>1188</v>
      </c>
      <c r="B1190" s="3" t="s">
        <v>8718</v>
      </c>
      <c r="C1190" s="3" t="s">
        <v>6035</v>
      </c>
      <c r="D1190" s="3" t="s">
        <v>5990</v>
      </c>
      <c r="E1190" s="3" t="s">
        <v>5991</v>
      </c>
      <c r="F1190" s="3" t="s">
        <v>6098</v>
      </c>
      <c r="G1190" s="3" t="s">
        <v>8645</v>
      </c>
      <c r="H1190" s="3" t="s">
        <v>8721</v>
      </c>
      <c r="I1190" s="3" t="s">
        <v>5995</v>
      </c>
      <c r="J1190" s="5" t="s">
        <v>8722</v>
      </c>
      <c r="L1190" s="3" t="s">
        <v>8651</v>
      </c>
      <c r="M1190" s="3">
        <v>2</v>
      </c>
      <c r="N1190" s="4" t="s">
        <v>8686</v>
      </c>
      <c r="O1190" s="4">
        <v>59</v>
      </c>
      <c r="P1190" s="11" t="s">
        <v>9719</v>
      </c>
      <c r="Q1190" s="11" t="s">
        <v>8720</v>
      </c>
      <c r="S1190" s="4" t="b">
        <f>ISNUMBER(MATCH(Q1190,T:T,0))</f>
        <v>1</v>
      </c>
      <c r="T1190" s="4" t="s">
        <v>10195</v>
      </c>
      <c r="U1190" s="4" t="str">
        <f t="shared" si="59"/>
        <v>湩</v>
      </c>
    </row>
    <row r="1191" spans="1:21" ht="28.5">
      <c r="A1191" s="3">
        <v>1189</v>
      </c>
      <c r="B1191" s="3" t="s">
        <v>8683</v>
      </c>
      <c r="C1191" s="3" t="s">
        <v>6041</v>
      </c>
      <c r="D1191" s="3" t="s">
        <v>6001</v>
      </c>
      <c r="E1191" s="3" t="s">
        <v>5991</v>
      </c>
      <c r="F1191" s="3" t="s">
        <v>6117</v>
      </c>
      <c r="G1191" s="3" t="s">
        <v>8645</v>
      </c>
      <c r="H1191" s="3" t="s">
        <v>8723</v>
      </c>
      <c r="I1191" s="3" t="s">
        <v>5995</v>
      </c>
      <c r="J1191" s="5" t="s">
        <v>8724</v>
      </c>
      <c r="L1191" s="3" t="s">
        <v>8725</v>
      </c>
      <c r="M1191" s="3">
        <v>1</v>
      </c>
      <c r="N1191" s="4" t="s">
        <v>8686</v>
      </c>
      <c r="O1191" s="4">
        <v>59</v>
      </c>
      <c r="P1191" s="11" t="s">
        <v>9721</v>
      </c>
      <c r="Q1191" s="11" t="s">
        <v>10187</v>
      </c>
      <c r="S1191" s="4" t="b">
        <f>ISNUMBER(MATCH(Q1191,T:T,0))</f>
        <v>1</v>
      </c>
      <c r="T1191" s="4" t="s">
        <v>8724</v>
      </c>
      <c r="U1191" s="4" t="str">
        <f t="shared" si="59"/>
        <v>隴</v>
      </c>
    </row>
    <row r="1192" spans="1:21" ht="28.5">
      <c r="A1192" s="3">
        <v>1190</v>
      </c>
      <c r="B1192" s="3" t="s">
        <v>8683</v>
      </c>
      <c r="C1192" s="3" t="s">
        <v>6055</v>
      </c>
      <c r="D1192" s="3" t="s">
        <v>6001</v>
      </c>
      <c r="E1192" s="3" t="s">
        <v>5991</v>
      </c>
      <c r="F1192" s="3" t="s">
        <v>6117</v>
      </c>
      <c r="G1192" s="3" t="s">
        <v>8645</v>
      </c>
      <c r="H1192" s="3" t="s">
        <v>8726</v>
      </c>
      <c r="I1192" s="3" t="s">
        <v>5995</v>
      </c>
      <c r="J1192" s="5" t="s">
        <v>4684</v>
      </c>
      <c r="L1192" s="3" t="s">
        <v>8688</v>
      </c>
      <c r="M1192" s="3">
        <v>2</v>
      </c>
      <c r="N1192" s="4" t="s">
        <v>8686</v>
      </c>
      <c r="O1192" s="4">
        <v>59</v>
      </c>
      <c r="P1192" s="11" t="s">
        <v>9992</v>
      </c>
      <c r="Q1192" s="11" t="s">
        <v>10187</v>
      </c>
      <c r="S1192" s="4" t="b">
        <f>ISNUMBER(MATCH(Q1192,T:T,0))</f>
        <v>1</v>
      </c>
      <c r="T1192" s="4" t="s">
        <v>11560</v>
      </c>
      <c r="U1192" s="4" t="str">
        <f t="shared" si="59"/>
        <v>隴</v>
      </c>
    </row>
    <row r="1193" spans="1:21" ht="28.5">
      <c r="A1193" s="3">
        <v>1191</v>
      </c>
      <c r="B1193" s="3" t="s">
        <v>8683</v>
      </c>
      <c r="C1193" s="3" t="s">
        <v>6009</v>
      </c>
      <c r="D1193" s="3" t="s">
        <v>6001</v>
      </c>
      <c r="E1193" s="3" t="s">
        <v>5991</v>
      </c>
      <c r="F1193" s="3" t="s">
        <v>6117</v>
      </c>
      <c r="G1193" s="3" t="s">
        <v>8645</v>
      </c>
      <c r="H1193" s="3" t="s">
        <v>8727</v>
      </c>
      <c r="I1193" s="3" t="s">
        <v>5995</v>
      </c>
      <c r="J1193" s="5" t="s">
        <v>8728</v>
      </c>
      <c r="L1193" s="3" t="s">
        <v>8685</v>
      </c>
      <c r="M1193" s="3">
        <v>2</v>
      </c>
      <c r="N1193" s="4" t="s">
        <v>8686</v>
      </c>
      <c r="O1193" s="4">
        <v>59</v>
      </c>
      <c r="P1193" s="11" t="s">
        <v>1726</v>
      </c>
      <c r="Q1193" s="11" t="s">
        <v>10194</v>
      </c>
      <c r="S1193" s="4" t="b">
        <f>ISNUMBER(MATCH(Q1193,T:T,0))</f>
        <v>1</v>
      </c>
      <c r="T1193" s="4" t="s">
        <v>11561</v>
      </c>
      <c r="U1193" s="4" t="str">
        <f t="shared" si="59"/>
        <v>勇</v>
      </c>
    </row>
    <row r="1194" spans="1:21">
      <c r="A1194" s="3">
        <v>1192</v>
      </c>
      <c r="B1194" s="3" t="s">
        <v>8683</v>
      </c>
      <c r="C1194" s="3" t="s">
        <v>6083</v>
      </c>
      <c r="D1194" s="3" t="s">
        <v>6001</v>
      </c>
      <c r="E1194" s="3" t="s">
        <v>5991</v>
      </c>
      <c r="F1194" s="3" t="s">
        <v>6117</v>
      </c>
      <c r="G1194" s="3" t="s">
        <v>8645</v>
      </c>
      <c r="H1194" s="3" t="s">
        <v>8729</v>
      </c>
      <c r="I1194" s="3" t="s">
        <v>5995</v>
      </c>
      <c r="J1194" s="5" t="s">
        <v>8730</v>
      </c>
      <c r="L1194" s="3" t="s">
        <v>8662</v>
      </c>
      <c r="M1194" s="3">
        <v>1</v>
      </c>
      <c r="N1194" s="4" t="s">
        <v>8686</v>
      </c>
      <c r="O1194" s="4">
        <v>59</v>
      </c>
      <c r="P1194" s="11" t="s">
        <v>9737</v>
      </c>
      <c r="Q1194" s="11" t="s">
        <v>10196</v>
      </c>
      <c r="S1194" s="4" t="b">
        <f>ISNUMBER(MATCH(Q1194,T:T,0))</f>
        <v>1</v>
      </c>
      <c r="T1194" s="4" t="s">
        <v>8730</v>
      </c>
      <c r="U1194" s="4" t="str">
        <f t="shared" si="59"/>
        <v>冢</v>
      </c>
    </row>
    <row r="1195" spans="1:21" ht="28.5">
      <c r="A1195" s="3">
        <v>1193</v>
      </c>
      <c r="B1195" s="3" t="s">
        <v>8731</v>
      </c>
      <c r="C1195" s="3" t="s">
        <v>6025</v>
      </c>
      <c r="D1195" s="3" t="s">
        <v>6157</v>
      </c>
      <c r="E1195" s="3" t="s">
        <v>5991</v>
      </c>
      <c r="F1195" s="3" t="s">
        <v>6158</v>
      </c>
      <c r="G1195" s="3" t="s">
        <v>8645</v>
      </c>
      <c r="H1195" s="3" t="s">
        <v>8732</v>
      </c>
      <c r="I1195" s="3" t="s">
        <v>6158</v>
      </c>
      <c r="J1195" s="5" t="s">
        <v>8733</v>
      </c>
      <c r="L1195" s="3" t="s">
        <v>8734</v>
      </c>
      <c r="M1195" s="3">
        <v>4</v>
      </c>
      <c r="N1195" s="4" t="s">
        <v>8735</v>
      </c>
      <c r="O1195" s="4">
        <v>60</v>
      </c>
      <c r="P1195" s="11" t="s">
        <v>9729</v>
      </c>
      <c r="Q1195" s="11" t="s">
        <v>10197</v>
      </c>
      <c r="S1195" s="4" t="b">
        <f>ISNUMBER(MATCH(Q1195,T:T,0))</f>
        <v>1</v>
      </c>
      <c r="T1195" s="4" t="s">
        <v>8735</v>
      </c>
      <c r="U1195" s="4" t="str">
        <f t="shared" si="59"/>
        <v>項</v>
      </c>
    </row>
    <row r="1196" spans="1:21">
      <c r="A1196" s="3">
        <v>1194</v>
      </c>
      <c r="B1196" s="3" t="s">
        <v>8731</v>
      </c>
      <c r="C1196" s="3" t="s">
        <v>6045</v>
      </c>
      <c r="D1196" s="3" t="s">
        <v>6157</v>
      </c>
      <c r="E1196" s="3" t="s">
        <v>5991</v>
      </c>
      <c r="F1196" s="3" t="s">
        <v>6158</v>
      </c>
      <c r="G1196" s="3" t="s">
        <v>8645</v>
      </c>
      <c r="H1196" s="3" t="s">
        <v>8736</v>
      </c>
      <c r="I1196" s="3" t="s">
        <v>6158</v>
      </c>
      <c r="J1196" s="5" t="s">
        <v>4685</v>
      </c>
      <c r="L1196" s="3" t="s">
        <v>8737</v>
      </c>
      <c r="M1196" s="3">
        <v>8</v>
      </c>
      <c r="N1196" s="4" t="s">
        <v>8735</v>
      </c>
      <c r="O1196" s="4">
        <v>60</v>
      </c>
      <c r="P1196" s="11" t="s">
        <v>9908</v>
      </c>
      <c r="Q1196" s="11" t="s">
        <v>10197</v>
      </c>
      <c r="S1196" s="4" t="b">
        <f>ISNUMBER(MATCH(Q1196,T:T,0))</f>
        <v>1</v>
      </c>
      <c r="T1196" s="4" t="s">
        <v>11562</v>
      </c>
      <c r="U1196" s="4" t="str">
        <f t="shared" si="59"/>
        <v>項</v>
      </c>
    </row>
    <row r="1197" spans="1:21">
      <c r="A1197" s="3">
        <v>1195</v>
      </c>
      <c r="B1197" s="3" t="s">
        <v>8731</v>
      </c>
      <c r="C1197" s="3" t="s">
        <v>6072</v>
      </c>
      <c r="D1197" s="3" t="s">
        <v>6157</v>
      </c>
      <c r="E1197" s="3" t="s">
        <v>5991</v>
      </c>
      <c r="F1197" s="3" t="s">
        <v>6158</v>
      </c>
      <c r="G1197" s="3" t="s">
        <v>8645</v>
      </c>
      <c r="H1197" s="3" t="s">
        <v>8738</v>
      </c>
      <c r="I1197" s="3" t="s">
        <v>6158</v>
      </c>
      <c r="J1197" s="8" t="s">
        <v>8739</v>
      </c>
      <c r="L1197" s="3" t="s">
        <v>8740</v>
      </c>
      <c r="M1197" s="3">
        <v>1</v>
      </c>
      <c r="N1197" s="4" t="s">
        <v>8735</v>
      </c>
      <c r="O1197" s="4">
        <v>60</v>
      </c>
      <c r="P1197" s="11" t="s">
        <v>9734</v>
      </c>
      <c r="Q1197" s="11" t="s">
        <v>10197</v>
      </c>
      <c r="S1197" s="4" t="b">
        <f>ISNUMBER(MATCH(Q1197,T:T,0))</f>
        <v>1</v>
      </c>
      <c r="T1197" s="4" t="s">
        <v>8739</v>
      </c>
      <c r="U1197" s="4" t="str">
        <f t="shared" si="59"/>
        <v>項</v>
      </c>
    </row>
    <row r="1198" spans="1:21">
      <c r="A1198" s="3">
        <v>1196</v>
      </c>
      <c r="B1198" s="3" t="s">
        <v>8731</v>
      </c>
      <c r="C1198" s="3" t="s">
        <v>6035</v>
      </c>
      <c r="D1198" s="3" t="s">
        <v>6157</v>
      </c>
      <c r="E1198" s="3" t="s">
        <v>5991</v>
      </c>
      <c r="F1198" s="3" t="s">
        <v>6158</v>
      </c>
      <c r="G1198" s="3" t="s">
        <v>8645</v>
      </c>
      <c r="H1198" s="3" t="s">
        <v>8741</v>
      </c>
      <c r="I1198" s="3" t="s">
        <v>6158</v>
      </c>
      <c r="J1198" s="5" t="s">
        <v>8742</v>
      </c>
      <c r="L1198" s="3" t="s">
        <v>8743</v>
      </c>
      <c r="M1198" s="3">
        <v>2</v>
      </c>
      <c r="N1198" s="4" t="s">
        <v>8735</v>
      </c>
      <c r="O1198" s="4">
        <v>60</v>
      </c>
      <c r="P1198" s="11" t="s">
        <v>9794</v>
      </c>
      <c r="Q1198" s="11" t="s">
        <v>10197</v>
      </c>
      <c r="S1198" s="4" t="b">
        <f>ISNUMBER(MATCH(Q1198,T:T,0))</f>
        <v>1</v>
      </c>
      <c r="T1198" s="4" t="s">
        <v>8742</v>
      </c>
      <c r="U1198" s="4" t="str">
        <f t="shared" si="59"/>
        <v>項</v>
      </c>
    </row>
    <row r="1199" spans="1:21" ht="28.5">
      <c r="A1199" s="3">
        <v>1197</v>
      </c>
      <c r="B1199" s="3" t="s">
        <v>8731</v>
      </c>
      <c r="C1199" s="3" t="s">
        <v>6067</v>
      </c>
      <c r="D1199" s="3" t="s">
        <v>6157</v>
      </c>
      <c r="E1199" s="3" t="s">
        <v>5991</v>
      </c>
      <c r="F1199" s="3" t="s">
        <v>6158</v>
      </c>
      <c r="G1199" s="3" t="s">
        <v>8645</v>
      </c>
      <c r="H1199" s="3" t="s">
        <v>8744</v>
      </c>
      <c r="I1199" s="3" t="s">
        <v>6158</v>
      </c>
      <c r="J1199" s="5" t="s">
        <v>8745</v>
      </c>
      <c r="L1199" s="3" t="s">
        <v>8746</v>
      </c>
      <c r="M1199" s="3">
        <v>2</v>
      </c>
      <c r="N1199" s="4" t="s">
        <v>8735</v>
      </c>
      <c r="O1199" s="4">
        <v>60</v>
      </c>
      <c r="P1199" s="11" t="s">
        <v>9870</v>
      </c>
      <c r="Q1199" s="11" t="s">
        <v>8735</v>
      </c>
      <c r="S1199" s="4" t="b">
        <f>ISNUMBER(MATCH(Q1199,T:T,0))</f>
        <v>1</v>
      </c>
      <c r="T1199" s="4" t="s">
        <v>10197</v>
      </c>
      <c r="U1199" s="4" t="str">
        <f t="shared" si="59"/>
        <v>講</v>
      </c>
    </row>
    <row r="1200" spans="1:21">
      <c r="A1200" s="3">
        <v>1198</v>
      </c>
      <c r="B1200" s="3" t="s">
        <v>8731</v>
      </c>
      <c r="C1200" s="3" t="s">
        <v>6049</v>
      </c>
      <c r="D1200" s="3" t="s">
        <v>6157</v>
      </c>
      <c r="E1200" s="3" t="s">
        <v>5991</v>
      </c>
      <c r="F1200" s="3" t="s">
        <v>6158</v>
      </c>
      <c r="G1200" s="3" t="s">
        <v>8645</v>
      </c>
      <c r="H1200" s="3" t="s">
        <v>8747</v>
      </c>
      <c r="I1200" s="3" t="s">
        <v>6158</v>
      </c>
      <c r="J1200" s="5" t="s">
        <v>8748</v>
      </c>
      <c r="L1200" s="3" t="s">
        <v>8749</v>
      </c>
      <c r="M1200" s="3">
        <v>1</v>
      </c>
      <c r="N1200" s="4" t="s">
        <v>8735</v>
      </c>
      <c r="O1200" s="4">
        <v>60</v>
      </c>
      <c r="P1200" s="11" t="s">
        <v>10078</v>
      </c>
      <c r="Q1200" s="11" t="s">
        <v>8735</v>
      </c>
      <c r="S1200" s="4" t="b">
        <f>ISNUMBER(MATCH(Q1200,T:T,0))</f>
        <v>1</v>
      </c>
      <c r="T1200" s="4" t="s">
        <v>11563</v>
      </c>
      <c r="U1200" s="4" t="str">
        <f t="shared" si="59"/>
        <v>講</v>
      </c>
    </row>
    <row r="1201" spans="1:22" ht="28.5">
      <c r="A1201" s="3">
        <v>1199</v>
      </c>
      <c r="B1201" s="3" t="s">
        <v>8731</v>
      </c>
      <c r="C1201" s="3" t="s">
        <v>6089</v>
      </c>
      <c r="D1201" s="3" t="s">
        <v>6157</v>
      </c>
      <c r="E1201" s="3" t="s">
        <v>5991</v>
      </c>
      <c r="F1201" s="3" t="s">
        <v>6158</v>
      </c>
      <c r="G1201" s="3" t="s">
        <v>8645</v>
      </c>
      <c r="H1201" s="7" t="s">
        <v>8750</v>
      </c>
      <c r="I1201" s="3" t="s">
        <v>6158</v>
      </c>
      <c r="J1201" s="5" t="s">
        <v>8751</v>
      </c>
      <c r="L1201" s="3" t="s">
        <v>8752</v>
      </c>
      <c r="M1201" s="3">
        <v>2</v>
      </c>
      <c r="N1201" s="4" t="s">
        <v>8735</v>
      </c>
      <c r="O1201" s="4">
        <v>60</v>
      </c>
      <c r="P1201" s="11" t="s">
        <v>9958</v>
      </c>
      <c r="Q1201" s="11" t="s">
        <v>8739</v>
      </c>
      <c r="S1201" s="4" t="b">
        <f>ISNUMBER(MATCH(Q1201,T:T,0))</f>
        <v>1</v>
      </c>
      <c r="T1201" s="4" t="s">
        <v>11564</v>
      </c>
      <c r="U1201" s="4" t="str">
        <f t="shared" si="59"/>
        <v>慃</v>
      </c>
    </row>
    <row r="1202" spans="1:22">
      <c r="A1202" s="3">
        <v>4001</v>
      </c>
      <c r="B1202" s="3" t="s">
        <v>8731</v>
      </c>
      <c r="C1202" s="3" t="s">
        <v>6137</v>
      </c>
      <c r="D1202" s="3" t="s">
        <v>6157</v>
      </c>
      <c r="E1202" s="3" t="s">
        <v>5991</v>
      </c>
      <c r="F1202" s="3" t="s">
        <v>6158</v>
      </c>
      <c r="G1202" s="3" t="s">
        <v>8645</v>
      </c>
      <c r="H1202" s="3" t="s">
        <v>1308</v>
      </c>
      <c r="I1202" s="3" t="s">
        <v>6158</v>
      </c>
      <c r="J1202" s="5" t="s">
        <v>1309</v>
      </c>
      <c r="M1202" s="3">
        <v>0</v>
      </c>
      <c r="N1202" s="4" t="s">
        <v>8735</v>
      </c>
      <c r="O1202" s="4">
        <v>60</v>
      </c>
      <c r="P1202" s="11" t="s">
        <v>10905</v>
      </c>
      <c r="Q1202" s="11" t="s">
        <v>8735</v>
      </c>
      <c r="S1202" s="4" t="b">
        <f>ISNUMBER(MATCH(Q1202,T:T,0))</f>
        <v>1</v>
      </c>
      <c r="T1202" s="4" t="s">
        <v>12978</v>
      </c>
      <c r="U1202" s="4" t="str">
        <f t="shared" si="59"/>
        <v>講</v>
      </c>
    </row>
    <row r="1203" spans="1:22">
      <c r="A1203" s="3">
        <v>1200</v>
      </c>
      <c r="B1203" s="3" t="s">
        <v>8753</v>
      </c>
      <c r="C1203" s="3" t="s">
        <v>6009</v>
      </c>
      <c r="D1203" s="3" t="s">
        <v>6001</v>
      </c>
      <c r="E1203" s="3" t="s">
        <v>5991</v>
      </c>
      <c r="F1203" s="3" t="s">
        <v>6205</v>
      </c>
      <c r="G1203" s="3" t="s">
        <v>8645</v>
      </c>
      <c r="H1203" s="3" t="s">
        <v>8754</v>
      </c>
      <c r="I1203" s="3" t="s">
        <v>6207</v>
      </c>
      <c r="J1203" s="5" t="s">
        <v>4686</v>
      </c>
      <c r="K1203" s="3" t="s">
        <v>8755</v>
      </c>
      <c r="L1203" s="3" t="s">
        <v>8756</v>
      </c>
      <c r="M1203" s="3">
        <v>16</v>
      </c>
      <c r="N1203" s="4" t="s">
        <v>8757</v>
      </c>
      <c r="O1203" s="4">
        <v>61</v>
      </c>
      <c r="P1203" s="11" t="s">
        <v>9849</v>
      </c>
      <c r="Q1203" s="11" t="s">
        <v>10158</v>
      </c>
      <c r="R1203" s="4" t="s">
        <v>13074</v>
      </c>
      <c r="S1203" s="4" t="b">
        <f>ISNUMBER(MATCH(Q1203,T:T,0))</f>
        <v>0</v>
      </c>
      <c r="T1203" s="4" t="s">
        <v>8757</v>
      </c>
      <c r="U1203" s="4" t="str">
        <f t="shared" si="59"/>
        <v>是</v>
      </c>
      <c r="V1203" s="4" t="b">
        <f>ISNUMBER(MATCH(R1203,T:T,0))</f>
        <v>1</v>
      </c>
    </row>
    <row r="1204" spans="1:22">
      <c r="A1204" s="3">
        <v>1201</v>
      </c>
      <c r="B1204" s="3" t="s">
        <v>8753</v>
      </c>
      <c r="C1204" s="3" t="s">
        <v>6148</v>
      </c>
      <c r="D1204" s="3" t="s">
        <v>6001</v>
      </c>
      <c r="E1204" s="3" t="s">
        <v>5991</v>
      </c>
      <c r="F1204" s="3" t="s">
        <v>6205</v>
      </c>
      <c r="G1204" s="3" t="s">
        <v>8645</v>
      </c>
      <c r="H1204" s="3" t="s">
        <v>8758</v>
      </c>
      <c r="I1204" s="3" t="s">
        <v>6207</v>
      </c>
      <c r="J1204" s="5" t="s">
        <v>8759</v>
      </c>
      <c r="L1204" s="3" t="s">
        <v>8760</v>
      </c>
      <c r="M1204" s="3">
        <v>10</v>
      </c>
      <c r="N1204" s="4" t="s">
        <v>8757</v>
      </c>
      <c r="O1204" s="4">
        <v>61</v>
      </c>
      <c r="P1204" s="11" t="s">
        <v>10198</v>
      </c>
      <c r="Q1204" s="11" t="s">
        <v>8757</v>
      </c>
      <c r="S1204" s="4" t="b">
        <f>ISNUMBER(MATCH(Q1204,T:T,0))</f>
        <v>1</v>
      </c>
      <c r="T1204" s="4" t="s">
        <v>9784</v>
      </c>
      <c r="U1204" s="4" t="str">
        <f t="shared" si="59"/>
        <v>紙</v>
      </c>
    </row>
    <row r="1205" spans="1:22">
      <c r="A1205" s="3">
        <v>1202</v>
      </c>
      <c r="B1205" s="3" t="s">
        <v>8753</v>
      </c>
      <c r="C1205" s="3" t="s">
        <v>6035</v>
      </c>
      <c r="D1205" s="3" t="s">
        <v>6001</v>
      </c>
      <c r="E1205" s="3" t="s">
        <v>5991</v>
      </c>
      <c r="F1205" s="3" t="s">
        <v>6213</v>
      </c>
      <c r="G1205" s="3" t="s">
        <v>8645</v>
      </c>
      <c r="H1205" s="3" t="s">
        <v>8761</v>
      </c>
      <c r="I1205" s="3" t="s">
        <v>6207</v>
      </c>
      <c r="J1205" s="5" t="s">
        <v>8762</v>
      </c>
      <c r="L1205" s="3" t="s">
        <v>8763</v>
      </c>
      <c r="M1205" s="3">
        <v>7</v>
      </c>
      <c r="N1205" s="4" t="s">
        <v>8757</v>
      </c>
      <c r="O1205" s="4">
        <v>61</v>
      </c>
      <c r="P1205" s="11" t="s">
        <v>6809</v>
      </c>
      <c r="Q1205" s="11" t="s">
        <v>9786</v>
      </c>
      <c r="S1205" s="4" t="b">
        <f>ISNUMBER(MATCH(Q1205,T:T,0))</f>
        <v>1</v>
      </c>
      <c r="T1205" s="4" t="s">
        <v>9781</v>
      </c>
      <c r="U1205" s="4" t="str">
        <f t="shared" si="59"/>
        <v>彼</v>
      </c>
    </row>
    <row r="1206" spans="1:22">
      <c r="A1206" s="3">
        <v>1203</v>
      </c>
      <c r="B1206" s="3" t="s">
        <v>8753</v>
      </c>
      <c r="C1206" s="3" t="s">
        <v>6049</v>
      </c>
      <c r="D1206" s="3" t="s">
        <v>6001</v>
      </c>
      <c r="E1206" s="3" t="s">
        <v>5991</v>
      </c>
      <c r="F1206" s="3" t="s">
        <v>6213</v>
      </c>
      <c r="G1206" s="3" t="s">
        <v>8645</v>
      </c>
      <c r="H1206" s="3" t="s">
        <v>8764</v>
      </c>
      <c r="I1206" s="3" t="s">
        <v>6207</v>
      </c>
      <c r="J1206" s="5" t="s">
        <v>4687</v>
      </c>
      <c r="L1206" s="3" t="s">
        <v>8765</v>
      </c>
      <c r="M1206" s="3">
        <v>5</v>
      </c>
      <c r="N1206" s="4" t="s">
        <v>8757</v>
      </c>
      <c r="O1206" s="4">
        <v>61</v>
      </c>
      <c r="P1206" s="11" t="s">
        <v>9842</v>
      </c>
      <c r="Q1206" s="11" t="s">
        <v>9993</v>
      </c>
      <c r="S1206" s="4" t="b">
        <f>ISNUMBER(MATCH(Q1206,T:T,0))</f>
        <v>1</v>
      </c>
      <c r="T1206" s="4" t="s">
        <v>9786</v>
      </c>
      <c r="U1206" s="4" t="str">
        <f t="shared" si="59"/>
        <v>委</v>
      </c>
    </row>
    <row r="1207" spans="1:22">
      <c r="A1207" s="3">
        <v>1204</v>
      </c>
      <c r="B1207" s="3" t="s">
        <v>8753</v>
      </c>
      <c r="C1207" s="3" t="s">
        <v>6045</v>
      </c>
      <c r="D1207" s="3" t="s">
        <v>6001</v>
      </c>
      <c r="E1207" s="3" t="s">
        <v>5991</v>
      </c>
      <c r="F1207" s="3" t="s">
        <v>6213</v>
      </c>
      <c r="G1207" s="3" t="s">
        <v>8645</v>
      </c>
      <c r="H1207" s="3" t="s">
        <v>8766</v>
      </c>
      <c r="I1207" s="3" t="s">
        <v>6207</v>
      </c>
      <c r="J1207" s="5" t="s">
        <v>8767</v>
      </c>
      <c r="L1207" s="3" t="s">
        <v>8768</v>
      </c>
      <c r="M1207" s="3">
        <v>2</v>
      </c>
      <c r="N1207" s="4" t="s">
        <v>8757</v>
      </c>
      <c r="O1207" s="4">
        <v>61</v>
      </c>
      <c r="P1207" s="11" t="s">
        <v>10154</v>
      </c>
      <c r="Q1207" s="11" t="s">
        <v>9786</v>
      </c>
      <c r="S1207" s="4" t="b">
        <f>ISNUMBER(MATCH(Q1207,T:T,0))</f>
        <v>1</v>
      </c>
      <c r="T1207" s="4" t="s">
        <v>11565</v>
      </c>
      <c r="U1207" s="4" t="str">
        <f t="shared" si="59"/>
        <v>彼</v>
      </c>
    </row>
    <row r="1208" spans="1:22">
      <c r="A1208" s="3">
        <v>1205</v>
      </c>
      <c r="B1208" s="3" t="s">
        <v>8753</v>
      </c>
      <c r="C1208" s="3" t="s">
        <v>6089</v>
      </c>
      <c r="D1208" s="3" t="s">
        <v>6001</v>
      </c>
      <c r="E1208" s="3" t="s">
        <v>6212</v>
      </c>
      <c r="F1208" s="3" t="s">
        <v>6213</v>
      </c>
      <c r="G1208" s="3" t="s">
        <v>8645</v>
      </c>
      <c r="H1208" s="3" t="s">
        <v>8769</v>
      </c>
      <c r="I1208" s="3" t="s">
        <v>6207</v>
      </c>
      <c r="J1208" s="8" t="s">
        <v>4688</v>
      </c>
      <c r="L1208" s="3" t="s">
        <v>8770</v>
      </c>
      <c r="M1208" s="3">
        <v>10</v>
      </c>
      <c r="N1208" s="4" t="s">
        <v>8757</v>
      </c>
      <c r="O1208" s="4">
        <v>61</v>
      </c>
      <c r="P1208" s="11" t="s">
        <v>9753</v>
      </c>
      <c r="Q1208" s="11" t="s">
        <v>9993</v>
      </c>
      <c r="S1208" s="4" t="b">
        <f>ISNUMBER(MATCH(Q1208,T:T,0))</f>
        <v>1</v>
      </c>
      <c r="T1208" s="4" t="s">
        <v>4394</v>
      </c>
      <c r="U1208" s="4" t="str">
        <f t="shared" si="59"/>
        <v>委</v>
      </c>
    </row>
    <row r="1209" spans="1:22">
      <c r="A1209" s="3">
        <v>1206</v>
      </c>
      <c r="B1209" s="3" t="s">
        <v>8753</v>
      </c>
      <c r="C1209" s="3" t="s">
        <v>6072</v>
      </c>
      <c r="D1209" s="3" t="s">
        <v>6001</v>
      </c>
      <c r="E1209" s="3" t="s">
        <v>6212</v>
      </c>
      <c r="F1209" s="3" t="s">
        <v>6213</v>
      </c>
      <c r="G1209" s="3" t="s">
        <v>8645</v>
      </c>
      <c r="H1209" s="3" t="s">
        <v>8771</v>
      </c>
      <c r="I1209" s="3" t="s">
        <v>6207</v>
      </c>
      <c r="J1209" s="5" t="s">
        <v>8772</v>
      </c>
      <c r="L1209" s="3" t="s">
        <v>8773</v>
      </c>
      <c r="M1209" s="3">
        <v>5</v>
      </c>
      <c r="N1209" s="4" t="s">
        <v>8757</v>
      </c>
      <c r="O1209" s="4">
        <v>61</v>
      </c>
      <c r="P1209" s="11" t="s">
        <v>9754</v>
      </c>
      <c r="Q1209" s="11" t="s">
        <v>10199</v>
      </c>
      <c r="S1209" s="4" t="b">
        <f>ISNUMBER(MATCH(Q1209,T:T,0))</f>
        <v>1</v>
      </c>
      <c r="T1209" s="4" t="s">
        <v>9993</v>
      </c>
      <c r="U1209" s="4" t="str">
        <f t="shared" si="59"/>
        <v>詭</v>
      </c>
    </row>
    <row r="1210" spans="1:22">
      <c r="A1210" s="3">
        <v>1207</v>
      </c>
      <c r="B1210" s="3" t="s">
        <v>8753</v>
      </c>
      <c r="C1210" s="3" t="s">
        <v>6038</v>
      </c>
      <c r="D1210" s="3" t="s">
        <v>6001</v>
      </c>
      <c r="E1210" s="3" t="s">
        <v>6212</v>
      </c>
      <c r="F1210" s="3" t="s">
        <v>6213</v>
      </c>
      <c r="G1210" s="3" t="s">
        <v>8645</v>
      </c>
      <c r="H1210" s="3" t="s">
        <v>8774</v>
      </c>
      <c r="I1210" s="3" t="s">
        <v>6207</v>
      </c>
      <c r="J1210" s="5" t="s">
        <v>8775</v>
      </c>
      <c r="L1210" s="3" t="s">
        <v>8776</v>
      </c>
      <c r="M1210" s="3">
        <v>2</v>
      </c>
      <c r="N1210" s="4" t="s">
        <v>8757</v>
      </c>
      <c r="O1210" s="4">
        <v>61</v>
      </c>
      <c r="P1210" s="11" t="s">
        <v>4210</v>
      </c>
      <c r="Q1210" s="11" t="s">
        <v>9993</v>
      </c>
      <c r="S1210" s="4" t="b">
        <f>ISNUMBER(MATCH(Q1210,T:T,0))</f>
        <v>1</v>
      </c>
      <c r="T1210" s="4" t="s">
        <v>8856</v>
      </c>
      <c r="U1210" s="4" t="str">
        <f t="shared" si="59"/>
        <v>委</v>
      </c>
    </row>
    <row r="1211" spans="1:22" ht="39">
      <c r="A1211" s="3">
        <v>1208</v>
      </c>
      <c r="B1211" s="3" t="s">
        <v>8753</v>
      </c>
      <c r="C1211" s="3" t="s">
        <v>6025</v>
      </c>
      <c r="D1211" s="3" t="s">
        <v>6001</v>
      </c>
      <c r="E1211" s="3" t="s">
        <v>6212</v>
      </c>
      <c r="F1211" s="3" t="s">
        <v>6213</v>
      </c>
      <c r="G1211" s="3" t="s">
        <v>8645</v>
      </c>
      <c r="H1211" s="3" t="s">
        <v>8777</v>
      </c>
      <c r="I1211" s="3" t="s">
        <v>6207</v>
      </c>
      <c r="J1211" s="5" t="s">
        <v>4689</v>
      </c>
      <c r="L1211" s="3" t="s">
        <v>8778</v>
      </c>
      <c r="M1211" s="3">
        <v>19</v>
      </c>
      <c r="N1211" s="4" t="s">
        <v>8757</v>
      </c>
      <c r="O1211" s="4">
        <v>61</v>
      </c>
      <c r="P1211" s="11" t="s">
        <v>9670</v>
      </c>
      <c r="Q1211" s="11" t="s">
        <v>9993</v>
      </c>
      <c r="S1211" s="4" t="b">
        <f>ISNUMBER(MATCH(Q1211,T:T,0))</f>
        <v>1</v>
      </c>
      <c r="T1211" s="4" t="s">
        <v>10199</v>
      </c>
      <c r="U1211" s="4" t="str">
        <f t="shared" si="59"/>
        <v>委</v>
      </c>
    </row>
    <row r="1212" spans="1:22">
      <c r="A1212" s="3">
        <v>1209</v>
      </c>
      <c r="B1212" s="3" t="s">
        <v>8753</v>
      </c>
      <c r="C1212" s="3" t="s">
        <v>6017</v>
      </c>
      <c r="D1212" s="3" t="s">
        <v>6001</v>
      </c>
      <c r="E1212" s="3" t="s">
        <v>6212</v>
      </c>
      <c r="F1212" s="3" t="s">
        <v>6205</v>
      </c>
      <c r="G1212" s="3" t="s">
        <v>8645</v>
      </c>
      <c r="H1212" s="3" t="s">
        <v>8779</v>
      </c>
      <c r="I1212" s="3" t="s">
        <v>6207</v>
      </c>
      <c r="J1212" s="5" t="s">
        <v>8780</v>
      </c>
      <c r="L1212" s="3" t="s">
        <v>8781</v>
      </c>
      <c r="M1212" s="3">
        <v>5</v>
      </c>
      <c r="N1212" s="4" t="s">
        <v>8757</v>
      </c>
      <c r="O1212" s="4">
        <v>61</v>
      </c>
      <c r="P1212" s="11" t="s">
        <v>9714</v>
      </c>
      <c r="Q1212" s="11" t="s">
        <v>9993</v>
      </c>
      <c r="S1212" s="4" t="b">
        <f>ISNUMBER(MATCH(Q1212,T:T,0))</f>
        <v>1</v>
      </c>
      <c r="T1212" s="4" t="s">
        <v>10217</v>
      </c>
      <c r="U1212" s="4" t="str">
        <f t="shared" si="59"/>
        <v>委</v>
      </c>
    </row>
    <row r="1213" spans="1:22">
      <c r="A1213" s="3">
        <v>1210</v>
      </c>
      <c r="B1213" s="3" t="s">
        <v>8753</v>
      </c>
      <c r="C1213" s="3" t="s">
        <v>6058</v>
      </c>
      <c r="D1213" s="3" t="s">
        <v>6001</v>
      </c>
      <c r="E1213" s="3" t="s">
        <v>6212</v>
      </c>
      <c r="F1213" s="3" t="s">
        <v>6205</v>
      </c>
      <c r="G1213" s="3" t="s">
        <v>8645</v>
      </c>
      <c r="H1213" s="3" t="s">
        <v>8782</v>
      </c>
      <c r="I1213" s="3" t="s">
        <v>6207</v>
      </c>
      <c r="J1213" s="5" t="s">
        <v>4690</v>
      </c>
      <c r="L1213" s="3" t="s">
        <v>8783</v>
      </c>
      <c r="M1213" s="3">
        <v>6</v>
      </c>
      <c r="N1213" s="4" t="s">
        <v>8757</v>
      </c>
      <c r="O1213" s="4">
        <v>61</v>
      </c>
      <c r="P1213" s="11" t="s">
        <v>9727</v>
      </c>
      <c r="Q1213" s="11" t="s">
        <v>9993</v>
      </c>
      <c r="S1213" s="4" t="b">
        <f>ISNUMBER(MATCH(Q1213,T:T,0))</f>
        <v>1</v>
      </c>
      <c r="T1213" s="4" t="s">
        <v>4356</v>
      </c>
      <c r="U1213" s="4" t="str">
        <f t="shared" si="59"/>
        <v>委</v>
      </c>
    </row>
    <row r="1214" spans="1:22">
      <c r="A1214" s="3">
        <v>1211</v>
      </c>
      <c r="B1214" s="3" t="s">
        <v>8753</v>
      </c>
      <c r="C1214" s="3" t="s">
        <v>6041</v>
      </c>
      <c r="D1214" s="3" t="s">
        <v>6001</v>
      </c>
      <c r="E1214" s="3" t="s">
        <v>5991</v>
      </c>
      <c r="F1214" s="3" t="s">
        <v>6213</v>
      </c>
      <c r="G1214" s="3" t="s">
        <v>8645</v>
      </c>
      <c r="H1214" s="3" t="s">
        <v>8784</v>
      </c>
      <c r="I1214" s="3" t="s">
        <v>6207</v>
      </c>
      <c r="J1214" s="5" t="s">
        <v>8785</v>
      </c>
      <c r="L1214" s="3" t="s">
        <v>8786</v>
      </c>
      <c r="M1214" s="3">
        <v>6</v>
      </c>
      <c r="N1214" s="4" t="s">
        <v>8757</v>
      </c>
      <c r="O1214" s="4">
        <v>61</v>
      </c>
      <c r="P1214" s="11" t="s">
        <v>9721</v>
      </c>
      <c r="Q1214" s="11" t="s">
        <v>10127</v>
      </c>
      <c r="S1214" s="4" t="b">
        <f>ISNUMBER(MATCH(Q1214,T:T,0))</f>
        <v>1</v>
      </c>
      <c r="T1214" s="4" t="s">
        <v>11566</v>
      </c>
      <c r="U1214" s="4" t="str">
        <f t="shared" si="59"/>
        <v>綺</v>
      </c>
    </row>
    <row r="1215" spans="1:22">
      <c r="A1215" s="3">
        <v>1212</v>
      </c>
      <c r="B1215" s="3" t="s">
        <v>8753</v>
      </c>
      <c r="C1215" s="3" t="s">
        <v>6072</v>
      </c>
      <c r="D1215" s="3" t="s">
        <v>6001</v>
      </c>
      <c r="E1215" s="3" t="s">
        <v>5991</v>
      </c>
      <c r="F1215" s="3" t="s">
        <v>6213</v>
      </c>
      <c r="G1215" s="3" t="s">
        <v>8645</v>
      </c>
      <c r="H1215" s="3" t="s">
        <v>8787</v>
      </c>
      <c r="I1215" s="3" t="s">
        <v>6207</v>
      </c>
      <c r="J1215" s="5" t="s">
        <v>4691</v>
      </c>
      <c r="L1215" s="3" t="s">
        <v>8788</v>
      </c>
      <c r="M1215" s="3">
        <v>5</v>
      </c>
      <c r="N1215" s="4" t="s">
        <v>8757</v>
      </c>
      <c r="O1215" s="4">
        <v>61</v>
      </c>
      <c r="P1215" s="11" t="s">
        <v>9754</v>
      </c>
      <c r="Q1215" s="11" t="s">
        <v>10127</v>
      </c>
      <c r="S1215" s="4" t="b">
        <f>ISNUMBER(MATCH(Q1215,T:T,0))</f>
        <v>1</v>
      </c>
      <c r="T1215" s="4" t="s">
        <v>10201</v>
      </c>
      <c r="U1215" s="4" t="str">
        <f t="shared" si="59"/>
        <v>綺</v>
      </c>
    </row>
    <row r="1216" spans="1:22">
      <c r="A1216" s="3">
        <v>1213</v>
      </c>
      <c r="B1216" s="3" t="s">
        <v>8753</v>
      </c>
      <c r="C1216" s="3" t="s">
        <v>6025</v>
      </c>
      <c r="D1216" s="3" t="s">
        <v>6001</v>
      </c>
      <c r="E1216" s="3" t="s">
        <v>5991</v>
      </c>
      <c r="F1216" s="3" t="s">
        <v>6213</v>
      </c>
      <c r="G1216" s="3" t="s">
        <v>8645</v>
      </c>
      <c r="H1216" s="3" t="s">
        <v>8789</v>
      </c>
      <c r="I1216" s="3" t="s">
        <v>6207</v>
      </c>
      <c r="J1216" s="5" t="s">
        <v>8790</v>
      </c>
      <c r="L1216" s="3" t="s">
        <v>8791</v>
      </c>
      <c r="M1216" s="3">
        <v>7</v>
      </c>
      <c r="N1216" s="4" t="s">
        <v>8757</v>
      </c>
      <c r="O1216" s="4">
        <v>61</v>
      </c>
      <c r="P1216" s="11" t="s">
        <v>9717</v>
      </c>
      <c r="Q1216" s="11" t="s">
        <v>10127</v>
      </c>
      <c r="S1216" s="4" t="b">
        <f>ISNUMBER(MATCH(Q1216,T:T,0))</f>
        <v>1</v>
      </c>
      <c r="T1216" s="4" t="s">
        <v>11567</v>
      </c>
      <c r="U1216" s="4" t="str">
        <f t="shared" si="59"/>
        <v>綺</v>
      </c>
    </row>
    <row r="1217" spans="1:22">
      <c r="A1217" s="3">
        <v>1214</v>
      </c>
      <c r="B1217" s="3" t="s">
        <v>8753</v>
      </c>
      <c r="C1217" s="3" t="s">
        <v>6038</v>
      </c>
      <c r="D1217" s="3" t="s">
        <v>6001</v>
      </c>
      <c r="E1217" s="3" t="s">
        <v>5991</v>
      </c>
      <c r="F1217" s="3" t="s">
        <v>6213</v>
      </c>
      <c r="G1217" s="3" t="s">
        <v>8645</v>
      </c>
      <c r="H1217" s="3" t="s">
        <v>8792</v>
      </c>
      <c r="I1217" s="3" t="s">
        <v>6207</v>
      </c>
      <c r="J1217" s="5" t="s">
        <v>8793</v>
      </c>
      <c r="L1217" s="3" t="s">
        <v>8794</v>
      </c>
      <c r="M1217" s="3">
        <v>7</v>
      </c>
      <c r="N1217" s="4" t="s">
        <v>8757</v>
      </c>
      <c r="O1217" s="4">
        <v>61</v>
      </c>
      <c r="P1217" s="11" t="s">
        <v>10200</v>
      </c>
      <c r="Q1217" s="11" t="s">
        <v>9786</v>
      </c>
      <c r="S1217" s="4" t="b">
        <f>ISNUMBER(MATCH(Q1217,T:T,0))</f>
        <v>1</v>
      </c>
      <c r="T1217" s="4" t="s">
        <v>10127</v>
      </c>
      <c r="U1217" s="4" t="str">
        <f t="shared" si="59"/>
        <v>彼</v>
      </c>
    </row>
    <row r="1218" spans="1:22">
      <c r="A1218" s="3">
        <v>1215</v>
      </c>
      <c r="B1218" s="3" t="s">
        <v>8753</v>
      </c>
      <c r="C1218" s="3" t="s">
        <v>6092</v>
      </c>
      <c r="D1218" s="3" t="s">
        <v>6001</v>
      </c>
      <c r="E1218" s="3" t="s">
        <v>5991</v>
      </c>
      <c r="F1218" s="3" t="s">
        <v>6213</v>
      </c>
      <c r="G1218" s="3" t="s">
        <v>8645</v>
      </c>
      <c r="H1218" s="3" t="s">
        <v>8795</v>
      </c>
      <c r="I1218" s="3" t="s">
        <v>6207</v>
      </c>
      <c r="J1218" s="5" t="s">
        <v>8796</v>
      </c>
      <c r="L1218" s="3" t="s">
        <v>8788</v>
      </c>
      <c r="M1218" s="3">
        <v>12</v>
      </c>
      <c r="N1218" s="4" t="s">
        <v>8757</v>
      </c>
      <c r="O1218" s="4">
        <v>61</v>
      </c>
      <c r="P1218" s="11" t="s">
        <v>6462</v>
      </c>
      <c r="Q1218" s="11" t="s">
        <v>10201</v>
      </c>
      <c r="S1218" s="4" t="b">
        <f>ISNUMBER(MATCH(Q1218,T:T,0))</f>
        <v>1</v>
      </c>
      <c r="T1218" s="4" t="s">
        <v>11568</v>
      </c>
      <c r="U1218" s="4" t="str">
        <f t="shared" si="59"/>
        <v>倚</v>
      </c>
    </row>
    <row r="1219" spans="1:22">
      <c r="A1219" s="3">
        <v>1216</v>
      </c>
      <c r="B1219" s="3" t="s">
        <v>8753</v>
      </c>
      <c r="C1219" s="3" t="s">
        <v>6032</v>
      </c>
      <c r="D1219" s="3" t="s">
        <v>6001</v>
      </c>
      <c r="E1219" s="3" t="s">
        <v>6212</v>
      </c>
      <c r="F1219" s="3" t="s">
        <v>6213</v>
      </c>
      <c r="G1219" s="3" t="s">
        <v>8645</v>
      </c>
      <c r="H1219" s="3" t="s">
        <v>8797</v>
      </c>
      <c r="I1219" s="3" t="s">
        <v>6207</v>
      </c>
      <c r="J1219" s="8" t="s">
        <v>4692</v>
      </c>
      <c r="K1219" s="3" t="s">
        <v>596</v>
      </c>
      <c r="L1219" s="3" t="s">
        <v>8773</v>
      </c>
      <c r="M1219" s="3">
        <v>9</v>
      </c>
      <c r="N1219" s="4" t="s">
        <v>8757</v>
      </c>
      <c r="O1219" s="4">
        <v>61</v>
      </c>
      <c r="P1219" s="11" t="s">
        <v>9845</v>
      </c>
      <c r="Q1219" s="11" t="s">
        <v>9993</v>
      </c>
      <c r="S1219" s="4" t="b">
        <f>ISNUMBER(MATCH(Q1219,T:T,0))</f>
        <v>1</v>
      </c>
      <c r="T1219" s="4" t="s">
        <v>11569</v>
      </c>
      <c r="U1219" s="4" t="str">
        <f t="shared" ref="U1219:U1282" si="60">IF(ISBLANK(R1219),Q1219,R1219)</f>
        <v>委</v>
      </c>
    </row>
    <row r="1220" spans="1:22">
      <c r="A1220" s="3">
        <v>1217</v>
      </c>
      <c r="B1220" s="3" t="s">
        <v>8753</v>
      </c>
      <c r="C1220" s="3" t="s">
        <v>6083</v>
      </c>
      <c r="D1220" s="3" t="s">
        <v>6001</v>
      </c>
      <c r="E1220" s="3" t="s">
        <v>6212</v>
      </c>
      <c r="F1220" s="3" t="s">
        <v>6205</v>
      </c>
      <c r="G1220" s="3" t="s">
        <v>8645</v>
      </c>
      <c r="H1220" s="3" t="s">
        <v>8798</v>
      </c>
      <c r="I1220" s="3" t="s">
        <v>6207</v>
      </c>
      <c r="J1220" s="5" t="s">
        <v>8799</v>
      </c>
      <c r="K1220" s="3" t="s">
        <v>597</v>
      </c>
      <c r="L1220" s="3" t="s">
        <v>8800</v>
      </c>
      <c r="M1220" s="3">
        <v>2</v>
      </c>
      <c r="N1220" s="4" t="s">
        <v>8757</v>
      </c>
      <c r="O1220" s="4">
        <v>61</v>
      </c>
      <c r="P1220" s="11" t="s">
        <v>9760</v>
      </c>
      <c r="Q1220" s="11" t="s">
        <v>9993</v>
      </c>
      <c r="S1220" s="4" t="b">
        <f>ISNUMBER(MATCH(Q1220,T:T,0))</f>
        <v>1</v>
      </c>
      <c r="T1220" s="4" t="s">
        <v>11570</v>
      </c>
      <c r="U1220" s="4" t="str">
        <f t="shared" si="60"/>
        <v>委</v>
      </c>
    </row>
    <row r="1221" spans="1:22">
      <c r="A1221" s="3">
        <v>1218</v>
      </c>
      <c r="B1221" s="3" t="s">
        <v>8753</v>
      </c>
      <c r="C1221" s="3" t="s">
        <v>6021</v>
      </c>
      <c r="D1221" s="3" t="s">
        <v>6001</v>
      </c>
      <c r="E1221" s="3" t="s">
        <v>6212</v>
      </c>
      <c r="F1221" s="3" t="s">
        <v>6205</v>
      </c>
      <c r="G1221" s="3" t="s">
        <v>8645</v>
      </c>
      <c r="H1221" s="3" t="s">
        <v>8801</v>
      </c>
      <c r="I1221" s="3" t="s">
        <v>6207</v>
      </c>
      <c r="J1221" s="8" t="s">
        <v>4693</v>
      </c>
      <c r="L1221" s="3" t="s">
        <v>8802</v>
      </c>
      <c r="M1221" s="3">
        <v>4</v>
      </c>
      <c r="N1221" s="4" t="s">
        <v>8757</v>
      </c>
      <c r="O1221" s="4">
        <v>61</v>
      </c>
      <c r="P1221" s="11" t="s">
        <v>9715</v>
      </c>
      <c r="Q1221" s="11" t="s">
        <v>4356</v>
      </c>
      <c r="S1221" s="4" t="b">
        <f>ISNUMBER(MATCH(Q1221,T:T,0))</f>
        <v>1</v>
      </c>
      <c r="T1221" s="4" t="s">
        <v>11571</v>
      </c>
      <c r="U1221" s="4" t="str">
        <f t="shared" si="60"/>
        <v>累</v>
      </c>
    </row>
    <row r="1222" spans="1:22">
      <c r="A1222" s="3">
        <v>1219</v>
      </c>
      <c r="B1222" s="3" t="s">
        <v>8753</v>
      </c>
      <c r="C1222" s="3" t="s">
        <v>6076</v>
      </c>
      <c r="D1222" s="3" t="s">
        <v>6001</v>
      </c>
      <c r="E1222" s="3" t="s">
        <v>5991</v>
      </c>
      <c r="F1222" s="3" t="s">
        <v>6205</v>
      </c>
      <c r="G1222" s="3" t="s">
        <v>8645</v>
      </c>
      <c r="H1222" s="3" t="s">
        <v>8803</v>
      </c>
      <c r="I1222" s="3" t="s">
        <v>6207</v>
      </c>
      <c r="J1222" s="5" t="s">
        <v>8804</v>
      </c>
      <c r="L1222" s="3" t="s">
        <v>8805</v>
      </c>
      <c r="M1222" s="3">
        <v>9</v>
      </c>
      <c r="N1222" s="4" t="s">
        <v>8757</v>
      </c>
      <c r="O1222" s="4">
        <v>61</v>
      </c>
      <c r="P1222" s="11" t="s">
        <v>10202</v>
      </c>
      <c r="Q1222" s="11" t="s">
        <v>10158</v>
      </c>
      <c r="R1222" s="4" t="s">
        <v>13074</v>
      </c>
      <c r="S1222" s="4" t="b">
        <f>ISNUMBER(MATCH(Q1222,T:T,0))</f>
        <v>0</v>
      </c>
      <c r="T1222" s="4" t="s">
        <v>9795</v>
      </c>
      <c r="U1222" s="4" t="str">
        <f t="shared" si="60"/>
        <v>是</v>
      </c>
      <c r="V1222" s="4" t="b">
        <f>ISNUMBER(MATCH(R1222,T:T,0))</f>
        <v>1</v>
      </c>
    </row>
    <row r="1223" spans="1:22">
      <c r="A1223" s="3">
        <v>1220</v>
      </c>
      <c r="B1223" s="3" t="s">
        <v>8753</v>
      </c>
      <c r="C1223" s="3" t="s">
        <v>6005</v>
      </c>
      <c r="D1223" s="3" t="s">
        <v>6001</v>
      </c>
      <c r="E1223" s="3" t="s">
        <v>5991</v>
      </c>
      <c r="F1223" s="3" t="s">
        <v>6213</v>
      </c>
      <c r="G1223" s="3" t="s">
        <v>8645</v>
      </c>
      <c r="H1223" s="3" t="s">
        <v>8806</v>
      </c>
      <c r="I1223" s="3" t="s">
        <v>6207</v>
      </c>
      <c r="J1223" s="5" t="s">
        <v>8807</v>
      </c>
      <c r="L1223" s="3" t="s">
        <v>8808</v>
      </c>
      <c r="M1223" s="3">
        <v>12</v>
      </c>
      <c r="N1223" s="4" t="s">
        <v>8757</v>
      </c>
      <c r="O1223" s="4">
        <v>61</v>
      </c>
      <c r="P1223" s="11" t="s">
        <v>10203</v>
      </c>
      <c r="Q1223" s="11" t="s">
        <v>10204</v>
      </c>
      <c r="S1223" s="4" t="b">
        <f>ISNUMBER(MATCH(Q1223,T:T,0))</f>
        <v>1</v>
      </c>
      <c r="T1223" s="4" t="s">
        <v>10214</v>
      </c>
      <c r="U1223" s="4" t="str">
        <f t="shared" si="60"/>
        <v>爾</v>
      </c>
    </row>
    <row r="1224" spans="1:22">
      <c r="A1224" s="3">
        <v>1221</v>
      </c>
      <c r="B1224" s="3" t="s">
        <v>8753</v>
      </c>
      <c r="C1224" s="3" t="s">
        <v>6017</v>
      </c>
      <c r="D1224" s="3" t="s">
        <v>6001</v>
      </c>
      <c r="E1224" s="3" t="s">
        <v>5991</v>
      </c>
      <c r="F1224" s="3" t="s">
        <v>6205</v>
      </c>
      <c r="G1224" s="3" t="s">
        <v>8645</v>
      </c>
      <c r="H1224" s="3" t="s">
        <v>8809</v>
      </c>
      <c r="I1224" s="3" t="s">
        <v>6207</v>
      </c>
      <c r="J1224" s="5" t="s">
        <v>4694</v>
      </c>
      <c r="L1224" s="3" t="s">
        <v>8810</v>
      </c>
      <c r="M1224" s="3">
        <v>5</v>
      </c>
      <c r="N1224" s="4" t="s">
        <v>8757</v>
      </c>
      <c r="O1224" s="4">
        <v>61</v>
      </c>
      <c r="P1224" s="11" t="s">
        <v>10205</v>
      </c>
      <c r="Q1224" s="11" t="s">
        <v>10158</v>
      </c>
      <c r="R1224" s="4" t="s">
        <v>13074</v>
      </c>
      <c r="S1224" s="4" t="b">
        <f>ISNUMBER(MATCH(Q1224,T:T,0))</f>
        <v>0</v>
      </c>
      <c r="T1224" s="4" t="s">
        <v>11572</v>
      </c>
      <c r="U1224" s="4" t="str">
        <f t="shared" si="60"/>
        <v>是</v>
      </c>
      <c r="V1224" s="4" t="b">
        <f>ISNUMBER(MATCH(R1224,T:T,0))</f>
        <v>1</v>
      </c>
    </row>
    <row r="1225" spans="1:22">
      <c r="A1225" s="3">
        <v>1222</v>
      </c>
      <c r="B1225" s="3" t="s">
        <v>8753</v>
      </c>
      <c r="C1225" s="3" t="s">
        <v>6028</v>
      </c>
      <c r="D1225" s="3" t="s">
        <v>6001</v>
      </c>
      <c r="E1225" s="3" t="s">
        <v>5991</v>
      </c>
      <c r="F1225" s="3" t="s">
        <v>6205</v>
      </c>
      <c r="G1225" s="3" t="s">
        <v>8645</v>
      </c>
      <c r="H1225" s="3" t="s">
        <v>8811</v>
      </c>
      <c r="I1225" s="3" t="s">
        <v>6207</v>
      </c>
      <c r="J1225" s="5" t="s">
        <v>4695</v>
      </c>
      <c r="L1225" s="3" t="s">
        <v>8788</v>
      </c>
      <c r="M1225" s="3">
        <v>9</v>
      </c>
      <c r="N1225" s="4" t="s">
        <v>8757</v>
      </c>
      <c r="O1225" s="4">
        <v>61</v>
      </c>
      <c r="P1225" s="11" t="s">
        <v>9778</v>
      </c>
      <c r="Q1225" s="11" t="s">
        <v>10204</v>
      </c>
      <c r="S1225" s="4" t="b">
        <f>ISNUMBER(MATCH(Q1225,T:T,0))</f>
        <v>1</v>
      </c>
      <c r="T1225" s="4" t="s">
        <v>11573</v>
      </c>
      <c r="U1225" s="4" t="str">
        <f t="shared" si="60"/>
        <v>爾</v>
      </c>
    </row>
    <row r="1226" spans="1:22">
      <c r="A1226" s="3">
        <v>1223</v>
      </c>
      <c r="B1226" s="3" t="s">
        <v>8753</v>
      </c>
      <c r="C1226" s="3" t="s">
        <v>6058</v>
      </c>
      <c r="D1226" s="3" t="s">
        <v>6001</v>
      </c>
      <c r="E1226" s="3" t="s">
        <v>5991</v>
      </c>
      <c r="F1226" s="3" t="s">
        <v>6205</v>
      </c>
      <c r="G1226" s="3" t="s">
        <v>8645</v>
      </c>
      <c r="H1226" s="3" t="s">
        <v>8812</v>
      </c>
      <c r="I1226" s="3" t="s">
        <v>6207</v>
      </c>
      <c r="J1226" s="5" t="s">
        <v>8813</v>
      </c>
      <c r="L1226" s="3" t="s">
        <v>8814</v>
      </c>
      <c r="M1226" s="3">
        <v>3</v>
      </c>
      <c r="N1226" s="4" t="s">
        <v>8757</v>
      </c>
      <c r="O1226" s="4">
        <v>61</v>
      </c>
      <c r="P1226" s="11" t="s">
        <v>9727</v>
      </c>
      <c r="Q1226" s="11" t="s">
        <v>8757</v>
      </c>
      <c r="S1226" s="4" t="b">
        <f>ISNUMBER(MATCH(Q1226,T:T,0))</f>
        <v>1</v>
      </c>
      <c r="T1226" s="4" t="s">
        <v>11574</v>
      </c>
      <c r="U1226" s="4" t="str">
        <f t="shared" si="60"/>
        <v>紙</v>
      </c>
    </row>
    <row r="1227" spans="1:22">
      <c r="A1227" s="3">
        <v>1224</v>
      </c>
      <c r="B1227" s="3" t="s">
        <v>8753</v>
      </c>
      <c r="C1227" s="3" t="s">
        <v>6180</v>
      </c>
      <c r="D1227" s="3" t="s">
        <v>6001</v>
      </c>
      <c r="E1227" s="3" t="s">
        <v>5991</v>
      </c>
      <c r="F1227" s="3" t="s">
        <v>6213</v>
      </c>
      <c r="G1227" s="3" t="s">
        <v>8645</v>
      </c>
      <c r="H1227" s="3" t="s">
        <v>8815</v>
      </c>
      <c r="I1227" s="3" t="s">
        <v>6207</v>
      </c>
      <c r="J1227" s="8" t="s">
        <v>4696</v>
      </c>
      <c r="L1227" s="3" t="s">
        <v>8816</v>
      </c>
      <c r="M1227" s="3">
        <v>10</v>
      </c>
      <c r="N1227" s="4" t="s">
        <v>8757</v>
      </c>
      <c r="O1227" s="4">
        <v>61</v>
      </c>
      <c r="P1227" s="11" t="s">
        <v>9774</v>
      </c>
      <c r="Q1227" s="11" t="s">
        <v>10127</v>
      </c>
      <c r="S1227" s="4" t="b">
        <f>ISNUMBER(MATCH(Q1227,T:T,0))</f>
        <v>1</v>
      </c>
      <c r="T1227" s="4" t="s">
        <v>11575</v>
      </c>
      <c r="U1227" s="4" t="str">
        <f t="shared" si="60"/>
        <v>綺</v>
      </c>
    </row>
    <row r="1228" spans="1:22">
      <c r="A1228" s="3">
        <v>1225</v>
      </c>
      <c r="B1228" s="3" t="s">
        <v>8753</v>
      </c>
      <c r="C1228" s="3" t="s">
        <v>6049</v>
      </c>
      <c r="D1228" s="3" t="s">
        <v>6001</v>
      </c>
      <c r="E1228" s="3" t="s">
        <v>5991</v>
      </c>
      <c r="F1228" s="3" t="s">
        <v>6213</v>
      </c>
      <c r="G1228" s="3" t="s">
        <v>8645</v>
      </c>
      <c r="H1228" s="3" t="s">
        <v>8817</v>
      </c>
      <c r="I1228" s="3" t="s">
        <v>6207</v>
      </c>
      <c r="J1228" s="5" t="s">
        <v>8818</v>
      </c>
      <c r="L1228" s="3" t="s">
        <v>8765</v>
      </c>
      <c r="M1228" s="3">
        <v>10</v>
      </c>
      <c r="N1228" s="4" t="s">
        <v>8757</v>
      </c>
      <c r="O1228" s="4">
        <v>61</v>
      </c>
      <c r="P1228" s="11" t="s">
        <v>10108</v>
      </c>
      <c r="Q1228" s="11" t="s">
        <v>10206</v>
      </c>
      <c r="R1228" s="4" t="s">
        <v>13075</v>
      </c>
      <c r="S1228" s="4" t="b">
        <f>ISNUMBER(MATCH(Q1228,T:T,0))</f>
        <v>0</v>
      </c>
      <c r="T1228" s="4" t="s">
        <v>11576</v>
      </c>
      <c r="U1228" s="4" t="str">
        <f t="shared" si="60"/>
        <v>渳</v>
      </c>
      <c r="V1228" s="4" t="b">
        <f t="shared" ref="V1228:V1229" si="61">ISNUMBER(MATCH(R1228,T:T,0))</f>
        <v>1</v>
      </c>
    </row>
    <row r="1229" spans="1:22">
      <c r="A1229" s="3">
        <v>1226</v>
      </c>
      <c r="B1229" s="3" t="s">
        <v>8753</v>
      </c>
      <c r="C1229" s="3" t="s">
        <v>6021</v>
      </c>
      <c r="D1229" s="3" t="s">
        <v>6001</v>
      </c>
      <c r="E1229" s="3" t="s">
        <v>5991</v>
      </c>
      <c r="F1229" s="3" t="s">
        <v>6205</v>
      </c>
      <c r="G1229" s="3" t="s">
        <v>8645</v>
      </c>
      <c r="H1229" s="3" t="s">
        <v>8819</v>
      </c>
      <c r="I1229" s="3" t="s">
        <v>6207</v>
      </c>
      <c r="J1229" s="5" t="s">
        <v>4697</v>
      </c>
      <c r="L1229" s="3" t="s">
        <v>8820</v>
      </c>
      <c r="M1229" s="3">
        <v>4</v>
      </c>
      <c r="N1229" s="4" t="s">
        <v>8757</v>
      </c>
      <c r="O1229" s="4">
        <v>61</v>
      </c>
      <c r="P1229" s="11" t="s">
        <v>10207</v>
      </c>
      <c r="Q1229" s="11" t="s">
        <v>10158</v>
      </c>
      <c r="R1229" s="4" t="s">
        <v>13074</v>
      </c>
      <c r="S1229" s="4" t="b">
        <f>ISNUMBER(MATCH(Q1229,T:T,0))</f>
        <v>0</v>
      </c>
      <c r="T1229" s="4" t="s">
        <v>10204</v>
      </c>
      <c r="U1229" s="4" t="str">
        <f t="shared" si="60"/>
        <v>是</v>
      </c>
      <c r="V1229" s="4" t="b">
        <f t="shared" si="61"/>
        <v>1</v>
      </c>
    </row>
    <row r="1230" spans="1:22">
      <c r="A1230" s="3">
        <v>1227</v>
      </c>
      <c r="B1230" s="3" t="s">
        <v>8753</v>
      </c>
      <c r="C1230" s="3" t="s">
        <v>6035</v>
      </c>
      <c r="D1230" s="3" t="s">
        <v>6001</v>
      </c>
      <c r="E1230" s="3" t="s">
        <v>5991</v>
      </c>
      <c r="F1230" s="3" t="s">
        <v>6205</v>
      </c>
      <c r="G1230" s="3" t="s">
        <v>8645</v>
      </c>
      <c r="H1230" s="3" t="s">
        <v>8821</v>
      </c>
      <c r="I1230" s="3" t="s">
        <v>6207</v>
      </c>
      <c r="J1230" s="5" t="s">
        <v>4698</v>
      </c>
      <c r="L1230" s="3" t="s">
        <v>8763</v>
      </c>
      <c r="M1230" s="3">
        <v>11</v>
      </c>
      <c r="N1230" s="4" t="s">
        <v>8757</v>
      </c>
      <c r="O1230" s="4">
        <v>61</v>
      </c>
      <c r="P1230" s="11" t="s">
        <v>10208</v>
      </c>
      <c r="Q1230" s="11" t="s">
        <v>10209</v>
      </c>
      <c r="S1230" s="4" t="b">
        <f>ISNUMBER(MATCH(Q1230,T:T,0))</f>
        <v>1</v>
      </c>
      <c r="T1230" s="4" t="s">
        <v>11577</v>
      </c>
      <c r="U1230" s="4" t="str">
        <f t="shared" si="60"/>
        <v>婢</v>
      </c>
    </row>
    <row r="1231" spans="1:22">
      <c r="A1231" s="3">
        <v>1228</v>
      </c>
      <c r="B1231" s="3" t="s">
        <v>8753</v>
      </c>
      <c r="C1231" s="3" t="s">
        <v>6045</v>
      </c>
      <c r="D1231" s="3" t="s">
        <v>6001</v>
      </c>
      <c r="E1231" s="3" t="s">
        <v>5991</v>
      </c>
      <c r="F1231" s="3" t="s">
        <v>6205</v>
      </c>
      <c r="G1231" s="3" t="s">
        <v>8645</v>
      </c>
      <c r="H1231" s="3" t="s">
        <v>8822</v>
      </c>
      <c r="I1231" s="3" t="s">
        <v>6207</v>
      </c>
      <c r="J1231" s="5" t="s">
        <v>8823</v>
      </c>
      <c r="L1231" s="3" t="s">
        <v>8768</v>
      </c>
      <c r="M1231" s="3">
        <v>2</v>
      </c>
      <c r="N1231" s="4" t="s">
        <v>8757</v>
      </c>
      <c r="O1231" s="4">
        <v>61</v>
      </c>
      <c r="P1231" s="11" t="s">
        <v>2262</v>
      </c>
      <c r="Q1231" s="11" t="s">
        <v>10209</v>
      </c>
      <c r="S1231" s="4" t="b">
        <f>ISNUMBER(MATCH(Q1231,T:T,0))</f>
        <v>1</v>
      </c>
      <c r="T1231" s="4" t="s">
        <v>10209</v>
      </c>
      <c r="U1231" s="4" t="str">
        <f t="shared" si="60"/>
        <v>婢</v>
      </c>
    </row>
    <row r="1232" spans="1:22">
      <c r="A1232" s="3">
        <v>1229</v>
      </c>
      <c r="B1232" s="3" t="s">
        <v>8753</v>
      </c>
      <c r="C1232" s="3" t="s">
        <v>6055</v>
      </c>
      <c r="D1232" s="3" t="s">
        <v>6001</v>
      </c>
      <c r="E1232" s="3" t="s">
        <v>5991</v>
      </c>
      <c r="F1232" s="3" t="s">
        <v>6205</v>
      </c>
      <c r="G1232" s="3" t="s">
        <v>8645</v>
      </c>
      <c r="H1232" s="3" t="s">
        <v>8824</v>
      </c>
      <c r="I1232" s="3" t="s">
        <v>6207</v>
      </c>
      <c r="J1232" s="5" t="s">
        <v>4699</v>
      </c>
      <c r="L1232" s="3" t="s">
        <v>8825</v>
      </c>
      <c r="M1232" s="3">
        <v>15</v>
      </c>
      <c r="N1232" s="4" t="s">
        <v>8757</v>
      </c>
      <c r="O1232" s="4">
        <v>61</v>
      </c>
      <c r="P1232" s="11" t="s">
        <v>9749</v>
      </c>
      <c r="Q1232" s="11" t="s">
        <v>10158</v>
      </c>
      <c r="R1232" s="4" t="s">
        <v>13074</v>
      </c>
      <c r="S1232" s="4" t="b">
        <f>ISNUMBER(MATCH(Q1232,T:T,0))</f>
        <v>0</v>
      </c>
      <c r="T1232" s="4" t="s">
        <v>10215</v>
      </c>
      <c r="U1232" s="4" t="str">
        <f t="shared" si="60"/>
        <v>是</v>
      </c>
      <c r="V1232" s="4" t="b">
        <f>ISNUMBER(MATCH(R1232,T:T,0))</f>
        <v>1</v>
      </c>
    </row>
    <row r="1233" spans="1:22">
      <c r="A1233" s="3">
        <v>1230</v>
      </c>
      <c r="B1233" s="3" t="s">
        <v>8753</v>
      </c>
      <c r="C1233" s="3" t="s">
        <v>6120</v>
      </c>
      <c r="D1233" s="3" t="s">
        <v>6001</v>
      </c>
      <c r="E1233" s="3" t="s">
        <v>5991</v>
      </c>
      <c r="F1233" s="3" t="s">
        <v>6205</v>
      </c>
      <c r="G1233" s="3" t="s">
        <v>8645</v>
      </c>
      <c r="H1233" s="3" t="s">
        <v>8826</v>
      </c>
      <c r="I1233" s="3" t="s">
        <v>6207</v>
      </c>
      <c r="J1233" s="5" t="s">
        <v>8827</v>
      </c>
      <c r="L1233" s="3" t="s">
        <v>8816</v>
      </c>
      <c r="M1233" s="3">
        <v>3</v>
      </c>
      <c r="N1233" s="4" t="s">
        <v>8757</v>
      </c>
      <c r="O1233" s="4">
        <v>61</v>
      </c>
      <c r="P1233" s="11" t="s">
        <v>10210</v>
      </c>
      <c r="Q1233" s="11" t="s">
        <v>9784</v>
      </c>
      <c r="S1233" s="4" t="b">
        <f>ISNUMBER(MATCH(Q1233,T:T,0))</f>
        <v>1</v>
      </c>
      <c r="T1233" s="4" t="s">
        <v>11578</v>
      </c>
      <c r="U1233" s="4" t="str">
        <f t="shared" si="60"/>
        <v>是</v>
      </c>
    </row>
    <row r="1234" spans="1:22">
      <c r="A1234" s="3">
        <v>1231</v>
      </c>
      <c r="B1234" s="3" t="s">
        <v>8753</v>
      </c>
      <c r="C1234" s="3" t="s">
        <v>6083</v>
      </c>
      <c r="D1234" s="3" t="s">
        <v>6001</v>
      </c>
      <c r="E1234" s="3" t="s">
        <v>5991</v>
      </c>
      <c r="F1234" s="3" t="s">
        <v>6205</v>
      </c>
      <c r="G1234" s="3" t="s">
        <v>8645</v>
      </c>
      <c r="H1234" s="3" t="s">
        <v>8828</v>
      </c>
      <c r="I1234" s="3" t="s">
        <v>6207</v>
      </c>
      <c r="J1234" s="5" t="s">
        <v>4700</v>
      </c>
      <c r="L1234" s="3" t="s">
        <v>8829</v>
      </c>
      <c r="M1234" s="3">
        <v>9</v>
      </c>
      <c r="N1234" s="4" t="s">
        <v>8757</v>
      </c>
      <c r="O1234" s="4">
        <v>61</v>
      </c>
      <c r="P1234" s="11" t="s">
        <v>9933</v>
      </c>
      <c r="Q1234" s="11" t="s">
        <v>9795</v>
      </c>
      <c r="S1234" s="4" t="b">
        <f>ISNUMBER(MATCH(Q1234,T:T,0))</f>
        <v>1</v>
      </c>
      <c r="T1234" s="4" t="s">
        <v>11579</v>
      </c>
      <c r="U1234" s="4" t="str">
        <f t="shared" si="60"/>
        <v>此</v>
      </c>
    </row>
    <row r="1235" spans="1:22">
      <c r="A1235" s="3">
        <v>1232</v>
      </c>
      <c r="B1235" s="3" t="s">
        <v>8753</v>
      </c>
      <c r="C1235" s="3" t="s">
        <v>6009</v>
      </c>
      <c r="D1235" s="3" t="s">
        <v>6001</v>
      </c>
      <c r="E1235" s="3" t="s">
        <v>6212</v>
      </c>
      <c r="F1235" s="3" t="s">
        <v>6205</v>
      </c>
      <c r="G1235" s="3" t="s">
        <v>8645</v>
      </c>
      <c r="H1235" s="3" t="s">
        <v>8830</v>
      </c>
      <c r="I1235" s="3" t="s">
        <v>6207</v>
      </c>
      <c r="J1235" s="5" t="s">
        <v>8831</v>
      </c>
      <c r="L1235" s="3" t="s">
        <v>8832</v>
      </c>
      <c r="M1235" s="3">
        <v>5</v>
      </c>
      <c r="N1235" s="4" t="s">
        <v>8757</v>
      </c>
      <c r="O1235" s="4">
        <v>61</v>
      </c>
      <c r="P1235" s="11" t="s">
        <v>6396</v>
      </c>
      <c r="Q1235" s="11" t="s">
        <v>4356</v>
      </c>
      <c r="S1235" s="4" t="b">
        <f>ISNUMBER(MATCH(Q1235,T:T,0))</f>
        <v>1</v>
      </c>
      <c r="T1235" s="4" t="s">
        <v>10213</v>
      </c>
      <c r="U1235" s="4" t="str">
        <f t="shared" si="60"/>
        <v>累</v>
      </c>
    </row>
    <row r="1236" spans="1:22" ht="28.5">
      <c r="A1236" s="3">
        <v>1233</v>
      </c>
      <c r="B1236" s="3" t="s">
        <v>8753</v>
      </c>
      <c r="C1236" s="3" t="s">
        <v>6167</v>
      </c>
      <c r="D1236" s="3" t="s">
        <v>6001</v>
      </c>
      <c r="E1236" s="3" t="s">
        <v>6212</v>
      </c>
      <c r="F1236" s="3" t="s">
        <v>6213</v>
      </c>
      <c r="G1236" s="3" t="s">
        <v>8645</v>
      </c>
      <c r="H1236" s="3" t="s">
        <v>8833</v>
      </c>
      <c r="I1236" s="3" t="s">
        <v>6207</v>
      </c>
      <c r="J1236" s="5" t="s">
        <v>8834</v>
      </c>
      <c r="K1236" s="3" t="s">
        <v>598</v>
      </c>
      <c r="L1236" s="3" t="s">
        <v>8835</v>
      </c>
      <c r="M1236" s="3">
        <v>2</v>
      </c>
      <c r="N1236" s="4" t="s">
        <v>8757</v>
      </c>
      <c r="O1236" s="4">
        <v>61</v>
      </c>
      <c r="P1236" s="11" t="s">
        <v>6167</v>
      </c>
      <c r="Q1236" s="11" t="s">
        <v>9993</v>
      </c>
      <c r="S1236" s="4" t="b">
        <f>ISNUMBER(MATCH(Q1236,T:T,0))</f>
        <v>1</v>
      </c>
      <c r="T1236" s="4" t="s">
        <v>11580</v>
      </c>
      <c r="U1236" s="4" t="str">
        <f t="shared" si="60"/>
        <v>委</v>
      </c>
    </row>
    <row r="1237" spans="1:22">
      <c r="A1237" s="3">
        <v>1234</v>
      </c>
      <c r="B1237" s="3" t="s">
        <v>8753</v>
      </c>
      <c r="C1237" s="3" t="s">
        <v>6123</v>
      </c>
      <c r="D1237" s="3" t="s">
        <v>6001</v>
      </c>
      <c r="E1237" s="3" t="s">
        <v>6212</v>
      </c>
      <c r="F1237" s="3" t="s">
        <v>6205</v>
      </c>
      <c r="G1237" s="3" t="s">
        <v>8645</v>
      </c>
      <c r="H1237" s="3" t="s">
        <v>8836</v>
      </c>
      <c r="I1237" s="3" t="s">
        <v>6207</v>
      </c>
      <c r="J1237" s="5" t="s">
        <v>8837</v>
      </c>
      <c r="L1237" s="3" t="s">
        <v>8838</v>
      </c>
      <c r="M1237" s="3">
        <v>1</v>
      </c>
      <c r="N1237" s="4" t="s">
        <v>8757</v>
      </c>
      <c r="O1237" s="4">
        <v>61</v>
      </c>
      <c r="P1237" s="11" t="s">
        <v>9788</v>
      </c>
      <c r="Q1237" s="11" t="s">
        <v>10209</v>
      </c>
      <c r="S1237" s="4" t="b">
        <f>ISNUMBER(MATCH(Q1237,T:T,0))</f>
        <v>1</v>
      </c>
      <c r="T1237" s="4" t="s">
        <v>8837</v>
      </c>
      <c r="U1237" s="4" t="str">
        <f t="shared" si="60"/>
        <v>婢</v>
      </c>
    </row>
    <row r="1238" spans="1:22">
      <c r="A1238" s="3">
        <v>1235</v>
      </c>
      <c r="B1238" s="3" t="s">
        <v>8753</v>
      </c>
      <c r="C1238" s="3" t="s">
        <v>3093</v>
      </c>
      <c r="D1238" s="3" t="s">
        <v>6001</v>
      </c>
      <c r="E1238" s="3" t="s">
        <v>5991</v>
      </c>
      <c r="F1238" s="3" t="s">
        <v>6205</v>
      </c>
      <c r="G1238" s="3" t="s">
        <v>8645</v>
      </c>
      <c r="H1238" s="3" t="s">
        <v>725</v>
      </c>
      <c r="I1238" s="3" t="s">
        <v>6207</v>
      </c>
      <c r="J1238" s="8" t="s">
        <v>4701</v>
      </c>
      <c r="L1238" s="3" t="s">
        <v>8760</v>
      </c>
      <c r="M1238" s="3">
        <v>4</v>
      </c>
      <c r="N1238" s="4" t="s">
        <v>8757</v>
      </c>
      <c r="O1238" s="4">
        <v>61</v>
      </c>
      <c r="P1238" s="11" t="s">
        <v>10211</v>
      </c>
      <c r="Q1238" s="11" t="s">
        <v>10212</v>
      </c>
      <c r="R1238" s="4" t="s">
        <v>13076</v>
      </c>
      <c r="S1238" s="4" t="b">
        <f>ISNUMBER(MATCH(Q1238,T:T,0))</f>
        <v>0</v>
      </c>
      <c r="T1238" s="4" t="s">
        <v>11581</v>
      </c>
      <c r="U1238" s="4" t="str">
        <f t="shared" si="60"/>
        <v>紙</v>
      </c>
      <c r="V1238" s="4" t="b">
        <f t="shared" ref="V1238:V1239" si="62">ISNUMBER(MATCH(R1238,T:T,0))</f>
        <v>1</v>
      </c>
    </row>
    <row r="1239" spans="1:22">
      <c r="A1239" s="3">
        <v>1236</v>
      </c>
      <c r="B1239" s="3" t="s">
        <v>8753</v>
      </c>
      <c r="C1239" s="3" t="s">
        <v>6318</v>
      </c>
      <c r="D1239" s="3" t="s">
        <v>6001</v>
      </c>
      <c r="E1239" s="3" t="s">
        <v>5991</v>
      </c>
      <c r="F1239" s="3" t="s">
        <v>6213</v>
      </c>
      <c r="G1239" s="3" t="s">
        <v>8645</v>
      </c>
      <c r="H1239" s="3" t="s">
        <v>8839</v>
      </c>
      <c r="I1239" s="3" t="s">
        <v>6207</v>
      </c>
      <c r="J1239" s="5" t="s">
        <v>8840</v>
      </c>
      <c r="L1239" s="3" t="s">
        <v>8756</v>
      </c>
      <c r="M1239" s="3">
        <v>2</v>
      </c>
      <c r="N1239" s="4" t="s">
        <v>8757</v>
      </c>
      <c r="O1239" s="4">
        <v>61</v>
      </c>
      <c r="P1239" s="11" t="s">
        <v>9804</v>
      </c>
      <c r="Q1239" s="11" t="s">
        <v>10158</v>
      </c>
      <c r="R1239" s="4" t="s">
        <v>13074</v>
      </c>
      <c r="S1239" s="4" t="b">
        <f>ISNUMBER(MATCH(Q1239,T:T,0))</f>
        <v>0</v>
      </c>
      <c r="T1239" s="4" t="s">
        <v>11582</v>
      </c>
      <c r="U1239" s="4" t="str">
        <f t="shared" si="60"/>
        <v>是</v>
      </c>
      <c r="V1239" s="4" t="b">
        <f t="shared" si="62"/>
        <v>1</v>
      </c>
    </row>
    <row r="1240" spans="1:22">
      <c r="A1240" s="3">
        <v>1237</v>
      </c>
      <c r="B1240" s="3" t="s">
        <v>8753</v>
      </c>
      <c r="C1240" s="3" t="s">
        <v>6053</v>
      </c>
      <c r="D1240" s="3" t="s">
        <v>6001</v>
      </c>
      <c r="E1240" s="3" t="s">
        <v>5991</v>
      </c>
      <c r="F1240" s="3" t="s">
        <v>6213</v>
      </c>
      <c r="G1240" s="3" t="s">
        <v>8645</v>
      </c>
      <c r="H1240" s="3" t="s">
        <v>8841</v>
      </c>
      <c r="I1240" s="3" t="s">
        <v>6207</v>
      </c>
      <c r="J1240" s="5" t="s">
        <v>4702</v>
      </c>
      <c r="L1240" s="3" t="s">
        <v>8842</v>
      </c>
      <c r="M1240" s="3">
        <v>3</v>
      </c>
      <c r="N1240" s="4" t="s">
        <v>8757</v>
      </c>
      <c r="O1240" s="4">
        <v>61</v>
      </c>
      <c r="P1240" s="11" t="s">
        <v>9772</v>
      </c>
      <c r="Q1240" s="11" t="s">
        <v>9781</v>
      </c>
      <c r="S1240" s="4" t="b">
        <f>ISNUMBER(MATCH(Q1240,T:T,0))</f>
        <v>1</v>
      </c>
      <c r="T1240" s="4" t="s">
        <v>11583</v>
      </c>
      <c r="U1240" s="4" t="str">
        <f t="shared" si="60"/>
        <v>靡</v>
      </c>
    </row>
    <row r="1241" spans="1:22">
      <c r="A1241" s="3">
        <v>1238</v>
      </c>
      <c r="B1241" s="3" t="s">
        <v>8753</v>
      </c>
      <c r="C1241" s="3" t="s">
        <v>6053</v>
      </c>
      <c r="D1241" s="3" t="s">
        <v>6001</v>
      </c>
      <c r="E1241" s="3" t="s">
        <v>5991</v>
      </c>
      <c r="F1241" s="3" t="s">
        <v>6205</v>
      </c>
      <c r="G1241" s="3" t="s">
        <v>8645</v>
      </c>
      <c r="H1241" s="3" t="s">
        <v>8843</v>
      </c>
      <c r="I1241" s="3" t="s">
        <v>6207</v>
      </c>
      <c r="J1241" s="5" t="s">
        <v>4703</v>
      </c>
      <c r="L1241" s="3" t="s">
        <v>8842</v>
      </c>
      <c r="M1241" s="3">
        <v>6</v>
      </c>
      <c r="N1241" s="4" t="s">
        <v>8757</v>
      </c>
      <c r="O1241" s="4">
        <v>61</v>
      </c>
      <c r="P1241" s="11" t="s">
        <v>9772</v>
      </c>
      <c r="Q1241" s="11" t="s">
        <v>10209</v>
      </c>
      <c r="S1241" s="4" t="b">
        <f>ISNUMBER(MATCH(Q1241,T:T,0))</f>
        <v>1</v>
      </c>
      <c r="T1241" s="4" t="s">
        <v>11584</v>
      </c>
      <c r="U1241" s="4" t="str">
        <f t="shared" si="60"/>
        <v>婢</v>
      </c>
    </row>
    <row r="1242" spans="1:22">
      <c r="A1242" s="3">
        <v>1239</v>
      </c>
      <c r="B1242" s="3" t="s">
        <v>8753</v>
      </c>
      <c r="C1242" s="3" t="s">
        <v>6028</v>
      </c>
      <c r="D1242" s="3" t="s">
        <v>6001</v>
      </c>
      <c r="E1242" s="3" t="s">
        <v>6212</v>
      </c>
      <c r="F1242" s="3" t="s">
        <v>6205</v>
      </c>
      <c r="G1242" s="3" t="s">
        <v>8645</v>
      </c>
      <c r="H1242" s="3" t="s">
        <v>8844</v>
      </c>
      <c r="I1242" s="3" t="s">
        <v>6207</v>
      </c>
      <c r="J1242" s="5" t="s">
        <v>8845</v>
      </c>
      <c r="L1242" s="3" t="s">
        <v>8773</v>
      </c>
      <c r="M1242" s="3">
        <v>6</v>
      </c>
      <c r="N1242" s="4" t="s">
        <v>8757</v>
      </c>
      <c r="O1242" s="4">
        <v>61</v>
      </c>
      <c r="P1242" s="11" t="s">
        <v>9863</v>
      </c>
      <c r="Q1242" s="11" t="s">
        <v>10213</v>
      </c>
      <c r="S1242" s="4" t="b">
        <f>ISNUMBER(MATCH(Q1242,T:T,0))</f>
        <v>1</v>
      </c>
      <c r="T1242" s="4" t="s">
        <v>11585</v>
      </c>
      <c r="U1242" s="4" t="str">
        <f t="shared" si="60"/>
        <v>捶</v>
      </c>
    </row>
    <row r="1243" spans="1:22">
      <c r="A1243" s="3">
        <v>1240</v>
      </c>
      <c r="B1243" s="3" t="s">
        <v>8753</v>
      </c>
      <c r="C1243" s="3" t="s">
        <v>6069</v>
      </c>
      <c r="D1243" s="3" t="s">
        <v>6001</v>
      </c>
      <c r="E1243" s="3" t="s">
        <v>6212</v>
      </c>
      <c r="F1243" s="3" t="s">
        <v>6205</v>
      </c>
      <c r="G1243" s="3" t="s">
        <v>8645</v>
      </c>
      <c r="H1243" s="3" t="s">
        <v>8846</v>
      </c>
      <c r="I1243" s="3" t="s">
        <v>6207</v>
      </c>
      <c r="J1243" s="5" t="s">
        <v>8847</v>
      </c>
      <c r="L1243" s="3" t="s">
        <v>8848</v>
      </c>
      <c r="M1243" s="3">
        <v>1</v>
      </c>
      <c r="N1243" s="4" t="s">
        <v>8757</v>
      </c>
      <c r="O1243" s="4">
        <v>61</v>
      </c>
      <c r="P1243" s="11" t="s">
        <v>9925</v>
      </c>
      <c r="Q1243" s="11" t="s">
        <v>10213</v>
      </c>
      <c r="S1243" s="4" t="b">
        <f>ISNUMBER(MATCH(Q1243,T:T,0))</f>
        <v>1</v>
      </c>
      <c r="T1243" s="4" t="s">
        <v>8847</v>
      </c>
      <c r="U1243" s="4" t="str">
        <f t="shared" si="60"/>
        <v>捶</v>
      </c>
    </row>
    <row r="1244" spans="1:22">
      <c r="A1244" s="3">
        <v>1241</v>
      </c>
      <c r="B1244" s="3" t="s">
        <v>8753</v>
      </c>
      <c r="C1244" s="3" t="s">
        <v>6038</v>
      </c>
      <c r="D1244" s="3" t="s">
        <v>6001</v>
      </c>
      <c r="E1244" s="3" t="s">
        <v>6212</v>
      </c>
      <c r="F1244" s="3" t="s">
        <v>6213</v>
      </c>
      <c r="G1244" s="3" t="s">
        <v>8645</v>
      </c>
      <c r="H1244" s="3" t="s">
        <v>8849</v>
      </c>
      <c r="I1244" s="3" t="s">
        <v>6207</v>
      </c>
      <c r="J1244" s="5" t="s">
        <v>8850</v>
      </c>
      <c r="L1244" s="3" t="s">
        <v>8776</v>
      </c>
      <c r="M1244" s="3">
        <v>4</v>
      </c>
      <c r="N1244" s="4" t="s">
        <v>8757</v>
      </c>
      <c r="O1244" s="4">
        <v>61</v>
      </c>
      <c r="P1244" s="11" t="s">
        <v>9825</v>
      </c>
      <c r="Q1244" s="11" t="s">
        <v>10206</v>
      </c>
      <c r="R1244" s="4" t="s">
        <v>13075</v>
      </c>
      <c r="S1244" s="4" t="b">
        <f>ISNUMBER(MATCH(Q1244,T:T,0))</f>
        <v>0</v>
      </c>
      <c r="T1244" s="4" t="s">
        <v>11586</v>
      </c>
      <c r="U1244" s="4" t="str">
        <f t="shared" si="60"/>
        <v>渳</v>
      </c>
      <c r="V1244" s="4" t="b">
        <f t="shared" ref="V1244:V1245" si="63">ISNUMBER(MATCH(R1244,T:T,0))</f>
        <v>1</v>
      </c>
    </row>
    <row r="1245" spans="1:22">
      <c r="A1245" s="3">
        <v>1242</v>
      </c>
      <c r="B1245" s="3" t="s">
        <v>8753</v>
      </c>
      <c r="C1245" s="3" t="s">
        <v>6137</v>
      </c>
      <c r="D1245" s="3" t="s">
        <v>6001</v>
      </c>
      <c r="E1245" s="3" t="s">
        <v>5991</v>
      </c>
      <c r="F1245" s="3" t="s">
        <v>6213</v>
      </c>
      <c r="G1245" s="3" t="s">
        <v>8645</v>
      </c>
      <c r="H1245" s="3" t="s">
        <v>8851</v>
      </c>
      <c r="I1245" s="3" t="s">
        <v>6207</v>
      </c>
      <c r="J1245" s="5" t="s">
        <v>8852</v>
      </c>
      <c r="L1245" s="3" t="s">
        <v>8853</v>
      </c>
      <c r="M1245" s="3">
        <v>3</v>
      </c>
      <c r="N1245" s="4" t="s">
        <v>8757</v>
      </c>
      <c r="O1245" s="4">
        <v>61</v>
      </c>
      <c r="P1245" s="11" t="s">
        <v>9755</v>
      </c>
      <c r="Q1245" s="11" t="s">
        <v>10158</v>
      </c>
      <c r="R1245" s="4" t="s">
        <v>13074</v>
      </c>
      <c r="S1245" s="4" t="b">
        <f>ISNUMBER(MATCH(Q1245,T:T,0))</f>
        <v>0</v>
      </c>
      <c r="T1245" s="4" t="s">
        <v>11587</v>
      </c>
      <c r="U1245" s="4" t="str">
        <f t="shared" si="60"/>
        <v>是</v>
      </c>
      <c r="V1245" s="4" t="b">
        <f t="shared" si="63"/>
        <v>1</v>
      </c>
    </row>
    <row r="1246" spans="1:22">
      <c r="A1246" s="3">
        <v>1243</v>
      </c>
      <c r="B1246" s="3" t="s">
        <v>8753</v>
      </c>
      <c r="C1246" s="3" t="s">
        <v>6092</v>
      </c>
      <c r="D1246" s="3" t="s">
        <v>6001</v>
      </c>
      <c r="E1246" s="3" t="s">
        <v>6212</v>
      </c>
      <c r="F1246" s="3" t="s">
        <v>6213</v>
      </c>
      <c r="G1246" s="3" t="s">
        <v>8645</v>
      </c>
      <c r="H1246" s="3" t="s">
        <v>726</v>
      </c>
      <c r="I1246" s="3" t="s">
        <v>6207</v>
      </c>
      <c r="J1246" s="5" t="s">
        <v>8854</v>
      </c>
      <c r="L1246" s="3" t="s">
        <v>8773</v>
      </c>
      <c r="M1246" s="3">
        <v>4</v>
      </c>
      <c r="N1246" s="4" t="s">
        <v>8757</v>
      </c>
      <c r="O1246" s="4">
        <v>61</v>
      </c>
      <c r="P1246" s="11" t="s">
        <v>6462</v>
      </c>
      <c r="Q1246" s="11" t="s">
        <v>4394</v>
      </c>
      <c r="S1246" s="4" t="b">
        <f>ISNUMBER(MATCH(Q1246,T:T,0))</f>
        <v>1</v>
      </c>
      <c r="T1246" s="4" t="s">
        <v>11588</v>
      </c>
      <c r="U1246" s="4" t="str">
        <f t="shared" si="60"/>
        <v>毁</v>
      </c>
    </row>
    <row r="1247" spans="1:22">
      <c r="A1247" s="3">
        <v>1244</v>
      </c>
      <c r="B1247" s="3" t="s">
        <v>8753</v>
      </c>
      <c r="C1247" s="3" t="s">
        <v>6041</v>
      </c>
      <c r="D1247" s="3" t="s">
        <v>6001</v>
      </c>
      <c r="E1247" s="3" t="s">
        <v>6212</v>
      </c>
      <c r="F1247" s="3" t="s">
        <v>6213</v>
      </c>
      <c r="G1247" s="3" t="s">
        <v>8645</v>
      </c>
      <c r="H1247" s="3" t="s">
        <v>8855</v>
      </c>
      <c r="I1247" s="3" t="s">
        <v>6207</v>
      </c>
      <c r="J1247" s="5" t="s">
        <v>8856</v>
      </c>
      <c r="L1247" s="3" t="s">
        <v>8857</v>
      </c>
      <c r="M1247" s="3">
        <v>1</v>
      </c>
      <c r="N1247" s="4" t="s">
        <v>8757</v>
      </c>
      <c r="O1247" s="4">
        <v>61</v>
      </c>
      <c r="P1247" s="11" t="s">
        <v>9721</v>
      </c>
      <c r="Q1247" s="11" t="s">
        <v>9993</v>
      </c>
      <c r="S1247" s="4" t="b">
        <f>ISNUMBER(MATCH(Q1247,T:T,0))</f>
        <v>1</v>
      </c>
      <c r="T1247" s="4" t="s">
        <v>8856</v>
      </c>
      <c r="U1247" s="4" t="str">
        <f t="shared" si="60"/>
        <v>委</v>
      </c>
    </row>
    <row r="1248" spans="1:22">
      <c r="A1248" s="3">
        <v>1245</v>
      </c>
      <c r="B1248" s="3" t="s">
        <v>8753</v>
      </c>
      <c r="C1248" s="3" t="s">
        <v>6011</v>
      </c>
      <c r="D1248" s="3" t="s">
        <v>6001</v>
      </c>
      <c r="E1248" s="3" t="s">
        <v>5991</v>
      </c>
      <c r="F1248" s="3" t="s">
        <v>6213</v>
      </c>
      <c r="G1248" s="3" t="s">
        <v>8645</v>
      </c>
      <c r="H1248" s="3" t="s">
        <v>8858</v>
      </c>
      <c r="I1248" s="3" t="s">
        <v>6207</v>
      </c>
      <c r="J1248" s="5" t="s">
        <v>8859</v>
      </c>
      <c r="L1248" s="3" t="s">
        <v>8825</v>
      </c>
      <c r="M1248" s="3">
        <v>1</v>
      </c>
      <c r="N1248" s="4" t="s">
        <v>8757</v>
      </c>
      <c r="O1248" s="4">
        <v>61</v>
      </c>
      <c r="P1248" s="11" t="s">
        <v>9711</v>
      </c>
      <c r="Q1248" s="11" t="s">
        <v>10214</v>
      </c>
      <c r="S1248" s="4" t="b">
        <f>ISNUMBER(MATCH(Q1248,T:T,0))</f>
        <v>1</v>
      </c>
      <c r="T1248" s="4" t="s">
        <v>8859</v>
      </c>
      <c r="U1248" s="4" t="str">
        <f t="shared" si="60"/>
        <v>豸</v>
      </c>
    </row>
    <row r="1249" spans="1:22">
      <c r="A1249" s="3">
        <v>1246</v>
      </c>
      <c r="B1249" s="3" t="s">
        <v>8753</v>
      </c>
      <c r="C1249" s="3" t="s">
        <v>6000</v>
      </c>
      <c r="D1249" s="3" t="s">
        <v>6001</v>
      </c>
      <c r="E1249" s="3" t="s">
        <v>5991</v>
      </c>
      <c r="F1249" s="3" t="s">
        <v>6213</v>
      </c>
      <c r="G1249" s="3" t="s">
        <v>8645</v>
      </c>
      <c r="H1249" s="3" t="s">
        <v>8860</v>
      </c>
      <c r="I1249" s="3" t="s">
        <v>6207</v>
      </c>
      <c r="J1249" s="5" t="s">
        <v>8861</v>
      </c>
      <c r="L1249" s="3" t="s">
        <v>8756</v>
      </c>
      <c r="M1249" s="3">
        <v>2</v>
      </c>
      <c r="N1249" s="4" t="s">
        <v>8757</v>
      </c>
      <c r="O1249" s="4">
        <v>61</v>
      </c>
      <c r="P1249" s="11" t="s">
        <v>9707</v>
      </c>
      <c r="Q1249" s="11" t="s">
        <v>10215</v>
      </c>
      <c r="S1249" s="4" t="b">
        <f>ISNUMBER(MATCH(Q1249,T:T,0))</f>
        <v>1</v>
      </c>
      <c r="T1249" s="4" t="s">
        <v>11589</v>
      </c>
      <c r="U1249" s="4" t="str">
        <f t="shared" si="60"/>
        <v>侈</v>
      </c>
    </row>
    <row r="1250" spans="1:22">
      <c r="A1250" s="3">
        <v>1247</v>
      </c>
      <c r="B1250" s="3" t="s">
        <v>8753</v>
      </c>
      <c r="C1250" s="3" t="s">
        <v>6089</v>
      </c>
      <c r="D1250" s="3" t="s">
        <v>6001</v>
      </c>
      <c r="E1250" s="3" t="s">
        <v>5991</v>
      </c>
      <c r="F1250" s="3" t="s">
        <v>6213</v>
      </c>
      <c r="G1250" s="3" t="s">
        <v>8645</v>
      </c>
      <c r="H1250" s="3" t="s">
        <v>8862</v>
      </c>
      <c r="I1250" s="3" t="s">
        <v>6207</v>
      </c>
      <c r="J1250" s="5" t="s">
        <v>8863</v>
      </c>
      <c r="L1250" s="3" t="s">
        <v>8864</v>
      </c>
      <c r="M1250" s="3">
        <v>1</v>
      </c>
      <c r="N1250" s="4" t="s">
        <v>8757</v>
      </c>
      <c r="O1250" s="4">
        <v>61</v>
      </c>
      <c r="P1250" s="11" t="s">
        <v>10216</v>
      </c>
      <c r="Q1250" s="11" t="s">
        <v>10201</v>
      </c>
      <c r="S1250" s="4" t="b">
        <f>ISNUMBER(MATCH(Q1250,T:T,0))</f>
        <v>1</v>
      </c>
      <c r="T1250" s="4" t="s">
        <v>8863</v>
      </c>
      <c r="U1250" s="4" t="str">
        <f t="shared" si="60"/>
        <v>倚</v>
      </c>
    </row>
    <row r="1251" spans="1:22">
      <c r="A1251" s="3">
        <v>1248</v>
      </c>
      <c r="B1251" s="3" t="s">
        <v>8753</v>
      </c>
      <c r="C1251" s="3" t="s">
        <v>6038</v>
      </c>
      <c r="D1251" s="3" t="s">
        <v>6001</v>
      </c>
      <c r="E1251" s="3" t="s">
        <v>5991</v>
      </c>
      <c r="F1251" s="3" t="s">
        <v>6213</v>
      </c>
      <c r="G1251" s="3" t="s">
        <v>8645</v>
      </c>
      <c r="H1251" s="3" t="s">
        <v>8849</v>
      </c>
      <c r="I1251" s="3" t="s">
        <v>6207</v>
      </c>
      <c r="J1251" s="5" t="s">
        <v>8865</v>
      </c>
      <c r="L1251" s="3" t="s">
        <v>8794</v>
      </c>
      <c r="M1251" s="3">
        <v>2</v>
      </c>
      <c r="N1251" s="4" t="s">
        <v>8757</v>
      </c>
      <c r="O1251" s="4">
        <v>61</v>
      </c>
      <c r="P1251" s="11" t="s">
        <v>9825</v>
      </c>
      <c r="Q1251" s="11" t="s">
        <v>10206</v>
      </c>
      <c r="R1251" s="4" t="s">
        <v>13075</v>
      </c>
      <c r="S1251" s="4" t="b">
        <f>ISNUMBER(MATCH(Q1251,T:T,0))</f>
        <v>0</v>
      </c>
      <c r="T1251" s="4" t="s">
        <v>10475</v>
      </c>
      <c r="U1251" s="4" t="str">
        <f t="shared" si="60"/>
        <v>渳</v>
      </c>
      <c r="V1251" s="4" t="b">
        <f>ISNUMBER(MATCH(R1251,T:T,0))</f>
        <v>1</v>
      </c>
    </row>
    <row r="1252" spans="1:22">
      <c r="A1252" s="3">
        <v>1249</v>
      </c>
      <c r="B1252" s="3" t="s">
        <v>8753</v>
      </c>
      <c r="C1252" s="3" t="s">
        <v>6148</v>
      </c>
      <c r="D1252" s="3" t="s">
        <v>6001</v>
      </c>
      <c r="E1252" s="3" t="s">
        <v>6212</v>
      </c>
      <c r="F1252" s="3" t="s">
        <v>6205</v>
      </c>
      <c r="G1252" s="3" t="s">
        <v>8645</v>
      </c>
      <c r="H1252" s="3" t="s">
        <v>8866</v>
      </c>
      <c r="I1252" s="3" t="s">
        <v>6207</v>
      </c>
      <c r="J1252" s="5" t="s">
        <v>8867</v>
      </c>
      <c r="L1252" s="3" t="s">
        <v>8868</v>
      </c>
      <c r="M1252" s="3">
        <v>2</v>
      </c>
      <c r="N1252" s="4" t="s">
        <v>8757</v>
      </c>
      <c r="O1252" s="4">
        <v>61</v>
      </c>
      <c r="P1252" s="11" t="s">
        <v>10190</v>
      </c>
      <c r="Q1252" s="11" t="s">
        <v>10217</v>
      </c>
      <c r="S1252" s="4" t="b">
        <f>ISNUMBER(MATCH(Q1252,T:T,0))</f>
        <v>1</v>
      </c>
      <c r="T1252" s="4" t="s">
        <v>11590</v>
      </c>
      <c r="U1252" s="4" t="str">
        <f t="shared" si="60"/>
        <v>髓</v>
      </c>
    </row>
    <row r="1253" spans="1:22">
      <c r="A1253" s="3">
        <v>1250</v>
      </c>
      <c r="B1253" s="3" t="s">
        <v>8753</v>
      </c>
      <c r="C1253" s="3" t="s">
        <v>6025</v>
      </c>
      <c r="D1253" s="3" t="s">
        <v>6001</v>
      </c>
      <c r="E1253" s="3" t="s">
        <v>5991</v>
      </c>
      <c r="F1253" s="3" t="s">
        <v>6205</v>
      </c>
      <c r="G1253" s="3" t="s">
        <v>8645</v>
      </c>
      <c r="H1253" s="3" t="s">
        <v>8869</v>
      </c>
      <c r="I1253" s="3" t="s">
        <v>6207</v>
      </c>
      <c r="J1253" s="5" t="s">
        <v>8870</v>
      </c>
      <c r="L1253" s="3" t="s">
        <v>8791</v>
      </c>
      <c r="M1253" s="3">
        <v>1</v>
      </c>
      <c r="N1253" s="4" t="s">
        <v>8757</v>
      </c>
      <c r="O1253" s="4">
        <v>61</v>
      </c>
      <c r="P1253" s="11" t="s">
        <v>9717</v>
      </c>
      <c r="Q1253" s="11" t="s">
        <v>10158</v>
      </c>
      <c r="R1253" s="4" t="s">
        <v>13074</v>
      </c>
      <c r="S1253" s="4" t="b">
        <f>ISNUMBER(MATCH(Q1253,T:T,0))</f>
        <v>0</v>
      </c>
      <c r="T1253" s="4" t="s">
        <v>8870</v>
      </c>
      <c r="U1253" s="4" t="str">
        <f t="shared" si="60"/>
        <v>是</v>
      </c>
      <c r="V1253" s="4" t="b">
        <f>ISNUMBER(MATCH(R1253,T:T,0))</f>
        <v>1</v>
      </c>
    </row>
    <row r="1254" spans="1:22">
      <c r="A1254" s="3">
        <v>1251</v>
      </c>
      <c r="B1254" s="3" t="s">
        <v>8871</v>
      </c>
      <c r="C1254" s="3" t="s">
        <v>6009</v>
      </c>
      <c r="D1254" s="3" t="s">
        <v>6001</v>
      </c>
      <c r="E1254" s="3" t="s">
        <v>5991</v>
      </c>
      <c r="F1254" s="3" t="s">
        <v>6332</v>
      </c>
      <c r="G1254" s="3" t="s">
        <v>8645</v>
      </c>
      <c r="H1254" s="3" t="s">
        <v>8872</v>
      </c>
      <c r="I1254" s="3" t="s">
        <v>6207</v>
      </c>
      <c r="J1254" s="5" t="s">
        <v>4704</v>
      </c>
      <c r="K1254" s="3" t="s">
        <v>599</v>
      </c>
      <c r="L1254" s="3" t="s">
        <v>8756</v>
      </c>
      <c r="M1254" s="3">
        <v>8</v>
      </c>
      <c r="N1254" s="4" t="s">
        <v>9633</v>
      </c>
      <c r="O1254" s="4">
        <v>62</v>
      </c>
      <c r="P1254" s="11" t="s">
        <v>1726</v>
      </c>
      <c r="Q1254" s="11" t="s">
        <v>10218</v>
      </c>
      <c r="S1254" s="4" t="b">
        <f>ISNUMBER(MATCH(Q1254,T:T,0))</f>
        <v>1</v>
      </c>
      <c r="T1254" s="4" t="s">
        <v>9633</v>
      </c>
      <c r="U1254" s="4" t="str">
        <f t="shared" si="60"/>
        <v>雉</v>
      </c>
    </row>
    <row r="1255" spans="1:22">
      <c r="A1255" s="3">
        <v>1252</v>
      </c>
      <c r="B1255" s="3" t="s">
        <v>8871</v>
      </c>
      <c r="C1255" s="3" t="s">
        <v>6148</v>
      </c>
      <c r="D1255" s="3" t="s">
        <v>6001</v>
      </c>
      <c r="E1255" s="3" t="s">
        <v>5991</v>
      </c>
      <c r="F1255" s="3" t="s">
        <v>6328</v>
      </c>
      <c r="G1255" s="3" t="s">
        <v>8645</v>
      </c>
      <c r="H1255" s="3" t="s">
        <v>8873</v>
      </c>
      <c r="I1255" s="3" t="s">
        <v>6207</v>
      </c>
      <c r="J1255" s="5" t="s">
        <v>4705</v>
      </c>
      <c r="L1255" s="3" t="s">
        <v>8760</v>
      </c>
      <c r="M1255" s="3">
        <v>3</v>
      </c>
      <c r="N1255" s="4" t="s">
        <v>9633</v>
      </c>
      <c r="O1255" s="4">
        <v>62</v>
      </c>
      <c r="P1255" s="11" t="s">
        <v>10198</v>
      </c>
      <c r="Q1255" s="11" t="s">
        <v>10219</v>
      </c>
      <c r="R1255" s="4" t="s">
        <v>13077</v>
      </c>
      <c r="S1255" s="4" t="b">
        <f>ISNUMBER(MATCH(Q1255,T:T,0))</f>
        <v>0</v>
      </c>
      <c r="T1255" s="4" t="s">
        <v>9818</v>
      </c>
      <c r="U1255" s="4" t="str">
        <f t="shared" si="60"/>
        <v>屎</v>
      </c>
      <c r="V1255" s="4" t="b">
        <f>ISNUMBER(MATCH(R1255,T:T,0))</f>
        <v>1</v>
      </c>
    </row>
    <row r="1256" spans="1:22">
      <c r="A1256" s="3">
        <v>1253</v>
      </c>
      <c r="B1256" s="3" t="s">
        <v>8871</v>
      </c>
      <c r="C1256" s="3" t="s">
        <v>6035</v>
      </c>
      <c r="D1256" s="3" t="s">
        <v>6001</v>
      </c>
      <c r="E1256" s="3" t="s">
        <v>5991</v>
      </c>
      <c r="F1256" s="3" t="s">
        <v>6332</v>
      </c>
      <c r="G1256" s="3" t="s">
        <v>8645</v>
      </c>
      <c r="H1256" s="3" t="s">
        <v>8874</v>
      </c>
      <c r="I1256" s="3" t="s">
        <v>6207</v>
      </c>
      <c r="J1256" s="5" t="s">
        <v>8875</v>
      </c>
      <c r="L1256" s="3" t="s">
        <v>8763</v>
      </c>
      <c r="M1256" s="3">
        <v>5</v>
      </c>
      <c r="N1256" s="4" t="s">
        <v>9633</v>
      </c>
      <c r="O1256" s="4">
        <v>62</v>
      </c>
      <c r="P1256" s="11" t="s">
        <v>9837</v>
      </c>
      <c r="Q1256" s="11" t="s">
        <v>10220</v>
      </c>
      <c r="S1256" s="4" t="b">
        <f>ISNUMBER(MATCH(Q1256,T:T,0))</f>
        <v>1</v>
      </c>
      <c r="T1256" s="4" t="s">
        <v>10221</v>
      </c>
      <c r="U1256" s="4" t="str">
        <f t="shared" si="60"/>
        <v>鄙</v>
      </c>
    </row>
    <row r="1257" spans="1:22">
      <c r="A1257" s="3">
        <v>1254</v>
      </c>
      <c r="B1257" s="3" t="s">
        <v>8871</v>
      </c>
      <c r="C1257" s="3" t="s">
        <v>6049</v>
      </c>
      <c r="D1257" s="3" t="s">
        <v>6001</v>
      </c>
      <c r="E1257" s="3" t="s">
        <v>5991</v>
      </c>
      <c r="F1257" s="3" t="s">
        <v>6332</v>
      </c>
      <c r="G1257" s="3" t="s">
        <v>8645</v>
      </c>
      <c r="H1257" s="3" t="s">
        <v>8876</v>
      </c>
      <c r="I1257" s="3" t="s">
        <v>6207</v>
      </c>
      <c r="J1257" s="5" t="s">
        <v>4706</v>
      </c>
      <c r="L1257" s="3" t="s">
        <v>8765</v>
      </c>
      <c r="M1257" s="3">
        <v>4</v>
      </c>
      <c r="N1257" s="4" t="s">
        <v>9633</v>
      </c>
      <c r="O1257" s="4">
        <v>62</v>
      </c>
      <c r="P1257" s="11" t="s">
        <v>9723</v>
      </c>
      <c r="Q1257" s="11" t="s">
        <v>10221</v>
      </c>
      <c r="S1257" s="4" t="b">
        <f>ISNUMBER(MATCH(Q1257,T:T,0))</f>
        <v>1</v>
      </c>
      <c r="T1257" s="4" t="s">
        <v>10220</v>
      </c>
      <c r="U1257" s="4" t="str">
        <f t="shared" si="60"/>
        <v>美</v>
      </c>
    </row>
    <row r="1258" spans="1:22">
      <c r="A1258" s="3">
        <v>1255</v>
      </c>
      <c r="B1258" s="3" t="s">
        <v>8871</v>
      </c>
      <c r="C1258" s="3" t="s">
        <v>6123</v>
      </c>
      <c r="D1258" s="3" t="s">
        <v>6001</v>
      </c>
      <c r="E1258" s="3" t="s">
        <v>5991</v>
      </c>
      <c r="F1258" s="3" t="s">
        <v>6332</v>
      </c>
      <c r="G1258" s="3" t="s">
        <v>8645</v>
      </c>
      <c r="H1258" s="3" t="s">
        <v>8877</v>
      </c>
      <c r="I1258" s="3" t="s">
        <v>6207</v>
      </c>
      <c r="J1258" s="5" t="s">
        <v>8878</v>
      </c>
      <c r="L1258" s="3" t="s">
        <v>8879</v>
      </c>
      <c r="M1258" s="3">
        <v>7</v>
      </c>
      <c r="N1258" s="4" t="s">
        <v>9633</v>
      </c>
      <c r="O1258" s="4">
        <v>62</v>
      </c>
      <c r="P1258" s="11" t="s">
        <v>10110</v>
      </c>
      <c r="Q1258" s="11" t="s">
        <v>9799</v>
      </c>
      <c r="S1258" s="4" t="b">
        <f>ISNUMBER(MATCH(Q1258,T:T,0))</f>
        <v>1</v>
      </c>
      <c r="T1258" s="4" t="s">
        <v>11591</v>
      </c>
      <c r="U1258" s="4" t="str">
        <f t="shared" si="60"/>
        <v>姊</v>
      </c>
    </row>
    <row r="1259" spans="1:22">
      <c r="A1259" s="3">
        <v>1256</v>
      </c>
      <c r="B1259" s="3" t="s">
        <v>8871</v>
      </c>
      <c r="C1259" s="3" t="s">
        <v>6025</v>
      </c>
      <c r="D1259" s="3" t="s">
        <v>6001</v>
      </c>
      <c r="E1259" s="3" t="s">
        <v>5991</v>
      </c>
      <c r="F1259" s="3" t="s">
        <v>6328</v>
      </c>
      <c r="G1259" s="3" t="s">
        <v>8645</v>
      </c>
      <c r="H1259" s="3" t="s">
        <v>8880</v>
      </c>
      <c r="I1259" s="3" t="s">
        <v>6207</v>
      </c>
      <c r="J1259" s="5" t="s">
        <v>8881</v>
      </c>
      <c r="L1259" s="3" t="s">
        <v>8791</v>
      </c>
      <c r="M1259" s="3">
        <v>9</v>
      </c>
      <c r="N1259" s="4" t="s">
        <v>9633</v>
      </c>
      <c r="O1259" s="4">
        <v>62</v>
      </c>
      <c r="P1259" s="11" t="s">
        <v>9717</v>
      </c>
      <c r="Q1259" s="11" t="s">
        <v>8901</v>
      </c>
      <c r="S1259" s="4" t="b">
        <f>ISNUMBER(MATCH(Q1259,T:T,0))</f>
        <v>1</v>
      </c>
      <c r="T1259" s="4" t="s">
        <v>10222</v>
      </c>
      <c r="U1259" s="4" t="str">
        <f t="shared" si="60"/>
        <v>履</v>
      </c>
    </row>
    <row r="1260" spans="1:22">
      <c r="A1260" s="3">
        <v>1257</v>
      </c>
      <c r="B1260" s="3" t="s">
        <v>8871</v>
      </c>
      <c r="C1260" s="3" t="s">
        <v>6083</v>
      </c>
      <c r="D1260" s="3" t="s">
        <v>6001</v>
      </c>
      <c r="E1260" s="3" t="s">
        <v>5991</v>
      </c>
      <c r="F1260" s="3" t="s">
        <v>6328</v>
      </c>
      <c r="G1260" s="3" t="s">
        <v>8645</v>
      </c>
      <c r="H1260" s="3" t="s">
        <v>8882</v>
      </c>
      <c r="I1260" s="3" t="s">
        <v>6207</v>
      </c>
      <c r="J1260" s="5" t="s">
        <v>8883</v>
      </c>
      <c r="L1260" s="3" t="s">
        <v>8829</v>
      </c>
      <c r="M1260" s="3">
        <v>2</v>
      </c>
      <c r="N1260" s="4" t="s">
        <v>9633</v>
      </c>
      <c r="O1260" s="4">
        <v>62</v>
      </c>
      <c r="P1260" s="11" t="s">
        <v>9933</v>
      </c>
      <c r="Q1260" s="11" t="s">
        <v>10222</v>
      </c>
      <c r="S1260" s="4" t="b">
        <f>ISNUMBER(MATCH(Q1260,T:T,0))</f>
        <v>1</v>
      </c>
      <c r="T1260" s="4" t="s">
        <v>9799</v>
      </c>
      <c r="U1260" s="4" t="str">
        <f t="shared" si="60"/>
        <v>几</v>
      </c>
    </row>
    <row r="1261" spans="1:22">
      <c r="A1261" s="3">
        <v>1258</v>
      </c>
      <c r="B1261" s="3" t="s">
        <v>8871</v>
      </c>
      <c r="C1261" s="3" t="s">
        <v>6049</v>
      </c>
      <c r="D1261" s="3" t="s">
        <v>6001</v>
      </c>
      <c r="E1261" s="3" t="s">
        <v>5991</v>
      </c>
      <c r="F1261" s="3" t="s">
        <v>6328</v>
      </c>
      <c r="G1261" s="3" t="s">
        <v>8645</v>
      </c>
      <c r="H1261" s="3" t="s">
        <v>8884</v>
      </c>
      <c r="I1261" s="3" t="s">
        <v>6207</v>
      </c>
      <c r="J1261" s="5" t="s">
        <v>8885</v>
      </c>
      <c r="L1261" s="3" t="s">
        <v>8765</v>
      </c>
      <c r="M1261" s="3">
        <v>10</v>
      </c>
      <c r="N1261" s="4" t="s">
        <v>9633</v>
      </c>
      <c r="O1261" s="4">
        <v>62</v>
      </c>
      <c r="P1261" s="11" t="s">
        <v>10015</v>
      </c>
      <c r="Q1261" s="11" t="s">
        <v>8901</v>
      </c>
      <c r="S1261" s="4" t="b">
        <f>ISNUMBER(MATCH(Q1261,T:T,0))</f>
        <v>1</v>
      </c>
      <c r="T1261" s="4" t="s">
        <v>11592</v>
      </c>
      <c r="U1261" s="4" t="str">
        <f t="shared" si="60"/>
        <v>履</v>
      </c>
    </row>
    <row r="1262" spans="1:22" ht="28.5">
      <c r="A1262" s="3">
        <v>1259</v>
      </c>
      <c r="B1262" s="3" t="s">
        <v>8871</v>
      </c>
      <c r="C1262" s="3" t="s">
        <v>6025</v>
      </c>
      <c r="D1262" s="3" t="s">
        <v>6001</v>
      </c>
      <c r="E1262" s="3" t="s">
        <v>6212</v>
      </c>
      <c r="F1262" s="3" t="s">
        <v>6332</v>
      </c>
      <c r="G1262" s="3" t="s">
        <v>8645</v>
      </c>
      <c r="H1262" s="3" t="s">
        <v>8886</v>
      </c>
      <c r="I1262" s="3" t="s">
        <v>6207</v>
      </c>
      <c r="J1262" s="5" t="s">
        <v>8887</v>
      </c>
      <c r="K1262" s="3" t="s">
        <v>8888</v>
      </c>
      <c r="L1262" s="3" t="s">
        <v>8778</v>
      </c>
      <c r="M1262" s="3">
        <v>12</v>
      </c>
      <c r="N1262" s="4" t="s">
        <v>9633</v>
      </c>
      <c r="O1262" s="4">
        <v>62</v>
      </c>
      <c r="P1262" s="11" t="s">
        <v>9717</v>
      </c>
      <c r="Q1262" s="11" t="s">
        <v>9819</v>
      </c>
      <c r="S1262" s="4" t="b">
        <f>ISNUMBER(MATCH(Q1262,T:T,0))</f>
        <v>1</v>
      </c>
      <c r="T1262" s="4" t="s">
        <v>10223</v>
      </c>
      <c r="U1262" s="4" t="str">
        <f t="shared" si="60"/>
        <v>洧</v>
      </c>
    </row>
    <row r="1263" spans="1:22">
      <c r="A1263" s="3">
        <v>1260</v>
      </c>
      <c r="B1263" s="3" t="s">
        <v>8871</v>
      </c>
      <c r="C1263" s="3" t="s">
        <v>6032</v>
      </c>
      <c r="D1263" s="3" t="s">
        <v>6001</v>
      </c>
      <c r="E1263" s="3" t="s">
        <v>6212</v>
      </c>
      <c r="F1263" s="3" t="s">
        <v>6332</v>
      </c>
      <c r="G1263" s="3" t="s">
        <v>8645</v>
      </c>
      <c r="H1263" s="3" t="s">
        <v>8889</v>
      </c>
      <c r="I1263" s="3" t="s">
        <v>6207</v>
      </c>
      <c r="J1263" s="5" t="s">
        <v>8890</v>
      </c>
      <c r="L1263" s="3" t="s">
        <v>8773</v>
      </c>
      <c r="M1263" s="3">
        <v>4</v>
      </c>
      <c r="N1263" s="4" t="s">
        <v>9633</v>
      </c>
      <c r="O1263" s="4">
        <v>62</v>
      </c>
      <c r="P1263" s="11" t="s">
        <v>10098</v>
      </c>
      <c r="Q1263" s="11" t="s">
        <v>10221</v>
      </c>
      <c r="S1263" s="4" t="b">
        <f>ISNUMBER(MATCH(Q1263,T:T,0))</f>
        <v>1</v>
      </c>
      <c r="T1263" s="4" t="s">
        <v>9819</v>
      </c>
      <c r="U1263" s="4" t="str">
        <f t="shared" si="60"/>
        <v>美</v>
      </c>
    </row>
    <row r="1264" spans="1:22">
      <c r="A1264" s="3">
        <v>1261</v>
      </c>
      <c r="B1264" s="3" t="s">
        <v>8871</v>
      </c>
      <c r="C1264" s="3" t="s">
        <v>6120</v>
      </c>
      <c r="D1264" s="3" t="s">
        <v>6001</v>
      </c>
      <c r="E1264" s="3" t="s">
        <v>5991</v>
      </c>
      <c r="F1264" s="3" t="s">
        <v>6332</v>
      </c>
      <c r="G1264" s="3" t="s">
        <v>8645</v>
      </c>
      <c r="H1264" s="3" t="s">
        <v>8891</v>
      </c>
      <c r="I1264" s="3" t="s">
        <v>6207</v>
      </c>
      <c r="J1264" s="5" t="s">
        <v>8892</v>
      </c>
      <c r="L1264" s="3" t="s">
        <v>8816</v>
      </c>
      <c r="M1264" s="3">
        <v>4</v>
      </c>
      <c r="N1264" s="4" t="s">
        <v>9633</v>
      </c>
      <c r="O1264" s="4">
        <v>62</v>
      </c>
      <c r="P1264" s="11" t="s">
        <v>9793</v>
      </c>
      <c r="Q1264" s="11" t="s">
        <v>9818</v>
      </c>
      <c r="S1264" s="4" t="b">
        <f>ISNUMBER(MATCH(Q1264,T:T,0))</f>
        <v>1</v>
      </c>
      <c r="T1264" s="4" t="s">
        <v>11593</v>
      </c>
      <c r="U1264" s="4" t="str">
        <f t="shared" si="60"/>
        <v>視</v>
      </c>
    </row>
    <row r="1265" spans="1:22">
      <c r="A1265" s="3">
        <v>1262</v>
      </c>
      <c r="B1265" s="3" t="s">
        <v>8871</v>
      </c>
      <c r="C1265" s="3" t="s">
        <v>6005</v>
      </c>
      <c r="D1265" s="3" t="s">
        <v>6001</v>
      </c>
      <c r="E1265" s="3" t="s">
        <v>5991</v>
      </c>
      <c r="F1265" s="3" t="s">
        <v>6332</v>
      </c>
      <c r="G1265" s="3" t="s">
        <v>8645</v>
      </c>
      <c r="H1265" s="3" t="s">
        <v>8893</v>
      </c>
      <c r="I1265" s="3" t="s">
        <v>6207</v>
      </c>
      <c r="J1265" s="5" t="s">
        <v>8894</v>
      </c>
      <c r="L1265" s="3" t="s">
        <v>8808</v>
      </c>
      <c r="M1265" s="3">
        <v>3</v>
      </c>
      <c r="N1265" s="4" t="s">
        <v>9633</v>
      </c>
      <c r="O1265" s="4">
        <v>62</v>
      </c>
      <c r="P1265" s="11" t="s">
        <v>9709</v>
      </c>
      <c r="Q1265" s="11" t="s">
        <v>10222</v>
      </c>
      <c r="S1265" s="4" t="b">
        <f>ISNUMBER(MATCH(Q1265,T:T,0))</f>
        <v>1</v>
      </c>
      <c r="T1265" s="4" t="s">
        <v>10218</v>
      </c>
      <c r="U1265" s="4" t="str">
        <f t="shared" si="60"/>
        <v>几</v>
      </c>
    </row>
    <row r="1266" spans="1:22">
      <c r="A1266" s="3">
        <v>1263</v>
      </c>
      <c r="B1266" s="3" t="s">
        <v>8871</v>
      </c>
      <c r="C1266" s="3" t="s">
        <v>6017</v>
      </c>
      <c r="D1266" s="3" t="s">
        <v>6001</v>
      </c>
      <c r="E1266" s="3" t="s">
        <v>5991</v>
      </c>
      <c r="F1266" s="3" t="s">
        <v>6332</v>
      </c>
      <c r="G1266" s="3" t="s">
        <v>8645</v>
      </c>
      <c r="H1266" s="3" t="s">
        <v>8895</v>
      </c>
      <c r="I1266" s="3" t="s">
        <v>6207</v>
      </c>
      <c r="J1266" s="5" t="s">
        <v>8896</v>
      </c>
      <c r="L1266" s="3" t="s">
        <v>8810</v>
      </c>
      <c r="M1266" s="3">
        <v>1</v>
      </c>
      <c r="N1266" s="4" t="s">
        <v>9633</v>
      </c>
      <c r="O1266" s="4">
        <v>62</v>
      </c>
      <c r="P1266" s="11" t="s">
        <v>9714</v>
      </c>
      <c r="Q1266" s="11" t="s">
        <v>9799</v>
      </c>
      <c r="S1266" s="4" t="b">
        <f>ISNUMBER(MATCH(Q1266,T:T,0))</f>
        <v>1</v>
      </c>
      <c r="T1266" s="4" t="s">
        <v>8896</v>
      </c>
      <c r="U1266" s="4" t="str">
        <f t="shared" si="60"/>
        <v>姊</v>
      </c>
    </row>
    <row r="1267" spans="1:22">
      <c r="A1267" s="3">
        <v>1264</v>
      </c>
      <c r="B1267" s="3" t="s">
        <v>8871</v>
      </c>
      <c r="C1267" s="3" t="s">
        <v>6045</v>
      </c>
      <c r="D1267" s="3" t="s">
        <v>6001</v>
      </c>
      <c r="E1267" s="3" t="s">
        <v>5991</v>
      </c>
      <c r="F1267" s="3" t="s">
        <v>6328</v>
      </c>
      <c r="G1267" s="3" t="s">
        <v>8645</v>
      </c>
      <c r="H1267" s="3" t="s">
        <v>8897</v>
      </c>
      <c r="I1267" s="3" t="s">
        <v>6207</v>
      </c>
      <c r="J1267" s="5" t="s">
        <v>8898</v>
      </c>
      <c r="L1267" s="3" t="s">
        <v>8899</v>
      </c>
      <c r="M1267" s="3">
        <v>1</v>
      </c>
      <c r="N1267" s="4" t="s">
        <v>9633</v>
      </c>
      <c r="O1267" s="4">
        <v>62</v>
      </c>
      <c r="P1267" s="11" t="s">
        <v>9926</v>
      </c>
      <c r="Q1267" s="11" t="s">
        <v>8901</v>
      </c>
      <c r="S1267" s="4" t="b">
        <f>ISNUMBER(MATCH(Q1267,T:T,0))</f>
        <v>1</v>
      </c>
      <c r="T1267" s="4" t="s">
        <v>8898</v>
      </c>
      <c r="U1267" s="4" t="str">
        <f t="shared" si="60"/>
        <v>履</v>
      </c>
    </row>
    <row r="1268" spans="1:22">
      <c r="A1268" s="3">
        <v>1265</v>
      </c>
      <c r="B1268" s="3" t="s">
        <v>8871</v>
      </c>
      <c r="C1268" s="3" t="s">
        <v>6058</v>
      </c>
      <c r="D1268" s="3" t="s">
        <v>6001</v>
      </c>
      <c r="E1268" s="3" t="s">
        <v>5991</v>
      </c>
      <c r="F1268" s="3" t="s">
        <v>6328</v>
      </c>
      <c r="G1268" s="3" t="s">
        <v>8645</v>
      </c>
      <c r="H1268" s="3" t="s">
        <v>8900</v>
      </c>
      <c r="I1268" s="3" t="s">
        <v>6207</v>
      </c>
      <c r="J1268" s="5" t="s">
        <v>8901</v>
      </c>
      <c r="L1268" s="3" t="s">
        <v>8814</v>
      </c>
      <c r="M1268" s="3">
        <v>1</v>
      </c>
      <c r="N1268" s="4" t="s">
        <v>9633</v>
      </c>
      <c r="O1268" s="4">
        <v>62</v>
      </c>
      <c r="P1268" s="11" t="s">
        <v>9727</v>
      </c>
      <c r="Q1268" s="11" t="s">
        <v>10222</v>
      </c>
      <c r="S1268" s="4" t="b">
        <f>ISNUMBER(MATCH(Q1268,T:T,0))</f>
        <v>1</v>
      </c>
      <c r="T1268" s="4" t="s">
        <v>8901</v>
      </c>
      <c r="U1268" s="4" t="str">
        <f t="shared" si="60"/>
        <v>几</v>
      </c>
    </row>
    <row r="1269" spans="1:22">
      <c r="A1269" s="3">
        <v>1266</v>
      </c>
      <c r="B1269" s="3" t="s">
        <v>8871</v>
      </c>
      <c r="C1269" s="3" t="s">
        <v>6120</v>
      </c>
      <c r="D1269" s="3" t="s">
        <v>6001</v>
      </c>
      <c r="E1269" s="3" t="s">
        <v>6212</v>
      </c>
      <c r="F1269" s="3" t="s">
        <v>6332</v>
      </c>
      <c r="G1269" s="3" t="s">
        <v>8645</v>
      </c>
      <c r="H1269" s="3" t="s">
        <v>8902</v>
      </c>
      <c r="I1269" s="3" t="s">
        <v>6207</v>
      </c>
      <c r="J1269" s="5" t="s">
        <v>8903</v>
      </c>
      <c r="L1269" s="3" t="s">
        <v>8904</v>
      </c>
      <c r="M1269" s="3">
        <v>1</v>
      </c>
      <c r="N1269" s="4" t="s">
        <v>9633</v>
      </c>
      <c r="O1269" s="4">
        <v>62</v>
      </c>
      <c r="P1269" s="11" t="s">
        <v>9793</v>
      </c>
      <c r="Q1269" s="11" t="s">
        <v>10223</v>
      </c>
      <c r="S1269" s="4" t="b">
        <f>ISNUMBER(MATCH(Q1269,T:T,0))</f>
        <v>1</v>
      </c>
      <c r="T1269" s="4" t="s">
        <v>8903</v>
      </c>
      <c r="U1269" s="4" t="str">
        <f t="shared" si="60"/>
        <v>軌</v>
      </c>
    </row>
    <row r="1270" spans="1:22">
      <c r="A1270" s="3">
        <v>1267</v>
      </c>
      <c r="B1270" s="3" t="s">
        <v>8871</v>
      </c>
      <c r="C1270" s="3" t="s">
        <v>6058</v>
      </c>
      <c r="D1270" s="3" t="s">
        <v>6001</v>
      </c>
      <c r="E1270" s="3" t="s">
        <v>6212</v>
      </c>
      <c r="F1270" s="3" t="s">
        <v>6328</v>
      </c>
      <c r="G1270" s="3" t="s">
        <v>8645</v>
      </c>
      <c r="H1270" s="3" t="s">
        <v>8905</v>
      </c>
      <c r="I1270" s="3" t="s">
        <v>6207</v>
      </c>
      <c r="J1270" s="5" t="s">
        <v>4707</v>
      </c>
      <c r="L1270" s="3" t="s">
        <v>8783</v>
      </c>
      <c r="M1270" s="3">
        <v>14</v>
      </c>
      <c r="N1270" s="4" t="s">
        <v>9633</v>
      </c>
      <c r="O1270" s="4">
        <v>62</v>
      </c>
      <c r="P1270" s="11" t="s">
        <v>9727</v>
      </c>
      <c r="Q1270" s="11" t="s">
        <v>10223</v>
      </c>
      <c r="S1270" s="4" t="b">
        <f>ISNUMBER(MATCH(Q1270,T:T,0))</f>
        <v>1</v>
      </c>
      <c r="T1270" s="4" t="s">
        <v>10226</v>
      </c>
      <c r="U1270" s="4" t="str">
        <f t="shared" si="60"/>
        <v>軌</v>
      </c>
    </row>
    <row r="1271" spans="1:22">
      <c r="A1271" s="3">
        <v>1268</v>
      </c>
      <c r="B1271" s="3" t="s">
        <v>8871</v>
      </c>
      <c r="C1271" s="3" t="s">
        <v>6041</v>
      </c>
      <c r="D1271" s="3" t="s">
        <v>6001</v>
      </c>
      <c r="E1271" s="3" t="s">
        <v>6212</v>
      </c>
      <c r="F1271" s="3" t="s">
        <v>6328</v>
      </c>
      <c r="G1271" s="3" t="s">
        <v>8645</v>
      </c>
      <c r="H1271" s="3" t="s">
        <v>8906</v>
      </c>
      <c r="I1271" s="3" t="s">
        <v>6207</v>
      </c>
      <c r="J1271" s="5" t="s">
        <v>8907</v>
      </c>
      <c r="L1271" s="3" t="s">
        <v>8857</v>
      </c>
      <c r="M1271" s="3">
        <v>5</v>
      </c>
      <c r="N1271" s="4" t="s">
        <v>9633</v>
      </c>
      <c r="O1271" s="4">
        <v>62</v>
      </c>
      <c r="P1271" s="11" t="s">
        <v>10062</v>
      </c>
      <c r="Q1271" s="11" t="s">
        <v>10224</v>
      </c>
      <c r="S1271" s="4" t="b">
        <f>ISNUMBER(MATCH(Q1271,T:T,0))</f>
        <v>1</v>
      </c>
      <c r="T1271" s="4" t="s">
        <v>11594</v>
      </c>
      <c r="U1271" s="4" t="str">
        <f t="shared" si="60"/>
        <v>癸</v>
      </c>
    </row>
    <row r="1272" spans="1:22">
      <c r="A1272" s="3">
        <v>1269</v>
      </c>
      <c r="B1272" s="3" t="s">
        <v>8871</v>
      </c>
      <c r="C1272" s="3" t="s">
        <v>6076</v>
      </c>
      <c r="D1272" s="3" t="s">
        <v>6001</v>
      </c>
      <c r="E1272" s="3" t="s">
        <v>6212</v>
      </c>
      <c r="F1272" s="3" t="s">
        <v>6328</v>
      </c>
      <c r="G1272" s="3" t="s">
        <v>8645</v>
      </c>
      <c r="H1272" s="3" t="s">
        <v>8908</v>
      </c>
      <c r="I1272" s="3" t="s">
        <v>6207</v>
      </c>
      <c r="J1272" s="5" t="s">
        <v>8909</v>
      </c>
      <c r="L1272" s="3" t="s">
        <v>8910</v>
      </c>
      <c r="M1272" s="3">
        <v>3</v>
      </c>
      <c r="N1272" s="4" t="s">
        <v>9633</v>
      </c>
      <c r="O1272" s="4">
        <v>62</v>
      </c>
      <c r="P1272" s="11" t="s">
        <v>10150</v>
      </c>
      <c r="Q1272" s="11" t="s">
        <v>8903</v>
      </c>
      <c r="S1272" s="4" t="b">
        <f>ISNUMBER(MATCH(Q1272,T:T,0))</f>
        <v>1</v>
      </c>
      <c r="T1272" s="4" t="s">
        <v>11595</v>
      </c>
      <c r="U1272" s="4" t="str">
        <f t="shared" si="60"/>
        <v>水</v>
      </c>
    </row>
    <row r="1273" spans="1:22">
      <c r="A1273" s="3">
        <v>1270</v>
      </c>
      <c r="B1273" s="3" t="s">
        <v>8871</v>
      </c>
      <c r="C1273" s="3" t="s">
        <v>6137</v>
      </c>
      <c r="D1273" s="3" t="s">
        <v>6001</v>
      </c>
      <c r="E1273" s="3" t="s">
        <v>5991</v>
      </c>
      <c r="F1273" s="3" t="s">
        <v>6332</v>
      </c>
      <c r="G1273" s="3" t="s">
        <v>8645</v>
      </c>
      <c r="H1273" s="3" t="s">
        <v>8911</v>
      </c>
      <c r="I1273" s="3" t="s">
        <v>6207</v>
      </c>
      <c r="J1273" s="5" t="s">
        <v>8912</v>
      </c>
      <c r="L1273" s="3" t="s">
        <v>8853</v>
      </c>
      <c r="M1273" s="3">
        <v>1</v>
      </c>
      <c r="N1273" s="4" t="s">
        <v>9633</v>
      </c>
      <c r="O1273" s="4">
        <v>62</v>
      </c>
      <c r="P1273" s="11" t="s">
        <v>9755</v>
      </c>
      <c r="Q1273" s="11" t="s">
        <v>8901</v>
      </c>
      <c r="S1273" s="4" t="b">
        <f>ISNUMBER(MATCH(Q1273,T:T,0))</f>
        <v>1</v>
      </c>
      <c r="T1273" s="4" t="s">
        <v>8912</v>
      </c>
      <c r="U1273" s="4" t="str">
        <f t="shared" si="60"/>
        <v>履</v>
      </c>
    </row>
    <row r="1274" spans="1:22">
      <c r="A1274" s="3">
        <v>1271</v>
      </c>
      <c r="B1274" s="3" t="s">
        <v>8871</v>
      </c>
      <c r="C1274" s="3" t="s">
        <v>6025</v>
      </c>
      <c r="D1274" s="3" t="s">
        <v>6001</v>
      </c>
      <c r="E1274" s="3" t="s">
        <v>6212</v>
      </c>
      <c r="F1274" s="3" t="s">
        <v>6328</v>
      </c>
      <c r="G1274" s="3" t="s">
        <v>8645</v>
      </c>
      <c r="H1274" s="3" t="s">
        <v>8913</v>
      </c>
      <c r="I1274" s="3" t="s">
        <v>6207</v>
      </c>
      <c r="J1274" s="5" t="s">
        <v>8914</v>
      </c>
      <c r="L1274" s="3" t="s">
        <v>8778</v>
      </c>
      <c r="M1274" s="3">
        <v>2</v>
      </c>
      <c r="N1274" s="4" t="s">
        <v>9633</v>
      </c>
      <c r="O1274" s="4">
        <v>62</v>
      </c>
      <c r="P1274" s="11" t="s">
        <v>9717</v>
      </c>
      <c r="Q1274" s="11" t="s">
        <v>10225</v>
      </c>
      <c r="R1274" s="4" t="s">
        <v>13078</v>
      </c>
      <c r="S1274" s="4" t="b">
        <f>ISNUMBER(MATCH(Q1274,T:T,0))</f>
        <v>0</v>
      </c>
      <c r="T1274" s="4" t="s">
        <v>10224</v>
      </c>
      <c r="U1274" s="4" t="str">
        <f t="shared" si="60"/>
        <v>壘</v>
      </c>
      <c r="V1274" s="4" t="b">
        <f>ISNUMBER(MATCH(R1274,T:T,0))</f>
        <v>1</v>
      </c>
    </row>
    <row r="1275" spans="1:22">
      <c r="A1275" s="3">
        <v>1272</v>
      </c>
      <c r="B1275" s="3" t="s">
        <v>8871</v>
      </c>
      <c r="C1275" s="3" t="s">
        <v>6045</v>
      </c>
      <c r="D1275" s="3" t="s">
        <v>6001</v>
      </c>
      <c r="E1275" s="3" t="s">
        <v>5991</v>
      </c>
      <c r="F1275" s="3" t="s">
        <v>6332</v>
      </c>
      <c r="G1275" s="3" t="s">
        <v>8645</v>
      </c>
      <c r="H1275" s="3" t="s">
        <v>8915</v>
      </c>
      <c r="I1275" s="3" t="s">
        <v>6207</v>
      </c>
      <c r="J1275" s="5" t="s">
        <v>8916</v>
      </c>
      <c r="L1275" s="3" t="s">
        <v>8899</v>
      </c>
      <c r="M1275" s="3">
        <v>8</v>
      </c>
      <c r="N1275" s="4" t="s">
        <v>9633</v>
      </c>
      <c r="O1275" s="4">
        <v>62</v>
      </c>
      <c r="P1275" s="11" t="s">
        <v>9759</v>
      </c>
      <c r="Q1275" s="11" t="s">
        <v>10220</v>
      </c>
      <c r="S1275" s="4" t="b">
        <f>ISNUMBER(MATCH(Q1275,T:T,0))</f>
        <v>1</v>
      </c>
      <c r="T1275" s="4" t="s">
        <v>10412</v>
      </c>
      <c r="U1275" s="4" t="str">
        <f t="shared" si="60"/>
        <v>鄙</v>
      </c>
    </row>
    <row r="1276" spans="1:22">
      <c r="A1276" s="3">
        <v>1273</v>
      </c>
      <c r="B1276" s="3" t="s">
        <v>8871</v>
      </c>
      <c r="C1276" s="3" t="s">
        <v>6069</v>
      </c>
      <c r="D1276" s="3" t="s">
        <v>6001</v>
      </c>
      <c r="E1276" s="3" t="s">
        <v>6212</v>
      </c>
      <c r="F1276" s="3" t="s">
        <v>6328</v>
      </c>
      <c r="G1276" s="3" t="s">
        <v>8645</v>
      </c>
      <c r="H1276" s="3" t="s">
        <v>8917</v>
      </c>
      <c r="I1276" s="3" t="s">
        <v>6207</v>
      </c>
      <c r="J1276" s="5" t="s">
        <v>8918</v>
      </c>
      <c r="L1276" s="3" t="s">
        <v>8848</v>
      </c>
      <c r="M1276" s="3">
        <v>1</v>
      </c>
      <c r="N1276" s="4" t="s">
        <v>9633</v>
      </c>
      <c r="O1276" s="4">
        <v>62</v>
      </c>
      <c r="P1276" s="11" t="s">
        <v>9733</v>
      </c>
      <c r="Q1276" s="11" t="s">
        <v>4356</v>
      </c>
      <c r="S1276" s="4" t="b">
        <f>ISNUMBER(MATCH(Q1276,T:T,0))</f>
        <v>1</v>
      </c>
      <c r="T1276" s="4" t="s">
        <v>8918</v>
      </c>
      <c r="U1276" s="4" t="str">
        <f t="shared" si="60"/>
        <v>累</v>
      </c>
    </row>
    <row r="1277" spans="1:22">
      <c r="A1277" s="3">
        <v>1274</v>
      </c>
      <c r="B1277" s="3" t="s">
        <v>8871</v>
      </c>
      <c r="C1277" s="3" t="s">
        <v>6053</v>
      </c>
      <c r="D1277" s="3" t="s">
        <v>6001</v>
      </c>
      <c r="E1277" s="3" t="s">
        <v>5991</v>
      </c>
      <c r="F1277" s="3" t="s">
        <v>6332</v>
      </c>
      <c r="G1277" s="3" t="s">
        <v>8645</v>
      </c>
      <c r="H1277" s="3" t="s">
        <v>8919</v>
      </c>
      <c r="I1277" s="3" t="s">
        <v>6207</v>
      </c>
      <c r="J1277" s="5" t="s">
        <v>8920</v>
      </c>
      <c r="L1277" s="3" t="s">
        <v>8842</v>
      </c>
      <c r="M1277" s="3">
        <v>5</v>
      </c>
      <c r="N1277" s="4" t="s">
        <v>9633</v>
      </c>
      <c r="O1277" s="4">
        <v>62</v>
      </c>
      <c r="P1277" s="11" t="s">
        <v>9772</v>
      </c>
      <c r="Q1277" s="11" t="s">
        <v>10220</v>
      </c>
      <c r="S1277" s="4" t="b">
        <f>ISNUMBER(MATCH(Q1277,T:T,0))</f>
        <v>1</v>
      </c>
      <c r="T1277" s="4" t="s">
        <v>11596</v>
      </c>
      <c r="U1277" s="4" t="str">
        <f t="shared" si="60"/>
        <v>鄙</v>
      </c>
    </row>
    <row r="1278" spans="1:22">
      <c r="A1278" s="3">
        <v>1275</v>
      </c>
      <c r="B1278" s="3" t="s">
        <v>8871</v>
      </c>
      <c r="C1278" s="3" t="s">
        <v>6021</v>
      </c>
      <c r="D1278" s="3" t="s">
        <v>6001</v>
      </c>
      <c r="E1278" s="3" t="s">
        <v>6212</v>
      </c>
      <c r="F1278" s="3" t="s">
        <v>6328</v>
      </c>
      <c r="G1278" s="3" t="s">
        <v>8645</v>
      </c>
      <c r="H1278" s="3" t="s">
        <v>8921</v>
      </c>
      <c r="I1278" s="3" t="s">
        <v>6207</v>
      </c>
      <c r="J1278" s="5" t="s">
        <v>4708</v>
      </c>
      <c r="L1278" s="3" t="s">
        <v>8802</v>
      </c>
      <c r="M1278" s="3">
        <v>3</v>
      </c>
      <c r="N1278" s="4" t="s">
        <v>9633</v>
      </c>
      <c r="O1278" s="4">
        <v>62</v>
      </c>
      <c r="P1278" s="11" t="s">
        <v>9715</v>
      </c>
      <c r="Q1278" s="11" t="s">
        <v>10226</v>
      </c>
      <c r="S1278" s="4" t="b">
        <f>ISNUMBER(MATCH(Q1278,T:T,0))</f>
        <v>1</v>
      </c>
      <c r="T1278" s="4" t="s">
        <v>11597</v>
      </c>
      <c r="U1278" s="4" t="str">
        <f t="shared" si="60"/>
        <v>壘</v>
      </c>
    </row>
    <row r="1279" spans="1:22">
      <c r="A1279" s="3">
        <v>1276</v>
      </c>
      <c r="B1279" s="3" t="s">
        <v>8871</v>
      </c>
      <c r="C1279" s="3" t="s">
        <v>6028</v>
      </c>
      <c r="D1279" s="3" t="s">
        <v>6001</v>
      </c>
      <c r="E1279" s="3" t="s">
        <v>6212</v>
      </c>
      <c r="F1279" s="3" t="s">
        <v>6328</v>
      </c>
      <c r="G1279" s="3" t="s">
        <v>8645</v>
      </c>
      <c r="H1279" s="3" t="s">
        <v>8922</v>
      </c>
      <c r="I1279" s="3" t="s">
        <v>6207</v>
      </c>
      <c r="J1279" s="5" t="s">
        <v>8923</v>
      </c>
      <c r="L1279" s="3" t="s">
        <v>8773</v>
      </c>
      <c r="M1279" s="3">
        <v>8</v>
      </c>
      <c r="N1279" s="4" t="s">
        <v>9633</v>
      </c>
      <c r="O1279" s="4">
        <v>62</v>
      </c>
      <c r="P1279" s="11" t="s">
        <v>6028</v>
      </c>
      <c r="Q1279" s="11" t="s">
        <v>8903</v>
      </c>
      <c r="S1279" s="4" t="b">
        <f>ISNUMBER(MATCH(Q1279,T:T,0))</f>
        <v>1</v>
      </c>
      <c r="T1279" s="4" t="s">
        <v>11598</v>
      </c>
      <c r="U1279" s="4" t="str">
        <f t="shared" si="60"/>
        <v>水</v>
      </c>
    </row>
    <row r="1280" spans="1:22">
      <c r="A1280" s="3">
        <v>1277</v>
      </c>
      <c r="B1280" s="3" t="s">
        <v>8871</v>
      </c>
      <c r="C1280" s="3" t="s">
        <v>6072</v>
      </c>
      <c r="D1280" s="3" t="s">
        <v>6001</v>
      </c>
      <c r="E1280" s="3" t="s">
        <v>5991</v>
      </c>
      <c r="F1280" s="3" t="s">
        <v>6328</v>
      </c>
      <c r="G1280" s="3" t="s">
        <v>8645</v>
      </c>
      <c r="H1280" s="3" t="s">
        <v>8924</v>
      </c>
      <c r="I1280" s="3" t="s">
        <v>6207</v>
      </c>
      <c r="J1280" s="5" t="s">
        <v>8925</v>
      </c>
      <c r="L1280" s="3" t="s">
        <v>8788</v>
      </c>
      <c r="M1280" s="3">
        <v>1</v>
      </c>
      <c r="N1280" s="4" t="s">
        <v>9633</v>
      </c>
      <c r="O1280" s="4">
        <v>62</v>
      </c>
      <c r="P1280" s="11" t="s">
        <v>9754</v>
      </c>
      <c r="Q1280" s="11" t="s">
        <v>10222</v>
      </c>
      <c r="S1280" s="4" t="b">
        <f>ISNUMBER(MATCH(Q1280,T:T,0))</f>
        <v>1</v>
      </c>
      <c r="T1280" s="4" t="s">
        <v>8925</v>
      </c>
      <c r="U1280" s="4" t="str">
        <f t="shared" si="60"/>
        <v>几</v>
      </c>
    </row>
    <row r="1281" spans="1:22">
      <c r="A1281" s="3">
        <v>1278</v>
      </c>
      <c r="B1281" s="3" t="s">
        <v>8871</v>
      </c>
      <c r="C1281" s="3" t="s">
        <v>6083</v>
      </c>
      <c r="D1281" s="3" t="s">
        <v>6001</v>
      </c>
      <c r="E1281" s="3" t="s">
        <v>6212</v>
      </c>
      <c r="F1281" s="3" t="s">
        <v>6328</v>
      </c>
      <c r="G1281" s="3" t="s">
        <v>8645</v>
      </c>
      <c r="H1281" s="3" t="s">
        <v>8926</v>
      </c>
      <c r="I1281" s="3" t="s">
        <v>6207</v>
      </c>
      <c r="J1281" s="5" t="s">
        <v>4709</v>
      </c>
      <c r="L1281" s="3" t="s">
        <v>8800</v>
      </c>
      <c r="M1281" s="3">
        <v>4</v>
      </c>
      <c r="N1281" s="4" t="s">
        <v>9633</v>
      </c>
      <c r="O1281" s="4">
        <v>62</v>
      </c>
      <c r="P1281" s="11" t="s">
        <v>9801</v>
      </c>
      <c r="Q1281" s="11" t="s">
        <v>10225</v>
      </c>
      <c r="R1281" s="4" t="s">
        <v>13078</v>
      </c>
      <c r="S1281" s="4" t="b">
        <f>ISNUMBER(MATCH(Q1281,T:T,0))</f>
        <v>0</v>
      </c>
      <c r="T1281" s="4" t="s">
        <v>11599</v>
      </c>
      <c r="U1281" s="4" t="str">
        <f t="shared" si="60"/>
        <v>壘</v>
      </c>
      <c r="V1281" s="4" t="b">
        <f>ISNUMBER(MATCH(R1281,T:T,0))</f>
        <v>1</v>
      </c>
    </row>
    <row r="1282" spans="1:22">
      <c r="A1282" s="3">
        <v>1279</v>
      </c>
      <c r="B1282" s="3" t="s">
        <v>8871</v>
      </c>
      <c r="C1282" s="3" t="s">
        <v>6000</v>
      </c>
      <c r="D1282" s="3" t="s">
        <v>6001</v>
      </c>
      <c r="E1282" s="3" t="s">
        <v>5991</v>
      </c>
      <c r="F1282" s="3" t="s">
        <v>6332</v>
      </c>
      <c r="G1282" s="3" t="s">
        <v>8645</v>
      </c>
      <c r="H1282" s="3" t="s">
        <v>8927</v>
      </c>
      <c r="I1282" s="3" t="s">
        <v>6207</v>
      </c>
      <c r="J1282" s="5" t="s">
        <v>4710</v>
      </c>
      <c r="K1282" s="3" t="s">
        <v>600</v>
      </c>
      <c r="L1282" s="3" t="s">
        <v>8756</v>
      </c>
      <c r="M1282" s="3">
        <v>4</v>
      </c>
      <c r="N1282" s="4" t="s">
        <v>9633</v>
      </c>
      <c r="O1282" s="4">
        <v>62</v>
      </c>
      <c r="P1282" s="11" t="s">
        <v>10227</v>
      </c>
      <c r="Q1282" s="11" t="s">
        <v>10222</v>
      </c>
      <c r="S1282" s="4" t="b">
        <f>ISNUMBER(MATCH(Q1282,T:T,0))</f>
        <v>1</v>
      </c>
      <c r="T1282" s="4" t="s">
        <v>11600</v>
      </c>
      <c r="U1282" s="4" t="str">
        <f t="shared" si="60"/>
        <v>几</v>
      </c>
    </row>
    <row r="1283" spans="1:22">
      <c r="A1283" s="3">
        <v>1280</v>
      </c>
      <c r="B1283" s="3" t="s">
        <v>8871</v>
      </c>
      <c r="C1283" s="3" t="s">
        <v>6011</v>
      </c>
      <c r="D1283" s="3" t="s">
        <v>6001</v>
      </c>
      <c r="E1283" s="3" t="s">
        <v>5991</v>
      </c>
      <c r="F1283" s="3" t="s">
        <v>6332</v>
      </c>
      <c r="G1283" s="3" t="s">
        <v>8645</v>
      </c>
      <c r="H1283" s="3" t="s">
        <v>8928</v>
      </c>
      <c r="I1283" s="3" t="s">
        <v>6207</v>
      </c>
      <c r="J1283" s="5" t="s">
        <v>8929</v>
      </c>
      <c r="L1283" s="3" t="s">
        <v>8825</v>
      </c>
      <c r="M1283" s="3">
        <v>1</v>
      </c>
      <c r="N1283" s="4" t="s">
        <v>9633</v>
      </c>
      <c r="O1283" s="4">
        <v>62</v>
      </c>
      <c r="P1283" s="11" t="s">
        <v>10228</v>
      </c>
      <c r="Q1283" s="11" t="s">
        <v>10222</v>
      </c>
      <c r="S1283" s="4" t="b">
        <f>ISNUMBER(MATCH(Q1283,T:T,0))</f>
        <v>1</v>
      </c>
      <c r="T1283" s="4" t="s">
        <v>11601</v>
      </c>
      <c r="U1283" s="4" t="str">
        <f t="shared" ref="U1283:U1346" si="64">IF(ISBLANK(R1283),Q1283,R1283)</f>
        <v>几</v>
      </c>
    </row>
    <row r="1284" spans="1:22">
      <c r="A1284" s="3">
        <v>1281</v>
      </c>
      <c r="B1284" s="3" t="s">
        <v>8871</v>
      </c>
      <c r="C1284" s="3" t="s">
        <v>6009</v>
      </c>
      <c r="D1284" s="3" t="s">
        <v>6001</v>
      </c>
      <c r="E1284" s="3" t="s">
        <v>5991</v>
      </c>
      <c r="F1284" s="3" t="s">
        <v>6332</v>
      </c>
      <c r="G1284" s="3" t="s">
        <v>8645</v>
      </c>
      <c r="H1284" s="3" t="s">
        <v>8930</v>
      </c>
      <c r="I1284" s="3" t="s">
        <v>6207</v>
      </c>
      <c r="J1284" s="5" t="s">
        <v>8931</v>
      </c>
      <c r="L1284" s="3" t="s">
        <v>8756</v>
      </c>
      <c r="M1284" s="3">
        <v>1</v>
      </c>
      <c r="N1284" s="4" t="s">
        <v>9633</v>
      </c>
      <c r="O1284" s="4">
        <v>62</v>
      </c>
      <c r="P1284" s="11" t="s">
        <v>6207</v>
      </c>
      <c r="Q1284" s="11" t="s">
        <v>9799</v>
      </c>
      <c r="S1284" s="4" t="b">
        <f>ISNUMBER(MATCH(Q1284,T:T,0))</f>
        <v>1</v>
      </c>
      <c r="T1284" s="4" t="s">
        <v>8931</v>
      </c>
      <c r="U1284" s="4" t="str">
        <f t="shared" si="64"/>
        <v>姊</v>
      </c>
    </row>
    <row r="1285" spans="1:22">
      <c r="A1285" s="3">
        <v>1282</v>
      </c>
      <c r="B1285" s="3" t="s">
        <v>8871</v>
      </c>
      <c r="C1285" s="3" t="s">
        <v>6089</v>
      </c>
      <c r="D1285" s="3" t="s">
        <v>6001</v>
      </c>
      <c r="E1285" s="3" t="s">
        <v>6212</v>
      </c>
      <c r="F1285" s="3" t="s">
        <v>6328</v>
      </c>
      <c r="G1285" s="3" t="s">
        <v>8645</v>
      </c>
      <c r="H1285" s="3" t="s">
        <v>8932</v>
      </c>
      <c r="I1285" s="3" t="s">
        <v>6207</v>
      </c>
      <c r="J1285" s="5" t="s">
        <v>8933</v>
      </c>
      <c r="L1285" s="3" t="s">
        <v>8770</v>
      </c>
      <c r="M1285" s="3">
        <v>1</v>
      </c>
      <c r="N1285" s="4" t="s">
        <v>9633</v>
      </c>
      <c r="O1285" s="4">
        <v>62</v>
      </c>
      <c r="P1285" s="11" t="s">
        <v>9904</v>
      </c>
      <c r="Q1285" s="11" t="s">
        <v>10224</v>
      </c>
      <c r="S1285" s="4" t="b">
        <f>ISNUMBER(MATCH(Q1285,T:T,0))</f>
        <v>1</v>
      </c>
      <c r="T1285" s="4" t="s">
        <v>8933</v>
      </c>
      <c r="U1285" s="4" t="str">
        <f t="shared" si="64"/>
        <v>癸</v>
      </c>
    </row>
    <row r="1286" spans="1:22">
      <c r="A1286" s="3">
        <v>1283</v>
      </c>
      <c r="B1286" s="3" t="s">
        <v>8871</v>
      </c>
      <c r="C1286" s="3" t="s">
        <v>6041</v>
      </c>
      <c r="D1286" s="3" t="s">
        <v>6001</v>
      </c>
      <c r="E1286" s="3" t="s">
        <v>6212</v>
      </c>
      <c r="F1286" s="3" t="s">
        <v>6332</v>
      </c>
      <c r="G1286" s="3" t="s">
        <v>8645</v>
      </c>
      <c r="H1286" s="7" t="s">
        <v>727</v>
      </c>
      <c r="I1286" s="3" t="s">
        <v>6207</v>
      </c>
      <c r="J1286" s="5" t="s">
        <v>8934</v>
      </c>
      <c r="L1286" s="3" t="s">
        <v>8778</v>
      </c>
      <c r="M1286" s="3">
        <v>1</v>
      </c>
      <c r="N1286" s="4" t="s">
        <v>9633</v>
      </c>
      <c r="O1286" s="4">
        <v>62</v>
      </c>
      <c r="P1286" s="11" t="s">
        <v>3524</v>
      </c>
      <c r="Q1286" s="11" t="s">
        <v>10223</v>
      </c>
      <c r="S1286" s="4" t="b">
        <f>ISNUMBER(MATCH(Q1286,T:T,0))</f>
        <v>1</v>
      </c>
      <c r="T1286" s="4" t="s">
        <v>8934</v>
      </c>
      <c r="U1286" s="4" t="str">
        <f t="shared" si="64"/>
        <v>軌</v>
      </c>
    </row>
    <row r="1287" spans="1:22">
      <c r="A1287" s="3">
        <v>1284</v>
      </c>
      <c r="B1287" s="3" t="s">
        <v>8871</v>
      </c>
      <c r="C1287" s="3" t="s">
        <v>6041</v>
      </c>
      <c r="D1287" s="3" t="s">
        <v>6001</v>
      </c>
      <c r="E1287" s="3" t="s">
        <v>5991</v>
      </c>
      <c r="F1287" s="3" t="s">
        <v>6328</v>
      </c>
      <c r="G1287" s="3" t="s">
        <v>8645</v>
      </c>
      <c r="H1287" s="7" t="s">
        <v>728</v>
      </c>
      <c r="I1287" s="3" t="s">
        <v>6207</v>
      </c>
      <c r="J1287" s="5" t="s">
        <v>8935</v>
      </c>
      <c r="L1287" s="3" t="s">
        <v>8786</v>
      </c>
      <c r="M1287" s="3">
        <v>1</v>
      </c>
      <c r="N1287" s="4" t="s">
        <v>9633</v>
      </c>
      <c r="O1287" s="4">
        <v>62</v>
      </c>
      <c r="P1287" s="11" t="s">
        <v>3524</v>
      </c>
      <c r="Q1287" s="11" t="s">
        <v>10222</v>
      </c>
      <c r="S1287" s="4" t="b">
        <f>ISNUMBER(MATCH(Q1287,T:T,0))</f>
        <v>1</v>
      </c>
      <c r="T1287" s="4" t="s">
        <v>8935</v>
      </c>
      <c r="U1287" s="4" t="str">
        <f t="shared" si="64"/>
        <v>几</v>
      </c>
    </row>
    <row r="1288" spans="1:22">
      <c r="A1288" s="3">
        <v>1285</v>
      </c>
      <c r="B1288" s="3" t="s">
        <v>8871</v>
      </c>
      <c r="C1288" s="3" t="s">
        <v>6038</v>
      </c>
      <c r="D1288" s="3" t="s">
        <v>6001</v>
      </c>
      <c r="E1288" s="3" t="s">
        <v>6212</v>
      </c>
      <c r="F1288" s="3" t="s">
        <v>6332</v>
      </c>
      <c r="G1288" s="3" t="s">
        <v>8645</v>
      </c>
      <c r="H1288" s="3" t="s">
        <v>8936</v>
      </c>
      <c r="I1288" s="3" t="s">
        <v>6207</v>
      </c>
      <c r="J1288" s="5" t="s">
        <v>6390</v>
      </c>
      <c r="L1288" s="3" t="s">
        <v>8776</v>
      </c>
      <c r="M1288" s="3">
        <v>2</v>
      </c>
      <c r="N1288" s="4" t="s">
        <v>9633</v>
      </c>
      <c r="O1288" s="4">
        <v>62</v>
      </c>
      <c r="P1288" s="11" t="s">
        <v>9825</v>
      </c>
      <c r="Q1288" s="11" t="s">
        <v>10223</v>
      </c>
      <c r="S1288" s="4" t="b">
        <f>ISNUMBER(MATCH(Q1288,T:T,0))</f>
        <v>1</v>
      </c>
      <c r="T1288" s="4" t="s">
        <v>11021</v>
      </c>
      <c r="U1288" s="4" t="str">
        <f t="shared" si="64"/>
        <v>軌</v>
      </c>
    </row>
    <row r="1289" spans="1:22">
      <c r="A1289" s="3">
        <v>1286</v>
      </c>
      <c r="B1289" s="3" t="s">
        <v>8937</v>
      </c>
      <c r="C1289" s="3" t="s">
        <v>6009</v>
      </c>
      <c r="D1289" s="3" t="s">
        <v>6001</v>
      </c>
      <c r="E1289" s="3" t="s">
        <v>5991</v>
      </c>
      <c r="F1289" s="3" t="s">
        <v>6396</v>
      </c>
      <c r="G1289" s="3" t="s">
        <v>8645</v>
      </c>
      <c r="H1289" s="3" t="s">
        <v>8938</v>
      </c>
      <c r="I1289" s="3" t="s">
        <v>6207</v>
      </c>
      <c r="J1289" s="5" t="s">
        <v>4711</v>
      </c>
      <c r="L1289" s="3" t="s">
        <v>8756</v>
      </c>
      <c r="M1289" s="3">
        <v>10</v>
      </c>
      <c r="N1289" s="4" t="s">
        <v>6207</v>
      </c>
      <c r="O1289" s="4">
        <v>63</v>
      </c>
      <c r="P1289" s="11" t="s">
        <v>9849</v>
      </c>
      <c r="Q1289" s="11" t="s">
        <v>9829</v>
      </c>
      <c r="S1289" s="4" t="b">
        <f>ISNUMBER(MATCH(Q1289,T:T,0))</f>
        <v>1</v>
      </c>
      <c r="T1289" s="4" t="s">
        <v>6207</v>
      </c>
      <c r="U1289" s="4" t="str">
        <f t="shared" si="64"/>
        <v>市</v>
      </c>
    </row>
    <row r="1290" spans="1:22">
      <c r="A1290" s="3">
        <v>1287</v>
      </c>
      <c r="B1290" s="3" t="s">
        <v>8937</v>
      </c>
      <c r="C1290" s="3" t="s">
        <v>6148</v>
      </c>
      <c r="D1290" s="3" t="s">
        <v>6001</v>
      </c>
      <c r="E1290" s="3" t="s">
        <v>5991</v>
      </c>
      <c r="F1290" s="3" t="s">
        <v>6396</v>
      </c>
      <c r="G1290" s="3" t="s">
        <v>8645</v>
      </c>
      <c r="H1290" s="3" t="s">
        <v>8939</v>
      </c>
      <c r="I1290" s="3" t="s">
        <v>6207</v>
      </c>
      <c r="J1290" s="5" t="s">
        <v>8940</v>
      </c>
      <c r="L1290" s="3" t="s">
        <v>8760</v>
      </c>
      <c r="M1290" s="3">
        <v>3</v>
      </c>
      <c r="N1290" s="4" t="s">
        <v>6207</v>
      </c>
      <c r="O1290" s="4">
        <v>63</v>
      </c>
      <c r="P1290" s="11" t="s">
        <v>10190</v>
      </c>
      <c r="Q1290" s="11" t="s">
        <v>6207</v>
      </c>
      <c r="S1290" s="4" t="b">
        <f>ISNUMBER(MATCH(Q1290,T:T,0))</f>
        <v>1</v>
      </c>
      <c r="T1290" s="4" t="s">
        <v>9829</v>
      </c>
      <c r="U1290" s="4" t="str">
        <f t="shared" si="64"/>
        <v>止</v>
      </c>
    </row>
    <row r="1291" spans="1:22">
      <c r="A1291" s="3">
        <v>1288</v>
      </c>
      <c r="B1291" s="3" t="s">
        <v>8937</v>
      </c>
      <c r="C1291" s="3" t="s">
        <v>6000</v>
      </c>
      <c r="D1291" s="3" t="s">
        <v>6001</v>
      </c>
      <c r="E1291" s="3" t="s">
        <v>5991</v>
      </c>
      <c r="F1291" s="3" t="s">
        <v>6396</v>
      </c>
      <c r="G1291" s="3" t="s">
        <v>8645</v>
      </c>
      <c r="H1291" s="3" t="s">
        <v>8941</v>
      </c>
      <c r="I1291" s="3" t="s">
        <v>6207</v>
      </c>
      <c r="J1291" s="5" t="s">
        <v>8942</v>
      </c>
      <c r="L1291" s="3" t="s">
        <v>8756</v>
      </c>
      <c r="M1291" s="3">
        <v>3</v>
      </c>
      <c r="N1291" s="4" t="s">
        <v>6207</v>
      </c>
      <c r="O1291" s="4">
        <v>63</v>
      </c>
      <c r="P1291" s="11" t="s">
        <v>9707</v>
      </c>
      <c r="Q1291" s="11" t="s">
        <v>9834</v>
      </c>
      <c r="S1291" s="4" t="b">
        <f>ISNUMBER(MATCH(Q1291,T:T,0))</f>
        <v>1</v>
      </c>
      <c r="T1291" s="4" t="s">
        <v>10768</v>
      </c>
      <c r="U1291" s="4" t="str">
        <f t="shared" si="64"/>
        <v>里</v>
      </c>
    </row>
    <row r="1292" spans="1:22">
      <c r="A1292" s="3">
        <v>1289</v>
      </c>
      <c r="B1292" s="3" t="s">
        <v>8937</v>
      </c>
      <c r="C1292" s="3" t="s">
        <v>6089</v>
      </c>
      <c r="D1292" s="3" t="s">
        <v>6001</v>
      </c>
      <c r="E1292" s="3" t="s">
        <v>5991</v>
      </c>
      <c r="F1292" s="3" t="s">
        <v>6396</v>
      </c>
      <c r="G1292" s="3" t="s">
        <v>8645</v>
      </c>
      <c r="H1292" s="7" t="s">
        <v>729</v>
      </c>
      <c r="I1292" s="3" t="s">
        <v>6207</v>
      </c>
      <c r="J1292" s="5" t="s">
        <v>4712</v>
      </c>
      <c r="L1292" s="3" t="s">
        <v>8864</v>
      </c>
      <c r="M1292" s="3">
        <v>3</v>
      </c>
      <c r="N1292" s="4" t="s">
        <v>6207</v>
      </c>
      <c r="O1292" s="4">
        <v>63</v>
      </c>
      <c r="P1292" s="11" t="s">
        <v>9958</v>
      </c>
      <c r="Q1292" s="11" t="s">
        <v>9834</v>
      </c>
      <c r="S1292" s="4" t="b">
        <f>ISNUMBER(MATCH(Q1292,T:T,0))</f>
        <v>1</v>
      </c>
      <c r="T1292" s="4" t="s">
        <v>9827</v>
      </c>
      <c r="U1292" s="4" t="str">
        <f t="shared" si="64"/>
        <v>里</v>
      </c>
    </row>
    <row r="1293" spans="1:22">
      <c r="A1293" s="3">
        <v>1290</v>
      </c>
      <c r="B1293" s="3" t="s">
        <v>8937</v>
      </c>
      <c r="C1293" s="3" t="s">
        <v>6025</v>
      </c>
      <c r="D1293" s="3" t="s">
        <v>6001</v>
      </c>
      <c r="E1293" s="3" t="s">
        <v>5991</v>
      </c>
      <c r="F1293" s="3" t="s">
        <v>6396</v>
      </c>
      <c r="G1293" s="3" t="s">
        <v>8645</v>
      </c>
      <c r="H1293" s="3" t="s">
        <v>8943</v>
      </c>
      <c r="I1293" s="3" t="s">
        <v>6207</v>
      </c>
      <c r="J1293" s="5" t="s">
        <v>8944</v>
      </c>
      <c r="L1293" s="3" t="s">
        <v>8791</v>
      </c>
      <c r="M1293" s="3">
        <v>4</v>
      </c>
      <c r="N1293" s="4" t="s">
        <v>6207</v>
      </c>
      <c r="O1293" s="4">
        <v>63</v>
      </c>
      <c r="P1293" s="11" t="s">
        <v>9717</v>
      </c>
      <c r="Q1293" s="11" t="s">
        <v>9834</v>
      </c>
      <c r="S1293" s="4" t="b">
        <f>ISNUMBER(MATCH(Q1293,T:T,0))</f>
        <v>1</v>
      </c>
      <c r="T1293" s="4" t="s">
        <v>10234</v>
      </c>
      <c r="U1293" s="4" t="str">
        <f t="shared" si="64"/>
        <v>里</v>
      </c>
    </row>
    <row r="1294" spans="1:22">
      <c r="A1294" s="3">
        <v>1291</v>
      </c>
      <c r="B1294" s="3" t="s">
        <v>8937</v>
      </c>
      <c r="C1294" s="3" t="s">
        <v>6028</v>
      </c>
      <c r="D1294" s="3" t="s">
        <v>6001</v>
      </c>
      <c r="E1294" s="3" t="s">
        <v>5991</v>
      </c>
      <c r="F1294" s="3" t="s">
        <v>6396</v>
      </c>
      <c r="G1294" s="3" t="s">
        <v>8645</v>
      </c>
      <c r="H1294" s="3" t="s">
        <v>8945</v>
      </c>
      <c r="I1294" s="3" t="s">
        <v>6207</v>
      </c>
      <c r="J1294" s="5" t="s">
        <v>4713</v>
      </c>
      <c r="L1294" s="3" t="s">
        <v>8788</v>
      </c>
      <c r="M1294" s="3">
        <v>7</v>
      </c>
      <c r="N1294" s="4" t="s">
        <v>6207</v>
      </c>
      <c r="O1294" s="4">
        <v>63</v>
      </c>
      <c r="P1294" s="11" t="s">
        <v>9863</v>
      </c>
      <c r="Q1294" s="11" t="s">
        <v>10229</v>
      </c>
      <c r="R1294" s="4" t="s">
        <v>13079</v>
      </c>
      <c r="S1294" s="4" t="b">
        <f>ISNUMBER(MATCH(Q1294,T:T,0))</f>
        <v>0</v>
      </c>
      <c r="T1294" s="4" t="s">
        <v>6028</v>
      </c>
      <c r="U1294" s="4" t="str">
        <f t="shared" si="64"/>
        <v>紀</v>
      </c>
      <c r="V1294" s="4" t="b">
        <f>ISNUMBER(MATCH(R1294,T:T,0))</f>
        <v>1</v>
      </c>
    </row>
    <row r="1295" spans="1:22">
      <c r="A1295" s="3">
        <v>1292</v>
      </c>
      <c r="B1295" s="3" t="s">
        <v>8937</v>
      </c>
      <c r="C1295" s="3" t="s">
        <v>6123</v>
      </c>
      <c r="D1295" s="3" t="s">
        <v>6001</v>
      </c>
      <c r="E1295" s="3" t="s">
        <v>5991</v>
      </c>
      <c r="F1295" s="3" t="s">
        <v>6396</v>
      </c>
      <c r="G1295" s="3" t="s">
        <v>8645</v>
      </c>
      <c r="H1295" s="3" t="s">
        <v>8946</v>
      </c>
      <c r="I1295" s="3" t="s">
        <v>6207</v>
      </c>
      <c r="J1295" s="5" t="s">
        <v>4714</v>
      </c>
      <c r="L1295" s="3" t="s">
        <v>8879</v>
      </c>
      <c r="M1295" s="3">
        <v>15</v>
      </c>
      <c r="N1295" s="4" t="s">
        <v>6207</v>
      </c>
      <c r="O1295" s="4">
        <v>63</v>
      </c>
      <c r="P1295" s="11" t="s">
        <v>9946</v>
      </c>
      <c r="Q1295" s="11" t="s">
        <v>9834</v>
      </c>
      <c r="S1295" s="4" t="b">
        <f>ISNUMBER(MATCH(Q1295,T:T,0))</f>
        <v>1</v>
      </c>
      <c r="T1295" s="4" t="s">
        <v>9833</v>
      </c>
      <c r="U1295" s="4" t="str">
        <f t="shared" si="64"/>
        <v>里</v>
      </c>
    </row>
    <row r="1296" spans="1:22">
      <c r="A1296" s="3">
        <v>1293</v>
      </c>
      <c r="B1296" s="3" t="s">
        <v>8937</v>
      </c>
      <c r="C1296" s="3" t="s">
        <v>6180</v>
      </c>
      <c r="D1296" s="3" t="s">
        <v>6001</v>
      </c>
      <c r="E1296" s="3" t="s">
        <v>5991</v>
      </c>
      <c r="F1296" s="3" t="s">
        <v>6396</v>
      </c>
      <c r="G1296" s="3" t="s">
        <v>8645</v>
      </c>
      <c r="H1296" s="7" t="s">
        <v>730</v>
      </c>
      <c r="I1296" s="3" t="s">
        <v>6207</v>
      </c>
      <c r="J1296" s="5" t="s">
        <v>8947</v>
      </c>
      <c r="L1296" s="3" t="s">
        <v>8816</v>
      </c>
      <c r="M1296" s="3">
        <v>4</v>
      </c>
      <c r="N1296" s="4" t="s">
        <v>6207</v>
      </c>
      <c r="O1296" s="4">
        <v>63</v>
      </c>
      <c r="P1296" s="11" t="s">
        <v>10230</v>
      </c>
      <c r="Q1296" s="11" t="s">
        <v>9777</v>
      </c>
      <c r="S1296" s="4" t="b">
        <f>ISNUMBER(MATCH(Q1296,T:T,0))</f>
        <v>1</v>
      </c>
      <c r="T1296" s="4" t="s">
        <v>10173</v>
      </c>
      <c r="U1296" s="4" t="str">
        <f t="shared" si="64"/>
        <v>士</v>
      </c>
    </row>
    <row r="1297" spans="1:21">
      <c r="A1297" s="3">
        <v>1294</v>
      </c>
      <c r="B1297" s="3" t="s">
        <v>8937</v>
      </c>
      <c r="C1297" s="3" t="s">
        <v>6021</v>
      </c>
      <c r="D1297" s="3" t="s">
        <v>6001</v>
      </c>
      <c r="E1297" s="3" t="s">
        <v>5991</v>
      </c>
      <c r="F1297" s="3" t="s">
        <v>6396</v>
      </c>
      <c r="G1297" s="3" t="s">
        <v>8645</v>
      </c>
      <c r="H1297" s="3" t="s">
        <v>8948</v>
      </c>
      <c r="I1297" s="3" t="s">
        <v>6207</v>
      </c>
      <c r="J1297" s="5" t="s">
        <v>8949</v>
      </c>
      <c r="L1297" s="3" t="s">
        <v>8820</v>
      </c>
      <c r="M1297" s="3">
        <v>5</v>
      </c>
      <c r="N1297" s="4" t="s">
        <v>6207</v>
      </c>
      <c r="O1297" s="4">
        <v>63</v>
      </c>
      <c r="P1297" s="11" t="s">
        <v>9761</v>
      </c>
      <c r="Q1297" s="11" t="s">
        <v>6207</v>
      </c>
      <c r="S1297" s="4" t="b">
        <f>ISNUMBER(MATCH(Q1297,T:T,0))</f>
        <v>1</v>
      </c>
      <c r="T1297" s="4" t="s">
        <v>10142</v>
      </c>
      <c r="U1297" s="4" t="str">
        <f t="shared" si="64"/>
        <v>止</v>
      </c>
    </row>
    <row r="1298" spans="1:21">
      <c r="A1298" s="3">
        <v>1295</v>
      </c>
      <c r="B1298" s="3" t="s">
        <v>8937</v>
      </c>
      <c r="C1298" s="3" t="s">
        <v>6058</v>
      </c>
      <c r="D1298" s="3" t="s">
        <v>6001</v>
      </c>
      <c r="E1298" s="3" t="s">
        <v>5991</v>
      </c>
      <c r="F1298" s="3" t="s">
        <v>6396</v>
      </c>
      <c r="G1298" s="3" t="s">
        <v>8645</v>
      </c>
      <c r="H1298" s="3" t="s">
        <v>8950</v>
      </c>
      <c r="I1298" s="3" t="s">
        <v>6207</v>
      </c>
      <c r="J1298" s="5" t="s">
        <v>8951</v>
      </c>
      <c r="L1298" s="3" t="s">
        <v>8814</v>
      </c>
      <c r="M1298" s="3">
        <v>10</v>
      </c>
      <c r="N1298" s="4" t="s">
        <v>6207</v>
      </c>
      <c r="O1298" s="4">
        <v>63</v>
      </c>
      <c r="P1298" s="11" t="s">
        <v>10084</v>
      </c>
      <c r="Q1298" s="11" t="s">
        <v>9777</v>
      </c>
      <c r="S1298" s="4" t="b">
        <f>ISNUMBER(MATCH(Q1298,T:T,0))</f>
        <v>1</v>
      </c>
      <c r="T1298" s="4" t="s">
        <v>9834</v>
      </c>
      <c r="U1298" s="4" t="str">
        <f t="shared" si="64"/>
        <v>士</v>
      </c>
    </row>
    <row r="1299" spans="1:21">
      <c r="A1299" s="3">
        <v>1296</v>
      </c>
      <c r="B1299" s="3" t="s">
        <v>8937</v>
      </c>
      <c r="C1299" s="3" t="s">
        <v>6017</v>
      </c>
      <c r="D1299" s="3" t="s">
        <v>6001</v>
      </c>
      <c r="E1299" s="3" t="s">
        <v>5991</v>
      </c>
      <c r="F1299" s="3" t="s">
        <v>6396</v>
      </c>
      <c r="G1299" s="3" t="s">
        <v>8645</v>
      </c>
      <c r="H1299" s="3" t="s">
        <v>8952</v>
      </c>
      <c r="I1299" s="3" t="s">
        <v>6207</v>
      </c>
      <c r="J1299" s="5" t="s">
        <v>8953</v>
      </c>
      <c r="L1299" s="3" t="s">
        <v>8810</v>
      </c>
      <c r="M1299" s="3">
        <v>7</v>
      </c>
      <c r="N1299" s="4" t="s">
        <v>6207</v>
      </c>
      <c r="O1299" s="4">
        <v>63</v>
      </c>
      <c r="P1299" s="11" t="s">
        <v>10231</v>
      </c>
      <c r="Q1299" s="11" t="s">
        <v>9834</v>
      </c>
      <c r="S1299" s="4" t="b">
        <f>ISNUMBER(MATCH(Q1299,T:T,0))</f>
        <v>1</v>
      </c>
      <c r="T1299" s="4" t="s">
        <v>11602</v>
      </c>
      <c r="U1299" s="4" t="str">
        <f t="shared" si="64"/>
        <v>里</v>
      </c>
    </row>
    <row r="1300" spans="1:21">
      <c r="A1300" s="3">
        <v>1297</v>
      </c>
      <c r="B1300" s="3" t="s">
        <v>8937</v>
      </c>
      <c r="C1300" s="3" t="s">
        <v>6120</v>
      </c>
      <c r="D1300" s="3" t="s">
        <v>6001</v>
      </c>
      <c r="E1300" s="3" t="s">
        <v>5991</v>
      </c>
      <c r="F1300" s="3" t="s">
        <v>6396</v>
      </c>
      <c r="G1300" s="3" t="s">
        <v>8645</v>
      </c>
      <c r="H1300" s="3" t="s">
        <v>8954</v>
      </c>
      <c r="I1300" s="3" t="s">
        <v>6207</v>
      </c>
      <c r="J1300" s="5" t="s">
        <v>8955</v>
      </c>
      <c r="L1300" s="3" t="s">
        <v>8816</v>
      </c>
      <c r="M1300" s="3">
        <v>1</v>
      </c>
      <c r="N1300" s="4" t="s">
        <v>6207</v>
      </c>
      <c r="O1300" s="4">
        <v>63</v>
      </c>
      <c r="P1300" s="11" t="s">
        <v>10232</v>
      </c>
      <c r="Q1300" s="11" t="s">
        <v>6207</v>
      </c>
      <c r="S1300" s="4" t="b">
        <f>ISNUMBER(MATCH(Q1300,T:T,0))</f>
        <v>1</v>
      </c>
      <c r="T1300" s="4" t="s">
        <v>8955</v>
      </c>
      <c r="U1300" s="4" t="str">
        <f t="shared" si="64"/>
        <v>止</v>
      </c>
    </row>
    <row r="1301" spans="1:21">
      <c r="A1301" s="3">
        <v>1298</v>
      </c>
      <c r="B1301" s="3" t="s">
        <v>8937</v>
      </c>
      <c r="C1301" s="3" t="s">
        <v>6005</v>
      </c>
      <c r="D1301" s="3" t="s">
        <v>6001</v>
      </c>
      <c r="E1301" s="3" t="s">
        <v>5991</v>
      </c>
      <c r="F1301" s="3" t="s">
        <v>6396</v>
      </c>
      <c r="G1301" s="3" t="s">
        <v>8645</v>
      </c>
      <c r="H1301" s="3" t="s">
        <v>8956</v>
      </c>
      <c r="I1301" s="3" t="s">
        <v>6207</v>
      </c>
      <c r="J1301" s="5" t="s">
        <v>4715</v>
      </c>
      <c r="L1301" s="3" t="s">
        <v>8808</v>
      </c>
      <c r="M1301" s="3">
        <v>9</v>
      </c>
      <c r="N1301" s="4" t="s">
        <v>6207</v>
      </c>
      <c r="O1301" s="4">
        <v>63</v>
      </c>
      <c r="P1301" s="11" t="s">
        <v>9709</v>
      </c>
      <c r="Q1301" s="11" t="s">
        <v>9834</v>
      </c>
      <c r="S1301" s="4" t="b">
        <f>ISNUMBER(MATCH(Q1301,T:T,0))</f>
        <v>1</v>
      </c>
      <c r="T1301" s="4" t="s">
        <v>11603</v>
      </c>
      <c r="U1301" s="4" t="str">
        <f t="shared" si="64"/>
        <v>里</v>
      </c>
    </row>
    <row r="1302" spans="1:21">
      <c r="A1302" s="3">
        <v>1299</v>
      </c>
      <c r="B1302" s="3" t="s">
        <v>8937</v>
      </c>
      <c r="C1302" s="3" t="s">
        <v>6038</v>
      </c>
      <c r="D1302" s="3" t="s">
        <v>6001</v>
      </c>
      <c r="E1302" s="3" t="s">
        <v>5991</v>
      </c>
      <c r="F1302" s="3" t="s">
        <v>6396</v>
      </c>
      <c r="G1302" s="3" t="s">
        <v>8645</v>
      </c>
      <c r="H1302" s="3" t="s">
        <v>8957</v>
      </c>
      <c r="I1302" s="3" t="s">
        <v>6207</v>
      </c>
      <c r="J1302" s="5" t="s">
        <v>4716</v>
      </c>
      <c r="L1302" s="3" t="s">
        <v>8794</v>
      </c>
      <c r="M1302" s="3">
        <v>6</v>
      </c>
      <c r="N1302" s="4" t="s">
        <v>6207</v>
      </c>
      <c r="O1302" s="4">
        <v>63</v>
      </c>
      <c r="P1302" s="11" t="s">
        <v>10200</v>
      </c>
      <c r="Q1302" s="11" t="s">
        <v>9834</v>
      </c>
      <c r="S1302" s="4" t="b">
        <f>ISNUMBER(MATCH(Q1302,T:T,0))</f>
        <v>1</v>
      </c>
      <c r="T1302" s="4" t="s">
        <v>10038</v>
      </c>
      <c r="U1302" s="4" t="str">
        <f t="shared" si="64"/>
        <v>里</v>
      </c>
    </row>
    <row r="1303" spans="1:21">
      <c r="A1303" s="3">
        <v>1300</v>
      </c>
      <c r="B1303" s="3" t="s">
        <v>8937</v>
      </c>
      <c r="C1303" s="3" t="s">
        <v>6015</v>
      </c>
      <c r="D1303" s="3" t="s">
        <v>6001</v>
      </c>
      <c r="E1303" s="3" t="s">
        <v>5991</v>
      </c>
      <c r="F1303" s="3" t="s">
        <v>6396</v>
      </c>
      <c r="G1303" s="3" t="s">
        <v>8645</v>
      </c>
      <c r="H1303" s="3" t="s">
        <v>8958</v>
      </c>
      <c r="I1303" s="3" t="s">
        <v>6207</v>
      </c>
      <c r="J1303" s="5" t="s">
        <v>4717</v>
      </c>
      <c r="L1303" s="3" t="s">
        <v>8760</v>
      </c>
      <c r="M1303" s="3">
        <v>5</v>
      </c>
      <c r="N1303" s="4" t="s">
        <v>6207</v>
      </c>
      <c r="O1303" s="4">
        <v>63</v>
      </c>
      <c r="P1303" s="11" t="s">
        <v>10041</v>
      </c>
      <c r="Q1303" s="11" t="s">
        <v>9834</v>
      </c>
      <c r="S1303" s="4" t="b">
        <f>ISNUMBER(MATCH(Q1303,T:T,0))</f>
        <v>1</v>
      </c>
      <c r="T1303" s="4" t="s">
        <v>9777</v>
      </c>
      <c r="U1303" s="4" t="str">
        <f t="shared" si="64"/>
        <v>里</v>
      </c>
    </row>
    <row r="1304" spans="1:21">
      <c r="A1304" s="3">
        <v>1301</v>
      </c>
      <c r="B1304" s="3" t="s">
        <v>8937</v>
      </c>
      <c r="C1304" s="3" t="s">
        <v>6428</v>
      </c>
      <c r="D1304" s="3" t="s">
        <v>6001</v>
      </c>
      <c r="E1304" s="3" t="s">
        <v>5991</v>
      </c>
      <c r="F1304" s="3" t="s">
        <v>6396</v>
      </c>
      <c r="G1304" s="3" t="s">
        <v>8645</v>
      </c>
      <c r="H1304" s="7" t="s">
        <v>731</v>
      </c>
      <c r="I1304" s="3" t="s">
        <v>6207</v>
      </c>
      <c r="J1304" s="5" t="s">
        <v>4718</v>
      </c>
      <c r="L1304" s="3" t="s">
        <v>8760</v>
      </c>
      <c r="M1304" s="3">
        <v>7</v>
      </c>
      <c r="N1304" s="4" t="s">
        <v>6207</v>
      </c>
      <c r="O1304" s="4">
        <v>63</v>
      </c>
      <c r="P1304" s="11" t="s">
        <v>10233</v>
      </c>
      <c r="Q1304" s="11" t="s">
        <v>10173</v>
      </c>
      <c r="S1304" s="4" t="b">
        <f>ISNUMBER(MATCH(Q1304,T:T,0))</f>
        <v>1</v>
      </c>
      <c r="T1304" s="4" t="s">
        <v>6428</v>
      </c>
      <c r="U1304" s="4" t="str">
        <f t="shared" si="64"/>
        <v>史</v>
      </c>
    </row>
    <row r="1305" spans="1:21">
      <c r="A1305" s="3">
        <v>1302</v>
      </c>
      <c r="B1305" s="3" t="s">
        <v>8937</v>
      </c>
      <c r="C1305" s="3" t="s">
        <v>6083</v>
      </c>
      <c r="D1305" s="3" t="s">
        <v>6001</v>
      </c>
      <c r="E1305" s="3" t="s">
        <v>5991</v>
      </c>
      <c r="F1305" s="3" t="s">
        <v>6396</v>
      </c>
      <c r="G1305" s="3" t="s">
        <v>8645</v>
      </c>
      <c r="H1305" s="3" t="s">
        <v>8959</v>
      </c>
      <c r="I1305" s="3" t="s">
        <v>6207</v>
      </c>
      <c r="J1305" s="5" t="s">
        <v>4719</v>
      </c>
      <c r="L1305" s="3" t="s">
        <v>8829</v>
      </c>
      <c r="M1305" s="3">
        <v>8</v>
      </c>
      <c r="N1305" s="4" t="s">
        <v>6207</v>
      </c>
      <c r="O1305" s="4">
        <v>63</v>
      </c>
      <c r="P1305" s="11" t="s">
        <v>9760</v>
      </c>
      <c r="Q1305" s="11" t="s">
        <v>9834</v>
      </c>
      <c r="S1305" s="4" t="b">
        <f>ISNUMBER(MATCH(Q1305,T:T,0))</f>
        <v>1</v>
      </c>
      <c r="T1305" s="4" t="s">
        <v>9737</v>
      </c>
      <c r="U1305" s="4" t="str">
        <f t="shared" si="64"/>
        <v>里</v>
      </c>
    </row>
    <row r="1306" spans="1:21">
      <c r="A1306" s="3">
        <v>1303</v>
      </c>
      <c r="B1306" s="3" t="s">
        <v>8937</v>
      </c>
      <c r="C1306" s="3" t="s">
        <v>6032</v>
      </c>
      <c r="D1306" s="3" t="s">
        <v>6001</v>
      </c>
      <c r="E1306" s="3" t="s">
        <v>5991</v>
      </c>
      <c r="F1306" s="3" t="s">
        <v>6396</v>
      </c>
      <c r="G1306" s="3" t="s">
        <v>8645</v>
      </c>
      <c r="H1306" s="3" t="s">
        <v>8960</v>
      </c>
      <c r="I1306" s="3" t="s">
        <v>6207</v>
      </c>
      <c r="J1306" s="5" t="s">
        <v>8961</v>
      </c>
      <c r="L1306" s="3" t="s">
        <v>8788</v>
      </c>
      <c r="M1306" s="3">
        <v>2</v>
      </c>
      <c r="N1306" s="4" t="s">
        <v>6207</v>
      </c>
      <c r="O1306" s="4">
        <v>63</v>
      </c>
      <c r="P1306" s="11" t="s">
        <v>9859</v>
      </c>
      <c r="Q1306" s="11" t="s">
        <v>10234</v>
      </c>
      <c r="S1306" s="4" t="b">
        <f>ISNUMBER(MATCH(Q1306,T:T,0))</f>
        <v>1</v>
      </c>
      <c r="T1306" s="4" t="s">
        <v>11604</v>
      </c>
      <c r="U1306" s="4" t="str">
        <f t="shared" si="64"/>
        <v>紀</v>
      </c>
    </row>
    <row r="1307" spans="1:21">
      <c r="A1307" s="3">
        <v>1304</v>
      </c>
      <c r="B1307" s="3" t="s">
        <v>8937</v>
      </c>
      <c r="C1307" s="3" t="s">
        <v>6092</v>
      </c>
      <c r="D1307" s="3" t="s">
        <v>6001</v>
      </c>
      <c r="E1307" s="3" t="s">
        <v>5991</v>
      </c>
      <c r="F1307" s="3" t="s">
        <v>6396</v>
      </c>
      <c r="G1307" s="3" t="s">
        <v>8645</v>
      </c>
      <c r="H1307" s="3" t="s">
        <v>8962</v>
      </c>
      <c r="I1307" s="3" t="s">
        <v>6207</v>
      </c>
      <c r="J1307" s="5" t="s">
        <v>4720</v>
      </c>
      <c r="L1307" s="3" t="s">
        <v>8788</v>
      </c>
      <c r="M1307" s="3">
        <v>6</v>
      </c>
      <c r="N1307" s="4" t="s">
        <v>6207</v>
      </c>
      <c r="O1307" s="4">
        <v>63</v>
      </c>
      <c r="P1307" s="11" t="s">
        <v>6462</v>
      </c>
      <c r="Q1307" s="11" t="s">
        <v>10234</v>
      </c>
      <c r="S1307" s="4" t="b">
        <f>ISNUMBER(MATCH(Q1307,T:T,0))</f>
        <v>1</v>
      </c>
      <c r="T1307" s="4" t="s">
        <v>9916</v>
      </c>
      <c r="U1307" s="4" t="str">
        <f t="shared" si="64"/>
        <v>紀</v>
      </c>
    </row>
    <row r="1308" spans="1:21">
      <c r="A1308" s="3">
        <v>1305</v>
      </c>
      <c r="B1308" s="3" t="s">
        <v>8937</v>
      </c>
      <c r="C1308" s="3" t="s">
        <v>6055</v>
      </c>
      <c r="D1308" s="3" t="s">
        <v>6001</v>
      </c>
      <c r="E1308" s="3" t="s">
        <v>5991</v>
      </c>
      <c r="F1308" s="3" t="s">
        <v>6396</v>
      </c>
      <c r="G1308" s="3" t="s">
        <v>8645</v>
      </c>
      <c r="H1308" s="3" t="s">
        <v>8963</v>
      </c>
      <c r="I1308" s="3" t="s">
        <v>6207</v>
      </c>
      <c r="J1308" s="5" t="s">
        <v>8964</v>
      </c>
      <c r="L1308" s="3" t="s">
        <v>8825</v>
      </c>
      <c r="M1308" s="3">
        <v>2</v>
      </c>
      <c r="N1308" s="4" t="s">
        <v>6207</v>
      </c>
      <c r="O1308" s="4">
        <v>63</v>
      </c>
      <c r="P1308" s="11" t="s">
        <v>6055</v>
      </c>
      <c r="Q1308" s="11" t="s">
        <v>9834</v>
      </c>
      <c r="S1308" s="4" t="b">
        <f>ISNUMBER(MATCH(Q1308,T:T,0))</f>
        <v>1</v>
      </c>
      <c r="T1308" s="4" t="s">
        <v>11605</v>
      </c>
      <c r="U1308" s="4" t="str">
        <f t="shared" si="64"/>
        <v>里</v>
      </c>
    </row>
    <row r="1309" spans="1:21">
      <c r="A1309" s="3">
        <v>1306</v>
      </c>
      <c r="B1309" s="3" t="s">
        <v>8937</v>
      </c>
      <c r="C1309" s="3" t="s">
        <v>6011</v>
      </c>
      <c r="D1309" s="3" t="s">
        <v>6001</v>
      </c>
      <c r="E1309" s="3" t="s">
        <v>5991</v>
      </c>
      <c r="F1309" s="3" t="s">
        <v>6396</v>
      </c>
      <c r="G1309" s="3" t="s">
        <v>8645</v>
      </c>
      <c r="H1309" s="3" t="s">
        <v>8965</v>
      </c>
      <c r="I1309" s="3" t="s">
        <v>6207</v>
      </c>
      <c r="J1309" s="5" t="s">
        <v>8966</v>
      </c>
      <c r="L1309" s="3" t="s">
        <v>8825</v>
      </c>
      <c r="M1309" s="3">
        <v>3</v>
      </c>
      <c r="N1309" s="4" t="s">
        <v>6207</v>
      </c>
      <c r="O1309" s="4">
        <v>63</v>
      </c>
      <c r="P1309" s="11" t="s">
        <v>9711</v>
      </c>
      <c r="Q1309" s="11" t="s">
        <v>9834</v>
      </c>
      <c r="S1309" s="4" t="b">
        <f>ISNUMBER(MATCH(Q1309,T:T,0))</f>
        <v>1</v>
      </c>
      <c r="T1309" s="4" t="s">
        <v>10872</v>
      </c>
      <c r="U1309" s="4" t="str">
        <f t="shared" si="64"/>
        <v>里</v>
      </c>
    </row>
    <row r="1310" spans="1:21">
      <c r="A1310" s="3">
        <v>1307</v>
      </c>
      <c r="B1310" s="3" t="s">
        <v>8937</v>
      </c>
      <c r="C1310" s="3" t="s">
        <v>6167</v>
      </c>
      <c r="D1310" s="3" t="s">
        <v>6001</v>
      </c>
      <c r="E1310" s="3" t="s">
        <v>5991</v>
      </c>
      <c r="F1310" s="3" t="s">
        <v>6396</v>
      </c>
      <c r="G1310" s="3" t="s">
        <v>8645</v>
      </c>
      <c r="H1310" s="3" t="s">
        <v>8967</v>
      </c>
      <c r="I1310" s="3" t="s">
        <v>6207</v>
      </c>
      <c r="J1310" s="5" t="s">
        <v>8968</v>
      </c>
      <c r="L1310" s="3" t="s">
        <v>8825</v>
      </c>
      <c r="M1310" s="3">
        <v>3</v>
      </c>
      <c r="N1310" s="4" t="s">
        <v>6207</v>
      </c>
      <c r="O1310" s="4">
        <v>63</v>
      </c>
      <c r="P1310" s="11" t="s">
        <v>6167</v>
      </c>
      <c r="Q1310" s="11" t="s">
        <v>10234</v>
      </c>
      <c r="S1310" s="4" t="b">
        <f>ISNUMBER(MATCH(Q1310,T:T,0))</f>
        <v>1</v>
      </c>
      <c r="T1310" s="4" t="s">
        <v>11606</v>
      </c>
      <c r="U1310" s="4" t="str">
        <f t="shared" si="64"/>
        <v>紀</v>
      </c>
    </row>
    <row r="1311" spans="1:21">
      <c r="A1311" s="3">
        <v>1308</v>
      </c>
      <c r="B1311" s="3" t="s">
        <v>8937</v>
      </c>
      <c r="C1311" s="3" t="s">
        <v>6318</v>
      </c>
      <c r="D1311" s="3" t="s">
        <v>6001</v>
      </c>
      <c r="E1311" s="3" t="s">
        <v>5991</v>
      </c>
      <c r="F1311" s="3" t="s">
        <v>6396</v>
      </c>
      <c r="G1311" s="3" t="s">
        <v>8645</v>
      </c>
      <c r="H1311" s="3" t="s">
        <v>8969</v>
      </c>
      <c r="I1311" s="3" t="s">
        <v>6207</v>
      </c>
      <c r="J1311" s="5" t="s">
        <v>8970</v>
      </c>
      <c r="L1311" s="3" t="s">
        <v>8756</v>
      </c>
      <c r="M1311" s="3">
        <v>5</v>
      </c>
      <c r="N1311" s="4" t="s">
        <v>6207</v>
      </c>
      <c r="O1311" s="4">
        <v>63</v>
      </c>
      <c r="P1311" s="11" t="s">
        <v>9988</v>
      </c>
      <c r="Q1311" s="11" t="s">
        <v>10173</v>
      </c>
      <c r="S1311" s="4" t="b">
        <f>ISNUMBER(MATCH(Q1311,T:T,0))</f>
        <v>1</v>
      </c>
      <c r="T1311" s="4" t="s">
        <v>11607</v>
      </c>
      <c r="U1311" s="4" t="str">
        <f t="shared" si="64"/>
        <v>史</v>
      </c>
    </row>
    <row r="1312" spans="1:21">
      <c r="A1312" s="3">
        <v>1309</v>
      </c>
      <c r="B1312" s="3" t="s">
        <v>8937</v>
      </c>
      <c r="C1312" s="3" t="s">
        <v>6072</v>
      </c>
      <c r="D1312" s="3" t="s">
        <v>6001</v>
      </c>
      <c r="E1312" s="3" t="s">
        <v>5991</v>
      </c>
      <c r="F1312" s="3" t="s">
        <v>6396</v>
      </c>
      <c r="G1312" s="3" t="s">
        <v>8645</v>
      </c>
      <c r="H1312" s="3" t="s">
        <v>8971</v>
      </c>
      <c r="I1312" s="3" t="s">
        <v>6207</v>
      </c>
      <c r="J1312" s="8" t="s">
        <v>4721</v>
      </c>
      <c r="L1312" s="3" t="s">
        <v>8788</v>
      </c>
      <c r="M1312" s="3">
        <v>2</v>
      </c>
      <c r="N1312" s="4" t="s">
        <v>6207</v>
      </c>
      <c r="O1312" s="4">
        <v>63</v>
      </c>
      <c r="P1312" s="11" t="s">
        <v>9754</v>
      </c>
      <c r="Q1312" s="11" t="s">
        <v>9916</v>
      </c>
      <c r="S1312" s="4" t="b">
        <f>ISNUMBER(MATCH(Q1312,T:T,0))</f>
        <v>1</v>
      </c>
      <c r="T1312" s="4" t="s">
        <v>11608</v>
      </c>
      <c r="U1312" s="4" t="str">
        <f t="shared" si="64"/>
        <v>擬</v>
      </c>
    </row>
    <row r="1313" spans="1:22">
      <c r="A1313" s="3">
        <v>1310</v>
      </c>
      <c r="B1313" s="3" t="s">
        <v>8937</v>
      </c>
      <c r="C1313" s="3" t="s">
        <v>6137</v>
      </c>
      <c r="D1313" s="3" t="s">
        <v>6001</v>
      </c>
      <c r="E1313" s="3" t="s">
        <v>5991</v>
      </c>
      <c r="F1313" s="3" t="s">
        <v>6396</v>
      </c>
      <c r="G1313" s="3" t="s">
        <v>8645</v>
      </c>
      <c r="H1313" s="3" t="s">
        <v>8972</v>
      </c>
      <c r="I1313" s="3" t="s">
        <v>6207</v>
      </c>
      <c r="J1313" s="5" t="s">
        <v>4722</v>
      </c>
      <c r="L1313" s="3" t="s">
        <v>8853</v>
      </c>
      <c r="M1313" s="3">
        <v>2</v>
      </c>
      <c r="N1313" s="4" t="s">
        <v>6207</v>
      </c>
      <c r="O1313" s="4">
        <v>63</v>
      </c>
      <c r="P1313" s="11" t="s">
        <v>9873</v>
      </c>
      <c r="Q1313" s="11" t="s">
        <v>9834</v>
      </c>
      <c r="S1313" s="4" t="b">
        <f>ISNUMBER(MATCH(Q1313,T:T,0))</f>
        <v>1</v>
      </c>
      <c r="T1313" s="4" t="s">
        <v>11609</v>
      </c>
      <c r="U1313" s="4" t="str">
        <f t="shared" si="64"/>
        <v>里</v>
      </c>
    </row>
    <row r="1314" spans="1:22">
      <c r="A1314" s="3">
        <v>1311</v>
      </c>
      <c r="B1314" s="3" t="s">
        <v>8973</v>
      </c>
      <c r="C1314" s="3" t="s">
        <v>6035</v>
      </c>
      <c r="D1314" s="3" t="s">
        <v>6001</v>
      </c>
      <c r="E1314" s="3" t="s">
        <v>6212</v>
      </c>
      <c r="F1314" s="3" t="s">
        <v>6436</v>
      </c>
      <c r="G1314" s="3" t="s">
        <v>8645</v>
      </c>
      <c r="H1314" s="3" t="s">
        <v>8974</v>
      </c>
      <c r="I1314" s="3" t="s">
        <v>6207</v>
      </c>
      <c r="J1314" s="5" t="s">
        <v>8975</v>
      </c>
      <c r="L1314" s="3" t="s">
        <v>8773</v>
      </c>
      <c r="M1314" s="3">
        <v>8</v>
      </c>
      <c r="N1314" s="4" t="s">
        <v>8976</v>
      </c>
      <c r="O1314" s="4">
        <v>64</v>
      </c>
      <c r="P1314" s="11" t="s">
        <v>9837</v>
      </c>
      <c r="Q1314" s="11" t="s">
        <v>10235</v>
      </c>
      <c r="S1314" s="4" t="b">
        <f>ISNUMBER(MATCH(Q1314,T:T,0))</f>
        <v>1</v>
      </c>
      <c r="T1314" s="4" t="s">
        <v>8976</v>
      </c>
      <c r="U1314" s="4" t="str">
        <f t="shared" si="64"/>
        <v>匪</v>
      </c>
    </row>
    <row r="1315" spans="1:22">
      <c r="A1315" s="3">
        <v>1312</v>
      </c>
      <c r="B1315" s="3" t="s">
        <v>8973</v>
      </c>
      <c r="C1315" s="3" t="s">
        <v>6072</v>
      </c>
      <c r="D1315" s="3" t="s">
        <v>6001</v>
      </c>
      <c r="E1315" s="3" t="s">
        <v>5991</v>
      </c>
      <c r="F1315" s="3" t="s">
        <v>6436</v>
      </c>
      <c r="G1315" s="3" t="s">
        <v>8645</v>
      </c>
      <c r="H1315" s="3" t="s">
        <v>8977</v>
      </c>
      <c r="I1315" s="3" t="s">
        <v>6207</v>
      </c>
      <c r="J1315" s="5" t="s">
        <v>4723</v>
      </c>
      <c r="L1315" s="3" t="s">
        <v>8788</v>
      </c>
      <c r="M1315" s="3">
        <v>6</v>
      </c>
      <c r="N1315" s="4" t="s">
        <v>8976</v>
      </c>
      <c r="O1315" s="4">
        <v>64</v>
      </c>
      <c r="P1315" s="11" t="s">
        <v>9754</v>
      </c>
      <c r="Q1315" s="11" t="s">
        <v>9864</v>
      </c>
      <c r="S1315" s="4" t="b">
        <f>ISNUMBER(MATCH(Q1315,T:T,0))</f>
        <v>1</v>
      </c>
      <c r="T1315" s="4" t="s">
        <v>11610</v>
      </c>
      <c r="U1315" s="4" t="str">
        <f t="shared" si="64"/>
        <v>豈</v>
      </c>
    </row>
    <row r="1316" spans="1:22">
      <c r="A1316" s="3">
        <v>1313</v>
      </c>
      <c r="B1316" s="3" t="s">
        <v>8973</v>
      </c>
      <c r="C1316" s="3" t="s">
        <v>6038</v>
      </c>
      <c r="D1316" s="3" t="s">
        <v>6001</v>
      </c>
      <c r="E1316" s="3" t="s">
        <v>5991</v>
      </c>
      <c r="F1316" s="3" t="s">
        <v>6436</v>
      </c>
      <c r="G1316" s="3" t="s">
        <v>8645</v>
      </c>
      <c r="H1316" s="3" t="s">
        <v>8978</v>
      </c>
      <c r="I1316" s="3" t="s">
        <v>6207</v>
      </c>
      <c r="J1316" s="5" t="s">
        <v>8979</v>
      </c>
      <c r="L1316" s="3" t="s">
        <v>8794</v>
      </c>
      <c r="M1316" s="3">
        <v>2</v>
      </c>
      <c r="N1316" s="4" t="s">
        <v>8976</v>
      </c>
      <c r="O1316" s="4">
        <v>64</v>
      </c>
      <c r="P1316" s="11" t="s">
        <v>10236</v>
      </c>
      <c r="Q1316" s="11" t="s">
        <v>10237</v>
      </c>
      <c r="R1316" s="4" t="s">
        <v>13080</v>
      </c>
      <c r="S1316" s="4" t="b">
        <f>ISNUMBER(MATCH(Q1316,T:T,0))</f>
        <v>0</v>
      </c>
      <c r="T1316" s="4" t="s">
        <v>9864</v>
      </c>
      <c r="U1316" s="4" t="str">
        <f t="shared" si="64"/>
        <v>豨</v>
      </c>
      <c r="V1316" s="4" t="b">
        <f t="shared" ref="V1316:V1317" si="65">ISNUMBER(MATCH(R1316,T:T,0))</f>
        <v>1</v>
      </c>
    </row>
    <row r="1317" spans="1:22">
      <c r="A1317" s="3">
        <v>1314</v>
      </c>
      <c r="B1317" s="3" t="s">
        <v>8973</v>
      </c>
      <c r="C1317" s="3" t="s">
        <v>6025</v>
      </c>
      <c r="D1317" s="3" t="s">
        <v>6001</v>
      </c>
      <c r="E1317" s="3" t="s">
        <v>5991</v>
      </c>
      <c r="F1317" s="3" t="s">
        <v>6436</v>
      </c>
      <c r="G1317" s="3" t="s">
        <v>8645</v>
      </c>
      <c r="H1317" s="3" t="s">
        <v>8980</v>
      </c>
      <c r="I1317" s="3" t="s">
        <v>6207</v>
      </c>
      <c r="J1317" s="5" t="s">
        <v>8981</v>
      </c>
      <c r="L1317" s="3" t="s">
        <v>8791</v>
      </c>
      <c r="M1317" s="3">
        <v>4</v>
      </c>
      <c r="N1317" s="4" t="s">
        <v>8976</v>
      </c>
      <c r="O1317" s="4">
        <v>64</v>
      </c>
      <c r="P1317" s="11" t="s">
        <v>9717</v>
      </c>
      <c r="Q1317" s="11" t="s">
        <v>10237</v>
      </c>
      <c r="R1317" s="4" t="s">
        <v>13080</v>
      </c>
      <c r="S1317" s="4" t="b">
        <f>ISNUMBER(MATCH(Q1317,T:T,0))</f>
        <v>0</v>
      </c>
      <c r="T1317" s="4" t="s">
        <v>11611</v>
      </c>
      <c r="U1317" s="4" t="str">
        <f t="shared" si="64"/>
        <v>豨</v>
      </c>
      <c r="V1317" s="4" t="b">
        <f t="shared" si="65"/>
        <v>1</v>
      </c>
    </row>
    <row r="1318" spans="1:22">
      <c r="A1318" s="3">
        <v>1315</v>
      </c>
      <c r="B1318" s="3" t="s">
        <v>8973</v>
      </c>
      <c r="C1318" s="3" t="s">
        <v>6053</v>
      </c>
      <c r="D1318" s="3" t="s">
        <v>6001</v>
      </c>
      <c r="E1318" s="3" t="s">
        <v>6212</v>
      </c>
      <c r="F1318" s="3" t="s">
        <v>6436</v>
      </c>
      <c r="G1318" s="3" t="s">
        <v>8645</v>
      </c>
      <c r="H1318" s="3" t="s">
        <v>8982</v>
      </c>
      <c r="I1318" s="3" t="s">
        <v>6207</v>
      </c>
      <c r="J1318" s="5" t="s">
        <v>8983</v>
      </c>
      <c r="L1318" s="3" t="s">
        <v>8984</v>
      </c>
      <c r="M1318" s="3">
        <v>7</v>
      </c>
      <c r="N1318" s="4" t="s">
        <v>8976</v>
      </c>
      <c r="O1318" s="4">
        <v>64</v>
      </c>
      <c r="P1318" s="11" t="s">
        <v>9724</v>
      </c>
      <c r="Q1318" s="11" t="s">
        <v>8976</v>
      </c>
      <c r="S1318" s="4" t="b">
        <f>ISNUMBER(MATCH(Q1318,T:T,0))</f>
        <v>1</v>
      </c>
      <c r="T1318" s="4" t="s">
        <v>11612</v>
      </c>
      <c r="U1318" s="4" t="str">
        <f t="shared" si="64"/>
        <v>尾</v>
      </c>
    </row>
    <row r="1319" spans="1:22">
      <c r="A1319" s="3">
        <v>1316</v>
      </c>
      <c r="B1319" s="3" t="s">
        <v>8973</v>
      </c>
      <c r="C1319" s="3" t="s">
        <v>6049</v>
      </c>
      <c r="D1319" s="3" t="s">
        <v>6001</v>
      </c>
      <c r="E1319" s="3" t="s">
        <v>6212</v>
      </c>
      <c r="F1319" s="3" t="s">
        <v>6436</v>
      </c>
      <c r="G1319" s="3" t="s">
        <v>8645</v>
      </c>
      <c r="H1319" s="3" t="s">
        <v>8985</v>
      </c>
      <c r="I1319" s="3" t="s">
        <v>6207</v>
      </c>
      <c r="J1319" s="5" t="s">
        <v>8986</v>
      </c>
      <c r="L1319" s="3" t="s">
        <v>8984</v>
      </c>
      <c r="M1319" s="3">
        <v>8</v>
      </c>
      <c r="N1319" s="4" t="s">
        <v>8976</v>
      </c>
      <c r="O1319" s="4">
        <v>64</v>
      </c>
      <c r="P1319" s="11" t="s">
        <v>9752</v>
      </c>
      <c r="Q1319" s="11" t="s">
        <v>8976</v>
      </c>
      <c r="S1319" s="4" t="b">
        <f>ISNUMBER(MATCH(Q1319,T:T,0))</f>
        <v>1</v>
      </c>
      <c r="T1319" s="4" t="s">
        <v>10235</v>
      </c>
      <c r="U1319" s="4" t="str">
        <f t="shared" si="64"/>
        <v>尾</v>
      </c>
    </row>
    <row r="1320" spans="1:22">
      <c r="A1320" s="3">
        <v>1317</v>
      </c>
      <c r="B1320" s="3" t="s">
        <v>8973</v>
      </c>
      <c r="C1320" s="3" t="s">
        <v>6032</v>
      </c>
      <c r="D1320" s="3" t="s">
        <v>6001</v>
      </c>
      <c r="E1320" s="3" t="s">
        <v>6212</v>
      </c>
      <c r="F1320" s="3" t="s">
        <v>6436</v>
      </c>
      <c r="G1320" s="3" t="s">
        <v>8645</v>
      </c>
      <c r="H1320" s="3" t="s">
        <v>8987</v>
      </c>
      <c r="I1320" s="3" t="s">
        <v>6207</v>
      </c>
      <c r="J1320" s="5" t="s">
        <v>4724</v>
      </c>
      <c r="L1320" s="3" t="s">
        <v>8773</v>
      </c>
      <c r="M1320" s="3">
        <v>13</v>
      </c>
      <c r="N1320" s="4" t="s">
        <v>8976</v>
      </c>
      <c r="O1320" s="4">
        <v>64</v>
      </c>
      <c r="P1320" s="11" t="s">
        <v>9859</v>
      </c>
      <c r="Q1320" s="11" t="s">
        <v>8989</v>
      </c>
      <c r="S1320" s="4" t="b">
        <f>ISNUMBER(MATCH(Q1320,T:T,0))</f>
        <v>1</v>
      </c>
      <c r="T1320" s="4" t="s">
        <v>11613</v>
      </c>
      <c r="U1320" s="4" t="str">
        <f t="shared" si="64"/>
        <v>鬼</v>
      </c>
    </row>
    <row r="1321" spans="1:22">
      <c r="A1321" s="3">
        <v>1318</v>
      </c>
      <c r="B1321" s="3" t="s">
        <v>8973</v>
      </c>
      <c r="C1321" s="3" t="s">
        <v>6025</v>
      </c>
      <c r="D1321" s="3" t="s">
        <v>6001</v>
      </c>
      <c r="E1321" s="3" t="s">
        <v>6212</v>
      </c>
      <c r="F1321" s="3" t="s">
        <v>6436</v>
      </c>
      <c r="G1321" s="3" t="s">
        <v>8645</v>
      </c>
      <c r="H1321" s="3" t="s">
        <v>8988</v>
      </c>
      <c r="I1321" s="3" t="s">
        <v>6207</v>
      </c>
      <c r="J1321" s="5" t="s">
        <v>8989</v>
      </c>
      <c r="L1321" s="3" t="s">
        <v>8778</v>
      </c>
      <c r="M1321" s="3">
        <v>1</v>
      </c>
      <c r="N1321" s="4" t="s">
        <v>8976</v>
      </c>
      <c r="O1321" s="4">
        <v>64</v>
      </c>
      <c r="P1321" s="11" t="s">
        <v>9717</v>
      </c>
      <c r="Q1321" s="11" t="s">
        <v>10238</v>
      </c>
      <c r="R1321" s="4" t="s">
        <v>13081</v>
      </c>
      <c r="S1321" s="4" t="b">
        <f>ISNUMBER(MATCH(Q1321,T:T,0))</f>
        <v>0</v>
      </c>
      <c r="T1321" s="4" t="s">
        <v>8989</v>
      </c>
      <c r="U1321" s="4" t="str">
        <f t="shared" si="64"/>
        <v>韙</v>
      </c>
      <c r="V1321" s="4" t="b">
        <f t="shared" ref="V1321:V1322" si="66">ISNUMBER(MATCH(R1321,T:T,0))</f>
        <v>1</v>
      </c>
    </row>
    <row r="1322" spans="1:22">
      <c r="A1322" s="3">
        <v>1319</v>
      </c>
      <c r="B1322" s="3" t="s">
        <v>8973</v>
      </c>
      <c r="C1322" s="3" t="s">
        <v>6089</v>
      </c>
      <c r="D1322" s="3" t="s">
        <v>6001</v>
      </c>
      <c r="E1322" s="3" t="s">
        <v>6212</v>
      </c>
      <c r="F1322" s="3" t="s">
        <v>6436</v>
      </c>
      <c r="G1322" s="3" t="s">
        <v>8645</v>
      </c>
      <c r="H1322" s="3" t="s">
        <v>8990</v>
      </c>
      <c r="I1322" s="3" t="s">
        <v>6207</v>
      </c>
      <c r="J1322" s="5" t="s">
        <v>8991</v>
      </c>
      <c r="L1322" s="3" t="s">
        <v>8770</v>
      </c>
      <c r="M1322" s="3">
        <v>5</v>
      </c>
      <c r="N1322" s="4" t="s">
        <v>8976</v>
      </c>
      <c r="O1322" s="4">
        <v>64</v>
      </c>
      <c r="P1322" s="11" t="s">
        <v>9753</v>
      </c>
      <c r="Q1322" s="11" t="s">
        <v>10238</v>
      </c>
      <c r="R1322" s="4" t="s">
        <v>13081</v>
      </c>
      <c r="S1322" s="4" t="b">
        <f>ISNUMBER(MATCH(Q1322,T:T,0))</f>
        <v>0</v>
      </c>
      <c r="T1322" s="4" t="s">
        <v>2962</v>
      </c>
      <c r="U1322" s="4" t="str">
        <f t="shared" si="64"/>
        <v>韙</v>
      </c>
      <c r="V1322" s="4" t="b">
        <f t="shared" si="66"/>
        <v>1</v>
      </c>
    </row>
    <row r="1323" spans="1:22">
      <c r="A1323" s="3">
        <v>1320</v>
      </c>
      <c r="B1323" s="3" t="s">
        <v>8973</v>
      </c>
      <c r="C1323" s="3" t="s">
        <v>6092</v>
      </c>
      <c r="D1323" s="3" t="s">
        <v>6001</v>
      </c>
      <c r="E1323" s="3" t="s">
        <v>5991</v>
      </c>
      <c r="F1323" s="3" t="s">
        <v>6436</v>
      </c>
      <c r="G1323" s="3" t="s">
        <v>8645</v>
      </c>
      <c r="H1323" s="3" t="s">
        <v>8992</v>
      </c>
      <c r="I1323" s="3" t="s">
        <v>6207</v>
      </c>
      <c r="J1323" s="5" t="s">
        <v>8993</v>
      </c>
      <c r="L1323" s="3" t="s">
        <v>8788</v>
      </c>
      <c r="M1323" s="3">
        <v>2</v>
      </c>
      <c r="N1323" s="4" t="s">
        <v>8976</v>
      </c>
      <c r="O1323" s="4">
        <v>64</v>
      </c>
      <c r="P1323" s="11" t="s">
        <v>6462</v>
      </c>
      <c r="Q1323" s="11" t="s">
        <v>9864</v>
      </c>
      <c r="S1323" s="4" t="b">
        <f>ISNUMBER(MATCH(Q1323,T:T,0))</f>
        <v>1</v>
      </c>
      <c r="T1323" s="4" t="s">
        <v>11614</v>
      </c>
      <c r="U1323" s="4" t="str">
        <f t="shared" si="64"/>
        <v>豈</v>
      </c>
    </row>
    <row r="1324" spans="1:22">
      <c r="A1324" s="3">
        <v>1321</v>
      </c>
      <c r="B1324" s="3" t="s">
        <v>8973</v>
      </c>
      <c r="C1324" s="3" t="s">
        <v>6089</v>
      </c>
      <c r="D1324" s="3" t="s">
        <v>6001</v>
      </c>
      <c r="E1324" s="3" t="s">
        <v>5991</v>
      </c>
      <c r="F1324" s="3" t="s">
        <v>6436</v>
      </c>
      <c r="G1324" s="3" t="s">
        <v>8645</v>
      </c>
      <c r="H1324" s="7" t="s">
        <v>732</v>
      </c>
      <c r="I1324" s="3" t="s">
        <v>6207</v>
      </c>
      <c r="J1324" s="5" t="s">
        <v>4725</v>
      </c>
      <c r="L1324" s="3" t="s">
        <v>8864</v>
      </c>
      <c r="M1324" s="3">
        <v>5</v>
      </c>
      <c r="N1324" s="4" t="s">
        <v>8976</v>
      </c>
      <c r="O1324" s="4">
        <v>64</v>
      </c>
      <c r="P1324" s="11" t="s">
        <v>9958</v>
      </c>
      <c r="Q1324" s="11" t="s">
        <v>9864</v>
      </c>
      <c r="S1324" s="4" t="b">
        <f>ISNUMBER(MATCH(Q1324,T:T,0))</f>
        <v>1</v>
      </c>
      <c r="T1324" s="4" t="s">
        <v>11615</v>
      </c>
      <c r="U1324" s="4" t="str">
        <f t="shared" si="64"/>
        <v>豈</v>
      </c>
    </row>
    <row r="1325" spans="1:22">
      <c r="A1325" s="3">
        <v>1322</v>
      </c>
      <c r="B1325" s="3" t="s">
        <v>8973</v>
      </c>
      <c r="C1325" s="3" t="s">
        <v>6072</v>
      </c>
      <c r="D1325" s="3" t="s">
        <v>6001</v>
      </c>
      <c r="E1325" s="3" t="s">
        <v>6212</v>
      </c>
      <c r="F1325" s="3" t="s">
        <v>6436</v>
      </c>
      <c r="G1325" s="3" t="s">
        <v>8645</v>
      </c>
      <c r="H1325" s="3" t="s">
        <v>8994</v>
      </c>
      <c r="I1325" s="3" t="s">
        <v>6207</v>
      </c>
      <c r="J1325" s="5" t="s">
        <v>4726</v>
      </c>
      <c r="L1325" s="3" t="s">
        <v>8773</v>
      </c>
      <c r="M1325" s="3">
        <v>2</v>
      </c>
      <c r="N1325" s="4" t="s">
        <v>8976</v>
      </c>
      <c r="O1325" s="4">
        <v>64</v>
      </c>
      <c r="P1325" s="11" t="s">
        <v>9754</v>
      </c>
      <c r="Q1325" s="11" t="s">
        <v>8989</v>
      </c>
      <c r="S1325" s="4" t="b">
        <f>ISNUMBER(MATCH(Q1325,T:T,0))</f>
        <v>1</v>
      </c>
      <c r="T1325" s="4" t="s">
        <v>11616</v>
      </c>
      <c r="U1325" s="4" t="str">
        <f t="shared" si="64"/>
        <v>鬼</v>
      </c>
    </row>
    <row r="1326" spans="1:22">
      <c r="A1326" s="3">
        <v>1323</v>
      </c>
      <c r="B1326" s="3" t="s">
        <v>8973</v>
      </c>
      <c r="C1326" s="3" t="s">
        <v>6045</v>
      </c>
      <c r="D1326" s="3" t="s">
        <v>6001</v>
      </c>
      <c r="E1326" s="3" t="s">
        <v>6212</v>
      </c>
      <c r="F1326" s="3" t="s">
        <v>6436</v>
      </c>
      <c r="G1326" s="3" t="s">
        <v>8645</v>
      </c>
      <c r="H1326" s="3" t="s">
        <v>8995</v>
      </c>
      <c r="I1326" s="3" t="s">
        <v>6207</v>
      </c>
      <c r="J1326" s="5" t="s">
        <v>8996</v>
      </c>
      <c r="L1326" s="3" t="s">
        <v>8997</v>
      </c>
      <c r="M1326" s="3">
        <v>6</v>
      </c>
      <c r="N1326" s="4" t="s">
        <v>8976</v>
      </c>
      <c r="O1326" s="4">
        <v>64</v>
      </c>
      <c r="P1326" s="11" t="s">
        <v>10145</v>
      </c>
      <c r="Q1326" s="11" t="s">
        <v>8989</v>
      </c>
      <c r="S1326" s="4" t="b">
        <f>ISNUMBER(MATCH(Q1326,T:T,0))</f>
        <v>1</v>
      </c>
      <c r="T1326" s="4" t="s">
        <v>11617</v>
      </c>
      <c r="U1326" s="4" t="str">
        <f t="shared" si="64"/>
        <v>鬼</v>
      </c>
    </row>
    <row r="1327" spans="1:22">
      <c r="A1327" s="3">
        <v>1324</v>
      </c>
      <c r="B1327" s="3" t="s">
        <v>8998</v>
      </c>
      <c r="C1327" s="3" t="s">
        <v>6092</v>
      </c>
      <c r="D1327" s="3" t="s">
        <v>6001</v>
      </c>
      <c r="E1327" s="3" t="s">
        <v>5991</v>
      </c>
      <c r="F1327" s="3" t="s">
        <v>6462</v>
      </c>
      <c r="G1327" s="3" t="s">
        <v>8645</v>
      </c>
      <c r="H1327" s="3" t="s">
        <v>8999</v>
      </c>
      <c r="I1327" s="3" t="s">
        <v>6464</v>
      </c>
      <c r="J1327" s="5" t="s">
        <v>4727</v>
      </c>
      <c r="L1327" s="3" t="s">
        <v>9000</v>
      </c>
      <c r="M1327" s="3">
        <v>12</v>
      </c>
      <c r="N1327" s="4" t="s">
        <v>9001</v>
      </c>
      <c r="O1327" s="4">
        <v>65</v>
      </c>
      <c r="P1327" s="11" t="s">
        <v>6462</v>
      </c>
      <c r="Q1327" s="11" t="s">
        <v>9789</v>
      </c>
      <c r="S1327" s="4" t="b">
        <f>ISNUMBER(MATCH(Q1327,T:T,0))</f>
        <v>1</v>
      </c>
      <c r="T1327" s="4" t="s">
        <v>9001</v>
      </c>
      <c r="U1327" s="4" t="str">
        <f t="shared" si="64"/>
        <v>巨</v>
      </c>
    </row>
    <row r="1328" spans="1:22" ht="39">
      <c r="A1328" s="3">
        <v>1325</v>
      </c>
      <c r="B1328" s="3" t="s">
        <v>8998</v>
      </c>
      <c r="C1328" s="3" t="s">
        <v>6058</v>
      </c>
      <c r="D1328" s="3" t="s">
        <v>6001</v>
      </c>
      <c r="E1328" s="3" t="s">
        <v>5991</v>
      </c>
      <c r="F1328" s="3" t="s">
        <v>6462</v>
      </c>
      <c r="G1328" s="3" t="s">
        <v>8645</v>
      </c>
      <c r="H1328" s="3" t="s">
        <v>9002</v>
      </c>
      <c r="I1328" s="3" t="s">
        <v>6464</v>
      </c>
      <c r="J1328" s="8" t="s">
        <v>4728</v>
      </c>
      <c r="L1328" s="3" t="s">
        <v>9003</v>
      </c>
      <c r="M1328" s="3">
        <v>13</v>
      </c>
      <c r="N1328" s="4" t="s">
        <v>9001</v>
      </c>
      <c r="O1328" s="4">
        <v>65</v>
      </c>
      <c r="P1328" s="11" t="s">
        <v>9727</v>
      </c>
      <c r="Q1328" s="11" t="s">
        <v>9846</v>
      </c>
      <c r="S1328" s="4" t="b">
        <f>ISNUMBER(MATCH(Q1328,T:T,0))</f>
        <v>1</v>
      </c>
      <c r="T1328" s="4" t="s">
        <v>10239</v>
      </c>
      <c r="U1328" s="4" t="str">
        <f t="shared" si="64"/>
        <v>舉</v>
      </c>
    </row>
    <row r="1329" spans="1:22">
      <c r="A1329" s="3">
        <v>1326</v>
      </c>
      <c r="B1329" s="3" t="s">
        <v>8998</v>
      </c>
      <c r="C1329" s="3" t="s">
        <v>6005</v>
      </c>
      <c r="D1329" s="3" t="s">
        <v>6001</v>
      </c>
      <c r="E1329" s="3" t="s">
        <v>5991</v>
      </c>
      <c r="F1329" s="3" t="s">
        <v>6462</v>
      </c>
      <c r="G1329" s="3" t="s">
        <v>8645</v>
      </c>
      <c r="H1329" s="3" t="s">
        <v>733</v>
      </c>
      <c r="I1329" s="3" t="s">
        <v>6464</v>
      </c>
      <c r="J1329" s="5" t="s">
        <v>4729</v>
      </c>
      <c r="L1329" s="3" t="s">
        <v>9004</v>
      </c>
      <c r="M1329" s="3">
        <v>9</v>
      </c>
      <c r="N1329" s="4" t="s">
        <v>9001</v>
      </c>
      <c r="O1329" s="4">
        <v>65</v>
      </c>
      <c r="P1329" s="11" t="s">
        <v>9709</v>
      </c>
      <c r="Q1329" s="11" t="s">
        <v>10239</v>
      </c>
      <c r="S1329" s="4" t="b">
        <f>ISNUMBER(MATCH(Q1329,T:T,0))</f>
        <v>1</v>
      </c>
      <c r="T1329" s="4" t="s">
        <v>10739</v>
      </c>
      <c r="U1329" s="4" t="str">
        <f t="shared" si="64"/>
        <v>吕</v>
      </c>
    </row>
    <row r="1330" spans="1:22">
      <c r="A1330" s="3">
        <v>1327</v>
      </c>
      <c r="B1330" s="3" t="s">
        <v>8998</v>
      </c>
      <c r="C1330" s="3" t="s">
        <v>6028</v>
      </c>
      <c r="D1330" s="3" t="s">
        <v>6001</v>
      </c>
      <c r="E1330" s="3" t="s">
        <v>5991</v>
      </c>
      <c r="F1330" s="3" t="s">
        <v>6462</v>
      </c>
      <c r="G1330" s="3" t="s">
        <v>8645</v>
      </c>
      <c r="H1330" s="3" t="s">
        <v>734</v>
      </c>
      <c r="I1330" s="3" t="s">
        <v>6464</v>
      </c>
      <c r="J1330" s="5" t="s">
        <v>9005</v>
      </c>
      <c r="L1330" s="3" t="s">
        <v>9000</v>
      </c>
      <c r="M1330" s="3">
        <v>7</v>
      </c>
      <c r="N1330" s="4" t="s">
        <v>9001</v>
      </c>
      <c r="O1330" s="4">
        <v>65</v>
      </c>
      <c r="P1330" s="11" t="s">
        <v>9850</v>
      </c>
      <c r="Q1330" s="11" t="s">
        <v>10239</v>
      </c>
      <c r="S1330" s="4" t="b">
        <f>ISNUMBER(MATCH(Q1330,T:T,0))</f>
        <v>1</v>
      </c>
      <c r="T1330" s="4" t="s">
        <v>9828</v>
      </c>
      <c r="U1330" s="4" t="str">
        <f t="shared" si="64"/>
        <v>吕</v>
      </c>
    </row>
    <row r="1331" spans="1:22">
      <c r="A1331" s="3">
        <v>1328</v>
      </c>
      <c r="B1331" s="3" t="s">
        <v>8998</v>
      </c>
      <c r="C1331" s="3" t="s">
        <v>6009</v>
      </c>
      <c r="D1331" s="3" t="s">
        <v>6001</v>
      </c>
      <c r="E1331" s="3" t="s">
        <v>5991</v>
      </c>
      <c r="F1331" s="3" t="s">
        <v>6462</v>
      </c>
      <c r="G1331" s="3" t="s">
        <v>8645</v>
      </c>
      <c r="H1331" s="3" t="s">
        <v>9006</v>
      </c>
      <c r="I1331" s="3" t="s">
        <v>6464</v>
      </c>
      <c r="J1331" s="5" t="s">
        <v>4730</v>
      </c>
      <c r="L1331" s="3" t="s">
        <v>9007</v>
      </c>
      <c r="M1331" s="3">
        <v>4</v>
      </c>
      <c r="N1331" s="4" t="s">
        <v>9001</v>
      </c>
      <c r="O1331" s="4">
        <v>65</v>
      </c>
      <c r="P1331" s="11" t="s">
        <v>6009</v>
      </c>
      <c r="Q1331" s="11" t="s">
        <v>10240</v>
      </c>
      <c r="R1331" s="4" t="s">
        <v>13082</v>
      </c>
      <c r="S1331" s="4" t="b">
        <f>ISNUMBER(MATCH(Q1331,T:T,0))</f>
        <v>0</v>
      </c>
      <c r="T1331" s="4" t="s">
        <v>11618</v>
      </c>
      <c r="U1331" s="4" t="str">
        <f t="shared" si="64"/>
        <v>與</v>
      </c>
      <c r="V1331" s="4" t="b">
        <f t="shared" ref="V1331:V1332" si="67">ISNUMBER(MATCH(R1331,T:T,0))</f>
        <v>1</v>
      </c>
    </row>
    <row r="1332" spans="1:22">
      <c r="A1332" s="3">
        <v>1329</v>
      </c>
      <c r="B1332" s="3" t="s">
        <v>8998</v>
      </c>
      <c r="C1332" s="3" t="s">
        <v>6021</v>
      </c>
      <c r="D1332" s="3" t="s">
        <v>6001</v>
      </c>
      <c r="E1332" s="3" t="s">
        <v>5991</v>
      </c>
      <c r="F1332" s="3" t="s">
        <v>6462</v>
      </c>
      <c r="G1332" s="3" t="s">
        <v>8645</v>
      </c>
      <c r="H1332" s="3" t="s">
        <v>9008</v>
      </c>
      <c r="I1332" s="3" t="s">
        <v>6464</v>
      </c>
      <c r="J1332" s="5" t="s">
        <v>4731</v>
      </c>
      <c r="L1332" s="3" t="s">
        <v>9009</v>
      </c>
      <c r="M1332" s="3">
        <v>6</v>
      </c>
      <c r="N1332" s="4" t="s">
        <v>9001</v>
      </c>
      <c r="O1332" s="4">
        <v>65</v>
      </c>
      <c r="P1332" s="11" t="s">
        <v>9798</v>
      </c>
      <c r="Q1332" s="11" t="s">
        <v>10241</v>
      </c>
      <c r="R1332" s="4" t="s">
        <v>13083</v>
      </c>
      <c r="S1332" s="4" t="b">
        <f>ISNUMBER(MATCH(Q1332,T:T,0))</f>
        <v>0</v>
      </c>
      <c r="T1332" s="4" t="s">
        <v>9791</v>
      </c>
      <c r="U1332" s="4" t="str">
        <f t="shared" si="64"/>
        <v>䰞</v>
      </c>
      <c r="V1332" s="4" t="b">
        <f t="shared" si="67"/>
        <v>1</v>
      </c>
    </row>
    <row r="1333" spans="1:22">
      <c r="A1333" s="3">
        <v>1330</v>
      </c>
      <c r="B1333" s="3" t="s">
        <v>8998</v>
      </c>
      <c r="C1333" s="3" t="s">
        <v>6120</v>
      </c>
      <c r="D1333" s="3" t="s">
        <v>6001</v>
      </c>
      <c r="E1333" s="3" t="s">
        <v>5991</v>
      </c>
      <c r="F1333" s="3" t="s">
        <v>6462</v>
      </c>
      <c r="G1333" s="3" t="s">
        <v>8645</v>
      </c>
      <c r="H1333" s="3" t="s">
        <v>735</v>
      </c>
      <c r="I1333" s="3" t="s">
        <v>6464</v>
      </c>
      <c r="J1333" s="5" t="s">
        <v>9010</v>
      </c>
      <c r="L1333" s="3" t="s">
        <v>9011</v>
      </c>
      <c r="M1333" s="3">
        <v>5</v>
      </c>
      <c r="N1333" s="4" t="s">
        <v>9001</v>
      </c>
      <c r="O1333" s="4">
        <v>65</v>
      </c>
      <c r="P1333" s="11" t="s">
        <v>10242</v>
      </c>
      <c r="Q1333" s="11" t="s">
        <v>10239</v>
      </c>
      <c r="S1333" s="4" t="b">
        <f>ISNUMBER(MATCH(Q1333,T:T,0))</f>
        <v>1</v>
      </c>
      <c r="T1333" s="4" t="s">
        <v>11619</v>
      </c>
      <c r="U1333" s="4" t="str">
        <f t="shared" si="64"/>
        <v>吕</v>
      </c>
    </row>
    <row r="1334" spans="1:22">
      <c r="A1334" s="3">
        <v>1331</v>
      </c>
      <c r="B1334" s="3" t="s">
        <v>8998</v>
      </c>
      <c r="C1334" s="3" t="s">
        <v>6055</v>
      </c>
      <c r="D1334" s="3" t="s">
        <v>6001</v>
      </c>
      <c r="E1334" s="3" t="s">
        <v>5991</v>
      </c>
      <c r="F1334" s="3" t="s">
        <v>6462</v>
      </c>
      <c r="G1334" s="3" t="s">
        <v>8645</v>
      </c>
      <c r="H1334" s="3" t="s">
        <v>9012</v>
      </c>
      <c r="I1334" s="3" t="s">
        <v>6464</v>
      </c>
      <c r="J1334" s="5" t="s">
        <v>9013</v>
      </c>
      <c r="L1334" s="3" t="s">
        <v>9014</v>
      </c>
      <c r="M1334" s="3">
        <v>2</v>
      </c>
      <c r="N1334" s="4" t="s">
        <v>9001</v>
      </c>
      <c r="O1334" s="4">
        <v>65</v>
      </c>
      <c r="P1334" s="11" t="s">
        <v>6055</v>
      </c>
      <c r="Q1334" s="11" t="s">
        <v>9828</v>
      </c>
      <c r="S1334" s="4" t="b">
        <f>ISNUMBER(MATCH(Q1334,T:T,0))</f>
        <v>1</v>
      </c>
      <c r="T1334" s="4" t="s">
        <v>11620</v>
      </c>
      <c r="U1334" s="4" t="str">
        <f t="shared" si="64"/>
        <v>與</v>
      </c>
    </row>
    <row r="1335" spans="1:22">
      <c r="A1335" s="3">
        <v>1332</v>
      </c>
      <c r="B1335" s="3" t="s">
        <v>8998</v>
      </c>
      <c r="C1335" s="3" t="s">
        <v>6000</v>
      </c>
      <c r="D1335" s="3" t="s">
        <v>6001</v>
      </c>
      <c r="E1335" s="3" t="s">
        <v>5991</v>
      </c>
      <c r="F1335" s="3" t="s">
        <v>6462</v>
      </c>
      <c r="G1335" s="3" t="s">
        <v>8645</v>
      </c>
      <c r="H1335" s="3" t="s">
        <v>736</v>
      </c>
      <c r="I1335" s="3" t="s">
        <v>6464</v>
      </c>
      <c r="J1335" s="5" t="s">
        <v>4732</v>
      </c>
      <c r="L1335" s="3" t="s">
        <v>9007</v>
      </c>
      <c r="M1335" s="3">
        <v>9</v>
      </c>
      <c r="N1335" s="4" t="s">
        <v>9001</v>
      </c>
      <c r="O1335" s="4">
        <v>65</v>
      </c>
      <c r="P1335" s="11" t="s">
        <v>9822</v>
      </c>
      <c r="Q1335" s="11" t="s">
        <v>10239</v>
      </c>
      <c r="S1335" s="4" t="b">
        <f>ISNUMBER(MATCH(Q1335,T:T,0))</f>
        <v>1</v>
      </c>
      <c r="T1335" s="4" t="s">
        <v>11621</v>
      </c>
      <c r="U1335" s="4" t="str">
        <f t="shared" si="64"/>
        <v>吕</v>
      </c>
    </row>
    <row r="1336" spans="1:22">
      <c r="A1336" s="3">
        <v>1333</v>
      </c>
      <c r="B1336" s="3" t="s">
        <v>8998</v>
      </c>
      <c r="C1336" s="3" t="s">
        <v>6017</v>
      </c>
      <c r="D1336" s="3" t="s">
        <v>6001</v>
      </c>
      <c r="E1336" s="3" t="s">
        <v>5991</v>
      </c>
      <c r="F1336" s="3" t="s">
        <v>6462</v>
      </c>
      <c r="G1336" s="3" t="s">
        <v>8645</v>
      </c>
      <c r="H1336" s="3" t="s">
        <v>737</v>
      </c>
      <c r="I1336" s="3" t="s">
        <v>6464</v>
      </c>
      <c r="J1336" s="5" t="s">
        <v>9015</v>
      </c>
      <c r="L1336" s="3" t="s">
        <v>9016</v>
      </c>
      <c r="M1336" s="3">
        <v>9</v>
      </c>
      <c r="N1336" s="4" t="s">
        <v>9001</v>
      </c>
      <c r="O1336" s="4">
        <v>65</v>
      </c>
      <c r="P1336" s="11" t="s">
        <v>9746</v>
      </c>
      <c r="Q1336" s="11" t="s">
        <v>10239</v>
      </c>
      <c r="S1336" s="4" t="b">
        <f>ISNUMBER(MATCH(Q1336,T:T,0))</f>
        <v>1</v>
      </c>
      <c r="T1336" s="4" t="s">
        <v>11622</v>
      </c>
      <c r="U1336" s="4" t="str">
        <f t="shared" si="64"/>
        <v>吕</v>
      </c>
    </row>
    <row r="1337" spans="1:22">
      <c r="A1337" s="3">
        <v>1334</v>
      </c>
      <c r="B1337" s="3" t="s">
        <v>8998</v>
      </c>
      <c r="C1337" s="3" t="s">
        <v>6011</v>
      </c>
      <c r="D1337" s="3" t="s">
        <v>6001</v>
      </c>
      <c r="E1337" s="3" t="s">
        <v>5991</v>
      </c>
      <c r="F1337" s="3" t="s">
        <v>6462</v>
      </c>
      <c r="G1337" s="3" t="s">
        <v>8645</v>
      </c>
      <c r="H1337" s="3" t="s">
        <v>738</v>
      </c>
      <c r="I1337" s="3" t="s">
        <v>6464</v>
      </c>
      <c r="J1337" s="5" t="s">
        <v>4733</v>
      </c>
      <c r="L1337" s="3" t="s">
        <v>9014</v>
      </c>
      <c r="M1337" s="3">
        <v>3</v>
      </c>
      <c r="N1337" s="4" t="s">
        <v>9001</v>
      </c>
      <c r="O1337" s="4">
        <v>65</v>
      </c>
      <c r="P1337" s="11" t="s">
        <v>9757</v>
      </c>
      <c r="Q1337" s="11" t="s">
        <v>10239</v>
      </c>
      <c r="S1337" s="4" t="b">
        <f>ISNUMBER(MATCH(Q1337,T:T,0))</f>
        <v>1</v>
      </c>
      <c r="T1337" s="4" t="s">
        <v>10228</v>
      </c>
      <c r="U1337" s="4" t="str">
        <f t="shared" si="64"/>
        <v>吕</v>
      </c>
    </row>
    <row r="1338" spans="1:22">
      <c r="A1338" s="3">
        <v>1335</v>
      </c>
      <c r="B1338" s="3" t="s">
        <v>8998</v>
      </c>
      <c r="C1338" s="3" t="s">
        <v>6137</v>
      </c>
      <c r="D1338" s="3" t="s">
        <v>6001</v>
      </c>
      <c r="E1338" s="3" t="s">
        <v>5991</v>
      </c>
      <c r="F1338" s="3" t="s">
        <v>6462</v>
      </c>
      <c r="G1338" s="3" t="s">
        <v>8645</v>
      </c>
      <c r="H1338" s="3" t="s">
        <v>739</v>
      </c>
      <c r="I1338" s="3" t="s">
        <v>6464</v>
      </c>
      <c r="J1338" s="5" t="s">
        <v>9017</v>
      </c>
      <c r="L1338" s="3" t="s">
        <v>9018</v>
      </c>
      <c r="M1338" s="3">
        <v>2</v>
      </c>
      <c r="N1338" s="4" t="s">
        <v>9001</v>
      </c>
      <c r="O1338" s="4">
        <v>65</v>
      </c>
      <c r="P1338" s="11" t="s">
        <v>9812</v>
      </c>
      <c r="Q1338" s="11" t="s">
        <v>10239</v>
      </c>
      <c r="S1338" s="4" t="b">
        <f>ISNUMBER(MATCH(Q1338,T:T,0))</f>
        <v>1</v>
      </c>
      <c r="T1338" s="4" t="s">
        <v>9755</v>
      </c>
      <c r="U1338" s="4" t="str">
        <f t="shared" si="64"/>
        <v>吕</v>
      </c>
    </row>
    <row r="1339" spans="1:22">
      <c r="A1339" s="3">
        <v>1336</v>
      </c>
      <c r="B1339" s="3" t="s">
        <v>8998</v>
      </c>
      <c r="C1339" s="3" t="s">
        <v>6089</v>
      </c>
      <c r="D1339" s="3" t="s">
        <v>6001</v>
      </c>
      <c r="E1339" s="3" t="s">
        <v>5991</v>
      </c>
      <c r="F1339" s="3" t="s">
        <v>6462</v>
      </c>
      <c r="G1339" s="3" t="s">
        <v>8645</v>
      </c>
      <c r="H1339" s="7" t="s">
        <v>9019</v>
      </c>
      <c r="I1339" s="3" t="s">
        <v>6464</v>
      </c>
      <c r="J1339" s="5" t="s">
        <v>9020</v>
      </c>
      <c r="L1339" s="3" t="s">
        <v>9016</v>
      </c>
      <c r="M1339" s="3">
        <v>2</v>
      </c>
      <c r="N1339" s="4" t="s">
        <v>9001</v>
      </c>
      <c r="O1339" s="4">
        <v>65</v>
      </c>
      <c r="P1339" s="11" t="s">
        <v>9958</v>
      </c>
      <c r="Q1339" s="11" t="s">
        <v>10239</v>
      </c>
      <c r="S1339" s="4" t="b">
        <f>ISNUMBER(MATCH(Q1339,T:T,0))</f>
        <v>1</v>
      </c>
      <c r="T1339" s="4" t="s">
        <v>9753</v>
      </c>
      <c r="U1339" s="4" t="str">
        <f t="shared" si="64"/>
        <v>吕</v>
      </c>
    </row>
    <row r="1340" spans="1:22" ht="39">
      <c r="A1340" s="3">
        <v>1337</v>
      </c>
      <c r="B1340" s="3" t="s">
        <v>8998</v>
      </c>
      <c r="C1340" s="3" t="s">
        <v>6041</v>
      </c>
      <c r="D1340" s="3" t="s">
        <v>6001</v>
      </c>
      <c r="E1340" s="3" t="s">
        <v>5991</v>
      </c>
      <c r="F1340" s="3" t="s">
        <v>6462</v>
      </c>
      <c r="G1340" s="3" t="s">
        <v>8645</v>
      </c>
      <c r="H1340" s="3" t="s">
        <v>740</v>
      </c>
      <c r="I1340" s="3" t="s">
        <v>6464</v>
      </c>
      <c r="J1340" s="5" t="s">
        <v>4734</v>
      </c>
      <c r="L1340" s="3" t="s">
        <v>9021</v>
      </c>
      <c r="M1340" s="3">
        <v>18</v>
      </c>
      <c r="N1340" s="4" t="s">
        <v>9001</v>
      </c>
      <c r="O1340" s="4">
        <v>65</v>
      </c>
      <c r="P1340" s="11" t="s">
        <v>9830</v>
      </c>
      <c r="Q1340" s="11" t="s">
        <v>10239</v>
      </c>
      <c r="S1340" s="4" t="b">
        <f>ISNUMBER(MATCH(Q1340,T:T,0))</f>
        <v>1</v>
      </c>
      <c r="T1340" s="4" t="s">
        <v>9789</v>
      </c>
      <c r="U1340" s="4" t="str">
        <f t="shared" si="64"/>
        <v>吕</v>
      </c>
    </row>
    <row r="1341" spans="1:22">
      <c r="A1341" s="3">
        <v>1338</v>
      </c>
      <c r="B1341" s="3" t="s">
        <v>8998</v>
      </c>
      <c r="C1341" s="3" t="s">
        <v>6180</v>
      </c>
      <c r="D1341" s="3" t="s">
        <v>6001</v>
      </c>
      <c r="E1341" s="3" t="s">
        <v>5991</v>
      </c>
      <c r="F1341" s="3" t="s">
        <v>6462</v>
      </c>
      <c r="G1341" s="3" t="s">
        <v>8645</v>
      </c>
      <c r="H1341" s="7" t="s">
        <v>741</v>
      </c>
      <c r="I1341" s="3" t="s">
        <v>6464</v>
      </c>
      <c r="J1341" s="5" t="s">
        <v>4735</v>
      </c>
      <c r="L1341" s="3" t="s">
        <v>9011</v>
      </c>
      <c r="M1341" s="3">
        <v>7</v>
      </c>
      <c r="N1341" s="4" t="s">
        <v>9001</v>
      </c>
      <c r="O1341" s="4">
        <v>65</v>
      </c>
      <c r="P1341" s="11" t="s">
        <v>10230</v>
      </c>
      <c r="Q1341" s="11" t="s">
        <v>9846</v>
      </c>
      <c r="S1341" s="4" t="b">
        <f>ISNUMBER(MATCH(Q1341,T:T,0))</f>
        <v>1</v>
      </c>
      <c r="T1341" s="4" t="s">
        <v>9774</v>
      </c>
      <c r="U1341" s="4" t="str">
        <f t="shared" si="64"/>
        <v>舉</v>
      </c>
    </row>
    <row r="1342" spans="1:22">
      <c r="A1342" s="3">
        <v>1339</v>
      </c>
      <c r="B1342" s="3" t="s">
        <v>8998</v>
      </c>
      <c r="C1342" s="3" t="s">
        <v>6167</v>
      </c>
      <c r="D1342" s="3" t="s">
        <v>6001</v>
      </c>
      <c r="E1342" s="3" t="s">
        <v>5991</v>
      </c>
      <c r="F1342" s="3" t="s">
        <v>6462</v>
      </c>
      <c r="G1342" s="3" t="s">
        <v>8645</v>
      </c>
      <c r="H1342" s="3" t="s">
        <v>9022</v>
      </c>
      <c r="I1342" s="3" t="s">
        <v>6464</v>
      </c>
      <c r="J1342" s="5" t="s">
        <v>4736</v>
      </c>
      <c r="L1342" s="3" t="s">
        <v>9014</v>
      </c>
      <c r="M1342" s="3">
        <v>8</v>
      </c>
      <c r="N1342" s="4" t="s">
        <v>9001</v>
      </c>
      <c r="O1342" s="4">
        <v>65</v>
      </c>
      <c r="P1342" s="11" t="s">
        <v>10243</v>
      </c>
      <c r="Q1342" s="11" t="s">
        <v>9846</v>
      </c>
      <c r="S1342" s="4" t="b">
        <f>ISNUMBER(MATCH(Q1342,T:T,0))</f>
        <v>1</v>
      </c>
      <c r="T1342" s="4" t="s">
        <v>9769</v>
      </c>
      <c r="U1342" s="4" t="str">
        <f t="shared" si="64"/>
        <v>舉</v>
      </c>
    </row>
    <row r="1343" spans="1:22">
      <c r="A1343" s="3">
        <v>1340</v>
      </c>
      <c r="B1343" s="3" t="s">
        <v>8998</v>
      </c>
      <c r="C1343" s="3" t="s">
        <v>6318</v>
      </c>
      <c r="D1343" s="3" t="s">
        <v>6001</v>
      </c>
      <c r="E1343" s="3" t="s">
        <v>5991</v>
      </c>
      <c r="F1343" s="3" t="s">
        <v>6462</v>
      </c>
      <c r="G1343" s="3" t="s">
        <v>8645</v>
      </c>
      <c r="H1343" s="3" t="s">
        <v>742</v>
      </c>
      <c r="I1343" s="3" t="s">
        <v>6464</v>
      </c>
      <c r="J1343" s="5" t="s">
        <v>9023</v>
      </c>
      <c r="L1343" s="3" t="s">
        <v>9007</v>
      </c>
      <c r="M1343" s="3">
        <v>2</v>
      </c>
      <c r="N1343" s="4" t="s">
        <v>9001</v>
      </c>
      <c r="O1343" s="4">
        <v>65</v>
      </c>
      <c r="P1343" s="11" t="s">
        <v>9804</v>
      </c>
      <c r="Q1343" s="11" t="s">
        <v>10239</v>
      </c>
      <c r="S1343" s="4" t="b">
        <f>ISNUMBER(MATCH(Q1343,T:T,0))</f>
        <v>1</v>
      </c>
      <c r="T1343" s="4" t="s">
        <v>9988</v>
      </c>
      <c r="U1343" s="4" t="str">
        <f t="shared" si="64"/>
        <v>吕</v>
      </c>
    </row>
    <row r="1344" spans="1:22">
      <c r="A1344" s="3">
        <v>1341</v>
      </c>
      <c r="B1344" s="3" t="s">
        <v>8998</v>
      </c>
      <c r="C1344" s="3" t="s">
        <v>6015</v>
      </c>
      <c r="D1344" s="3" t="s">
        <v>6001</v>
      </c>
      <c r="E1344" s="3" t="s">
        <v>5991</v>
      </c>
      <c r="F1344" s="3" t="s">
        <v>6462</v>
      </c>
      <c r="G1344" s="3" t="s">
        <v>8645</v>
      </c>
      <c r="H1344" s="7" t="s">
        <v>9024</v>
      </c>
      <c r="I1344" s="3" t="s">
        <v>6464</v>
      </c>
      <c r="J1344" s="5" t="s">
        <v>9025</v>
      </c>
      <c r="L1344" s="3" t="s">
        <v>9026</v>
      </c>
      <c r="M1344" s="3">
        <v>2</v>
      </c>
      <c r="N1344" s="4" t="s">
        <v>9001</v>
      </c>
      <c r="O1344" s="4">
        <v>65</v>
      </c>
      <c r="P1344" s="11" t="s">
        <v>10233</v>
      </c>
      <c r="Q1344" s="11" t="s">
        <v>10239</v>
      </c>
      <c r="S1344" s="4" t="b">
        <f>ISNUMBER(MATCH(Q1344,T:T,0))</f>
        <v>1</v>
      </c>
      <c r="T1344" s="4" t="s">
        <v>11623</v>
      </c>
      <c r="U1344" s="4" t="str">
        <f t="shared" si="64"/>
        <v>吕</v>
      </c>
    </row>
    <row r="1345" spans="1:22">
      <c r="A1345" s="3">
        <v>1342</v>
      </c>
      <c r="B1345" s="3" t="s">
        <v>8998</v>
      </c>
      <c r="C1345" s="3" t="s">
        <v>6069</v>
      </c>
      <c r="D1345" s="3" t="s">
        <v>6001</v>
      </c>
      <c r="E1345" s="3" t="s">
        <v>5991</v>
      </c>
      <c r="F1345" s="3" t="s">
        <v>6462</v>
      </c>
      <c r="G1345" s="3" t="s">
        <v>8645</v>
      </c>
      <c r="H1345" s="3" t="s">
        <v>743</v>
      </c>
      <c r="I1345" s="3" t="s">
        <v>6464</v>
      </c>
      <c r="J1345" s="5" t="s">
        <v>9027</v>
      </c>
      <c r="L1345" s="3" t="s">
        <v>9021</v>
      </c>
      <c r="M1345" s="3">
        <v>6</v>
      </c>
      <c r="N1345" s="4" t="s">
        <v>9001</v>
      </c>
      <c r="O1345" s="4">
        <v>65</v>
      </c>
      <c r="P1345" s="11" t="s">
        <v>10244</v>
      </c>
      <c r="Q1345" s="11" t="s">
        <v>10239</v>
      </c>
      <c r="S1345" s="4" t="b">
        <f>ISNUMBER(MATCH(Q1345,T:T,0))</f>
        <v>1</v>
      </c>
      <c r="T1345" s="4" t="s">
        <v>11624</v>
      </c>
      <c r="U1345" s="4" t="str">
        <f t="shared" si="64"/>
        <v>吕</v>
      </c>
    </row>
    <row r="1346" spans="1:22">
      <c r="A1346" s="3">
        <v>1343</v>
      </c>
      <c r="B1346" s="3" t="s">
        <v>8998</v>
      </c>
      <c r="C1346" s="3" t="s">
        <v>6072</v>
      </c>
      <c r="D1346" s="3" t="s">
        <v>6001</v>
      </c>
      <c r="E1346" s="3" t="s">
        <v>5991</v>
      </c>
      <c r="F1346" s="3" t="s">
        <v>6462</v>
      </c>
      <c r="G1346" s="3" t="s">
        <v>8645</v>
      </c>
      <c r="H1346" s="3" t="s">
        <v>5669</v>
      </c>
      <c r="I1346" s="3" t="s">
        <v>6464</v>
      </c>
      <c r="J1346" s="5" t="s">
        <v>5670</v>
      </c>
      <c r="L1346" s="3" t="s">
        <v>9000</v>
      </c>
      <c r="M1346" s="3">
        <v>2</v>
      </c>
      <c r="N1346" s="4" t="s">
        <v>9001</v>
      </c>
      <c r="O1346" s="4">
        <v>65</v>
      </c>
      <c r="P1346" s="11" t="s">
        <v>9754</v>
      </c>
      <c r="Q1346" s="11" t="s">
        <v>9753</v>
      </c>
      <c r="S1346" s="4" t="b">
        <f>ISNUMBER(MATCH(Q1346,T:T,0))</f>
        <v>1</v>
      </c>
      <c r="T1346" s="4" t="s">
        <v>11625</v>
      </c>
      <c r="U1346" s="4" t="str">
        <f t="shared" si="64"/>
        <v>許</v>
      </c>
    </row>
    <row r="1347" spans="1:22">
      <c r="A1347" s="3">
        <v>1344</v>
      </c>
      <c r="B1347" s="3" t="s">
        <v>8998</v>
      </c>
      <c r="C1347" s="3" t="s">
        <v>6025</v>
      </c>
      <c r="D1347" s="3" t="s">
        <v>6001</v>
      </c>
      <c r="E1347" s="3" t="s">
        <v>5991</v>
      </c>
      <c r="F1347" s="3" t="s">
        <v>6462</v>
      </c>
      <c r="G1347" s="3" t="s">
        <v>8645</v>
      </c>
      <c r="H1347" s="3" t="s">
        <v>5671</v>
      </c>
      <c r="I1347" s="3" t="s">
        <v>6464</v>
      </c>
      <c r="J1347" s="5" t="s">
        <v>4737</v>
      </c>
      <c r="L1347" s="3" t="s">
        <v>5672</v>
      </c>
      <c r="M1347" s="3">
        <v>10</v>
      </c>
      <c r="N1347" s="4" t="s">
        <v>9001</v>
      </c>
      <c r="O1347" s="4">
        <v>65</v>
      </c>
      <c r="P1347" s="11" t="s">
        <v>9717</v>
      </c>
      <c r="Q1347" s="11" t="s">
        <v>9753</v>
      </c>
      <c r="S1347" s="4" t="b">
        <f>ISNUMBER(MATCH(Q1347,T:T,0))</f>
        <v>1</v>
      </c>
      <c r="T1347" s="4" t="s">
        <v>9846</v>
      </c>
      <c r="U1347" s="4" t="str">
        <f t="shared" ref="U1347:U1410" si="68">IF(ISBLANK(R1347),Q1347,R1347)</f>
        <v>許</v>
      </c>
    </row>
    <row r="1348" spans="1:22">
      <c r="A1348" s="3">
        <v>1345</v>
      </c>
      <c r="B1348" s="3" t="s">
        <v>8998</v>
      </c>
      <c r="C1348" s="3" t="s">
        <v>6123</v>
      </c>
      <c r="D1348" s="3" t="s">
        <v>6001</v>
      </c>
      <c r="E1348" s="3" t="s">
        <v>5991</v>
      </c>
      <c r="F1348" s="3" t="s">
        <v>6462</v>
      </c>
      <c r="G1348" s="3" t="s">
        <v>8645</v>
      </c>
      <c r="H1348" s="3" t="s">
        <v>744</v>
      </c>
      <c r="I1348" s="3" t="s">
        <v>6464</v>
      </c>
      <c r="J1348" s="5" t="s">
        <v>5673</v>
      </c>
      <c r="L1348" s="3" t="s">
        <v>5674</v>
      </c>
      <c r="M1348" s="3">
        <v>11</v>
      </c>
      <c r="N1348" s="4" t="s">
        <v>9001</v>
      </c>
      <c r="O1348" s="4">
        <v>65</v>
      </c>
      <c r="P1348" s="11" t="s">
        <v>10110</v>
      </c>
      <c r="Q1348" s="11" t="s">
        <v>10239</v>
      </c>
      <c r="S1348" s="4" t="b">
        <f>ISNUMBER(MATCH(Q1348,T:T,0))</f>
        <v>1</v>
      </c>
      <c r="T1348" s="4" t="s">
        <v>11626</v>
      </c>
      <c r="U1348" s="4" t="str">
        <f t="shared" si="68"/>
        <v>吕</v>
      </c>
    </row>
    <row r="1349" spans="1:22">
      <c r="A1349" s="3">
        <v>1346</v>
      </c>
      <c r="B1349" s="3" t="s">
        <v>8998</v>
      </c>
      <c r="C1349" s="3" t="s">
        <v>6038</v>
      </c>
      <c r="D1349" s="3" t="s">
        <v>6001</v>
      </c>
      <c r="E1349" s="3" t="s">
        <v>5991</v>
      </c>
      <c r="F1349" s="3" t="s">
        <v>6462</v>
      </c>
      <c r="G1349" s="3" t="s">
        <v>8645</v>
      </c>
      <c r="H1349" s="3" t="s">
        <v>5675</v>
      </c>
      <c r="I1349" s="3" t="s">
        <v>6464</v>
      </c>
      <c r="J1349" s="5" t="s">
        <v>4738</v>
      </c>
      <c r="L1349" s="3" t="s">
        <v>5676</v>
      </c>
      <c r="M1349" s="3">
        <v>5</v>
      </c>
      <c r="N1349" s="4" t="s">
        <v>9001</v>
      </c>
      <c r="O1349" s="4">
        <v>65</v>
      </c>
      <c r="P1349" s="11" t="s">
        <v>10245</v>
      </c>
      <c r="Q1349" s="11" t="s">
        <v>9846</v>
      </c>
      <c r="S1349" s="4" t="b">
        <f>ISNUMBER(MATCH(Q1349,T:T,0))</f>
        <v>1</v>
      </c>
      <c r="T1349" s="4" t="s">
        <v>4210</v>
      </c>
      <c r="U1349" s="4" t="str">
        <f t="shared" si="68"/>
        <v>舉</v>
      </c>
    </row>
    <row r="1350" spans="1:22">
      <c r="A1350" s="3">
        <v>1347</v>
      </c>
      <c r="B1350" s="3" t="s">
        <v>8998</v>
      </c>
      <c r="C1350" s="3" t="s">
        <v>3093</v>
      </c>
      <c r="D1350" s="3" t="s">
        <v>6001</v>
      </c>
      <c r="E1350" s="3" t="s">
        <v>5991</v>
      </c>
      <c r="F1350" s="3" t="s">
        <v>6462</v>
      </c>
      <c r="G1350" s="3" t="s">
        <v>8645</v>
      </c>
      <c r="H1350" s="3" t="s">
        <v>5677</v>
      </c>
      <c r="I1350" s="3" t="s">
        <v>6464</v>
      </c>
      <c r="J1350" s="5" t="s">
        <v>5678</v>
      </c>
      <c r="L1350" s="3" t="s">
        <v>9026</v>
      </c>
      <c r="M1350" s="3">
        <v>3</v>
      </c>
      <c r="N1350" s="4" t="s">
        <v>9001</v>
      </c>
      <c r="O1350" s="4">
        <v>65</v>
      </c>
      <c r="P1350" s="11" t="s">
        <v>10211</v>
      </c>
      <c r="Q1350" s="11" t="s">
        <v>9828</v>
      </c>
      <c r="S1350" s="4" t="b">
        <f>ISNUMBER(MATCH(Q1350,T:T,0))</f>
        <v>1</v>
      </c>
      <c r="T1350" s="4" t="s">
        <v>11627</v>
      </c>
      <c r="U1350" s="4" t="str">
        <f t="shared" si="68"/>
        <v>與</v>
      </c>
    </row>
    <row r="1351" spans="1:22">
      <c r="A1351" s="3">
        <v>1348</v>
      </c>
      <c r="B1351" s="3" t="s">
        <v>8998</v>
      </c>
      <c r="C1351" s="3" t="s">
        <v>6148</v>
      </c>
      <c r="D1351" s="3" t="s">
        <v>6001</v>
      </c>
      <c r="E1351" s="3" t="s">
        <v>5991</v>
      </c>
      <c r="F1351" s="3" t="s">
        <v>6462</v>
      </c>
      <c r="G1351" s="3" t="s">
        <v>8645</v>
      </c>
      <c r="H1351" s="3" t="s">
        <v>5679</v>
      </c>
      <c r="I1351" s="3" t="s">
        <v>6464</v>
      </c>
      <c r="J1351" s="5" t="s">
        <v>5680</v>
      </c>
      <c r="L1351" s="3" t="s">
        <v>9026</v>
      </c>
      <c r="M1351" s="3">
        <v>2</v>
      </c>
      <c r="N1351" s="4" t="s">
        <v>9001</v>
      </c>
      <c r="O1351" s="4">
        <v>65</v>
      </c>
      <c r="P1351" s="11" t="s">
        <v>10198</v>
      </c>
      <c r="Q1351" s="11" t="s">
        <v>9828</v>
      </c>
      <c r="S1351" s="4" t="b">
        <f>ISNUMBER(MATCH(Q1351,T:T,0))</f>
        <v>1</v>
      </c>
      <c r="T1351" s="4" t="s">
        <v>11628</v>
      </c>
      <c r="U1351" s="4" t="str">
        <f t="shared" si="68"/>
        <v>與</v>
      </c>
    </row>
    <row r="1352" spans="1:22">
      <c r="A1352" s="3">
        <v>1349</v>
      </c>
      <c r="B1352" s="3" t="s">
        <v>8998</v>
      </c>
      <c r="C1352" s="3" t="s">
        <v>6076</v>
      </c>
      <c r="D1352" s="3" t="s">
        <v>6001</v>
      </c>
      <c r="E1352" s="3" t="s">
        <v>5991</v>
      </c>
      <c r="F1352" s="3" t="s">
        <v>6462</v>
      </c>
      <c r="G1352" s="3" t="s">
        <v>8645</v>
      </c>
      <c r="H1352" s="3" t="s">
        <v>5681</v>
      </c>
      <c r="I1352" s="3" t="s">
        <v>6464</v>
      </c>
      <c r="J1352" s="5" t="s">
        <v>5682</v>
      </c>
      <c r="L1352" s="3" t="s">
        <v>5676</v>
      </c>
      <c r="M1352" s="3">
        <v>1</v>
      </c>
      <c r="N1352" s="4" t="s">
        <v>9001</v>
      </c>
      <c r="O1352" s="4">
        <v>65</v>
      </c>
      <c r="P1352" s="11" t="s">
        <v>9766</v>
      </c>
      <c r="Q1352" s="11" t="s">
        <v>9828</v>
      </c>
      <c r="S1352" s="4" t="b">
        <f>ISNUMBER(MATCH(Q1352,T:T,0))</f>
        <v>1</v>
      </c>
      <c r="T1352" s="4" t="s">
        <v>5682</v>
      </c>
      <c r="U1352" s="4" t="str">
        <f t="shared" si="68"/>
        <v>與</v>
      </c>
    </row>
    <row r="1353" spans="1:22">
      <c r="A1353" s="3">
        <v>1350</v>
      </c>
      <c r="B1353" s="3" t="s">
        <v>8998</v>
      </c>
      <c r="C1353" s="3" t="s">
        <v>6083</v>
      </c>
      <c r="D1353" s="3" t="s">
        <v>6001</v>
      </c>
      <c r="E1353" s="3" t="s">
        <v>5991</v>
      </c>
      <c r="F1353" s="3" t="s">
        <v>6462</v>
      </c>
      <c r="G1353" s="3" t="s">
        <v>8645</v>
      </c>
      <c r="H1353" s="3" t="s">
        <v>5683</v>
      </c>
      <c r="I1353" s="3" t="s">
        <v>6464</v>
      </c>
      <c r="J1353" s="5" t="s">
        <v>5684</v>
      </c>
      <c r="L1353" s="3" t="s">
        <v>5672</v>
      </c>
      <c r="M1353" s="3">
        <v>3</v>
      </c>
      <c r="N1353" s="4" t="s">
        <v>9001</v>
      </c>
      <c r="O1353" s="4">
        <v>65</v>
      </c>
      <c r="P1353" s="11" t="s">
        <v>9737</v>
      </c>
      <c r="Q1353" s="11" t="s">
        <v>9828</v>
      </c>
      <c r="S1353" s="4" t="b">
        <f>ISNUMBER(MATCH(Q1353,T:T,0))</f>
        <v>1</v>
      </c>
      <c r="T1353" s="4" t="s">
        <v>11629</v>
      </c>
      <c r="U1353" s="4" t="str">
        <f t="shared" si="68"/>
        <v>與</v>
      </c>
    </row>
    <row r="1354" spans="1:22">
      <c r="A1354" s="3">
        <v>1351</v>
      </c>
      <c r="B1354" s="3" t="s">
        <v>5685</v>
      </c>
      <c r="C1354" s="3" t="s">
        <v>6092</v>
      </c>
      <c r="D1354" s="3" t="s">
        <v>6001</v>
      </c>
      <c r="E1354" s="3" t="s">
        <v>6212</v>
      </c>
      <c r="F1354" s="3" t="s">
        <v>2741</v>
      </c>
      <c r="G1354" s="3" t="s">
        <v>8645</v>
      </c>
      <c r="H1354" s="3" t="s">
        <v>5686</v>
      </c>
      <c r="I1354" s="3" t="s">
        <v>6464</v>
      </c>
      <c r="J1354" s="5" t="s">
        <v>5687</v>
      </c>
      <c r="L1354" s="3" t="s">
        <v>9000</v>
      </c>
      <c r="M1354" s="3">
        <v>3</v>
      </c>
      <c r="N1354" s="4" t="s">
        <v>5688</v>
      </c>
      <c r="O1354" s="4">
        <v>66</v>
      </c>
      <c r="P1354" s="11" t="s">
        <v>2741</v>
      </c>
      <c r="Q1354" s="11" t="s">
        <v>10246</v>
      </c>
      <c r="S1354" s="4" t="b">
        <f>ISNUMBER(MATCH(Q1354,T:T,0))</f>
        <v>1</v>
      </c>
      <c r="T1354" s="4" t="s">
        <v>5688</v>
      </c>
      <c r="U1354" s="4" t="str">
        <f t="shared" si="68"/>
        <v>矩</v>
      </c>
    </row>
    <row r="1355" spans="1:22">
      <c r="A1355" s="3">
        <v>1352</v>
      </c>
      <c r="B1355" s="3" t="s">
        <v>5685</v>
      </c>
      <c r="C1355" s="3" t="s">
        <v>6032</v>
      </c>
      <c r="D1355" s="3" t="s">
        <v>6001</v>
      </c>
      <c r="E1355" s="3" t="s">
        <v>6212</v>
      </c>
      <c r="F1355" s="3" t="s">
        <v>2741</v>
      </c>
      <c r="G1355" s="3" t="s">
        <v>8645</v>
      </c>
      <c r="H1355" s="3" t="s">
        <v>5689</v>
      </c>
      <c r="I1355" s="3" t="s">
        <v>6464</v>
      </c>
      <c r="J1355" s="5" t="s">
        <v>4739</v>
      </c>
      <c r="L1355" s="3" t="s">
        <v>9000</v>
      </c>
      <c r="M1355" s="3">
        <v>15</v>
      </c>
      <c r="N1355" s="4" t="s">
        <v>5688</v>
      </c>
      <c r="O1355" s="4">
        <v>66</v>
      </c>
      <c r="P1355" s="11" t="s">
        <v>9949</v>
      </c>
      <c r="Q1355" s="11" t="s">
        <v>10246</v>
      </c>
      <c r="S1355" s="4" t="b">
        <f>ISNUMBER(MATCH(Q1355,T:T,0))</f>
        <v>1</v>
      </c>
      <c r="T1355" s="4" t="s">
        <v>9718</v>
      </c>
      <c r="U1355" s="4" t="str">
        <f t="shared" si="68"/>
        <v>矩</v>
      </c>
    </row>
    <row r="1356" spans="1:22">
      <c r="A1356" s="3">
        <v>1353</v>
      </c>
      <c r="B1356" s="3" t="s">
        <v>5685</v>
      </c>
      <c r="C1356" s="3" t="s">
        <v>6069</v>
      </c>
      <c r="D1356" s="3" t="s">
        <v>6001</v>
      </c>
      <c r="E1356" s="3" t="s">
        <v>6212</v>
      </c>
      <c r="F1356" s="3" t="s">
        <v>2741</v>
      </c>
      <c r="G1356" s="3" t="s">
        <v>8645</v>
      </c>
      <c r="H1356" s="3" t="s">
        <v>5690</v>
      </c>
      <c r="I1356" s="3" t="s">
        <v>6464</v>
      </c>
      <c r="J1356" s="5" t="s">
        <v>5691</v>
      </c>
      <c r="L1356" s="3" t="s">
        <v>9021</v>
      </c>
      <c r="M1356" s="3">
        <v>2</v>
      </c>
      <c r="N1356" s="4" t="s">
        <v>5688</v>
      </c>
      <c r="O1356" s="4">
        <v>66</v>
      </c>
      <c r="P1356" s="11" t="s">
        <v>10244</v>
      </c>
      <c r="Q1356" s="11" t="s">
        <v>10247</v>
      </c>
      <c r="S1356" s="4" t="b">
        <f>ISNUMBER(MATCH(Q1356,T:T,0))</f>
        <v>1</v>
      </c>
      <c r="T1356" s="4" t="s">
        <v>11630</v>
      </c>
      <c r="U1356" s="4" t="str">
        <f t="shared" si="68"/>
        <v>庾</v>
      </c>
    </row>
    <row r="1357" spans="1:22">
      <c r="A1357" s="3">
        <v>1354</v>
      </c>
      <c r="B1357" s="3" t="s">
        <v>5685</v>
      </c>
      <c r="C1357" s="3" t="s">
        <v>6049</v>
      </c>
      <c r="D1357" s="3" t="s">
        <v>6001</v>
      </c>
      <c r="E1357" s="3" t="s">
        <v>6212</v>
      </c>
      <c r="F1357" s="3" t="s">
        <v>2741</v>
      </c>
      <c r="G1357" s="3" t="s">
        <v>8645</v>
      </c>
      <c r="H1357" s="3" t="s">
        <v>5692</v>
      </c>
      <c r="I1357" s="3" t="s">
        <v>6464</v>
      </c>
      <c r="J1357" s="5" t="s">
        <v>4740</v>
      </c>
      <c r="L1357" s="3" t="s">
        <v>5693</v>
      </c>
      <c r="M1357" s="3">
        <v>1</v>
      </c>
      <c r="N1357" s="4" t="s">
        <v>5688</v>
      </c>
      <c r="O1357" s="4">
        <v>66</v>
      </c>
      <c r="P1357" s="11" t="s">
        <v>9723</v>
      </c>
      <c r="Q1357" s="11" t="s">
        <v>10246</v>
      </c>
      <c r="S1357" s="4" t="b">
        <f>ISNUMBER(MATCH(Q1357,T:T,0))</f>
        <v>1</v>
      </c>
      <c r="T1357" s="4" t="s">
        <v>9842</v>
      </c>
      <c r="U1357" s="4" t="str">
        <f t="shared" si="68"/>
        <v>矩</v>
      </c>
    </row>
    <row r="1358" spans="1:22" ht="39">
      <c r="A1358" s="3">
        <v>1355</v>
      </c>
      <c r="B1358" s="3" t="s">
        <v>5685</v>
      </c>
      <c r="C1358" s="3" t="s">
        <v>6035</v>
      </c>
      <c r="D1358" s="3" t="s">
        <v>6001</v>
      </c>
      <c r="E1358" s="3" t="s">
        <v>6212</v>
      </c>
      <c r="F1358" s="3" t="s">
        <v>2741</v>
      </c>
      <c r="G1358" s="3" t="s">
        <v>8645</v>
      </c>
      <c r="H1358" s="3" t="s">
        <v>5694</v>
      </c>
      <c r="I1358" s="3" t="s">
        <v>6464</v>
      </c>
      <c r="J1358" s="5" t="s">
        <v>4741</v>
      </c>
      <c r="K1358" s="3" t="s">
        <v>601</v>
      </c>
      <c r="L1358" s="3" t="s">
        <v>5695</v>
      </c>
      <c r="M1358" s="3">
        <v>24</v>
      </c>
      <c r="N1358" s="4" t="s">
        <v>5688</v>
      </c>
      <c r="O1358" s="4">
        <v>66</v>
      </c>
      <c r="P1358" s="11" t="s">
        <v>6809</v>
      </c>
      <c r="Q1358" s="11" t="s">
        <v>9842</v>
      </c>
      <c r="S1358" s="4" t="b">
        <f>ISNUMBER(MATCH(Q1358,T:T,0))</f>
        <v>1</v>
      </c>
      <c r="T1358" s="4" t="s">
        <v>9794</v>
      </c>
      <c r="U1358" s="4" t="str">
        <f t="shared" si="68"/>
        <v>甫</v>
      </c>
    </row>
    <row r="1359" spans="1:22">
      <c r="A1359" s="3">
        <v>1356</v>
      </c>
      <c r="B1359" s="3" t="s">
        <v>5685</v>
      </c>
      <c r="C1359" s="3" t="s">
        <v>6045</v>
      </c>
      <c r="D1359" s="3" t="s">
        <v>6001</v>
      </c>
      <c r="E1359" s="3" t="s">
        <v>6212</v>
      </c>
      <c r="F1359" s="3" t="s">
        <v>2741</v>
      </c>
      <c r="G1359" s="3" t="s">
        <v>8645</v>
      </c>
      <c r="H1359" s="3" t="s">
        <v>5696</v>
      </c>
      <c r="I1359" s="3" t="s">
        <v>6464</v>
      </c>
      <c r="J1359" s="5" t="s">
        <v>4742</v>
      </c>
      <c r="L1359" s="3" t="s">
        <v>5697</v>
      </c>
      <c r="M1359" s="3">
        <v>15</v>
      </c>
      <c r="N1359" s="4" t="s">
        <v>5688</v>
      </c>
      <c r="O1359" s="4">
        <v>66</v>
      </c>
      <c r="P1359" s="11" t="s">
        <v>9926</v>
      </c>
      <c r="Q1359" s="11" t="s">
        <v>9840</v>
      </c>
      <c r="R1359" s="4" t="s">
        <v>13084</v>
      </c>
      <c r="S1359" s="4" t="b">
        <f>ISNUMBER(MATCH(Q1359,T:T,0))</f>
        <v>0</v>
      </c>
      <c r="T1359" s="4" t="s">
        <v>10704</v>
      </c>
      <c r="U1359" s="4" t="str">
        <f t="shared" si="68"/>
        <v>羽</v>
      </c>
      <c r="V1359" s="4" t="b">
        <f>ISNUMBER(MATCH(R1359,T:T,0))</f>
        <v>1</v>
      </c>
    </row>
    <row r="1360" spans="1:22">
      <c r="A1360" s="3">
        <v>1357</v>
      </c>
      <c r="B1360" s="3" t="s">
        <v>5685</v>
      </c>
      <c r="C1360" s="3" t="s">
        <v>6053</v>
      </c>
      <c r="D1360" s="3" t="s">
        <v>6001</v>
      </c>
      <c r="E1360" s="3" t="s">
        <v>6212</v>
      </c>
      <c r="F1360" s="3" t="s">
        <v>2741</v>
      </c>
      <c r="G1360" s="3" t="s">
        <v>8645</v>
      </c>
      <c r="H1360" s="3" t="s">
        <v>5698</v>
      </c>
      <c r="I1360" s="3" t="s">
        <v>6464</v>
      </c>
      <c r="J1360" s="5" t="s">
        <v>4743</v>
      </c>
      <c r="L1360" s="3" t="s">
        <v>5693</v>
      </c>
      <c r="M1360" s="3">
        <v>13</v>
      </c>
      <c r="N1360" s="4" t="s">
        <v>5688</v>
      </c>
      <c r="O1360" s="4">
        <v>66</v>
      </c>
      <c r="P1360" s="11" t="s">
        <v>9841</v>
      </c>
      <c r="Q1360" s="11" t="s">
        <v>9794</v>
      </c>
      <c r="S1360" s="4" t="b">
        <f>ISNUMBER(MATCH(Q1360,T:T,0))</f>
        <v>1</v>
      </c>
      <c r="T1360" s="4" t="s">
        <v>9950</v>
      </c>
      <c r="U1360" s="4" t="str">
        <f t="shared" si="68"/>
        <v>武</v>
      </c>
    </row>
    <row r="1361" spans="1:22">
      <c r="A1361" s="3">
        <v>1358</v>
      </c>
      <c r="B1361" s="3" t="s">
        <v>5685</v>
      </c>
      <c r="C1361" s="3" t="s">
        <v>6005</v>
      </c>
      <c r="D1361" s="3" t="s">
        <v>6001</v>
      </c>
      <c r="E1361" s="3" t="s">
        <v>6212</v>
      </c>
      <c r="F1361" s="3" t="s">
        <v>2741</v>
      </c>
      <c r="G1361" s="3" t="s">
        <v>8645</v>
      </c>
      <c r="H1361" s="3" t="s">
        <v>5699</v>
      </c>
      <c r="I1361" s="3" t="s">
        <v>6464</v>
      </c>
      <c r="J1361" s="5" t="s">
        <v>5700</v>
      </c>
      <c r="L1361" s="3" t="s">
        <v>9004</v>
      </c>
      <c r="M1361" s="3">
        <v>3</v>
      </c>
      <c r="N1361" s="4" t="s">
        <v>5688</v>
      </c>
      <c r="O1361" s="4">
        <v>66</v>
      </c>
      <c r="P1361" s="11" t="s">
        <v>9709</v>
      </c>
      <c r="Q1361" s="11" t="s">
        <v>10248</v>
      </c>
      <c r="S1361" s="4" t="b">
        <f>ISNUMBER(MATCH(Q1361,T:T,0))</f>
        <v>1</v>
      </c>
      <c r="T1361" s="4" t="s">
        <v>9912</v>
      </c>
      <c r="U1361" s="4" t="str">
        <f t="shared" si="68"/>
        <v>主</v>
      </c>
    </row>
    <row r="1362" spans="1:22">
      <c r="A1362" s="3">
        <v>1359</v>
      </c>
      <c r="B1362" s="3" t="s">
        <v>5685</v>
      </c>
      <c r="C1362" s="3" t="s">
        <v>6089</v>
      </c>
      <c r="D1362" s="3" t="s">
        <v>6001</v>
      </c>
      <c r="E1362" s="3" t="s">
        <v>6212</v>
      </c>
      <c r="F1362" s="3" t="s">
        <v>2741</v>
      </c>
      <c r="G1362" s="3" t="s">
        <v>8645</v>
      </c>
      <c r="H1362" s="3" t="s">
        <v>5701</v>
      </c>
      <c r="I1362" s="3" t="s">
        <v>6464</v>
      </c>
      <c r="J1362" s="5" t="s">
        <v>5702</v>
      </c>
      <c r="L1362" s="3" t="s">
        <v>9016</v>
      </c>
      <c r="M1362" s="3">
        <v>12</v>
      </c>
      <c r="N1362" s="4" t="s">
        <v>5688</v>
      </c>
      <c r="O1362" s="4">
        <v>66</v>
      </c>
      <c r="P1362" s="11" t="s">
        <v>9858</v>
      </c>
      <c r="Q1362" s="11" t="s">
        <v>9718</v>
      </c>
      <c r="S1362" s="4" t="b">
        <f>ISNUMBER(MATCH(Q1362,T:T,0))</f>
        <v>1</v>
      </c>
      <c r="T1362" s="4" t="s">
        <v>11631</v>
      </c>
      <c r="U1362" s="4" t="str">
        <f t="shared" si="68"/>
        <v>羽</v>
      </c>
    </row>
    <row r="1363" spans="1:22">
      <c r="A1363" s="3">
        <v>1360</v>
      </c>
      <c r="B1363" s="3" t="s">
        <v>5685</v>
      </c>
      <c r="C1363" s="3" t="s">
        <v>6148</v>
      </c>
      <c r="D1363" s="3" t="s">
        <v>6001</v>
      </c>
      <c r="E1363" s="3" t="s">
        <v>6212</v>
      </c>
      <c r="F1363" s="3" t="s">
        <v>2741</v>
      </c>
      <c r="G1363" s="3" t="s">
        <v>8645</v>
      </c>
      <c r="H1363" s="3" t="s">
        <v>5703</v>
      </c>
      <c r="I1363" s="3" t="s">
        <v>6464</v>
      </c>
      <c r="J1363" s="5" t="s">
        <v>4744</v>
      </c>
      <c r="L1363" s="3" t="s">
        <v>9026</v>
      </c>
      <c r="M1363" s="3">
        <v>4</v>
      </c>
      <c r="N1363" s="4" t="s">
        <v>5688</v>
      </c>
      <c r="O1363" s="4">
        <v>66</v>
      </c>
      <c r="P1363" s="11" t="s">
        <v>10249</v>
      </c>
      <c r="Q1363" s="11" t="s">
        <v>10247</v>
      </c>
      <c r="S1363" s="4" t="b">
        <f>ISNUMBER(MATCH(Q1363,T:T,0))</f>
        <v>1</v>
      </c>
      <c r="T1363" s="4" t="s">
        <v>11632</v>
      </c>
      <c r="U1363" s="4" t="str">
        <f t="shared" si="68"/>
        <v>庾</v>
      </c>
    </row>
    <row r="1364" spans="1:22">
      <c r="A1364" s="3">
        <v>1361</v>
      </c>
      <c r="B1364" s="3" t="s">
        <v>5685</v>
      </c>
      <c r="C1364" s="3" t="s">
        <v>6028</v>
      </c>
      <c r="D1364" s="3" t="s">
        <v>6001</v>
      </c>
      <c r="E1364" s="3" t="s">
        <v>6212</v>
      </c>
      <c r="F1364" s="3" t="s">
        <v>2741</v>
      </c>
      <c r="G1364" s="3" t="s">
        <v>8645</v>
      </c>
      <c r="H1364" s="3" t="s">
        <v>5704</v>
      </c>
      <c r="I1364" s="3" t="s">
        <v>6464</v>
      </c>
      <c r="J1364" s="5" t="s">
        <v>5705</v>
      </c>
      <c r="L1364" s="3" t="s">
        <v>9000</v>
      </c>
      <c r="M1364" s="3">
        <v>12</v>
      </c>
      <c r="N1364" s="4" t="s">
        <v>5688</v>
      </c>
      <c r="O1364" s="4">
        <v>66</v>
      </c>
      <c r="P1364" s="11" t="s">
        <v>6028</v>
      </c>
      <c r="Q1364" s="11" t="s">
        <v>10248</v>
      </c>
      <c r="S1364" s="4" t="b">
        <f>ISNUMBER(MATCH(Q1364,T:T,0))</f>
        <v>1</v>
      </c>
      <c r="T1364" s="4" t="s">
        <v>10247</v>
      </c>
      <c r="U1364" s="4" t="str">
        <f t="shared" si="68"/>
        <v>主</v>
      </c>
    </row>
    <row r="1365" spans="1:22">
      <c r="A1365" s="3">
        <v>1362</v>
      </c>
      <c r="B1365" s="3" t="s">
        <v>5685</v>
      </c>
      <c r="C1365" s="3" t="s">
        <v>6009</v>
      </c>
      <c r="D1365" s="3" t="s">
        <v>6001</v>
      </c>
      <c r="E1365" s="3" t="s">
        <v>6212</v>
      </c>
      <c r="F1365" s="3" t="s">
        <v>2741</v>
      </c>
      <c r="G1365" s="3" t="s">
        <v>8645</v>
      </c>
      <c r="H1365" s="3" t="s">
        <v>5706</v>
      </c>
      <c r="I1365" s="3" t="s">
        <v>6464</v>
      </c>
      <c r="J1365" s="5" t="s">
        <v>4745</v>
      </c>
      <c r="L1365" s="3" t="s">
        <v>9007</v>
      </c>
      <c r="M1365" s="3">
        <v>5</v>
      </c>
      <c r="N1365" s="4" t="s">
        <v>5688</v>
      </c>
      <c r="O1365" s="4">
        <v>66</v>
      </c>
      <c r="P1365" s="11" t="s">
        <v>6396</v>
      </c>
      <c r="Q1365" s="11" t="s">
        <v>10247</v>
      </c>
      <c r="S1365" s="4" t="b">
        <f>ISNUMBER(MATCH(Q1365,T:T,0))</f>
        <v>1</v>
      </c>
      <c r="T1365" s="4" t="s">
        <v>10248</v>
      </c>
      <c r="U1365" s="4" t="str">
        <f t="shared" si="68"/>
        <v>庾</v>
      </c>
    </row>
    <row r="1366" spans="1:22">
      <c r="A1366" s="3">
        <v>1363</v>
      </c>
      <c r="B1366" s="3" t="s">
        <v>5685</v>
      </c>
      <c r="C1366" s="3" t="s">
        <v>6072</v>
      </c>
      <c r="D1366" s="3" t="s">
        <v>6001</v>
      </c>
      <c r="E1366" s="3" t="s">
        <v>6212</v>
      </c>
      <c r="F1366" s="3" t="s">
        <v>2741</v>
      </c>
      <c r="G1366" s="3" t="s">
        <v>8645</v>
      </c>
      <c r="H1366" s="3" t="s">
        <v>5707</v>
      </c>
      <c r="I1366" s="3" t="s">
        <v>6464</v>
      </c>
      <c r="J1366" s="5" t="s">
        <v>5708</v>
      </c>
      <c r="L1366" s="3" t="s">
        <v>9000</v>
      </c>
      <c r="M1366" s="3">
        <v>3</v>
      </c>
      <c r="N1366" s="4" t="s">
        <v>5688</v>
      </c>
      <c r="O1366" s="4">
        <v>66</v>
      </c>
      <c r="P1366" s="11" t="s">
        <v>9754</v>
      </c>
      <c r="Q1366" s="11" t="s">
        <v>9794</v>
      </c>
      <c r="S1366" s="4" t="b">
        <f>ISNUMBER(MATCH(Q1366,T:T,0))</f>
        <v>1</v>
      </c>
      <c r="T1366" s="4" t="s">
        <v>11633</v>
      </c>
      <c r="U1366" s="4" t="str">
        <f t="shared" si="68"/>
        <v>武</v>
      </c>
    </row>
    <row r="1367" spans="1:22">
      <c r="A1367" s="3">
        <v>1364</v>
      </c>
      <c r="B1367" s="3" t="s">
        <v>5685</v>
      </c>
      <c r="C1367" s="3" t="s">
        <v>6038</v>
      </c>
      <c r="D1367" s="3" t="s">
        <v>6001</v>
      </c>
      <c r="E1367" s="3" t="s">
        <v>6212</v>
      </c>
      <c r="F1367" s="3" t="s">
        <v>2741</v>
      </c>
      <c r="G1367" s="3" t="s">
        <v>8645</v>
      </c>
      <c r="H1367" s="3" t="s">
        <v>5709</v>
      </c>
      <c r="I1367" s="3" t="s">
        <v>6464</v>
      </c>
      <c r="J1367" s="5" t="s">
        <v>5710</v>
      </c>
      <c r="L1367" s="3" t="s">
        <v>5676</v>
      </c>
      <c r="M1367" s="3">
        <v>3</v>
      </c>
      <c r="N1367" s="4" t="s">
        <v>5688</v>
      </c>
      <c r="O1367" s="4">
        <v>66</v>
      </c>
      <c r="P1367" s="11" t="s">
        <v>10250</v>
      </c>
      <c r="Q1367" s="11" t="s">
        <v>9840</v>
      </c>
      <c r="R1367" s="4" t="s">
        <v>13084</v>
      </c>
      <c r="S1367" s="4" t="b">
        <f>ISNUMBER(MATCH(Q1367,T:T,0))</f>
        <v>0</v>
      </c>
      <c r="T1367" s="4" t="s">
        <v>11634</v>
      </c>
      <c r="U1367" s="4" t="str">
        <f t="shared" si="68"/>
        <v>羽</v>
      </c>
      <c r="V1367" s="4" t="b">
        <f>ISNUMBER(MATCH(R1367,T:T,0))</f>
        <v>1</v>
      </c>
    </row>
    <row r="1368" spans="1:22">
      <c r="A1368" s="3">
        <v>1365</v>
      </c>
      <c r="B1368" s="3" t="s">
        <v>5685</v>
      </c>
      <c r="C1368" s="3" t="s">
        <v>6000</v>
      </c>
      <c r="D1368" s="3" t="s">
        <v>6001</v>
      </c>
      <c r="E1368" s="3" t="s">
        <v>6212</v>
      </c>
      <c r="F1368" s="3" t="s">
        <v>2741</v>
      </c>
      <c r="G1368" s="3" t="s">
        <v>8645</v>
      </c>
      <c r="H1368" s="3" t="s">
        <v>5711</v>
      </c>
      <c r="I1368" s="3" t="s">
        <v>6464</v>
      </c>
      <c r="J1368" s="5" t="s">
        <v>4746</v>
      </c>
      <c r="L1368" s="3" t="s">
        <v>9007</v>
      </c>
      <c r="M1368" s="3">
        <v>4</v>
      </c>
      <c r="N1368" s="4" t="s">
        <v>5688</v>
      </c>
      <c r="O1368" s="4">
        <v>66</v>
      </c>
      <c r="P1368" s="11" t="s">
        <v>6000</v>
      </c>
      <c r="Q1368" s="11" t="s">
        <v>10247</v>
      </c>
      <c r="S1368" s="4" t="b">
        <f>ISNUMBER(MATCH(Q1368,T:T,0))</f>
        <v>1</v>
      </c>
      <c r="T1368" s="4" t="s">
        <v>11635</v>
      </c>
      <c r="U1368" s="4" t="str">
        <f t="shared" si="68"/>
        <v>庾</v>
      </c>
    </row>
    <row r="1369" spans="1:22">
      <c r="A1369" s="3">
        <v>1366</v>
      </c>
      <c r="B1369" s="3" t="s">
        <v>5685</v>
      </c>
      <c r="C1369" s="3" t="s">
        <v>6021</v>
      </c>
      <c r="D1369" s="3" t="s">
        <v>6001</v>
      </c>
      <c r="E1369" s="3" t="s">
        <v>6212</v>
      </c>
      <c r="F1369" s="3" t="s">
        <v>2741</v>
      </c>
      <c r="G1369" s="3" t="s">
        <v>8645</v>
      </c>
      <c r="H1369" s="3" t="s">
        <v>5712</v>
      </c>
      <c r="I1369" s="3" t="s">
        <v>6464</v>
      </c>
      <c r="J1369" s="5" t="s">
        <v>5713</v>
      </c>
      <c r="L1369" s="3" t="s">
        <v>9009</v>
      </c>
      <c r="M1369" s="3">
        <v>3</v>
      </c>
      <c r="N1369" s="4" t="s">
        <v>5688</v>
      </c>
      <c r="O1369" s="4">
        <v>66</v>
      </c>
      <c r="P1369" s="11" t="s">
        <v>9761</v>
      </c>
      <c r="Q1369" s="11" t="s">
        <v>10248</v>
      </c>
      <c r="S1369" s="4" t="b">
        <f>ISNUMBER(MATCH(Q1369,T:T,0))</f>
        <v>1</v>
      </c>
      <c r="T1369" s="4" t="s">
        <v>11636</v>
      </c>
      <c r="U1369" s="4" t="str">
        <f t="shared" si="68"/>
        <v>主</v>
      </c>
    </row>
    <row r="1370" spans="1:22">
      <c r="A1370" s="3">
        <v>1367</v>
      </c>
      <c r="B1370" s="3" t="s">
        <v>5685</v>
      </c>
      <c r="C1370" s="3" t="s">
        <v>6041</v>
      </c>
      <c r="D1370" s="3" t="s">
        <v>6001</v>
      </c>
      <c r="E1370" s="3" t="s">
        <v>6212</v>
      </c>
      <c r="F1370" s="3" t="s">
        <v>2741</v>
      </c>
      <c r="G1370" s="3" t="s">
        <v>8645</v>
      </c>
      <c r="H1370" s="3" t="s">
        <v>5714</v>
      </c>
      <c r="I1370" s="3" t="s">
        <v>6464</v>
      </c>
      <c r="J1370" s="5" t="s">
        <v>5715</v>
      </c>
      <c r="L1370" s="3" t="s">
        <v>9021</v>
      </c>
      <c r="M1370" s="3">
        <v>2</v>
      </c>
      <c r="N1370" s="4" t="s">
        <v>5688</v>
      </c>
      <c r="O1370" s="4">
        <v>66</v>
      </c>
      <c r="P1370" s="11" t="s">
        <v>9830</v>
      </c>
      <c r="Q1370" s="11" t="s">
        <v>10246</v>
      </c>
      <c r="S1370" s="4" t="b">
        <f>ISNUMBER(MATCH(Q1370,T:T,0))</f>
        <v>1</v>
      </c>
      <c r="T1370" s="4" t="s">
        <v>11637</v>
      </c>
      <c r="U1370" s="4" t="str">
        <f t="shared" si="68"/>
        <v>矩</v>
      </c>
    </row>
    <row r="1371" spans="1:22">
      <c r="A1371" s="3">
        <v>1368</v>
      </c>
      <c r="B1371" s="3" t="s">
        <v>5685</v>
      </c>
      <c r="C1371" s="3" t="s">
        <v>6180</v>
      </c>
      <c r="D1371" s="3" t="s">
        <v>6001</v>
      </c>
      <c r="E1371" s="3" t="s">
        <v>6212</v>
      </c>
      <c r="F1371" s="3" t="s">
        <v>2741</v>
      </c>
      <c r="G1371" s="3" t="s">
        <v>8645</v>
      </c>
      <c r="H1371" s="3" t="s">
        <v>5716</v>
      </c>
      <c r="I1371" s="3" t="s">
        <v>6464</v>
      </c>
      <c r="J1371" s="5" t="s">
        <v>5717</v>
      </c>
      <c r="L1371" s="3" t="s">
        <v>9011</v>
      </c>
      <c r="M1371" s="3">
        <v>2</v>
      </c>
      <c r="N1371" s="4" t="s">
        <v>5688</v>
      </c>
      <c r="O1371" s="4">
        <v>66</v>
      </c>
      <c r="P1371" s="11" t="s">
        <v>9774</v>
      </c>
      <c r="Q1371" s="11" t="s">
        <v>10246</v>
      </c>
      <c r="S1371" s="4" t="b">
        <f>ISNUMBER(MATCH(Q1371,T:T,0))</f>
        <v>1</v>
      </c>
      <c r="T1371" s="4" t="s">
        <v>9984</v>
      </c>
      <c r="U1371" s="4" t="str">
        <f t="shared" si="68"/>
        <v>矩</v>
      </c>
    </row>
    <row r="1372" spans="1:22">
      <c r="A1372" s="3">
        <v>1369</v>
      </c>
      <c r="B1372" s="3" t="s">
        <v>5685</v>
      </c>
      <c r="C1372" s="3" t="s">
        <v>6025</v>
      </c>
      <c r="D1372" s="3" t="s">
        <v>6001</v>
      </c>
      <c r="E1372" s="3" t="s">
        <v>6212</v>
      </c>
      <c r="F1372" s="3" t="s">
        <v>2741</v>
      </c>
      <c r="G1372" s="3" t="s">
        <v>8645</v>
      </c>
      <c r="H1372" s="3" t="s">
        <v>5718</v>
      </c>
      <c r="I1372" s="3" t="s">
        <v>6464</v>
      </c>
      <c r="J1372" s="5" t="s">
        <v>4747</v>
      </c>
      <c r="L1372" s="3" t="s">
        <v>5672</v>
      </c>
      <c r="M1372" s="3">
        <v>11</v>
      </c>
      <c r="N1372" s="4" t="s">
        <v>5688</v>
      </c>
      <c r="O1372" s="4">
        <v>66</v>
      </c>
      <c r="P1372" s="11" t="s">
        <v>9854</v>
      </c>
      <c r="Q1372" s="11" t="s">
        <v>9840</v>
      </c>
      <c r="R1372" s="4" t="s">
        <v>13084</v>
      </c>
      <c r="S1372" s="4" t="b">
        <f>ISNUMBER(MATCH(Q1372,T:T,0))</f>
        <v>0</v>
      </c>
      <c r="T1372" s="4" t="s">
        <v>10246</v>
      </c>
      <c r="U1372" s="4" t="str">
        <f t="shared" si="68"/>
        <v>羽</v>
      </c>
      <c r="V1372" s="4" t="b">
        <f>ISNUMBER(MATCH(R1372,T:T,0))</f>
        <v>1</v>
      </c>
    </row>
    <row r="1373" spans="1:22">
      <c r="A1373" s="3">
        <v>1370</v>
      </c>
      <c r="B1373" s="3" t="s">
        <v>5685</v>
      </c>
      <c r="C1373" s="3" t="s">
        <v>6076</v>
      </c>
      <c r="D1373" s="3" t="s">
        <v>6001</v>
      </c>
      <c r="E1373" s="3" t="s">
        <v>6212</v>
      </c>
      <c r="F1373" s="3" t="s">
        <v>2741</v>
      </c>
      <c r="G1373" s="3" t="s">
        <v>8645</v>
      </c>
      <c r="H1373" s="3" t="s">
        <v>5719</v>
      </c>
      <c r="I1373" s="3" t="s">
        <v>6464</v>
      </c>
      <c r="J1373" s="5" t="s">
        <v>5720</v>
      </c>
      <c r="L1373" s="3" t="s">
        <v>5676</v>
      </c>
      <c r="M1373" s="3">
        <v>1</v>
      </c>
      <c r="N1373" s="4" t="s">
        <v>5688</v>
      </c>
      <c r="O1373" s="4">
        <v>66</v>
      </c>
      <c r="P1373" s="11" t="s">
        <v>9766</v>
      </c>
      <c r="Q1373" s="11" t="s">
        <v>10247</v>
      </c>
      <c r="S1373" s="4" t="b">
        <f>ISNUMBER(MATCH(Q1373,T:T,0))</f>
        <v>1</v>
      </c>
      <c r="T1373" s="4" t="s">
        <v>5720</v>
      </c>
      <c r="U1373" s="4" t="str">
        <f t="shared" si="68"/>
        <v>庾</v>
      </c>
    </row>
    <row r="1374" spans="1:22">
      <c r="A1374" s="3">
        <v>1371</v>
      </c>
      <c r="B1374" s="3" t="s">
        <v>5685</v>
      </c>
      <c r="C1374" s="3" t="s">
        <v>6058</v>
      </c>
      <c r="D1374" s="3" t="s">
        <v>6001</v>
      </c>
      <c r="E1374" s="3" t="s">
        <v>6212</v>
      </c>
      <c r="F1374" s="3" t="s">
        <v>2741</v>
      </c>
      <c r="G1374" s="3" t="s">
        <v>8645</v>
      </c>
      <c r="H1374" s="3" t="s">
        <v>5721</v>
      </c>
      <c r="I1374" s="3" t="s">
        <v>6464</v>
      </c>
      <c r="J1374" s="5" t="s">
        <v>5722</v>
      </c>
      <c r="L1374" s="3" t="s">
        <v>9003</v>
      </c>
      <c r="M1374" s="3">
        <v>13</v>
      </c>
      <c r="N1374" s="4" t="s">
        <v>5688</v>
      </c>
      <c r="O1374" s="4">
        <v>66</v>
      </c>
      <c r="P1374" s="11" t="s">
        <v>9727</v>
      </c>
      <c r="Q1374" s="11" t="s">
        <v>10248</v>
      </c>
      <c r="S1374" s="4" t="b">
        <f>ISNUMBER(MATCH(Q1374,T:T,0))</f>
        <v>1</v>
      </c>
      <c r="T1374" s="4" t="s">
        <v>10066</v>
      </c>
      <c r="U1374" s="4" t="str">
        <f t="shared" si="68"/>
        <v>主</v>
      </c>
    </row>
    <row r="1375" spans="1:22">
      <c r="A1375" s="3">
        <v>1372</v>
      </c>
      <c r="B1375" s="3" t="s">
        <v>5685</v>
      </c>
      <c r="C1375" s="3" t="s">
        <v>6017</v>
      </c>
      <c r="D1375" s="3" t="s">
        <v>6001</v>
      </c>
      <c r="E1375" s="3" t="s">
        <v>6212</v>
      </c>
      <c r="F1375" s="3" t="s">
        <v>2741</v>
      </c>
      <c r="G1375" s="3" t="s">
        <v>8645</v>
      </c>
      <c r="H1375" s="3" t="s">
        <v>5723</v>
      </c>
      <c r="I1375" s="3" t="s">
        <v>6464</v>
      </c>
      <c r="J1375" s="5" t="s">
        <v>5724</v>
      </c>
      <c r="L1375" s="3" t="s">
        <v>9016</v>
      </c>
      <c r="M1375" s="3">
        <v>2</v>
      </c>
      <c r="N1375" s="4" t="s">
        <v>5688</v>
      </c>
      <c r="O1375" s="4">
        <v>66</v>
      </c>
      <c r="P1375" s="11" t="s">
        <v>2555</v>
      </c>
      <c r="Q1375" s="11" t="s">
        <v>10247</v>
      </c>
      <c r="S1375" s="4" t="b">
        <f>ISNUMBER(MATCH(Q1375,T:T,0))</f>
        <v>1</v>
      </c>
      <c r="T1375" s="4" t="s">
        <v>11638</v>
      </c>
      <c r="U1375" s="4" t="str">
        <f t="shared" si="68"/>
        <v>庾</v>
      </c>
    </row>
    <row r="1376" spans="1:22">
      <c r="A1376" s="3">
        <v>1373</v>
      </c>
      <c r="B1376" s="3" t="s">
        <v>5685</v>
      </c>
      <c r="C1376" s="3" t="s">
        <v>6015</v>
      </c>
      <c r="D1376" s="3" t="s">
        <v>6001</v>
      </c>
      <c r="E1376" s="3" t="s">
        <v>6212</v>
      </c>
      <c r="F1376" s="3" t="s">
        <v>2741</v>
      </c>
      <c r="G1376" s="3" t="s">
        <v>8645</v>
      </c>
      <c r="H1376" s="3" t="s">
        <v>5725</v>
      </c>
      <c r="I1376" s="3" t="s">
        <v>6464</v>
      </c>
      <c r="J1376" s="5" t="s">
        <v>5726</v>
      </c>
      <c r="L1376" s="3" t="s">
        <v>9026</v>
      </c>
      <c r="M1376" s="3">
        <v>2</v>
      </c>
      <c r="N1376" s="4" t="s">
        <v>5688</v>
      </c>
      <c r="O1376" s="4">
        <v>66</v>
      </c>
      <c r="P1376" s="11" t="s">
        <v>10251</v>
      </c>
      <c r="Q1376" s="11" t="s">
        <v>10252</v>
      </c>
      <c r="R1376" s="4" t="s">
        <v>13084</v>
      </c>
      <c r="S1376" s="4" t="b">
        <f>ISNUMBER(MATCH(Q1376,T:T,0))</f>
        <v>0</v>
      </c>
      <c r="T1376" s="4" t="s">
        <v>11639</v>
      </c>
      <c r="U1376" s="4" t="str">
        <f t="shared" si="68"/>
        <v>羽</v>
      </c>
      <c r="V1376" s="4" t="b">
        <f>ISNUMBER(MATCH(R1376,T:T,0))</f>
        <v>1</v>
      </c>
    </row>
    <row r="1377" spans="1:22">
      <c r="A1377" s="3">
        <v>1374</v>
      </c>
      <c r="B1377" s="3" t="s">
        <v>5727</v>
      </c>
      <c r="C1377" s="3" t="s">
        <v>6035</v>
      </c>
      <c r="D1377" s="3" t="s">
        <v>5990</v>
      </c>
      <c r="E1377" s="3" t="s">
        <v>5991</v>
      </c>
      <c r="F1377" s="3" t="s">
        <v>2788</v>
      </c>
      <c r="G1377" s="3" t="s">
        <v>8645</v>
      </c>
      <c r="H1377" s="3" t="s">
        <v>5728</v>
      </c>
      <c r="I1377" s="3" t="s">
        <v>6464</v>
      </c>
      <c r="J1377" s="5" t="s">
        <v>5729</v>
      </c>
      <c r="L1377" s="3" t="s">
        <v>5730</v>
      </c>
      <c r="M1377" s="3">
        <v>6</v>
      </c>
      <c r="N1377" s="4" t="s">
        <v>9634</v>
      </c>
      <c r="O1377" s="4">
        <v>67</v>
      </c>
      <c r="P1377" s="11" t="s">
        <v>9719</v>
      </c>
      <c r="Q1377" s="11" t="s">
        <v>10253</v>
      </c>
      <c r="S1377" s="4" t="b">
        <f>ISNUMBER(MATCH(Q1377,T:T,0))</f>
        <v>1</v>
      </c>
      <c r="T1377" s="4" t="s">
        <v>9634</v>
      </c>
      <c r="U1377" s="4" t="str">
        <f t="shared" si="68"/>
        <v>補</v>
      </c>
    </row>
    <row r="1378" spans="1:22">
      <c r="A1378" s="3">
        <v>1375</v>
      </c>
      <c r="B1378" s="3" t="s">
        <v>5727</v>
      </c>
      <c r="C1378" s="3" t="s">
        <v>6079</v>
      </c>
      <c r="D1378" s="3" t="s">
        <v>5990</v>
      </c>
      <c r="E1378" s="3" t="s">
        <v>5991</v>
      </c>
      <c r="F1378" s="3" t="s">
        <v>2788</v>
      </c>
      <c r="G1378" s="3" t="s">
        <v>8645</v>
      </c>
      <c r="H1378" s="3" t="s">
        <v>5731</v>
      </c>
      <c r="I1378" s="3" t="s">
        <v>6464</v>
      </c>
      <c r="J1378" s="5" t="s">
        <v>5732</v>
      </c>
      <c r="L1378" s="3" t="s">
        <v>5733</v>
      </c>
      <c r="M1378" s="3">
        <v>4</v>
      </c>
      <c r="N1378" s="4" t="s">
        <v>9634</v>
      </c>
      <c r="O1378" s="4">
        <v>67</v>
      </c>
      <c r="P1378" s="11" t="s">
        <v>9736</v>
      </c>
      <c r="Q1378" s="11" t="s">
        <v>9920</v>
      </c>
      <c r="S1378" s="4" t="b">
        <f>ISNUMBER(MATCH(Q1378,T:T,0))</f>
        <v>1</v>
      </c>
      <c r="T1378" s="4" t="s">
        <v>9892</v>
      </c>
      <c r="U1378" s="4" t="str">
        <f t="shared" si="68"/>
        <v>魯</v>
      </c>
    </row>
    <row r="1379" spans="1:22">
      <c r="A1379" s="3">
        <v>1376</v>
      </c>
      <c r="B1379" s="3" t="s">
        <v>5727</v>
      </c>
      <c r="C1379" s="3" t="s">
        <v>5997</v>
      </c>
      <c r="D1379" s="3" t="s">
        <v>5990</v>
      </c>
      <c r="E1379" s="3" t="s">
        <v>5991</v>
      </c>
      <c r="F1379" s="3" t="s">
        <v>2788</v>
      </c>
      <c r="G1379" s="3" t="s">
        <v>8645</v>
      </c>
      <c r="H1379" s="3" t="s">
        <v>5734</v>
      </c>
      <c r="I1379" s="3" t="s">
        <v>6464</v>
      </c>
      <c r="J1379" s="5" t="s">
        <v>4748</v>
      </c>
      <c r="L1379" s="3" t="s">
        <v>5735</v>
      </c>
      <c r="M1379" s="3">
        <v>9</v>
      </c>
      <c r="N1379" s="4" t="s">
        <v>9634</v>
      </c>
      <c r="O1379" s="4">
        <v>67</v>
      </c>
      <c r="P1379" s="11" t="s">
        <v>9706</v>
      </c>
      <c r="Q1379" s="11" t="s">
        <v>9729</v>
      </c>
      <c r="S1379" s="4" t="b">
        <f>ISNUMBER(MATCH(Q1379,T:T,0))</f>
        <v>1</v>
      </c>
      <c r="T1379" s="4" t="s">
        <v>9888</v>
      </c>
      <c r="U1379" s="4" t="str">
        <f t="shared" si="68"/>
        <v>古</v>
      </c>
    </row>
    <row r="1380" spans="1:22">
      <c r="A1380" s="3">
        <v>1377</v>
      </c>
      <c r="B1380" s="3" t="s">
        <v>5727</v>
      </c>
      <c r="C1380" s="3" t="s">
        <v>6058</v>
      </c>
      <c r="D1380" s="3" t="s">
        <v>5990</v>
      </c>
      <c r="E1380" s="3" t="s">
        <v>5991</v>
      </c>
      <c r="F1380" s="3" t="s">
        <v>2788</v>
      </c>
      <c r="G1380" s="3" t="s">
        <v>8645</v>
      </c>
      <c r="H1380" s="3" t="s">
        <v>5736</v>
      </c>
      <c r="I1380" s="3" t="s">
        <v>6464</v>
      </c>
      <c r="J1380" s="5" t="s">
        <v>4749</v>
      </c>
      <c r="K1380" s="3" t="s">
        <v>5737</v>
      </c>
      <c r="L1380" s="3" t="s">
        <v>5738</v>
      </c>
      <c r="M1380" s="3">
        <v>17</v>
      </c>
      <c r="N1380" s="4" t="s">
        <v>9634</v>
      </c>
      <c r="O1380" s="4">
        <v>67</v>
      </c>
      <c r="P1380" s="11" t="s">
        <v>9886</v>
      </c>
      <c r="Q1380" s="11" t="s">
        <v>9729</v>
      </c>
      <c r="S1380" s="4" t="b">
        <f>ISNUMBER(MATCH(Q1380,T:T,0))</f>
        <v>1</v>
      </c>
      <c r="T1380" s="4" t="s">
        <v>9920</v>
      </c>
      <c r="U1380" s="4" t="str">
        <f t="shared" si="68"/>
        <v>古</v>
      </c>
    </row>
    <row r="1381" spans="1:22">
      <c r="A1381" s="3">
        <v>1378</v>
      </c>
      <c r="B1381" s="3" t="s">
        <v>5727</v>
      </c>
      <c r="C1381" s="3" t="s">
        <v>6076</v>
      </c>
      <c r="D1381" s="3" t="s">
        <v>5990</v>
      </c>
      <c r="E1381" s="3" t="s">
        <v>5991</v>
      </c>
      <c r="F1381" s="3" t="s">
        <v>2788</v>
      </c>
      <c r="G1381" s="3" t="s">
        <v>8645</v>
      </c>
      <c r="H1381" s="3" t="s">
        <v>5739</v>
      </c>
      <c r="I1381" s="3" t="s">
        <v>6464</v>
      </c>
      <c r="J1381" s="5" t="s">
        <v>5740</v>
      </c>
      <c r="L1381" s="3" t="s">
        <v>5741</v>
      </c>
      <c r="M1381" s="3">
        <v>2</v>
      </c>
      <c r="N1381" s="4" t="s">
        <v>9634</v>
      </c>
      <c r="O1381" s="4">
        <v>67</v>
      </c>
      <c r="P1381" s="11" t="s">
        <v>10254</v>
      </c>
      <c r="Q1381" s="11" t="s">
        <v>9729</v>
      </c>
      <c r="S1381" s="4" t="b">
        <f>ISNUMBER(MATCH(Q1381,T:T,0))</f>
        <v>1</v>
      </c>
      <c r="T1381" s="4" t="s">
        <v>11640</v>
      </c>
      <c r="U1381" s="4" t="str">
        <f t="shared" si="68"/>
        <v>古</v>
      </c>
    </row>
    <row r="1382" spans="1:22">
      <c r="A1382" s="3">
        <v>1379</v>
      </c>
      <c r="B1382" s="3" t="s">
        <v>5727</v>
      </c>
      <c r="C1382" s="3" t="s">
        <v>5989</v>
      </c>
      <c r="D1382" s="3" t="s">
        <v>5990</v>
      </c>
      <c r="E1382" s="3" t="s">
        <v>5991</v>
      </c>
      <c r="F1382" s="3" t="s">
        <v>2788</v>
      </c>
      <c r="G1382" s="3" t="s">
        <v>8645</v>
      </c>
      <c r="H1382" s="3" t="s">
        <v>5742</v>
      </c>
      <c r="I1382" s="3" t="s">
        <v>6464</v>
      </c>
      <c r="J1382" s="8" t="s">
        <v>4750</v>
      </c>
      <c r="L1382" s="3" t="s">
        <v>5743</v>
      </c>
      <c r="M1382" s="3">
        <v>11</v>
      </c>
      <c r="N1382" s="4" t="s">
        <v>9634</v>
      </c>
      <c r="O1382" s="4">
        <v>67</v>
      </c>
      <c r="P1382" s="11" t="s">
        <v>9883</v>
      </c>
      <c r="Q1382" s="11" t="s">
        <v>9729</v>
      </c>
      <c r="S1382" s="4" t="b">
        <f>ISNUMBER(MATCH(Q1382,T:T,0))</f>
        <v>1</v>
      </c>
      <c r="T1382" s="4" t="s">
        <v>11641</v>
      </c>
      <c r="U1382" s="4" t="str">
        <f t="shared" si="68"/>
        <v>古</v>
      </c>
    </row>
    <row r="1383" spans="1:22" ht="39">
      <c r="A1383" s="3">
        <v>1380</v>
      </c>
      <c r="B1383" s="3" t="s">
        <v>5727</v>
      </c>
      <c r="C1383" s="3" t="s">
        <v>6025</v>
      </c>
      <c r="D1383" s="3" t="s">
        <v>5990</v>
      </c>
      <c r="E1383" s="3" t="s">
        <v>5991</v>
      </c>
      <c r="F1383" s="3" t="s">
        <v>2788</v>
      </c>
      <c r="G1383" s="3" t="s">
        <v>8645</v>
      </c>
      <c r="H1383" s="3" t="s">
        <v>745</v>
      </c>
      <c r="I1383" s="3" t="s">
        <v>6464</v>
      </c>
      <c r="J1383" s="5" t="s">
        <v>4751</v>
      </c>
      <c r="L1383" s="3" t="s">
        <v>5744</v>
      </c>
      <c r="M1383" s="3">
        <v>21</v>
      </c>
      <c r="N1383" s="4" t="s">
        <v>9634</v>
      </c>
      <c r="O1383" s="4">
        <v>67</v>
      </c>
      <c r="P1383" s="11" t="s">
        <v>9732</v>
      </c>
      <c r="Q1383" s="11" t="s">
        <v>9731</v>
      </c>
      <c r="R1383" s="4" t="s">
        <v>13085</v>
      </c>
      <c r="S1383" s="4" t="b">
        <f>ISNUMBER(MATCH(Q1383,T:T,0))</f>
        <v>0</v>
      </c>
      <c r="T1383" s="4" t="s">
        <v>9729</v>
      </c>
      <c r="U1383" s="4" t="str">
        <f t="shared" si="68"/>
        <v>戶</v>
      </c>
      <c r="V1383" s="4" t="b">
        <f>ISNUMBER(MATCH(R1383,T:T,0))</f>
        <v>1</v>
      </c>
    </row>
    <row r="1384" spans="1:22">
      <c r="A1384" s="3">
        <v>1381</v>
      </c>
      <c r="B1384" s="3" t="s">
        <v>5727</v>
      </c>
      <c r="C1384" s="3" t="s">
        <v>6092</v>
      </c>
      <c r="D1384" s="3" t="s">
        <v>5990</v>
      </c>
      <c r="E1384" s="3" t="s">
        <v>5991</v>
      </c>
      <c r="F1384" s="3" t="s">
        <v>2788</v>
      </c>
      <c r="G1384" s="3" t="s">
        <v>8645</v>
      </c>
      <c r="H1384" s="3" t="s">
        <v>5745</v>
      </c>
      <c r="I1384" s="3" t="s">
        <v>6464</v>
      </c>
      <c r="J1384" s="5" t="s">
        <v>4752</v>
      </c>
      <c r="L1384" s="3" t="s">
        <v>5695</v>
      </c>
      <c r="M1384" s="3">
        <v>5</v>
      </c>
      <c r="N1384" s="4" t="s">
        <v>9634</v>
      </c>
      <c r="O1384" s="4">
        <v>67</v>
      </c>
      <c r="P1384" s="11" t="s">
        <v>6092</v>
      </c>
      <c r="Q1384" s="11" t="s">
        <v>9729</v>
      </c>
      <c r="S1384" s="4" t="b">
        <f>ISNUMBER(MATCH(Q1384,T:T,0))</f>
        <v>1</v>
      </c>
      <c r="T1384" s="4" t="s">
        <v>9740</v>
      </c>
      <c r="U1384" s="4" t="str">
        <f t="shared" si="68"/>
        <v>古</v>
      </c>
    </row>
    <row r="1385" spans="1:22">
      <c r="A1385" s="3">
        <v>1382</v>
      </c>
      <c r="B1385" s="3" t="s">
        <v>5727</v>
      </c>
      <c r="C1385" s="3" t="s">
        <v>6045</v>
      </c>
      <c r="D1385" s="3" t="s">
        <v>5990</v>
      </c>
      <c r="E1385" s="3" t="s">
        <v>5991</v>
      </c>
      <c r="F1385" s="3" t="s">
        <v>2788</v>
      </c>
      <c r="G1385" s="3" t="s">
        <v>8645</v>
      </c>
      <c r="H1385" s="3" t="s">
        <v>5746</v>
      </c>
      <c r="I1385" s="3" t="s">
        <v>6464</v>
      </c>
      <c r="J1385" s="5" t="s">
        <v>5747</v>
      </c>
      <c r="L1385" s="3" t="s">
        <v>5748</v>
      </c>
      <c r="M1385" s="3">
        <v>2</v>
      </c>
      <c r="N1385" s="4" t="s">
        <v>9634</v>
      </c>
      <c r="O1385" s="4">
        <v>67</v>
      </c>
      <c r="P1385" s="11" t="s">
        <v>10255</v>
      </c>
      <c r="Q1385" s="11" t="s">
        <v>9729</v>
      </c>
      <c r="S1385" s="4" t="b">
        <f>ISNUMBER(MATCH(Q1385,T:T,0))</f>
        <v>1</v>
      </c>
      <c r="T1385" s="4" t="s">
        <v>11642</v>
      </c>
      <c r="U1385" s="4" t="str">
        <f t="shared" si="68"/>
        <v>古</v>
      </c>
    </row>
    <row r="1386" spans="1:22">
      <c r="A1386" s="3">
        <v>1383</v>
      </c>
      <c r="B1386" s="3" t="s">
        <v>5727</v>
      </c>
      <c r="C1386" s="3" t="s">
        <v>6069</v>
      </c>
      <c r="D1386" s="3" t="s">
        <v>5990</v>
      </c>
      <c r="E1386" s="3" t="s">
        <v>5991</v>
      </c>
      <c r="F1386" s="3" t="s">
        <v>2788</v>
      </c>
      <c r="G1386" s="3" t="s">
        <v>8645</v>
      </c>
      <c r="H1386" s="3" t="s">
        <v>5749</v>
      </c>
      <c r="I1386" s="3" t="s">
        <v>6464</v>
      </c>
      <c r="J1386" s="5" t="s">
        <v>4753</v>
      </c>
      <c r="L1386" s="3" t="s">
        <v>5750</v>
      </c>
      <c r="M1386" s="3">
        <v>5</v>
      </c>
      <c r="N1386" s="4" t="s">
        <v>9634</v>
      </c>
      <c r="O1386" s="4">
        <v>67</v>
      </c>
      <c r="P1386" s="11" t="s">
        <v>9733</v>
      </c>
      <c r="Q1386" s="11" t="s">
        <v>9729</v>
      </c>
      <c r="S1386" s="4" t="b">
        <f>ISNUMBER(MATCH(Q1386,T:T,0))</f>
        <v>1</v>
      </c>
      <c r="T1386" s="4" t="s">
        <v>11643</v>
      </c>
      <c r="U1386" s="4" t="str">
        <f t="shared" si="68"/>
        <v>古</v>
      </c>
    </row>
    <row r="1387" spans="1:22">
      <c r="A1387" s="3">
        <v>1384</v>
      </c>
      <c r="B1387" s="3" t="s">
        <v>5727</v>
      </c>
      <c r="C1387" s="3" t="s">
        <v>6083</v>
      </c>
      <c r="D1387" s="3" t="s">
        <v>5990</v>
      </c>
      <c r="E1387" s="3" t="s">
        <v>5991</v>
      </c>
      <c r="F1387" s="3" t="s">
        <v>2788</v>
      </c>
      <c r="G1387" s="3" t="s">
        <v>8645</v>
      </c>
      <c r="H1387" s="3" t="s">
        <v>5751</v>
      </c>
      <c r="I1387" s="3" t="s">
        <v>6464</v>
      </c>
      <c r="J1387" s="5" t="s">
        <v>5752</v>
      </c>
      <c r="L1387" s="3" t="s">
        <v>5753</v>
      </c>
      <c r="M1387" s="3">
        <v>6</v>
      </c>
      <c r="N1387" s="4" t="s">
        <v>9634</v>
      </c>
      <c r="O1387" s="4">
        <v>67</v>
      </c>
      <c r="P1387" s="11" t="s">
        <v>9875</v>
      </c>
      <c r="Q1387" s="11" t="s">
        <v>9729</v>
      </c>
      <c r="S1387" s="4" t="b">
        <f>ISNUMBER(MATCH(Q1387,T:T,0))</f>
        <v>1</v>
      </c>
      <c r="T1387" s="4" t="s">
        <v>9895</v>
      </c>
      <c r="U1387" s="4" t="str">
        <f t="shared" si="68"/>
        <v>古</v>
      </c>
    </row>
    <row r="1388" spans="1:22">
      <c r="A1388" s="3">
        <v>1385</v>
      </c>
      <c r="B1388" s="3" t="s">
        <v>5727</v>
      </c>
      <c r="C1388" s="3" t="s">
        <v>6089</v>
      </c>
      <c r="D1388" s="3" t="s">
        <v>5990</v>
      </c>
      <c r="E1388" s="3" t="s">
        <v>5991</v>
      </c>
      <c r="F1388" s="3" t="s">
        <v>2788</v>
      </c>
      <c r="G1388" s="3" t="s">
        <v>8645</v>
      </c>
      <c r="H1388" s="3" t="s">
        <v>5754</v>
      </c>
      <c r="I1388" s="3" t="s">
        <v>6464</v>
      </c>
      <c r="J1388" s="5" t="s">
        <v>4754</v>
      </c>
      <c r="L1388" s="3" t="s">
        <v>5755</v>
      </c>
      <c r="M1388" s="3">
        <v>7</v>
      </c>
      <c r="N1388" s="4" t="s">
        <v>9634</v>
      </c>
      <c r="O1388" s="4">
        <v>67</v>
      </c>
      <c r="P1388" s="11" t="s">
        <v>9739</v>
      </c>
      <c r="Q1388" s="11" t="s">
        <v>9729</v>
      </c>
      <c r="S1388" s="4" t="b">
        <f>ISNUMBER(MATCH(Q1388,T:T,0))</f>
        <v>1</v>
      </c>
      <c r="T1388" s="4" t="s">
        <v>10055</v>
      </c>
      <c r="U1388" s="4" t="str">
        <f t="shared" si="68"/>
        <v>古</v>
      </c>
    </row>
    <row r="1389" spans="1:22">
      <c r="A1389" s="3">
        <v>1386</v>
      </c>
      <c r="B1389" s="3" t="s">
        <v>5727</v>
      </c>
      <c r="C1389" s="3" t="s">
        <v>6072</v>
      </c>
      <c r="D1389" s="3" t="s">
        <v>5990</v>
      </c>
      <c r="E1389" s="3" t="s">
        <v>5991</v>
      </c>
      <c r="F1389" s="3" t="s">
        <v>2788</v>
      </c>
      <c r="G1389" s="3" t="s">
        <v>8645</v>
      </c>
      <c r="H1389" s="3" t="s">
        <v>5756</v>
      </c>
      <c r="I1389" s="3" t="s">
        <v>6464</v>
      </c>
      <c r="J1389" s="8" t="s">
        <v>4755</v>
      </c>
      <c r="L1389" s="3" t="s">
        <v>5695</v>
      </c>
      <c r="M1389" s="3">
        <v>10</v>
      </c>
      <c r="N1389" s="4" t="s">
        <v>9634</v>
      </c>
      <c r="O1389" s="4">
        <v>67</v>
      </c>
      <c r="P1389" s="11" t="s">
        <v>9969</v>
      </c>
      <c r="Q1389" s="11" t="s">
        <v>9729</v>
      </c>
      <c r="S1389" s="4" t="b">
        <f>ISNUMBER(MATCH(Q1389,T:T,0))</f>
        <v>1</v>
      </c>
      <c r="T1389" s="4" t="s">
        <v>11644</v>
      </c>
      <c r="U1389" s="4" t="str">
        <f t="shared" si="68"/>
        <v>古</v>
      </c>
    </row>
    <row r="1390" spans="1:22">
      <c r="A1390" s="3">
        <v>1387</v>
      </c>
      <c r="B1390" s="3" t="s">
        <v>5727</v>
      </c>
      <c r="C1390" s="3" t="s">
        <v>6038</v>
      </c>
      <c r="D1390" s="3" t="s">
        <v>5990</v>
      </c>
      <c r="E1390" s="3" t="s">
        <v>5991</v>
      </c>
      <c r="F1390" s="3" t="s">
        <v>2788</v>
      </c>
      <c r="G1390" s="3" t="s">
        <v>8645</v>
      </c>
      <c r="H1390" s="3" t="s">
        <v>5757</v>
      </c>
      <c r="I1390" s="3" t="s">
        <v>6464</v>
      </c>
      <c r="J1390" s="5" t="s">
        <v>5758</v>
      </c>
      <c r="L1390" s="3" t="s">
        <v>5759</v>
      </c>
      <c r="M1390" s="3">
        <v>2</v>
      </c>
      <c r="N1390" s="4" t="s">
        <v>9634</v>
      </c>
      <c r="O1390" s="4">
        <v>67</v>
      </c>
      <c r="P1390" s="11" t="s">
        <v>10184</v>
      </c>
      <c r="Q1390" s="11" t="s">
        <v>9888</v>
      </c>
      <c r="S1390" s="4" t="b">
        <f>ISNUMBER(MATCH(Q1390,T:T,0))</f>
        <v>1</v>
      </c>
      <c r="T1390" s="4" t="s">
        <v>9728</v>
      </c>
      <c r="U1390" s="4" t="str">
        <f t="shared" si="68"/>
        <v>杜</v>
      </c>
    </row>
    <row r="1391" spans="1:22">
      <c r="A1391" s="3">
        <v>1388</v>
      </c>
      <c r="B1391" s="3" t="s">
        <v>5727</v>
      </c>
      <c r="C1391" s="3" t="s">
        <v>6102</v>
      </c>
      <c r="D1391" s="3" t="s">
        <v>5990</v>
      </c>
      <c r="E1391" s="3" t="s">
        <v>5991</v>
      </c>
      <c r="F1391" s="3" t="s">
        <v>2788</v>
      </c>
      <c r="G1391" s="3" t="s">
        <v>8645</v>
      </c>
      <c r="H1391" s="3" t="s">
        <v>5760</v>
      </c>
      <c r="I1391" s="3" t="s">
        <v>6464</v>
      </c>
      <c r="J1391" s="5" t="s">
        <v>5761</v>
      </c>
      <c r="L1391" s="3" t="s">
        <v>5762</v>
      </c>
      <c r="M1391" s="3">
        <v>5</v>
      </c>
      <c r="N1391" s="4" t="s">
        <v>9634</v>
      </c>
      <c r="O1391" s="4">
        <v>67</v>
      </c>
      <c r="P1391" s="11" t="s">
        <v>9744</v>
      </c>
      <c r="Q1391" s="11" t="s">
        <v>9729</v>
      </c>
      <c r="S1391" s="4" t="b">
        <f>ISNUMBER(MATCH(Q1391,T:T,0))</f>
        <v>1</v>
      </c>
      <c r="T1391" s="4" t="s">
        <v>11645</v>
      </c>
      <c r="U1391" s="4" t="str">
        <f t="shared" si="68"/>
        <v>古</v>
      </c>
    </row>
    <row r="1392" spans="1:22" ht="39">
      <c r="A1392" s="3">
        <v>1389</v>
      </c>
      <c r="B1392" s="3" t="s">
        <v>5727</v>
      </c>
      <c r="C1392" s="3" t="s">
        <v>6067</v>
      </c>
      <c r="D1392" s="3" t="s">
        <v>5990</v>
      </c>
      <c r="E1392" s="3" t="s">
        <v>5991</v>
      </c>
      <c r="F1392" s="3" t="s">
        <v>2788</v>
      </c>
      <c r="G1392" s="3" t="s">
        <v>8645</v>
      </c>
      <c r="H1392" s="3" t="s">
        <v>5763</v>
      </c>
      <c r="I1392" s="3" t="s">
        <v>6464</v>
      </c>
      <c r="J1392" s="5" t="s">
        <v>4756</v>
      </c>
      <c r="L1392" s="3" t="s">
        <v>5764</v>
      </c>
      <c r="M1392" s="3">
        <v>23</v>
      </c>
      <c r="N1392" s="4" t="s">
        <v>9634</v>
      </c>
      <c r="O1392" s="4">
        <v>67</v>
      </c>
      <c r="P1392" s="11" t="s">
        <v>5053</v>
      </c>
      <c r="Q1392" s="11" t="s">
        <v>9729</v>
      </c>
      <c r="S1392" s="4" t="b">
        <f>ISNUMBER(MATCH(Q1392,T:T,0))</f>
        <v>1</v>
      </c>
      <c r="T1392" s="4" t="s">
        <v>11646</v>
      </c>
      <c r="U1392" s="4" t="str">
        <f t="shared" si="68"/>
        <v>古</v>
      </c>
    </row>
    <row r="1393" spans="1:21">
      <c r="A1393" s="3">
        <v>1390</v>
      </c>
      <c r="B1393" s="3" t="s">
        <v>5727</v>
      </c>
      <c r="C1393" s="3" t="s">
        <v>6053</v>
      </c>
      <c r="D1393" s="3" t="s">
        <v>5990</v>
      </c>
      <c r="E1393" s="3" t="s">
        <v>5991</v>
      </c>
      <c r="F1393" s="3" t="s">
        <v>2788</v>
      </c>
      <c r="G1393" s="3" t="s">
        <v>8645</v>
      </c>
      <c r="H1393" s="3" t="s">
        <v>5765</v>
      </c>
      <c r="I1393" s="3" t="s">
        <v>6464</v>
      </c>
      <c r="J1393" s="5" t="s">
        <v>5766</v>
      </c>
      <c r="L1393" s="3" t="s">
        <v>5767</v>
      </c>
      <c r="M1393" s="3">
        <v>5</v>
      </c>
      <c r="N1393" s="4" t="s">
        <v>9634</v>
      </c>
      <c r="O1393" s="4">
        <v>67</v>
      </c>
      <c r="P1393" s="11" t="s">
        <v>6053</v>
      </c>
      <c r="Q1393" s="11" t="s">
        <v>9729</v>
      </c>
      <c r="S1393" s="4" t="b">
        <f>ISNUMBER(MATCH(Q1393,T:T,0))</f>
        <v>1</v>
      </c>
      <c r="T1393" s="4" t="s">
        <v>9884</v>
      </c>
      <c r="U1393" s="4" t="str">
        <f t="shared" si="68"/>
        <v>古</v>
      </c>
    </row>
    <row r="1394" spans="1:21">
      <c r="A1394" s="3">
        <v>1391</v>
      </c>
      <c r="B1394" s="3" t="s">
        <v>5727</v>
      </c>
      <c r="C1394" s="3" t="s">
        <v>6049</v>
      </c>
      <c r="D1394" s="3" t="s">
        <v>5990</v>
      </c>
      <c r="E1394" s="3" t="s">
        <v>5991</v>
      </c>
      <c r="F1394" s="3" t="s">
        <v>2788</v>
      </c>
      <c r="G1394" s="3" t="s">
        <v>8645</v>
      </c>
      <c r="H1394" s="3" t="s">
        <v>5768</v>
      </c>
      <c r="I1394" s="3" t="s">
        <v>6464</v>
      </c>
      <c r="J1394" s="5" t="s">
        <v>5769</v>
      </c>
      <c r="L1394" s="3" t="s">
        <v>5770</v>
      </c>
      <c r="M1394" s="3">
        <v>3</v>
      </c>
      <c r="N1394" s="4" t="s">
        <v>9634</v>
      </c>
      <c r="O1394" s="4">
        <v>67</v>
      </c>
      <c r="P1394" s="11" t="s">
        <v>9770</v>
      </c>
      <c r="Q1394" s="11" t="s">
        <v>9729</v>
      </c>
      <c r="S1394" s="4" t="b">
        <f>ISNUMBER(MATCH(Q1394,T:T,0))</f>
        <v>1</v>
      </c>
      <c r="T1394" s="4" t="s">
        <v>10253</v>
      </c>
      <c r="U1394" s="4" t="str">
        <f t="shared" si="68"/>
        <v>古</v>
      </c>
    </row>
    <row r="1395" spans="1:21">
      <c r="A1395" s="3">
        <v>1392</v>
      </c>
      <c r="B1395" s="3" t="s">
        <v>5771</v>
      </c>
      <c r="C1395" s="3" t="s">
        <v>6069</v>
      </c>
      <c r="D1395" s="3" t="s">
        <v>2843</v>
      </c>
      <c r="E1395" s="3" t="s">
        <v>5991</v>
      </c>
      <c r="F1395" s="3" t="s">
        <v>2844</v>
      </c>
      <c r="G1395" s="3" t="s">
        <v>8645</v>
      </c>
      <c r="H1395" s="3" t="s">
        <v>5772</v>
      </c>
      <c r="I1395" s="3" t="s">
        <v>2846</v>
      </c>
      <c r="J1395" s="5" t="s">
        <v>5773</v>
      </c>
      <c r="K1395" s="3" t="s">
        <v>602</v>
      </c>
      <c r="L1395" s="3" t="s">
        <v>8786</v>
      </c>
      <c r="M1395" s="3">
        <v>5</v>
      </c>
      <c r="N1395" s="4" t="s">
        <v>5774</v>
      </c>
      <c r="O1395" s="4">
        <v>68</v>
      </c>
      <c r="P1395" s="11" t="s">
        <v>9733</v>
      </c>
      <c r="Q1395" s="11" t="s">
        <v>10256</v>
      </c>
      <c r="S1395" s="4" t="b">
        <f>ISNUMBER(MATCH(Q1395,T:T,0))</f>
        <v>1</v>
      </c>
      <c r="T1395" s="4" t="s">
        <v>5774</v>
      </c>
      <c r="U1395" s="4" t="str">
        <f t="shared" si="68"/>
        <v>禮</v>
      </c>
    </row>
    <row r="1396" spans="1:21">
      <c r="A1396" s="3">
        <v>1393</v>
      </c>
      <c r="B1396" s="3" t="s">
        <v>5771</v>
      </c>
      <c r="C1396" s="3" t="s">
        <v>6058</v>
      </c>
      <c r="D1396" s="3" t="s">
        <v>2843</v>
      </c>
      <c r="E1396" s="3" t="s">
        <v>5991</v>
      </c>
      <c r="F1396" s="3" t="s">
        <v>2844</v>
      </c>
      <c r="G1396" s="3" t="s">
        <v>8645</v>
      </c>
      <c r="H1396" s="3" t="s">
        <v>746</v>
      </c>
      <c r="I1396" s="3" t="s">
        <v>2846</v>
      </c>
      <c r="J1396" s="5" t="s">
        <v>4757</v>
      </c>
      <c r="L1396" s="3" t="s">
        <v>8814</v>
      </c>
      <c r="M1396" s="3">
        <v>16</v>
      </c>
      <c r="N1396" s="4" t="s">
        <v>5774</v>
      </c>
      <c r="O1396" s="4">
        <v>68</v>
      </c>
      <c r="P1396" s="11" t="s">
        <v>9730</v>
      </c>
      <c r="Q1396" s="11" t="s">
        <v>10257</v>
      </c>
      <c r="S1396" s="4" t="b">
        <f>ISNUMBER(MATCH(Q1396,T:T,0))</f>
        <v>1</v>
      </c>
      <c r="T1396" s="4" t="s">
        <v>10256</v>
      </c>
      <c r="U1396" s="4" t="str">
        <f t="shared" si="68"/>
        <v>啓</v>
      </c>
    </row>
    <row r="1397" spans="1:21">
      <c r="A1397" s="3">
        <v>1394</v>
      </c>
      <c r="B1397" s="3" t="s">
        <v>5771</v>
      </c>
      <c r="C1397" s="3" t="s">
        <v>6079</v>
      </c>
      <c r="D1397" s="3" t="s">
        <v>2843</v>
      </c>
      <c r="E1397" s="3" t="s">
        <v>5991</v>
      </c>
      <c r="F1397" s="3" t="s">
        <v>2844</v>
      </c>
      <c r="G1397" s="3" t="s">
        <v>8645</v>
      </c>
      <c r="H1397" s="3" t="s">
        <v>5775</v>
      </c>
      <c r="I1397" s="3" t="s">
        <v>2846</v>
      </c>
      <c r="J1397" s="5" t="s">
        <v>4758</v>
      </c>
      <c r="L1397" s="3" t="s">
        <v>5776</v>
      </c>
      <c r="M1397" s="3">
        <v>8</v>
      </c>
      <c r="N1397" s="4" t="s">
        <v>5774</v>
      </c>
      <c r="O1397" s="4">
        <v>68</v>
      </c>
      <c r="P1397" s="11" t="s">
        <v>9736</v>
      </c>
      <c r="Q1397" s="11" t="s">
        <v>10256</v>
      </c>
      <c r="S1397" s="4" t="b">
        <f>ISNUMBER(MATCH(Q1397,T:T,0))</f>
        <v>1</v>
      </c>
      <c r="T1397" s="4" t="s">
        <v>11647</v>
      </c>
      <c r="U1397" s="4" t="str">
        <f t="shared" si="68"/>
        <v>禮</v>
      </c>
    </row>
    <row r="1398" spans="1:21">
      <c r="A1398" s="3">
        <v>1395</v>
      </c>
      <c r="B1398" s="3" t="s">
        <v>5771</v>
      </c>
      <c r="C1398" s="3" t="s">
        <v>6053</v>
      </c>
      <c r="D1398" s="3" t="s">
        <v>2843</v>
      </c>
      <c r="E1398" s="3" t="s">
        <v>5991</v>
      </c>
      <c r="F1398" s="3" t="s">
        <v>2844</v>
      </c>
      <c r="G1398" s="3" t="s">
        <v>8645</v>
      </c>
      <c r="H1398" s="3" t="s">
        <v>5777</v>
      </c>
      <c r="I1398" s="3" t="s">
        <v>2846</v>
      </c>
      <c r="J1398" s="5" t="s">
        <v>5778</v>
      </c>
      <c r="L1398" s="3" t="s">
        <v>8842</v>
      </c>
      <c r="M1398" s="3">
        <v>1</v>
      </c>
      <c r="N1398" s="4" t="s">
        <v>5774</v>
      </c>
      <c r="O1398" s="4">
        <v>68</v>
      </c>
      <c r="P1398" s="11" t="s">
        <v>9772</v>
      </c>
      <c r="Q1398" s="11" t="s">
        <v>10258</v>
      </c>
      <c r="S1398" s="4" t="b">
        <f>ISNUMBER(MATCH(Q1398,T:T,0))</f>
        <v>1</v>
      </c>
      <c r="T1398" s="4" t="s">
        <v>5778</v>
      </c>
      <c r="U1398" s="4" t="str">
        <f t="shared" si="68"/>
        <v>米</v>
      </c>
    </row>
    <row r="1399" spans="1:21">
      <c r="A1399" s="3">
        <v>1396</v>
      </c>
      <c r="B1399" s="3" t="s">
        <v>5771</v>
      </c>
      <c r="C1399" s="3" t="s">
        <v>6083</v>
      </c>
      <c r="D1399" s="3" t="s">
        <v>2843</v>
      </c>
      <c r="E1399" s="3" t="s">
        <v>5991</v>
      </c>
      <c r="F1399" s="3" t="s">
        <v>2844</v>
      </c>
      <c r="G1399" s="3" t="s">
        <v>8645</v>
      </c>
      <c r="H1399" s="3" t="s">
        <v>5779</v>
      </c>
      <c r="I1399" s="3" t="s">
        <v>2846</v>
      </c>
      <c r="J1399" s="5" t="s">
        <v>4759</v>
      </c>
      <c r="L1399" s="3" t="s">
        <v>8791</v>
      </c>
      <c r="M1399" s="3">
        <v>5</v>
      </c>
      <c r="N1399" s="4" t="s">
        <v>5774</v>
      </c>
      <c r="O1399" s="4">
        <v>68</v>
      </c>
      <c r="P1399" s="11" t="s">
        <v>9737</v>
      </c>
      <c r="Q1399" s="11" t="s">
        <v>10256</v>
      </c>
      <c r="S1399" s="4" t="b">
        <f>ISNUMBER(MATCH(Q1399,T:T,0))</f>
        <v>1</v>
      </c>
      <c r="T1399" s="4" t="s">
        <v>11648</v>
      </c>
      <c r="U1399" s="4" t="str">
        <f t="shared" si="68"/>
        <v>禮</v>
      </c>
    </row>
    <row r="1400" spans="1:21">
      <c r="A1400" s="3">
        <v>1397</v>
      </c>
      <c r="B1400" s="3" t="s">
        <v>5771</v>
      </c>
      <c r="C1400" s="3" t="s">
        <v>5989</v>
      </c>
      <c r="D1400" s="3" t="s">
        <v>2843</v>
      </c>
      <c r="E1400" s="3" t="s">
        <v>5991</v>
      </c>
      <c r="F1400" s="3" t="s">
        <v>2844</v>
      </c>
      <c r="G1400" s="3" t="s">
        <v>8645</v>
      </c>
      <c r="H1400" s="3" t="s">
        <v>5780</v>
      </c>
      <c r="I1400" s="3" t="s">
        <v>2846</v>
      </c>
      <c r="J1400" s="5" t="s">
        <v>5781</v>
      </c>
      <c r="L1400" s="3" t="s">
        <v>5782</v>
      </c>
      <c r="M1400" s="3">
        <v>13</v>
      </c>
      <c r="N1400" s="4" t="s">
        <v>5774</v>
      </c>
      <c r="O1400" s="4">
        <v>68</v>
      </c>
      <c r="P1400" s="11" t="s">
        <v>9742</v>
      </c>
      <c r="Q1400" s="11" t="s">
        <v>10256</v>
      </c>
      <c r="S1400" s="4" t="b">
        <f>ISNUMBER(MATCH(Q1400,T:T,0))</f>
        <v>1</v>
      </c>
      <c r="T1400" s="4" t="s">
        <v>11649</v>
      </c>
      <c r="U1400" s="4" t="str">
        <f t="shared" si="68"/>
        <v>禮</v>
      </c>
    </row>
    <row r="1401" spans="1:21">
      <c r="A1401" s="3">
        <v>1398</v>
      </c>
      <c r="B1401" s="3" t="s">
        <v>5771</v>
      </c>
      <c r="C1401" s="3" t="s">
        <v>5997</v>
      </c>
      <c r="D1401" s="3" t="s">
        <v>2843</v>
      </c>
      <c r="E1401" s="3" t="s">
        <v>5991</v>
      </c>
      <c r="F1401" s="3" t="s">
        <v>2844</v>
      </c>
      <c r="G1401" s="3" t="s">
        <v>8645</v>
      </c>
      <c r="H1401" s="3" t="s">
        <v>5783</v>
      </c>
      <c r="I1401" s="3" t="s">
        <v>2846</v>
      </c>
      <c r="J1401" s="5" t="s">
        <v>5784</v>
      </c>
      <c r="L1401" s="3" t="s">
        <v>5785</v>
      </c>
      <c r="M1401" s="3">
        <v>7</v>
      </c>
      <c r="N1401" s="4" t="s">
        <v>5774</v>
      </c>
      <c r="O1401" s="4">
        <v>68</v>
      </c>
      <c r="P1401" s="11" t="s">
        <v>9706</v>
      </c>
      <c r="Q1401" s="11" t="s">
        <v>10256</v>
      </c>
      <c r="S1401" s="4" t="b">
        <f>ISNUMBER(MATCH(Q1401,T:T,0))</f>
        <v>1</v>
      </c>
      <c r="T1401" s="4" t="s">
        <v>10260</v>
      </c>
      <c r="U1401" s="4" t="str">
        <f t="shared" si="68"/>
        <v>禮</v>
      </c>
    </row>
    <row r="1402" spans="1:21">
      <c r="A1402" s="3">
        <v>1399</v>
      </c>
      <c r="B1402" s="3" t="s">
        <v>5771</v>
      </c>
      <c r="C1402" s="3" t="s">
        <v>6102</v>
      </c>
      <c r="D1402" s="3" t="s">
        <v>2843</v>
      </c>
      <c r="E1402" s="3" t="s">
        <v>5991</v>
      </c>
      <c r="F1402" s="3" t="s">
        <v>2844</v>
      </c>
      <c r="G1402" s="3" t="s">
        <v>8645</v>
      </c>
      <c r="H1402" s="3" t="s">
        <v>5786</v>
      </c>
      <c r="I1402" s="3" t="s">
        <v>2846</v>
      </c>
      <c r="J1402" s="5" t="s">
        <v>5787</v>
      </c>
      <c r="K1402" s="3" t="s">
        <v>603</v>
      </c>
      <c r="L1402" s="3" t="s">
        <v>8853</v>
      </c>
      <c r="M1402" s="3">
        <v>13</v>
      </c>
      <c r="N1402" s="4" t="s">
        <v>5774</v>
      </c>
      <c r="O1402" s="4">
        <v>68</v>
      </c>
      <c r="P1402" s="11" t="s">
        <v>9744</v>
      </c>
      <c r="Q1402" s="11" t="s">
        <v>10256</v>
      </c>
      <c r="S1402" s="4" t="b">
        <f>ISNUMBER(MATCH(Q1402,T:T,0))</f>
        <v>1</v>
      </c>
      <c r="T1402" s="4" t="s">
        <v>11650</v>
      </c>
      <c r="U1402" s="4" t="str">
        <f t="shared" si="68"/>
        <v>禮</v>
      </c>
    </row>
    <row r="1403" spans="1:21">
      <c r="A1403" s="3">
        <v>1400</v>
      </c>
      <c r="B1403" s="3" t="s">
        <v>5771</v>
      </c>
      <c r="C1403" s="3" t="s">
        <v>6017</v>
      </c>
      <c r="D1403" s="3" t="s">
        <v>2843</v>
      </c>
      <c r="E1403" s="3" t="s">
        <v>5991</v>
      </c>
      <c r="F1403" s="3" t="s">
        <v>2844</v>
      </c>
      <c r="G1403" s="3" t="s">
        <v>8645</v>
      </c>
      <c r="H1403" s="3" t="s">
        <v>5788</v>
      </c>
      <c r="I1403" s="3" t="s">
        <v>2846</v>
      </c>
      <c r="J1403" s="5" t="s">
        <v>5789</v>
      </c>
      <c r="L1403" s="3" t="s">
        <v>8864</v>
      </c>
      <c r="M1403" s="3">
        <v>2</v>
      </c>
      <c r="N1403" s="4" t="s">
        <v>5774</v>
      </c>
      <c r="O1403" s="4">
        <v>68</v>
      </c>
      <c r="P1403" s="11" t="s">
        <v>8121</v>
      </c>
      <c r="Q1403" s="11" t="s">
        <v>10256</v>
      </c>
      <c r="S1403" s="4" t="b">
        <f>ISNUMBER(MATCH(Q1403,T:T,0))</f>
        <v>1</v>
      </c>
      <c r="T1403" s="4" t="s">
        <v>11651</v>
      </c>
      <c r="U1403" s="4" t="str">
        <f t="shared" si="68"/>
        <v>禮</v>
      </c>
    </row>
    <row r="1404" spans="1:21">
      <c r="A1404" s="3">
        <v>1401</v>
      </c>
      <c r="B1404" s="3" t="s">
        <v>5771</v>
      </c>
      <c r="C1404" s="3" t="s">
        <v>6076</v>
      </c>
      <c r="D1404" s="3" t="s">
        <v>2843</v>
      </c>
      <c r="E1404" s="3" t="s">
        <v>5991</v>
      </c>
      <c r="F1404" s="3" t="s">
        <v>2844</v>
      </c>
      <c r="G1404" s="3" t="s">
        <v>8645</v>
      </c>
      <c r="H1404" s="3" t="s">
        <v>5790</v>
      </c>
      <c r="I1404" s="3" t="s">
        <v>2846</v>
      </c>
      <c r="J1404" s="5" t="s">
        <v>5791</v>
      </c>
      <c r="L1404" s="3" t="s">
        <v>8794</v>
      </c>
      <c r="M1404" s="3">
        <v>4</v>
      </c>
      <c r="N1404" s="4" t="s">
        <v>5774</v>
      </c>
      <c r="O1404" s="4">
        <v>68</v>
      </c>
      <c r="P1404" s="11" t="s">
        <v>10150</v>
      </c>
      <c r="Q1404" s="11" t="s">
        <v>10256</v>
      </c>
      <c r="S1404" s="4" t="b">
        <f>ISNUMBER(MATCH(Q1404,T:T,0))</f>
        <v>1</v>
      </c>
      <c r="T1404" s="4" t="s">
        <v>11652</v>
      </c>
      <c r="U1404" s="4" t="str">
        <f t="shared" si="68"/>
        <v>禮</v>
      </c>
    </row>
    <row r="1405" spans="1:21">
      <c r="A1405" s="3">
        <v>1402</v>
      </c>
      <c r="B1405" s="3" t="s">
        <v>5771</v>
      </c>
      <c r="C1405" s="3" t="s">
        <v>6038</v>
      </c>
      <c r="D1405" s="3" t="s">
        <v>2843</v>
      </c>
      <c r="E1405" s="3" t="s">
        <v>5991</v>
      </c>
      <c r="F1405" s="3" t="s">
        <v>2844</v>
      </c>
      <c r="G1405" s="3" t="s">
        <v>8645</v>
      </c>
      <c r="H1405" s="3" t="s">
        <v>5792</v>
      </c>
      <c r="I1405" s="3" t="s">
        <v>2846</v>
      </c>
      <c r="J1405" s="8" t="s">
        <v>4760</v>
      </c>
      <c r="L1405" s="3" t="s">
        <v>8794</v>
      </c>
      <c r="M1405" s="3">
        <v>12</v>
      </c>
      <c r="N1405" s="4" t="s">
        <v>5774</v>
      </c>
      <c r="O1405" s="4">
        <v>68</v>
      </c>
      <c r="P1405" s="11" t="s">
        <v>10184</v>
      </c>
      <c r="Q1405" s="11" t="s">
        <v>10256</v>
      </c>
      <c r="S1405" s="4" t="b">
        <f>ISNUMBER(MATCH(Q1405,T:T,0))</f>
        <v>1</v>
      </c>
      <c r="T1405" s="4" t="s">
        <v>10257</v>
      </c>
      <c r="U1405" s="4" t="str">
        <f t="shared" si="68"/>
        <v>禮</v>
      </c>
    </row>
    <row r="1406" spans="1:21">
      <c r="A1406" s="3">
        <v>1403</v>
      </c>
      <c r="B1406" s="3" t="s">
        <v>5771</v>
      </c>
      <c r="C1406" s="3" t="s">
        <v>6089</v>
      </c>
      <c r="D1406" s="3" t="s">
        <v>2843</v>
      </c>
      <c r="E1406" s="3" t="s">
        <v>5991</v>
      </c>
      <c r="F1406" s="3" t="s">
        <v>2844</v>
      </c>
      <c r="G1406" s="3" t="s">
        <v>8645</v>
      </c>
      <c r="H1406" s="3" t="s">
        <v>5793</v>
      </c>
      <c r="I1406" s="3" t="s">
        <v>2846</v>
      </c>
      <c r="J1406" s="5" t="s">
        <v>4761</v>
      </c>
      <c r="L1406" s="3" t="s">
        <v>8864</v>
      </c>
      <c r="M1406" s="3">
        <v>8</v>
      </c>
      <c r="N1406" s="4" t="s">
        <v>5774</v>
      </c>
      <c r="O1406" s="4">
        <v>68</v>
      </c>
      <c r="P1406" s="11" t="s">
        <v>9870</v>
      </c>
      <c r="Q1406" s="11" t="s">
        <v>10256</v>
      </c>
      <c r="S1406" s="4" t="b">
        <f>ISNUMBER(MATCH(Q1406,T:T,0))</f>
        <v>1</v>
      </c>
      <c r="T1406" s="4" t="s">
        <v>11653</v>
      </c>
      <c r="U1406" s="4" t="str">
        <f t="shared" si="68"/>
        <v>禮</v>
      </c>
    </row>
    <row r="1407" spans="1:21">
      <c r="A1407" s="3">
        <v>1404</v>
      </c>
      <c r="B1407" s="3" t="s">
        <v>5771</v>
      </c>
      <c r="C1407" s="3" t="s">
        <v>6035</v>
      </c>
      <c r="D1407" s="3" t="s">
        <v>2843</v>
      </c>
      <c r="E1407" s="3" t="s">
        <v>5991</v>
      </c>
      <c r="F1407" s="3" t="s">
        <v>2844</v>
      </c>
      <c r="G1407" s="3" t="s">
        <v>8645</v>
      </c>
      <c r="H1407" s="3" t="s">
        <v>5794</v>
      </c>
      <c r="I1407" s="3" t="s">
        <v>2846</v>
      </c>
      <c r="J1407" s="5" t="s">
        <v>4762</v>
      </c>
      <c r="L1407" s="3" t="s">
        <v>8763</v>
      </c>
      <c r="M1407" s="3">
        <v>7</v>
      </c>
      <c r="N1407" s="4" t="s">
        <v>5774</v>
      </c>
      <c r="O1407" s="4">
        <v>68</v>
      </c>
      <c r="P1407" s="11" t="s">
        <v>9719</v>
      </c>
      <c r="Q1407" s="11" t="s">
        <v>10256</v>
      </c>
      <c r="S1407" s="4" t="b">
        <f>ISNUMBER(MATCH(Q1407,T:T,0))</f>
        <v>1</v>
      </c>
      <c r="T1407" s="4" t="s">
        <v>10258</v>
      </c>
      <c r="U1407" s="4" t="str">
        <f t="shared" si="68"/>
        <v>禮</v>
      </c>
    </row>
    <row r="1408" spans="1:21">
      <c r="A1408" s="3">
        <v>1405</v>
      </c>
      <c r="B1408" s="3" t="s">
        <v>5771</v>
      </c>
      <c r="C1408" s="3" t="s">
        <v>6045</v>
      </c>
      <c r="D1408" s="3" t="s">
        <v>2843</v>
      </c>
      <c r="E1408" s="3" t="s">
        <v>5991</v>
      </c>
      <c r="F1408" s="3" t="s">
        <v>2844</v>
      </c>
      <c r="G1408" s="3" t="s">
        <v>8645</v>
      </c>
      <c r="H1408" s="3" t="s">
        <v>5795</v>
      </c>
      <c r="I1408" s="3" t="s">
        <v>2846</v>
      </c>
      <c r="J1408" s="5" t="s">
        <v>5796</v>
      </c>
      <c r="L1408" s="3" t="s">
        <v>8899</v>
      </c>
      <c r="M1408" s="3">
        <v>8</v>
      </c>
      <c r="N1408" s="4" t="s">
        <v>5774</v>
      </c>
      <c r="O1408" s="4">
        <v>68</v>
      </c>
      <c r="P1408" s="11" t="s">
        <v>10259</v>
      </c>
      <c r="Q1408" s="11" t="s">
        <v>10256</v>
      </c>
      <c r="S1408" s="4" t="b">
        <f>ISNUMBER(MATCH(Q1408,T:T,0))</f>
        <v>1</v>
      </c>
      <c r="T1408" s="4" t="s">
        <v>11654</v>
      </c>
      <c r="U1408" s="4" t="str">
        <f t="shared" si="68"/>
        <v>禮</v>
      </c>
    </row>
    <row r="1409" spans="1:21">
      <c r="A1409" s="3">
        <v>1406</v>
      </c>
      <c r="B1409" s="3" t="s">
        <v>5771</v>
      </c>
      <c r="C1409" s="3" t="s">
        <v>6072</v>
      </c>
      <c r="D1409" s="3" t="s">
        <v>2843</v>
      </c>
      <c r="E1409" s="3" t="s">
        <v>5991</v>
      </c>
      <c r="F1409" s="3" t="s">
        <v>2844</v>
      </c>
      <c r="G1409" s="3" t="s">
        <v>8645</v>
      </c>
      <c r="H1409" s="3" t="s">
        <v>5797</v>
      </c>
      <c r="I1409" s="3" t="s">
        <v>2846</v>
      </c>
      <c r="J1409" s="5" t="s">
        <v>5798</v>
      </c>
      <c r="L1409" s="3" t="s">
        <v>8788</v>
      </c>
      <c r="M1409" s="3">
        <v>2</v>
      </c>
      <c r="N1409" s="4" t="s">
        <v>5774</v>
      </c>
      <c r="O1409" s="4">
        <v>68</v>
      </c>
      <c r="P1409" s="11" t="s">
        <v>9734</v>
      </c>
      <c r="Q1409" s="11" t="s">
        <v>10260</v>
      </c>
      <c r="S1409" s="4" t="b">
        <f>ISNUMBER(MATCH(Q1409,T:T,0))</f>
        <v>1</v>
      </c>
      <c r="T1409" s="4" t="s">
        <v>11655</v>
      </c>
      <c r="U1409" s="4" t="str">
        <f t="shared" si="68"/>
        <v>弟</v>
      </c>
    </row>
    <row r="1410" spans="1:21">
      <c r="A1410" s="3">
        <v>1407</v>
      </c>
      <c r="B1410" s="3" t="s">
        <v>5771</v>
      </c>
      <c r="C1410" s="3" t="s">
        <v>6092</v>
      </c>
      <c r="D1410" s="3" t="s">
        <v>2843</v>
      </c>
      <c r="E1410" s="3" t="s">
        <v>5991</v>
      </c>
      <c r="F1410" s="3" t="s">
        <v>2844</v>
      </c>
      <c r="G1410" s="3" t="s">
        <v>8645</v>
      </c>
      <c r="H1410" s="3" t="s">
        <v>747</v>
      </c>
      <c r="I1410" s="3" t="s">
        <v>2846</v>
      </c>
      <c r="J1410" s="5" t="s">
        <v>5799</v>
      </c>
      <c r="L1410" s="3" t="s">
        <v>8788</v>
      </c>
      <c r="M1410" s="3">
        <v>6</v>
      </c>
      <c r="N1410" s="4" t="s">
        <v>5774</v>
      </c>
      <c r="O1410" s="4">
        <v>68</v>
      </c>
      <c r="P1410" s="11" t="s">
        <v>10261</v>
      </c>
      <c r="Q1410" s="11" t="s">
        <v>10257</v>
      </c>
      <c r="S1410" s="4" t="b">
        <f>ISNUMBER(MATCH(Q1410,T:T,0))</f>
        <v>1</v>
      </c>
      <c r="T1410" s="4" t="s">
        <v>11656</v>
      </c>
      <c r="U1410" s="4" t="str">
        <f t="shared" si="68"/>
        <v>啓</v>
      </c>
    </row>
    <row r="1411" spans="1:21">
      <c r="A1411" s="3">
        <v>1408</v>
      </c>
      <c r="B1411" s="3" t="s">
        <v>5771</v>
      </c>
      <c r="C1411" s="3" t="s">
        <v>6049</v>
      </c>
      <c r="D1411" s="3" t="s">
        <v>2843</v>
      </c>
      <c r="E1411" s="3" t="s">
        <v>5991</v>
      </c>
      <c r="F1411" s="3" t="s">
        <v>2844</v>
      </c>
      <c r="G1411" s="3" t="s">
        <v>8645</v>
      </c>
      <c r="H1411" s="3" t="s">
        <v>5800</v>
      </c>
      <c r="I1411" s="3" t="s">
        <v>2846</v>
      </c>
      <c r="J1411" s="5" t="s">
        <v>5801</v>
      </c>
      <c r="L1411" s="3" t="s">
        <v>8765</v>
      </c>
      <c r="M1411" s="3">
        <v>2</v>
      </c>
      <c r="N1411" s="4" t="s">
        <v>5774</v>
      </c>
      <c r="O1411" s="4">
        <v>68</v>
      </c>
      <c r="P1411" s="11" t="s">
        <v>10253</v>
      </c>
      <c r="Q1411" s="11" t="s">
        <v>10258</v>
      </c>
      <c r="S1411" s="4" t="b">
        <f>ISNUMBER(MATCH(Q1411,T:T,0))</f>
        <v>1</v>
      </c>
      <c r="T1411" s="4" t="s">
        <v>11657</v>
      </c>
      <c r="U1411" s="4" t="str">
        <f t="shared" ref="U1411:U1474" si="69">IF(ISBLANK(R1411),Q1411,R1411)</f>
        <v>米</v>
      </c>
    </row>
    <row r="1412" spans="1:21">
      <c r="A1412" s="3">
        <v>1409</v>
      </c>
      <c r="B1412" s="3" t="s">
        <v>5802</v>
      </c>
      <c r="C1412" s="3" t="s">
        <v>6067</v>
      </c>
      <c r="D1412" s="3" t="s">
        <v>6157</v>
      </c>
      <c r="E1412" s="3" t="s">
        <v>5991</v>
      </c>
      <c r="F1412" s="3" t="s">
        <v>2899</v>
      </c>
      <c r="G1412" s="3" t="s">
        <v>8645</v>
      </c>
      <c r="H1412" s="3" t="s">
        <v>5803</v>
      </c>
      <c r="I1412" s="3" t="s">
        <v>2846</v>
      </c>
      <c r="J1412" s="5" t="s">
        <v>5804</v>
      </c>
      <c r="L1412" s="3" t="s">
        <v>5805</v>
      </c>
      <c r="M1412" s="3">
        <v>7</v>
      </c>
      <c r="N1412" s="4" t="s">
        <v>2846</v>
      </c>
      <c r="O1412" s="4">
        <v>69</v>
      </c>
      <c r="P1412" s="11" t="s">
        <v>9870</v>
      </c>
      <c r="Q1412" s="11" t="s">
        <v>10262</v>
      </c>
      <c r="S1412" s="4" t="b">
        <f>ISNUMBER(MATCH(Q1412,T:T,0))</f>
        <v>1</v>
      </c>
      <c r="T1412" s="4" t="s">
        <v>2846</v>
      </c>
      <c r="U1412" s="4" t="str">
        <f t="shared" si="69"/>
        <v>買</v>
      </c>
    </row>
    <row r="1413" spans="1:21">
      <c r="A1413" s="3">
        <v>1410</v>
      </c>
      <c r="B1413" s="3" t="s">
        <v>5802</v>
      </c>
      <c r="C1413" s="3" t="s">
        <v>6035</v>
      </c>
      <c r="D1413" s="3" t="s">
        <v>6157</v>
      </c>
      <c r="E1413" s="3" t="s">
        <v>5991</v>
      </c>
      <c r="F1413" s="3" t="s">
        <v>2899</v>
      </c>
      <c r="G1413" s="3" t="s">
        <v>8645</v>
      </c>
      <c r="H1413" s="3" t="s">
        <v>5806</v>
      </c>
      <c r="I1413" s="3" t="s">
        <v>2846</v>
      </c>
      <c r="J1413" s="5" t="s">
        <v>4763</v>
      </c>
      <c r="L1413" s="3" t="s">
        <v>5807</v>
      </c>
      <c r="M1413" s="3">
        <v>5</v>
      </c>
      <c r="N1413" s="4" t="s">
        <v>2846</v>
      </c>
      <c r="O1413" s="4">
        <v>69</v>
      </c>
      <c r="P1413" s="11" t="s">
        <v>9719</v>
      </c>
      <c r="Q1413" s="11" t="s">
        <v>2846</v>
      </c>
      <c r="S1413" s="4" t="b">
        <f>ISNUMBER(MATCH(Q1413,T:T,0))</f>
        <v>1</v>
      </c>
      <c r="T1413" s="4" t="s">
        <v>10262</v>
      </c>
      <c r="U1413" s="4" t="str">
        <f t="shared" si="69"/>
        <v>蟹</v>
      </c>
    </row>
    <row r="1414" spans="1:21">
      <c r="A1414" s="3">
        <v>1411</v>
      </c>
      <c r="B1414" s="3" t="s">
        <v>5802</v>
      </c>
      <c r="C1414" s="3" t="s">
        <v>6038</v>
      </c>
      <c r="D1414" s="3" t="s">
        <v>6157</v>
      </c>
      <c r="E1414" s="3" t="s">
        <v>5991</v>
      </c>
      <c r="F1414" s="3" t="s">
        <v>2899</v>
      </c>
      <c r="G1414" s="3" t="s">
        <v>8645</v>
      </c>
      <c r="H1414" s="3" t="s">
        <v>5808</v>
      </c>
      <c r="I1414" s="3" t="s">
        <v>2846</v>
      </c>
      <c r="J1414" s="5" t="s">
        <v>5809</v>
      </c>
      <c r="L1414" s="3" t="s">
        <v>5810</v>
      </c>
      <c r="M1414" s="3">
        <v>3</v>
      </c>
      <c r="N1414" s="4" t="s">
        <v>2846</v>
      </c>
      <c r="O1414" s="4">
        <v>69</v>
      </c>
      <c r="P1414" s="11" t="s">
        <v>9728</v>
      </c>
      <c r="Q1414" s="11" t="s">
        <v>2846</v>
      </c>
      <c r="S1414" s="4" t="b">
        <f>ISNUMBER(MATCH(Q1414,T:T,0))</f>
        <v>1</v>
      </c>
      <c r="T1414" s="4" t="s">
        <v>11658</v>
      </c>
      <c r="U1414" s="4" t="str">
        <f t="shared" si="69"/>
        <v>蟹</v>
      </c>
    </row>
    <row r="1415" spans="1:21">
      <c r="A1415" s="3">
        <v>1412</v>
      </c>
      <c r="B1415" s="3" t="s">
        <v>5802</v>
      </c>
      <c r="C1415" s="3" t="s">
        <v>6005</v>
      </c>
      <c r="D1415" s="3" t="s">
        <v>6157</v>
      </c>
      <c r="E1415" s="3" t="s">
        <v>5991</v>
      </c>
      <c r="F1415" s="3" t="s">
        <v>2899</v>
      </c>
      <c r="G1415" s="3" t="s">
        <v>8645</v>
      </c>
      <c r="H1415" s="3" t="s">
        <v>5811</v>
      </c>
      <c r="I1415" s="3" t="s">
        <v>2846</v>
      </c>
      <c r="J1415" s="5" t="s">
        <v>5812</v>
      </c>
      <c r="L1415" s="3" t="s">
        <v>5813</v>
      </c>
      <c r="M1415" s="3">
        <v>3</v>
      </c>
      <c r="N1415" s="4" t="s">
        <v>2846</v>
      </c>
      <c r="O1415" s="4">
        <v>69</v>
      </c>
      <c r="P1415" s="11" t="s">
        <v>9776</v>
      </c>
      <c r="Q1415" s="11" t="s">
        <v>10262</v>
      </c>
      <c r="S1415" s="4" t="b">
        <f>ISNUMBER(MATCH(Q1415,T:T,0))</f>
        <v>1</v>
      </c>
      <c r="T1415" s="4" t="s">
        <v>11659</v>
      </c>
      <c r="U1415" s="4" t="str">
        <f t="shared" si="69"/>
        <v>買</v>
      </c>
    </row>
    <row r="1416" spans="1:21">
      <c r="A1416" s="3">
        <v>1413</v>
      </c>
      <c r="B1416" s="3" t="s">
        <v>5802</v>
      </c>
      <c r="C1416" s="3" t="s">
        <v>6137</v>
      </c>
      <c r="D1416" s="3" t="s">
        <v>6157</v>
      </c>
      <c r="E1416" s="3" t="s">
        <v>5991</v>
      </c>
      <c r="F1416" s="3" t="s">
        <v>2899</v>
      </c>
      <c r="G1416" s="3" t="s">
        <v>8645</v>
      </c>
      <c r="H1416" s="3" t="s">
        <v>5814</v>
      </c>
      <c r="I1416" s="3" t="s">
        <v>2846</v>
      </c>
      <c r="J1416" s="5" t="s">
        <v>5815</v>
      </c>
      <c r="L1416" s="3" t="s">
        <v>5816</v>
      </c>
      <c r="M1416" s="3">
        <v>3</v>
      </c>
      <c r="N1416" s="4" t="s">
        <v>2846</v>
      </c>
      <c r="O1416" s="4">
        <v>69</v>
      </c>
      <c r="P1416" s="11" t="s">
        <v>9744</v>
      </c>
      <c r="Q1416" s="11" t="s">
        <v>2846</v>
      </c>
      <c r="S1416" s="4" t="b">
        <f>ISNUMBER(MATCH(Q1416,T:T,0))</f>
        <v>1</v>
      </c>
      <c r="T1416" s="4" t="s">
        <v>11660</v>
      </c>
      <c r="U1416" s="4" t="str">
        <f t="shared" si="69"/>
        <v>蟹</v>
      </c>
    </row>
    <row r="1417" spans="1:21">
      <c r="A1417" s="3">
        <v>1414</v>
      </c>
      <c r="B1417" s="3" t="s">
        <v>5802</v>
      </c>
      <c r="C1417" s="3" t="s">
        <v>6045</v>
      </c>
      <c r="D1417" s="3" t="s">
        <v>6157</v>
      </c>
      <c r="E1417" s="3" t="s">
        <v>5991</v>
      </c>
      <c r="F1417" s="3" t="s">
        <v>2899</v>
      </c>
      <c r="G1417" s="3" t="s">
        <v>8645</v>
      </c>
      <c r="H1417" s="3" t="s">
        <v>5817</v>
      </c>
      <c r="I1417" s="3" t="s">
        <v>2846</v>
      </c>
      <c r="J1417" s="5" t="s">
        <v>5818</v>
      </c>
      <c r="L1417" s="3" t="s">
        <v>5819</v>
      </c>
      <c r="M1417" s="3">
        <v>6</v>
      </c>
      <c r="N1417" s="4" t="s">
        <v>2846</v>
      </c>
      <c r="O1417" s="4">
        <v>69</v>
      </c>
      <c r="P1417" s="11" t="s">
        <v>9738</v>
      </c>
      <c r="Q1417" s="11" t="s">
        <v>2846</v>
      </c>
      <c r="S1417" s="4" t="b">
        <f>ISNUMBER(MATCH(Q1417,T:T,0))</f>
        <v>1</v>
      </c>
      <c r="T1417" s="4" t="s">
        <v>11661</v>
      </c>
      <c r="U1417" s="4" t="str">
        <f t="shared" si="69"/>
        <v>蟹</v>
      </c>
    </row>
    <row r="1418" spans="1:21">
      <c r="A1418" s="3">
        <v>1415</v>
      </c>
      <c r="B1418" s="3" t="s">
        <v>5802</v>
      </c>
      <c r="C1418" s="3" t="s">
        <v>6072</v>
      </c>
      <c r="D1418" s="3" t="s">
        <v>6157</v>
      </c>
      <c r="E1418" s="3" t="s">
        <v>5991</v>
      </c>
      <c r="F1418" s="3" t="s">
        <v>2899</v>
      </c>
      <c r="G1418" s="3" t="s">
        <v>8645</v>
      </c>
      <c r="H1418" s="3" t="s">
        <v>5820</v>
      </c>
      <c r="I1418" s="3" t="s">
        <v>2846</v>
      </c>
      <c r="J1418" s="5" t="s">
        <v>4764</v>
      </c>
      <c r="L1418" s="3" t="s">
        <v>5821</v>
      </c>
      <c r="M1418" s="3">
        <v>3</v>
      </c>
      <c r="N1418" s="4" t="s">
        <v>2846</v>
      </c>
      <c r="O1418" s="4">
        <v>69</v>
      </c>
      <c r="P1418" s="11" t="s">
        <v>9734</v>
      </c>
      <c r="Q1418" s="11" t="s">
        <v>2846</v>
      </c>
      <c r="S1418" s="4" t="b">
        <f>ISNUMBER(MATCH(Q1418,T:T,0))</f>
        <v>1</v>
      </c>
      <c r="T1418" s="4" t="s">
        <v>11662</v>
      </c>
      <c r="U1418" s="4" t="str">
        <f t="shared" si="69"/>
        <v>蟹</v>
      </c>
    </row>
    <row r="1419" spans="1:21">
      <c r="A1419" s="3">
        <v>1416</v>
      </c>
      <c r="B1419" s="3" t="s">
        <v>5802</v>
      </c>
      <c r="C1419" s="3" t="s">
        <v>6049</v>
      </c>
      <c r="D1419" s="3" t="s">
        <v>6157</v>
      </c>
      <c r="E1419" s="3" t="s">
        <v>5991</v>
      </c>
      <c r="F1419" s="3" t="s">
        <v>2899</v>
      </c>
      <c r="G1419" s="3" t="s">
        <v>8645</v>
      </c>
      <c r="H1419" s="3" t="s">
        <v>5822</v>
      </c>
      <c r="I1419" s="3" t="s">
        <v>2846</v>
      </c>
      <c r="J1419" s="5" t="s">
        <v>5823</v>
      </c>
      <c r="L1419" s="3" t="s">
        <v>5819</v>
      </c>
      <c r="M1419" s="3">
        <v>2</v>
      </c>
      <c r="N1419" s="4" t="s">
        <v>2846</v>
      </c>
      <c r="O1419" s="4">
        <v>69</v>
      </c>
      <c r="P1419" s="11" t="s">
        <v>9979</v>
      </c>
      <c r="Q1419" s="11" t="s">
        <v>10262</v>
      </c>
      <c r="S1419" s="4" t="b">
        <f>ISNUMBER(MATCH(Q1419,T:T,0))</f>
        <v>1</v>
      </c>
      <c r="T1419" s="4" t="s">
        <v>11663</v>
      </c>
      <c r="U1419" s="4" t="str">
        <f t="shared" si="69"/>
        <v>買</v>
      </c>
    </row>
    <row r="1420" spans="1:21">
      <c r="A1420" s="3">
        <v>1417</v>
      </c>
      <c r="B1420" s="3" t="s">
        <v>5802</v>
      </c>
      <c r="C1420" s="3" t="s">
        <v>6025</v>
      </c>
      <c r="D1420" s="3" t="s">
        <v>6157</v>
      </c>
      <c r="E1420" s="3" t="s">
        <v>5991</v>
      </c>
      <c r="F1420" s="3" t="s">
        <v>2899</v>
      </c>
      <c r="G1420" s="3" t="s">
        <v>8645</v>
      </c>
      <c r="H1420" s="3" t="s">
        <v>5824</v>
      </c>
      <c r="I1420" s="3" t="s">
        <v>2846</v>
      </c>
      <c r="J1420" s="5" t="s">
        <v>5825</v>
      </c>
      <c r="L1420" s="3" t="s">
        <v>5826</v>
      </c>
      <c r="M1420" s="3">
        <v>3</v>
      </c>
      <c r="N1420" s="4" t="s">
        <v>2846</v>
      </c>
      <c r="O1420" s="4">
        <v>69</v>
      </c>
      <c r="P1420" s="11" t="s">
        <v>2899</v>
      </c>
      <c r="Q1420" s="11" t="s">
        <v>10262</v>
      </c>
      <c r="S1420" s="4" t="b">
        <f>ISNUMBER(MATCH(Q1420,T:T,0))</f>
        <v>1</v>
      </c>
      <c r="T1420" s="4" t="s">
        <v>11664</v>
      </c>
      <c r="U1420" s="4" t="str">
        <f t="shared" si="69"/>
        <v>買</v>
      </c>
    </row>
    <row r="1421" spans="1:21">
      <c r="A1421" s="3">
        <v>1418</v>
      </c>
      <c r="B1421" s="3" t="s">
        <v>5802</v>
      </c>
      <c r="C1421" s="3" t="s">
        <v>6180</v>
      </c>
      <c r="D1421" s="3" t="s">
        <v>6157</v>
      </c>
      <c r="E1421" s="3" t="s">
        <v>5991</v>
      </c>
      <c r="F1421" s="3" t="s">
        <v>2899</v>
      </c>
      <c r="G1421" s="3" t="s">
        <v>8645</v>
      </c>
      <c r="H1421" s="3" t="s">
        <v>5827</v>
      </c>
      <c r="I1421" s="3" t="s">
        <v>2846</v>
      </c>
      <c r="J1421" s="5" t="s">
        <v>4765</v>
      </c>
      <c r="L1421" s="3" t="s">
        <v>5828</v>
      </c>
      <c r="M1421" s="3">
        <v>3</v>
      </c>
      <c r="N1421" s="4" t="s">
        <v>2846</v>
      </c>
      <c r="O1421" s="4">
        <v>69</v>
      </c>
      <c r="P1421" s="11" t="s">
        <v>9774</v>
      </c>
      <c r="Q1421" s="11" t="s">
        <v>2846</v>
      </c>
      <c r="S1421" s="4" t="b">
        <f>ISNUMBER(MATCH(Q1421,T:T,0))</f>
        <v>1</v>
      </c>
      <c r="T1421" s="4" t="s">
        <v>7197</v>
      </c>
      <c r="U1421" s="4" t="str">
        <f t="shared" si="69"/>
        <v>蟹</v>
      </c>
    </row>
    <row r="1422" spans="1:21">
      <c r="A1422" s="3">
        <v>1419</v>
      </c>
      <c r="B1422" s="3" t="s">
        <v>5802</v>
      </c>
      <c r="C1422" s="3" t="s">
        <v>6025</v>
      </c>
      <c r="D1422" s="3" t="s">
        <v>6157</v>
      </c>
      <c r="E1422" s="3" t="s">
        <v>6212</v>
      </c>
      <c r="F1422" s="3" t="s">
        <v>2899</v>
      </c>
      <c r="G1422" s="3" t="s">
        <v>8645</v>
      </c>
      <c r="H1422" s="3" t="s">
        <v>5829</v>
      </c>
      <c r="I1422" s="3" t="s">
        <v>2846</v>
      </c>
      <c r="J1422" s="5" t="s">
        <v>5830</v>
      </c>
      <c r="L1422" s="3" t="s">
        <v>5831</v>
      </c>
      <c r="M1422" s="3">
        <v>3</v>
      </c>
      <c r="N1422" s="4" t="s">
        <v>2846</v>
      </c>
      <c r="O1422" s="4">
        <v>69</v>
      </c>
      <c r="P1422" s="11" t="s">
        <v>9910</v>
      </c>
      <c r="Q1422" s="11" t="s">
        <v>10262</v>
      </c>
      <c r="S1422" s="4" t="b">
        <f>ISNUMBER(MATCH(Q1422,T:T,0))</f>
        <v>1</v>
      </c>
      <c r="T1422" s="4" t="s">
        <v>10264</v>
      </c>
      <c r="U1422" s="4" t="str">
        <f t="shared" si="69"/>
        <v>買</v>
      </c>
    </row>
    <row r="1423" spans="1:21" ht="28.5">
      <c r="A1423" s="3">
        <v>1420</v>
      </c>
      <c r="B1423" s="3" t="s">
        <v>5802</v>
      </c>
      <c r="C1423" s="3" t="s">
        <v>6005</v>
      </c>
      <c r="D1423" s="3" t="s">
        <v>6157</v>
      </c>
      <c r="E1423" s="3" t="s">
        <v>6212</v>
      </c>
      <c r="F1423" s="3" t="s">
        <v>2899</v>
      </c>
      <c r="G1423" s="3" t="s">
        <v>8645</v>
      </c>
      <c r="H1423" s="3" t="s">
        <v>5832</v>
      </c>
      <c r="I1423" s="3" t="s">
        <v>2846</v>
      </c>
      <c r="J1423" s="5" t="s">
        <v>5833</v>
      </c>
      <c r="L1423" s="3" t="s">
        <v>5834</v>
      </c>
      <c r="M1423" s="3">
        <v>1</v>
      </c>
      <c r="N1423" s="4" t="s">
        <v>2846</v>
      </c>
      <c r="O1423" s="4">
        <v>69</v>
      </c>
      <c r="P1423" s="11" t="s">
        <v>10263</v>
      </c>
      <c r="Q1423" s="11" t="s">
        <v>5836</v>
      </c>
      <c r="S1423" s="4" t="b">
        <f>ISNUMBER(MATCH(Q1423,T:T,0))</f>
        <v>1</v>
      </c>
      <c r="T1423" s="4" t="s">
        <v>5833</v>
      </c>
      <c r="U1423" s="4" t="str">
        <f t="shared" si="69"/>
        <v>夥</v>
      </c>
    </row>
    <row r="1424" spans="1:21">
      <c r="A1424" s="3">
        <v>1421</v>
      </c>
      <c r="B1424" s="3" t="s">
        <v>5802</v>
      </c>
      <c r="C1424" s="3" t="s">
        <v>6067</v>
      </c>
      <c r="D1424" s="3" t="s">
        <v>6157</v>
      </c>
      <c r="E1424" s="3" t="s">
        <v>6212</v>
      </c>
      <c r="F1424" s="3" t="s">
        <v>2899</v>
      </c>
      <c r="G1424" s="3" t="s">
        <v>8645</v>
      </c>
      <c r="H1424" s="3" t="s">
        <v>5835</v>
      </c>
      <c r="I1424" s="3" t="s">
        <v>2846</v>
      </c>
      <c r="J1424" s="5" t="s">
        <v>5836</v>
      </c>
      <c r="L1424" s="3" t="s">
        <v>5837</v>
      </c>
      <c r="M1424" s="3">
        <v>1</v>
      </c>
      <c r="N1424" s="4" t="s">
        <v>2846</v>
      </c>
      <c r="O1424" s="4">
        <v>69</v>
      </c>
      <c r="P1424" s="11" t="s">
        <v>9909</v>
      </c>
      <c r="Q1424" s="11" t="s">
        <v>10264</v>
      </c>
      <c r="S1424" s="4" t="b">
        <f>ISNUMBER(MATCH(Q1424,T:T,0))</f>
        <v>1</v>
      </c>
      <c r="T1424" s="4" t="s">
        <v>5836</v>
      </c>
      <c r="U1424" s="4" t="str">
        <f t="shared" si="69"/>
        <v>𠁥</v>
      </c>
    </row>
    <row r="1425" spans="1:21">
      <c r="A1425" s="3">
        <v>1422</v>
      </c>
      <c r="B1425" s="3" t="s">
        <v>5802</v>
      </c>
      <c r="C1425" s="3" t="s">
        <v>6089</v>
      </c>
      <c r="D1425" s="3" t="s">
        <v>6157</v>
      </c>
      <c r="E1425" s="3" t="s">
        <v>6212</v>
      </c>
      <c r="F1425" s="3" t="s">
        <v>2899</v>
      </c>
      <c r="G1425" s="3" t="s">
        <v>8645</v>
      </c>
      <c r="H1425" s="3" t="s">
        <v>5838</v>
      </c>
      <c r="I1425" s="3" t="s">
        <v>2846</v>
      </c>
      <c r="J1425" s="5" t="s">
        <v>5839</v>
      </c>
      <c r="L1425" s="3" t="s">
        <v>5840</v>
      </c>
      <c r="M1425" s="3">
        <v>1</v>
      </c>
      <c r="N1425" s="4" t="s">
        <v>2846</v>
      </c>
      <c r="O1425" s="4">
        <v>69</v>
      </c>
      <c r="P1425" s="11" t="s">
        <v>10073</v>
      </c>
      <c r="Q1425" s="11" t="s">
        <v>5836</v>
      </c>
      <c r="S1425" s="4" t="b">
        <f>ISNUMBER(MATCH(Q1425,T:T,0))</f>
        <v>1</v>
      </c>
      <c r="T1425" s="4" t="s">
        <v>5839</v>
      </c>
      <c r="U1425" s="4" t="str">
        <f t="shared" si="69"/>
        <v>夥</v>
      </c>
    </row>
    <row r="1426" spans="1:21">
      <c r="A1426" s="3">
        <v>1423</v>
      </c>
      <c r="B1426" s="3" t="s">
        <v>5802</v>
      </c>
      <c r="C1426" s="3" t="s">
        <v>6041</v>
      </c>
      <c r="D1426" s="3" t="s">
        <v>6157</v>
      </c>
      <c r="E1426" s="3" t="s">
        <v>5991</v>
      </c>
      <c r="F1426" s="3" t="s">
        <v>2899</v>
      </c>
      <c r="G1426" s="3" t="s">
        <v>8645</v>
      </c>
      <c r="H1426" s="3" t="s">
        <v>5841</v>
      </c>
      <c r="I1426" s="3" t="s">
        <v>2846</v>
      </c>
      <c r="J1426" s="8" t="s">
        <v>4766</v>
      </c>
      <c r="M1426" s="3">
        <v>2</v>
      </c>
      <c r="N1426" s="4" t="s">
        <v>2846</v>
      </c>
      <c r="O1426" s="4">
        <v>69</v>
      </c>
      <c r="P1426" s="11" t="s">
        <v>10062</v>
      </c>
      <c r="Q1426" s="11" t="s">
        <v>2846</v>
      </c>
      <c r="S1426" s="4" t="b">
        <f>ISNUMBER(MATCH(Q1426,T:T,0))</f>
        <v>1</v>
      </c>
      <c r="T1426" s="4" t="s">
        <v>11665</v>
      </c>
      <c r="U1426" s="4" t="str">
        <f t="shared" si="69"/>
        <v>蟹</v>
      </c>
    </row>
    <row r="1427" spans="1:21">
      <c r="A1427" s="3">
        <v>1424</v>
      </c>
      <c r="B1427" s="3" t="s">
        <v>5842</v>
      </c>
      <c r="C1427" s="3" t="s">
        <v>6067</v>
      </c>
      <c r="D1427" s="3" t="s">
        <v>6157</v>
      </c>
      <c r="E1427" s="3" t="s">
        <v>5991</v>
      </c>
      <c r="F1427" s="3" t="s">
        <v>2940</v>
      </c>
      <c r="G1427" s="3" t="s">
        <v>8645</v>
      </c>
      <c r="H1427" s="3" t="s">
        <v>5843</v>
      </c>
      <c r="I1427" s="3" t="s">
        <v>2846</v>
      </c>
      <c r="J1427" s="5" t="s">
        <v>5844</v>
      </c>
      <c r="L1427" s="3" t="s">
        <v>5845</v>
      </c>
      <c r="M1427" s="3">
        <v>4</v>
      </c>
      <c r="N1427" s="4" t="s">
        <v>9635</v>
      </c>
      <c r="O1427" s="4">
        <v>70</v>
      </c>
      <c r="P1427" s="11" t="s">
        <v>5053</v>
      </c>
      <c r="Q1427" s="11" t="s">
        <v>10265</v>
      </c>
      <c r="S1427" s="4" t="b">
        <f>ISNUMBER(MATCH(Q1427,T:T,0))</f>
        <v>1</v>
      </c>
      <c r="T1427" s="4" t="s">
        <v>9635</v>
      </c>
      <c r="U1427" s="4" t="str">
        <f t="shared" si="69"/>
        <v>楷</v>
      </c>
    </row>
    <row r="1428" spans="1:21">
      <c r="A1428" s="3">
        <v>1425</v>
      </c>
      <c r="B1428" s="3" t="s">
        <v>5842</v>
      </c>
      <c r="C1428" s="3" t="s">
        <v>6038</v>
      </c>
      <c r="D1428" s="3" t="s">
        <v>6157</v>
      </c>
      <c r="E1428" s="3" t="s">
        <v>5991</v>
      </c>
      <c r="F1428" s="3" t="s">
        <v>2940</v>
      </c>
      <c r="G1428" s="3" t="s">
        <v>8645</v>
      </c>
      <c r="H1428" s="3" t="s">
        <v>5846</v>
      </c>
      <c r="I1428" s="3" t="s">
        <v>2846</v>
      </c>
      <c r="J1428" s="5" t="s">
        <v>5847</v>
      </c>
      <c r="L1428" s="3" t="s">
        <v>5848</v>
      </c>
      <c r="M1428" s="3">
        <v>4</v>
      </c>
      <c r="N1428" s="4" t="s">
        <v>9635</v>
      </c>
      <c r="O1428" s="4">
        <v>70</v>
      </c>
      <c r="P1428" s="11" t="s">
        <v>9728</v>
      </c>
      <c r="Q1428" s="11" t="s">
        <v>9635</v>
      </c>
      <c r="S1428" s="4" t="b">
        <f>ISNUMBER(MATCH(Q1428,T:T,0))</f>
        <v>1</v>
      </c>
      <c r="T1428" s="4" t="s">
        <v>10265</v>
      </c>
      <c r="U1428" s="4" t="str">
        <f t="shared" si="69"/>
        <v>駭</v>
      </c>
    </row>
    <row r="1429" spans="1:21">
      <c r="A1429" s="3">
        <v>1426</v>
      </c>
      <c r="B1429" s="3" t="s">
        <v>5842</v>
      </c>
      <c r="C1429" s="3" t="s">
        <v>6092</v>
      </c>
      <c r="D1429" s="3" t="s">
        <v>6157</v>
      </c>
      <c r="E1429" s="3" t="s">
        <v>5991</v>
      </c>
      <c r="F1429" s="3" t="s">
        <v>2940</v>
      </c>
      <c r="G1429" s="3" t="s">
        <v>8645</v>
      </c>
      <c r="H1429" s="3" t="s">
        <v>5849</v>
      </c>
      <c r="I1429" s="3" t="s">
        <v>2846</v>
      </c>
      <c r="J1429" s="5" t="s">
        <v>5850</v>
      </c>
      <c r="L1429" s="3" t="s">
        <v>5851</v>
      </c>
      <c r="M1429" s="3">
        <v>4</v>
      </c>
      <c r="N1429" s="4" t="s">
        <v>9635</v>
      </c>
      <c r="O1429" s="4">
        <v>70</v>
      </c>
      <c r="P1429" s="11" t="s">
        <v>9740</v>
      </c>
      <c r="Q1429" s="11" t="s">
        <v>9635</v>
      </c>
      <c r="S1429" s="4" t="b">
        <f>ISNUMBER(MATCH(Q1429,T:T,0))</f>
        <v>1</v>
      </c>
      <c r="T1429" s="4" t="s">
        <v>11666</v>
      </c>
      <c r="U1429" s="4" t="str">
        <f t="shared" si="69"/>
        <v>駭</v>
      </c>
    </row>
    <row r="1430" spans="1:21">
      <c r="A1430" s="3">
        <v>1427</v>
      </c>
      <c r="B1430" s="3" t="s">
        <v>5842</v>
      </c>
      <c r="C1430" s="3" t="s">
        <v>6072</v>
      </c>
      <c r="D1430" s="3" t="s">
        <v>6157</v>
      </c>
      <c r="E1430" s="3" t="s">
        <v>5991</v>
      </c>
      <c r="F1430" s="3" t="s">
        <v>2940</v>
      </c>
      <c r="G1430" s="3" t="s">
        <v>8645</v>
      </c>
      <c r="H1430" s="3" t="s">
        <v>5852</v>
      </c>
      <c r="I1430" s="3" t="s">
        <v>2846</v>
      </c>
      <c r="J1430" s="5" t="s">
        <v>5853</v>
      </c>
      <c r="L1430" s="3" t="s">
        <v>5851</v>
      </c>
      <c r="M1430" s="3">
        <v>2</v>
      </c>
      <c r="N1430" s="4" t="s">
        <v>9635</v>
      </c>
      <c r="O1430" s="4">
        <v>70</v>
      </c>
      <c r="P1430" s="11" t="s">
        <v>9754</v>
      </c>
      <c r="Q1430" s="11" t="s">
        <v>9635</v>
      </c>
      <c r="S1430" s="4" t="b">
        <f>ISNUMBER(MATCH(Q1430,T:T,0))</f>
        <v>1</v>
      </c>
      <c r="T1430" s="4" t="s">
        <v>11667</v>
      </c>
      <c r="U1430" s="4" t="str">
        <f t="shared" si="69"/>
        <v>駭</v>
      </c>
    </row>
    <row r="1431" spans="1:21">
      <c r="A1431" s="3">
        <v>1428</v>
      </c>
      <c r="B1431" s="3" t="s">
        <v>5854</v>
      </c>
      <c r="C1431" s="3" t="s">
        <v>6089</v>
      </c>
      <c r="D1431" s="3" t="s">
        <v>5990</v>
      </c>
      <c r="E1431" s="3" t="s">
        <v>6212</v>
      </c>
      <c r="F1431" s="3" t="s">
        <v>3000</v>
      </c>
      <c r="G1431" s="3" t="s">
        <v>8645</v>
      </c>
      <c r="H1431" s="3" t="s">
        <v>5855</v>
      </c>
      <c r="I1431" s="3" t="s">
        <v>2846</v>
      </c>
      <c r="J1431" s="5" t="s">
        <v>4767</v>
      </c>
      <c r="L1431" s="3" t="s">
        <v>8770</v>
      </c>
      <c r="M1431" s="3">
        <v>7</v>
      </c>
      <c r="N1431" s="4" t="s">
        <v>5856</v>
      </c>
      <c r="O1431" s="4">
        <v>71</v>
      </c>
      <c r="P1431" s="11" t="s">
        <v>9739</v>
      </c>
      <c r="Q1431" s="11" t="s">
        <v>10266</v>
      </c>
      <c r="S1431" s="4" t="b">
        <f>ISNUMBER(MATCH(Q1431,T:T,0))</f>
        <v>1</v>
      </c>
      <c r="T1431" s="4" t="s">
        <v>5856</v>
      </c>
      <c r="U1431" s="4" t="str">
        <f t="shared" si="69"/>
        <v>罪</v>
      </c>
    </row>
    <row r="1432" spans="1:21">
      <c r="A1432" s="3">
        <v>1429</v>
      </c>
      <c r="B1432" s="3" t="s">
        <v>5854</v>
      </c>
      <c r="C1432" s="3" t="s">
        <v>6072</v>
      </c>
      <c r="D1432" s="3" t="s">
        <v>5990</v>
      </c>
      <c r="E1432" s="3" t="s">
        <v>6212</v>
      </c>
      <c r="F1432" s="3" t="s">
        <v>3000</v>
      </c>
      <c r="G1432" s="3" t="s">
        <v>8645</v>
      </c>
      <c r="H1432" s="3" t="s">
        <v>5857</v>
      </c>
      <c r="I1432" s="3" t="s">
        <v>2846</v>
      </c>
      <c r="J1432" s="5" t="s">
        <v>4768</v>
      </c>
      <c r="L1432" s="3" t="s">
        <v>8773</v>
      </c>
      <c r="M1432" s="3">
        <v>10</v>
      </c>
      <c r="N1432" s="4" t="s">
        <v>5856</v>
      </c>
      <c r="O1432" s="4">
        <v>71</v>
      </c>
      <c r="P1432" s="11" t="s">
        <v>9734</v>
      </c>
      <c r="Q1432" s="11" t="s">
        <v>5856</v>
      </c>
      <c r="S1432" s="4" t="b">
        <f>ISNUMBER(MATCH(Q1432,T:T,0))</f>
        <v>1</v>
      </c>
      <c r="T1432" s="4" t="s">
        <v>10267</v>
      </c>
      <c r="U1432" s="4" t="str">
        <f t="shared" si="69"/>
        <v>賄</v>
      </c>
    </row>
    <row r="1433" spans="1:21">
      <c r="A1433" s="3">
        <v>1430</v>
      </c>
      <c r="B1433" s="3" t="s">
        <v>5854</v>
      </c>
      <c r="C1433" s="3" t="s">
        <v>6058</v>
      </c>
      <c r="D1433" s="3" t="s">
        <v>5990</v>
      </c>
      <c r="E1433" s="3" t="s">
        <v>6212</v>
      </c>
      <c r="F1433" s="3" t="s">
        <v>3000</v>
      </c>
      <c r="G1433" s="3" t="s">
        <v>8645</v>
      </c>
      <c r="H1433" s="3" t="s">
        <v>5858</v>
      </c>
      <c r="I1433" s="3" t="s">
        <v>2846</v>
      </c>
      <c r="J1433" s="5" t="s">
        <v>4769</v>
      </c>
      <c r="L1433" s="3" t="s">
        <v>8783</v>
      </c>
      <c r="M1433" s="3">
        <v>16</v>
      </c>
      <c r="N1433" s="4" t="s">
        <v>5856</v>
      </c>
      <c r="O1433" s="4">
        <v>71</v>
      </c>
      <c r="P1433" s="11" t="s">
        <v>9877</v>
      </c>
      <c r="Q1433" s="11" t="s">
        <v>10267</v>
      </c>
      <c r="S1433" s="4" t="b">
        <f>ISNUMBER(MATCH(Q1433,T:T,0))</f>
        <v>1</v>
      </c>
      <c r="T1433" s="4" t="s">
        <v>11668</v>
      </c>
      <c r="U1433" s="4" t="str">
        <f t="shared" si="69"/>
        <v>猥</v>
      </c>
    </row>
    <row r="1434" spans="1:21">
      <c r="A1434" s="3">
        <v>1431</v>
      </c>
      <c r="B1434" s="3" t="s">
        <v>5854</v>
      </c>
      <c r="C1434" s="3" t="s">
        <v>5997</v>
      </c>
      <c r="D1434" s="3" t="s">
        <v>5990</v>
      </c>
      <c r="E1434" s="3" t="s">
        <v>6212</v>
      </c>
      <c r="F1434" s="3" t="s">
        <v>3000</v>
      </c>
      <c r="G1434" s="3" t="s">
        <v>8645</v>
      </c>
      <c r="H1434" s="3" t="s">
        <v>5859</v>
      </c>
      <c r="I1434" s="3" t="s">
        <v>2846</v>
      </c>
      <c r="J1434" s="5" t="s">
        <v>4770</v>
      </c>
      <c r="L1434" s="3" t="s">
        <v>5860</v>
      </c>
      <c r="M1434" s="3">
        <v>5</v>
      </c>
      <c r="N1434" s="4" t="s">
        <v>5856</v>
      </c>
      <c r="O1434" s="4">
        <v>71</v>
      </c>
      <c r="P1434" s="11" t="s">
        <v>9706</v>
      </c>
      <c r="Q1434" s="11" t="s">
        <v>10267</v>
      </c>
      <c r="S1434" s="4" t="b">
        <f>ISNUMBER(MATCH(Q1434,T:T,0))</f>
        <v>1</v>
      </c>
      <c r="T1434" s="4" t="s">
        <v>11669</v>
      </c>
      <c r="U1434" s="4" t="str">
        <f t="shared" si="69"/>
        <v>猥</v>
      </c>
    </row>
    <row r="1435" spans="1:21">
      <c r="A1435" s="3">
        <v>1432</v>
      </c>
      <c r="B1435" s="3" t="s">
        <v>5854</v>
      </c>
      <c r="C1435" s="3" t="s">
        <v>6069</v>
      </c>
      <c r="D1435" s="3" t="s">
        <v>5990</v>
      </c>
      <c r="E1435" s="3" t="s">
        <v>6212</v>
      </c>
      <c r="F1435" s="3" t="s">
        <v>3000</v>
      </c>
      <c r="G1435" s="3" t="s">
        <v>8645</v>
      </c>
      <c r="H1435" s="3" t="s">
        <v>5861</v>
      </c>
      <c r="I1435" s="3" t="s">
        <v>2846</v>
      </c>
      <c r="J1435" s="5" t="s">
        <v>4771</v>
      </c>
      <c r="L1435" s="3" t="s">
        <v>8848</v>
      </c>
      <c r="M1435" s="3">
        <v>3</v>
      </c>
      <c r="N1435" s="4" t="s">
        <v>5856</v>
      </c>
      <c r="O1435" s="4">
        <v>71</v>
      </c>
      <c r="P1435" s="11" t="s">
        <v>9733</v>
      </c>
      <c r="Q1435" s="11" t="s">
        <v>5856</v>
      </c>
      <c r="S1435" s="4" t="b">
        <f>ISNUMBER(MATCH(Q1435,T:T,0))</f>
        <v>1</v>
      </c>
      <c r="T1435" s="4" t="s">
        <v>10266</v>
      </c>
      <c r="U1435" s="4" t="str">
        <f t="shared" si="69"/>
        <v>賄</v>
      </c>
    </row>
    <row r="1436" spans="1:21">
      <c r="A1436" s="3">
        <v>1433</v>
      </c>
      <c r="B1436" s="3" t="s">
        <v>5854</v>
      </c>
      <c r="C1436" s="3" t="s">
        <v>6035</v>
      </c>
      <c r="D1436" s="3" t="s">
        <v>5990</v>
      </c>
      <c r="E1436" s="3" t="s">
        <v>6212</v>
      </c>
      <c r="F1436" s="3" t="s">
        <v>3000</v>
      </c>
      <c r="G1436" s="3" t="s">
        <v>8645</v>
      </c>
      <c r="H1436" s="3" t="s">
        <v>5862</v>
      </c>
      <c r="I1436" s="3" t="s">
        <v>2846</v>
      </c>
      <c r="J1436" s="5" t="s">
        <v>5863</v>
      </c>
      <c r="L1436" s="3" t="s">
        <v>5864</v>
      </c>
      <c r="M1436" s="3">
        <v>6</v>
      </c>
      <c r="N1436" s="4" t="s">
        <v>5856</v>
      </c>
      <c r="O1436" s="4">
        <v>71</v>
      </c>
      <c r="P1436" s="11" t="s">
        <v>9794</v>
      </c>
      <c r="Q1436" s="11" t="s">
        <v>10266</v>
      </c>
      <c r="S1436" s="4" t="b">
        <f>ISNUMBER(MATCH(Q1436,T:T,0))</f>
        <v>1</v>
      </c>
      <c r="T1436" s="4" t="s">
        <v>11670</v>
      </c>
      <c r="U1436" s="4" t="str">
        <f t="shared" si="69"/>
        <v>罪</v>
      </c>
    </row>
    <row r="1437" spans="1:21">
      <c r="A1437" s="3">
        <v>1434</v>
      </c>
      <c r="B1437" s="3" t="s">
        <v>5854</v>
      </c>
      <c r="C1437" s="3" t="s">
        <v>6079</v>
      </c>
      <c r="D1437" s="3" t="s">
        <v>5990</v>
      </c>
      <c r="E1437" s="3" t="s">
        <v>6212</v>
      </c>
      <c r="F1437" s="3" t="s">
        <v>3000</v>
      </c>
      <c r="G1437" s="3" t="s">
        <v>8645</v>
      </c>
      <c r="H1437" s="3" t="s">
        <v>5865</v>
      </c>
      <c r="I1437" s="3" t="s">
        <v>2846</v>
      </c>
      <c r="J1437" s="5" t="s">
        <v>4772</v>
      </c>
      <c r="L1437" s="3" t="s">
        <v>5866</v>
      </c>
      <c r="M1437" s="3">
        <v>8</v>
      </c>
      <c r="N1437" s="4" t="s">
        <v>5856</v>
      </c>
      <c r="O1437" s="4">
        <v>71</v>
      </c>
      <c r="P1437" s="11" t="s">
        <v>9967</v>
      </c>
      <c r="Q1437" s="11" t="s">
        <v>10267</v>
      </c>
      <c r="S1437" s="4" t="b">
        <f>ISNUMBER(MATCH(Q1437,T:T,0))</f>
        <v>1</v>
      </c>
      <c r="T1437" s="4" t="s">
        <v>11671</v>
      </c>
      <c r="U1437" s="4" t="str">
        <f t="shared" si="69"/>
        <v>猥</v>
      </c>
    </row>
    <row r="1438" spans="1:21">
      <c r="A1438" s="3">
        <v>1435</v>
      </c>
      <c r="B1438" s="3" t="s">
        <v>5854</v>
      </c>
      <c r="C1438" s="3" t="s">
        <v>6067</v>
      </c>
      <c r="D1438" s="3" t="s">
        <v>5990</v>
      </c>
      <c r="E1438" s="3" t="s">
        <v>6212</v>
      </c>
      <c r="F1438" s="3" t="s">
        <v>3000</v>
      </c>
      <c r="G1438" s="3" t="s">
        <v>8645</v>
      </c>
      <c r="H1438" s="3" t="s">
        <v>5867</v>
      </c>
      <c r="I1438" s="3" t="s">
        <v>2846</v>
      </c>
      <c r="J1438" s="5" t="s">
        <v>5868</v>
      </c>
      <c r="L1438" s="3" t="s">
        <v>5869</v>
      </c>
      <c r="M1438" s="3">
        <v>9</v>
      </c>
      <c r="N1438" s="4" t="s">
        <v>5856</v>
      </c>
      <c r="O1438" s="4">
        <v>71</v>
      </c>
      <c r="P1438" s="11" t="s">
        <v>9870</v>
      </c>
      <c r="Q1438" s="11" t="s">
        <v>10266</v>
      </c>
      <c r="S1438" s="4" t="b">
        <f>ISNUMBER(MATCH(Q1438,T:T,0))</f>
        <v>1</v>
      </c>
      <c r="T1438" s="4" t="s">
        <v>11672</v>
      </c>
      <c r="U1438" s="4" t="str">
        <f t="shared" si="69"/>
        <v>罪</v>
      </c>
    </row>
    <row r="1439" spans="1:21">
      <c r="A1439" s="3">
        <v>1436</v>
      </c>
      <c r="B1439" s="3" t="s">
        <v>5854</v>
      </c>
      <c r="C1439" s="3" t="s">
        <v>6038</v>
      </c>
      <c r="D1439" s="3" t="s">
        <v>5990</v>
      </c>
      <c r="E1439" s="3" t="s">
        <v>6212</v>
      </c>
      <c r="F1439" s="3" t="s">
        <v>3000</v>
      </c>
      <c r="G1439" s="3" t="s">
        <v>8645</v>
      </c>
      <c r="H1439" s="3" t="s">
        <v>5870</v>
      </c>
      <c r="I1439" s="3" t="s">
        <v>2846</v>
      </c>
      <c r="J1439" s="5" t="s">
        <v>5871</v>
      </c>
      <c r="L1439" s="3" t="s">
        <v>8776</v>
      </c>
      <c r="M1439" s="3">
        <v>5</v>
      </c>
      <c r="N1439" s="4" t="s">
        <v>5856</v>
      </c>
      <c r="O1439" s="4">
        <v>71</v>
      </c>
      <c r="P1439" s="11" t="s">
        <v>9915</v>
      </c>
      <c r="Q1439" s="11" t="s">
        <v>10267</v>
      </c>
      <c r="S1439" s="4" t="b">
        <f>ISNUMBER(MATCH(Q1439,T:T,0))</f>
        <v>1</v>
      </c>
      <c r="T1439" s="4" t="s">
        <v>11673</v>
      </c>
      <c r="U1439" s="4" t="str">
        <f t="shared" si="69"/>
        <v>猥</v>
      </c>
    </row>
    <row r="1440" spans="1:21">
      <c r="A1440" s="3">
        <v>1437</v>
      </c>
      <c r="B1440" s="3" t="s">
        <v>5854</v>
      </c>
      <c r="C1440" s="3" t="s">
        <v>5989</v>
      </c>
      <c r="D1440" s="3" t="s">
        <v>5990</v>
      </c>
      <c r="E1440" s="3" t="s">
        <v>6212</v>
      </c>
      <c r="F1440" s="3" t="s">
        <v>3000</v>
      </c>
      <c r="G1440" s="3" t="s">
        <v>8645</v>
      </c>
      <c r="H1440" s="3" t="s">
        <v>5872</v>
      </c>
      <c r="I1440" s="3" t="s">
        <v>2846</v>
      </c>
      <c r="J1440" s="5" t="s">
        <v>4773</v>
      </c>
      <c r="L1440" s="3" t="s">
        <v>5873</v>
      </c>
      <c r="M1440" s="3">
        <v>5</v>
      </c>
      <c r="N1440" s="4" t="s">
        <v>5856</v>
      </c>
      <c r="O1440" s="4">
        <v>71</v>
      </c>
      <c r="P1440" s="11" t="s">
        <v>9742</v>
      </c>
      <c r="Q1440" s="11" t="s">
        <v>10266</v>
      </c>
      <c r="S1440" s="4" t="b">
        <f>ISNUMBER(MATCH(Q1440,T:T,0))</f>
        <v>1</v>
      </c>
      <c r="T1440" s="4" t="s">
        <v>11674</v>
      </c>
      <c r="U1440" s="4" t="str">
        <f t="shared" si="69"/>
        <v>罪</v>
      </c>
    </row>
    <row r="1441" spans="1:21">
      <c r="A1441" s="3">
        <v>1438</v>
      </c>
      <c r="B1441" s="3" t="s">
        <v>5854</v>
      </c>
      <c r="C1441" s="3" t="s">
        <v>6102</v>
      </c>
      <c r="D1441" s="3" t="s">
        <v>5990</v>
      </c>
      <c r="E1441" s="3" t="s">
        <v>6212</v>
      </c>
      <c r="F1441" s="3" t="s">
        <v>3000</v>
      </c>
      <c r="G1441" s="3" t="s">
        <v>8645</v>
      </c>
      <c r="H1441" s="3" t="s">
        <v>5874</v>
      </c>
      <c r="I1441" s="3" t="s">
        <v>2846</v>
      </c>
      <c r="J1441" s="5" t="s">
        <v>4774</v>
      </c>
      <c r="L1441" s="3" t="s">
        <v>5875</v>
      </c>
      <c r="M1441" s="3">
        <v>8</v>
      </c>
      <c r="N1441" s="4" t="s">
        <v>5856</v>
      </c>
      <c r="O1441" s="4">
        <v>71</v>
      </c>
      <c r="P1441" s="11" t="s">
        <v>9744</v>
      </c>
      <c r="Q1441" s="11" t="s">
        <v>10266</v>
      </c>
      <c r="S1441" s="4" t="b">
        <f>ISNUMBER(MATCH(Q1441,T:T,0))</f>
        <v>1</v>
      </c>
      <c r="T1441" s="4" t="s">
        <v>11675</v>
      </c>
      <c r="U1441" s="4" t="str">
        <f t="shared" si="69"/>
        <v>罪</v>
      </c>
    </row>
    <row r="1442" spans="1:21">
      <c r="A1442" s="3">
        <v>1439</v>
      </c>
      <c r="B1442" s="3" t="s">
        <v>5854</v>
      </c>
      <c r="C1442" s="3" t="s">
        <v>6000</v>
      </c>
      <c r="D1442" s="3" t="s">
        <v>5990</v>
      </c>
      <c r="E1442" s="3" t="s">
        <v>6212</v>
      </c>
      <c r="F1442" s="3" t="s">
        <v>3000</v>
      </c>
      <c r="G1442" s="3" t="s">
        <v>8645</v>
      </c>
      <c r="H1442" s="3" t="s">
        <v>5876</v>
      </c>
      <c r="I1442" s="3" t="s">
        <v>2846</v>
      </c>
      <c r="J1442" s="5" t="s">
        <v>5877</v>
      </c>
      <c r="M1442" s="3">
        <v>1</v>
      </c>
      <c r="N1442" s="4" t="s">
        <v>5856</v>
      </c>
      <c r="O1442" s="4">
        <v>71</v>
      </c>
      <c r="P1442" s="11" t="s">
        <v>9707</v>
      </c>
      <c r="Q1442" s="11" t="s">
        <v>5856</v>
      </c>
      <c r="S1442" s="4" t="b">
        <f>ISNUMBER(MATCH(Q1442,T:T,0))</f>
        <v>1</v>
      </c>
      <c r="T1442" s="4" t="s">
        <v>5877</v>
      </c>
      <c r="U1442" s="4" t="str">
        <f t="shared" si="69"/>
        <v>賄</v>
      </c>
    </row>
    <row r="1443" spans="1:21">
      <c r="A1443" s="3">
        <v>1440</v>
      </c>
      <c r="B1443" s="3" t="s">
        <v>5854</v>
      </c>
      <c r="C1443" s="3" t="s">
        <v>6092</v>
      </c>
      <c r="D1443" s="3" t="s">
        <v>5990</v>
      </c>
      <c r="E1443" s="3" t="s">
        <v>6212</v>
      </c>
      <c r="F1443" s="3" t="s">
        <v>3000</v>
      </c>
      <c r="G1443" s="3" t="s">
        <v>8645</v>
      </c>
      <c r="H1443" s="3" t="s">
        <v>5878</v>
      </c>
      <c r="I1443" s="3" t="s">
        <v>2846</v>
      </c>
      <c r="J1443" s="5" t="s">
        <v>4775</v>
      </c>
      <c r="L1443" s="3" t="s">
        <v>8773</v>
      </c>
      <c r="M1443" s="3">
        <v>7</v>
      </c>
      <c r="N1443" s="4" t="s">
        <v>5856</v>
      </c>
      <c r="O1443" s="4">
        <v>71</v>
      </c>
      <c r="P1443" s="11" t="s">
        <v>9740</v>
      </c>
      <c r="Q1443" s="11" t="s">
        <v>10266</v>
      </c>
      <c r="S1443" s="4" t="b">
        <f>ISNUMBER(MATCH(Q1443,T:T,0))</f>
        <v>1</v>
      </c>
      <c r="T1443" s="4" t="s">
        <v>11676</v>
      </c>
      <c r="U1443" s="4" t="str">
        <f t="shared" si="69"/>
        <v>罪</v>
      </c>
    </row>
    <row r="1444" spans="1:21">
      <c r="A1444" s="3">
        <v>1441</v>
      </c>
      <c r="B1444" s="3" t="s">
        <v>5854</v>
      </c>
      <c r="C1444" s="3" t="s">
        <v>6076</v>
      </c>
      <c r="D1444" s="3" t="s">
        <v>5990</v>
      </c>
      <c r="E1444" s="3" t="s">
        <v>6212</v>
      </c>
      <c r="F1444" s="3" t="s">
        <v>3000</v>
      </c>
      <c r="G1444" s="3" t="s">
        <v>8645</v>
      </c>
      <c r="H1444" s="3" t="s">
        <v>5879</v>
      </c>
      <c r="I1444" s="3" t="s">
        <v>2846</v>
      </c>
      <c r="J1444" s="8" t="s">
        <v>4776</v>
      </c>
      <c r="L1444" s="3" t="s">
        <v>8910</v>
      </c>
      <c r="M1444" s="3">
        <v>8</v>
      </c>
      <c r="N1444" s="4" t="s">
        <v>5856</v>
      </c>
      <c r="O1444" s="4">
        <v>71</v>
      </c>
      <c r="P1444" s="11" t="s">
        <v>9766</v>
      </c>
      <c r="Q1444" s="11" t="s">
        <v>10266</v>
      </c>
      <c r="S1444" s="4" t="b">
        <f>ISNUMBER(MATCH(Q1444,T:T,0))</f>
        <v>1</v>
      </c>
      <c r="T1444" s="4" t="s">
        <v>11677</v>
      </c>
      <c r="U1444" s="4" t="str">
        <f t="shared" si="69"/>
        <v>罪</v>
      </c>
    </row>
    <row r="1445" spans="1:21">
      <c r="A1445" s="3">
        <v>1442</v>
      </c>
      <c r="B1445" s="3" t="s">
        <v>5854</v>
      </c>
      <c r="C1445" s="3" t="s">
        <v>6045</v>
      </c>
      <c r="D1445" s="3" t="s">
        <v>5990</v>
      </c>
      <c r="E1445" s="3" t="s">
        <v>6212</v>
      </c>
      <c r="F1445" s="3" t="s">
        <v>3000</v>
      </c>
      <c r="G1445" s="3" t="s">
        <v>8645</v>
      </c>
      <c r="H1445" s="3" t="s">
        <v>5880</v>
      </c>
      <c r="I1445" s="3" t="s">
        <v>2846</v>
      </c>
      <c r="J1445" s="5" t="s">
        <v>5881</v>
      </c>
      <c r="L1445" s="3" t="s">
        <v>5882</v>
      </c>
      <c r="M1445" s="3">
        <v>3</v>
      </c>
      <c r="N1445" s="4" t="s">
        <v>5856</v>
      </c>
      <c r="O1445" s="4">
        <v>71</v>
      </c>
      <c r="P1445" s="11" t="s">
        <v>9965</v>
      </c>
      <c r="Q1445" s="11" t="s">
        <v>10266</v>
      </c>
      <c r="S1445" s="4" t="b">
        <f>ISNUMBER(MATCH(Q1445,T:T,0))</f>
        <v>1</v>
      </c>
      <c r="T1445" s="4" t="s">
        <v>11678</v>
      </c>
      <c r="U1445" s="4" t="str">
        <f t="shared" si="69"/>
        <v>罪</v>
      </c>
    </row>
    <row r="1446" spans="1:21">
      <c r="A1446" s="3">
        <v>1443</v>
      </c>
      <c r="B1446" s="3" t="s">
        <v>5854</v>
      </c>
      <c r="C1446" s="3" t="s">
        <v>6083</v>
      </c>
      <c r="D1446" s="3" t="s">
        <v>5990</v>
      </c>
      <c r="E1446" s="3" t="s">
        <v>6212</v>
      </c>
      <c r="F1446" s="3" t="s">
        <v>3000</v>
      </c>
      <c r="G1446" s="3" t="s">
        <v>8645</v>
      </c>
      <c r="H1446" s="3" t="s">
        <v>5883</v>
      </c>
      <c r="I1446" s="3" t="s">
        <v>2846</v>
      </c>
      <c r="J1446" s="5" t="s">
        <v>4777</v>
      </c>
      <c r="L1446" s="3" t="s">
        <v>8800</v>
      </c>
      <c r="M1446" s="3">
        <v>2</v>
      </c>
      <c r="N1446" s="4" t="s">
        <v>5856</v>
      </c>
      <c r="O1446" s="4">
        <v>71</v>
      </c>
      <c r="P1446" s="11" t="s">
        <v>9737</v>
      </c>
      <c r="Q1446" s="11" t="s">
        <v>10266</v>
      </c>
      <c r="S1446" s="4" t="b">
        <f>ISNUMBER(MATCH(Q1446,T:T,0))</f>
        <v>1</v>
      </c>
      <c r="T1446" s="4" t="s">
        <v>11679</v>
      </c>
      <c r="U1446" s="4" t="str">
        <f t="shared" si="69"/>
        <v>罪</v>
      </c>
    </row>
    <row r="1447" spans="1:21">
      <c r="A1447" s="3">
        <v>1444</v>
      </c>
      <c r="B1447" s="3" t="s">
        <v>5854</v>
      </c>
      <c r="C1447" s="3" t="s">
        <v>6032</v>
      </c>
      <c r="D1447" s="3" t="s">
        <v>5990</v>
      </c>
      <c r="E1447" s="3" t="s">
        <v>6212</v>
      </c>
      <c r="F1447" s="3" t="s">
        <v>3000</v>
      </c>
      <c r="G1447" s="3" t="s">
        <v>8645</v>
      </c>
      <c r="H1447" s="3" t="s">
        <v>5884</v>
      </c>
      <c r="I1447" s="3" t="s">
        <v>2846</v>
      </c>
      <c r="J1447" s="8" t="s">
        <v>5885</v>
      </c>
      <c r="M1447" s="3">
        <v>1</v>
      </c>
      <c r="N1447" s="4" t="s">
        <v>5856</v>
      </c>
      <c r="O1447" s="4">
        <v>71</v>
      </c>
      <c r="P1447" s="11" t="s">
        <v>9859</v>
      </c>
      <c r="Q1447" s="11" t="s">
        <v>10266</v>
      </c>
      <c r="S1447" s="4" t="b">
        <f>ISNUMBER(MATCH(Q1447,T:T,0))</f>
        <v>1</v>
      </c>
      <c r="T1447" s="4" t="s">
        <v>5885</v>
      </c>
      <c r="U1447" s="4" t="str">
        <f t="shared" si="69"/>
        <v>罪</v>
      </c>
    </row>
    <row r="1448" spans="1:21">
      <c r="A1448" s="3">
        <v>1445</v>
      </c>
      <c r="B1448" s="3" t="s">
        <v>5886</v>
      </c>
      <c r="C1448" s="3" t="s">
        <v>6089</v>
      </c>
      <c r="D1448" s="3" t="s">
        <v>5990</v>
      </c>
      <c r="E1448" s="3" t="s">
        <v>5991</v>
      </c>
      <c r="F1448" s="3" t="s">
        <v>3040</v>
      </c>
      <c r="G1448" s="3" t="s">
        <v>8645</v>
      </c>
      <c r="H1448" s="3" t="s">
        <v>5887</v>
      </c>
      <c r="I1448" s="3" t="s">
        <v>2846</v>
      </c>
      <c r="J1448" s="5" t="s">
        <v>5888</v>
      </c>
      <c r="L1448" s="3" t="s">
        <v>5889</v>
      </c>
      <c r="M1448" s="3">
        <v>3</v>
      </c>
      <c r="N1448" s="4" t="s">
        <v>9636</v>
      </c>
      <c r="O1448" s="4">
        <v>72</v>
      </c>
      <c r="P1448" s="11" t="s">
        <v>9739</v>
      </c>
      <c r="Q1448" s="11" t="s">
        <v>10268</v>
      </c>
      <c r="S1448" s="4" t="b">
        <f>ISNUMBER(MATCH(Q1448,T:T,0))</f>
        <v>1</v>
      </c>
      <c r="T1448" s="4" t="s">
        <v>9636</v>
      </c>
      <c r="U1448" s="4" t="str">
        <f t="shared" si="69"/>
        <v>改</v>
      </c>
    </row>
    <row r="1449" spans="1:21">
      <c r="A1449" s="3">
        <v>1446</v>
      </c>
      <c r="B1449" s="3" t="s">
        <v>5886</v>
      </c>
      <c r="C1449" s="3" t="s">
        <v>6038</v>
      </c>
      <c r="D1449" s="3" t="s">
        <v>5990</v>
      </c>
      <c r="E1449" s="3" t="s">
        <v>5991</v>
      </c>
      <c r="F1449" s="3" t="s">
        <v>3040</v>
      </c>
      <c r="G1449" s="3" t="s">
        <v>8645</v>
      </c>
      <c r="H1449" s="3" t="s">
        <v>5890</v>
      </c>
      <c r="I1449" s="3" t="s">
        <v>2846</v>
      </c>
      <c r="J1449" s="5" t="s">
        <v>5891</v>
      </c>
      <c r="L1449" s="3" t="s">
        <v>5892</v>
      </c>
      <c r="M1449" s="3">
        <v>9</v>
      </c>
      <c r="N1449" s="4" t="s">
        <v>9636</v>
      </c>
      <c r="O1449" s="4">
        <v>72</v>
      </c>
      <c r="P1449" s="11" t="s">
        <v>9728</v>
      </c>
      <c r="Q1449" s="11" t="s">
        <v>10269</v>
      </c>
      <c r="S1449" s="4" t="b">
        <f>ISNUMBER(MATCH(Q1449,T:T,0))</f>
        <v>1</v>
      </c>
      <c r="T1449" s="4" t="s">
        <v>10270</v>
      </c>
      <c r="U1449" s="4" t="str">
        <f t="shared" si="69"/>
        <v>亥</v>
      </c>
    </row>
    <row r="1450" spans="1:21">
      <c r="A1450" s="3">
        <v>1447</v>
      </c>
      <c r="B1450" s="3" t="s">
        <v>5886</v>
      </c>
      <c r="C1450" s="3" t="s">
        <v>6083</v>
      </c>
      <c r="D1450" s="3" t="s">
        <v>5990</v>
      </c>
      <c r="E1450" s="3" t="s">
        <v>5991</v>
      </c>
      <c r="F1450" s="3" t="s">
        <v>3040</v>
      </c>
      <c r="G1450" s="3" t="s">
        <v>8645</v>
      </c>
      <c r="H1450" s="3" t="s">
        <v>5893</v>
      </c>
      <c r="I1450" s="3" t="s">
        <v>2846</v>
      </c>
      <c r="J1450" s="5" t="s">
        <v>5894</v>
      </c>
      <c r="L1450" s="3" t="s">
        <v>5895</v>
      </c>
      <c r="M1450" s="3">
        <v>4</v>
      </c>
      <c r="N1450" s="4" t="s">
        <v>9636</v>
      </c>
      <c r="O1450" s="4">
        <v>72</v>
      </c>
      <c r="P1450" s="11" t="s">
        <v>9745</v>
      </c>
      <c r="Q1450" s="11" t="s">
        <v>10269</v>
      </c>
      <c r="S1450" s="4" t="b">
        <f>ISNUMBER(MATCH(Q1450,T:T,0))</f>
        <v>1</v>
      </c>
      <c r="T1450" s="4" t="s">
        <v>10271</v>
      </c>
      <c r="U1450" s="4" t="str">
        <f t="shared" si="69"/>
        <v>亥</v>
      </c>
    </row>
    <row r="1451" spans="1:21">
      <c r="A1451" s="3">
        <v>1448</v>
      </c>
      <c r="B1451" s="3" t="s">
        <v>5886</v>
      </c>
      <c r="C1451" s="3" t="s">
        <v>5997</v>
      </c>
      <c r="D1451" s="3" t="s">
        <v>5990</v>
      </c>
      <c r="E1451" s="3" t="s">
        <v>5991</v>
      </c>
      <c r="F1451" s="3" t="s">
        <v>3040</v>
      </c>
      <c r="G1451" s="3" t="s">
        <v>8645</v>
      </c>
      <c r="H1451" s="3" t="s">
        <v>5896</v>
      </c>
      <c r="I1451" s="3" t="s">
        <v>2846</v>
      </c>
      <c r="J1451" s="5" t="s">
        <v>5897</v>
      </c>
      <c r="L1451" s="3" t="s">
        <v>5898</v>
      </c>
      <c r="M1451" s="3">
        <v>11</v>
      </c>
      <c r="N1451" s="4" t="s">
        <v>9636</v>
      </c>
      <c r="O1451" s="4">
        <v>72</v>
      </c>
      <c r="P1451" s="11" t="s">
        <v>9706</v>
      </c>
      <c r="Q1451" s="11" t="s">
        <v>10269</v>
      </c>
      <c r="S1451" s="4" t="b">
        <f>ISNUMBER(MATCH(Q1451,T:T,0))</f>
        <v>1</v>
      </c>
      <c r="T1451" s="4" t="s">
        <v>11680</v>
      </c>
      <c r="U1451" s="4" t="str">
        <f t="shared" si="69"/>
        <v>亥</v>
      </c>
    </row>
    <row r="1452" spans="1:21">
      <c r="A1452" s="3">
        <v>1449</v>
      </c>
      <c r="B1452" s="3" t="s">
        <v>5886</v>
      </c>
      <c r="C1452" s="3" t="s">
        <v>6102</v>
      </c>
      <c r="D1452" s="3" t="s">
        <v>5990</v>
      </c>
      <c r="E1452" s="3" t="s">
        <v>5991</v>
      </c>
      <c r="F1452" s="3" t="s">
        <v>3040</v>
      </c>
      <c r="G1452" s="3" t="s">
        <v>8645</v>
      </c>
      <c r="H1452" s="3" t="s">
        <v>5899</v>
      </c>
      <c r="I1452" s="3" t="s">
        <v>2846</v>
      </c>
      <c r="J1452" s="5" t="s">
        <v>5900</v>
      </c>
      <c r="L1452" s="3" t="s">
        <v>5816</v>
      </c>
      <c r="M1452" s="3">
        <v>3</v>
      </c>
      <c r="N1452" s="4" t="s">
        <v>9636</v>
      </c>
      <c r="O1452" s="4">
        <v>72</v>
      </c>
      <c r="P1452" s="11" t="s">
        <v>9744</v>
      </c>
      <c r="Q1452" s="11" t="s">
        <v>10269</v>
      </c>
      <c r="S1452" s="4" t="b">
        <f>ISNUMBER(MATCH(Q1452,T:T,0))</f>
        <v>1</v>
      </c>
      <c r="T1452" s="4" t="s">
        <v>9873</v>
      </c>
      <c r="U1452" s="4" t="str">
        <f t="shared" si="69"/>
        <v>亥</v>
      </c>
    </row>
    <row r="1453" spans="1:21">
      <c r="A1453" s="3">
        <v>1450</v>
      </c>
      <c r="B1453" s="3" t="s">
        <v>5886</v>
      </c>
      <c r="C1453" s="3" t="s">
        <v>6025</v>
      </c>
      <c r="D1453" s="3" t="s">
        <v>5990</v>
      </c>
      <c r="E1453" s="3" t="s">
        <v>5991</v>
      </c>
      <c r="F1453" s="3" t="s">
        <v>3040</v>
      </c>
      <c r="G1453" s="3" t="s">
        <v>8645</v>
      </c>
      <c r="H1453" s="3" t="s">
        <v>5901</v>
      </c>
      <c r="I1453" s="3" t="s">
        <v>2846</v>
      </c>
      <c r="J1453" s="5" t="s">
        <v>4778</v>
      </c>
      <c r="L1453" s="3" t="s">
        <v>5902</v>
      </c>
      <c r="M1453" s="3">
        <v>3</v>
      </c>
      <c r="N1453" s="4" t="s">
        <v>9636</v>
      </c>
      <c r="O1453" s="4">
        <v>72</v>
      </c>
      <c r="P1453" s="11" t="s">
        <v>9729</v>
      </c>
      <c r="Q1453" s="11" t="s">
        <v>10269</v>
      </c>
      <c r="S1453" s="4" t="b">
        <f>ISNUMBER(MATCH(Q1453,T:T,0))</f>
        <v>1</v>
      </c>
      <c r="T1453" s="4" t="s">
        <v>10268</v>
      </c>
      <c r="U1453" s="4" t="str">
        <f t="shared" si="69"/>
        <v>亥</v>
      </c>
    </row>
    <row r="1454" spans="1:21">
      <c r="A1454" s="3">
        <v>1451</v>
      </c>
      <c r="B1454" s="3" t="s">
        <v>5886</v>
      </c>
      <c r="C1454" s="3" t="s">
        <v>6067</v>
      </c>
      <c r="D1454" s="3" t="s">
        <v>5990</v>
      </c>
      <c r="E1454" s="3" t="s">
        <v>5991</v>
      </c>
      <c r="F1454" s="3" t="s">
        <v>3040</v>
      </c>
      <c r="G1454" s="3" t="s">
        <v>8645</v>
      </c>
      <c r="H1454" s="3" t="s">
        <v>5903</v>
      </c>
      <c r="I1454" s="3" t="s">
        <v>2846</v>
      </c>
      <c r="J1454" s="5" t="s">
        <v>5904</v>
      </c>
      <c r="L1454" s="3" t="s">
        <v>5905</v>
      </c>
      <c r="M1454" s="3">
        <v>4</v>
      </c>
      <c r="N1454" s="4" t="s">
        <v>9636</v>
      </c>
      <c r="O1454" s="4">
        <v>72</v>
      </c>
      <c r="P1454" s="11" t="s">
        <v>9870</v>
      </c>
      <c r="Q1454" s="11" t="s">
        <v>10268</v>
      </c>
      <c r="S1454" s="4" t="b">
        <f>ISNUMBER(MATCH(Q1454,T:T,0))</f>
        <v>1</v>
      </c>
      <c r="T1454" s="4" t="s">
        <v>10269</v>
      </c>
      <c r="U1454" s="4" t="str">
        <f t="shared" si="69"/>
        <v>改</v>
      </c>
    </row>
    <row r="1455" spans="1:21">
      <c r="A1455" s="3">
        <v>1452</v>
      </c>
      <c r="B1455" s="3" t="s">
        <v>5886</v>
      </c>
      <c r="C1455" s="3" t="s">
        <v>6053</v>
      </c>
      <c r="D1455" s="3" t="s">
        <v>5990</v>
      </c>
      <c r="E1455" s="3" t="s">
        <v>5991</v>
      </c>
      <c r="F1455" s="3" t="s">
        <v>3040</v>
      </c>
      <c r="G1455" s="3" t="s">
        <v>8645</v>
      </c>
      <c r="H1455" s="3" t="s">
        <v>5906</v>
      </c>
      <c r="I1455" s="3" t="s">
        <v>2846</v>
      </c>
      <c r="J1455" s="5" t="s">
        <v>5907</v>
      </c>
      <c r="L1455" s="3" t="s">
        <v>5908</v>
      </c>
      <c r="M1455" s="3">
        <v>1</v>
      </c>
      <c r="N1455" s="4" t="s">
        <v>9636</v>
      </c>
      <c r="O1455" s="4">
        <v>72</v>
      </c>
      <c r="P1455" s="11" t="s">
        <v>9772</v>
      </c>
      <c r="Q1455" s="11" t="s">
        <v>10270</v>
      </c>
      <c r="S1455" s="4" t="b">
        <f>ISNUMBER(MATCH(Q1455,T:T,0))</f>
        <v>1</v>
      </c>
      <c r="T1455" s="4" t="s">
        <v>5907</v>
      </c>
      <c r="U1455" s="4" t="str">
        <f t="shared" si="69"/>
        <v>愷</v>
      </c>
    </row>
    <row r="1456" spans="1:21">
      <c r="A1456" s="3">
        <v>1453</v>
      </c>
      <c r="B1456" s="3" t="s">
        <v>5886</v>
      </c>
      <c r="C1456" s="3" t="s">
        <v>6076</v>
      </c>
      <c r="D1456" s="3" t="s">
        <v>5990</v>
      </c>
      <c r="E1456" s="3" t="s">
        <v>5991</v>
      </c>
      <c r="F1456" s="3" t="s">
        <v>3040</v>
      </c>
      <c r="G1456" s="3" t="s">
        <v>8645</v>
      </c>
      <c r="H1456" s="3" t="s">
        <v>5909</v>
      </c>
      <c r="I1456" s="3" t="s">
        <v>2846</v>
      </c>
      <c r="J1456" s="5" t="s">
        <v>5910</v>
      </c>
      <c r="L1456" s="3" t="s">
        <v>5911</v>
      </c>
      <c r="M1456" s="3">
        <v>7</v>
      </c>
      <c r="N1456" s="4" t="s">
        <v>9636</v>
      </c>
      <c r="O1456" s="4">
        <v>72</v>
      </c>
      <c r="P1456" s="11" t="s">
        <v>9735</v>
      </c>
      <c r="Q1456" s="11" t="s">
        <v>10271</v>
      </c>
      <c r="S1456" s="4" t="b">
        <f>ISNUMBER(MATCH(Q1456,T:T,0))</f>
        <v>1</v>
      </c>
      <c r="T1456" s="4" t="s">
        <v>10254</v>
      </c>
      <c r="U1456" s="4" t="str">
        <f t="shared" si="69"/>
        <v>宰</v>
      </c>
    </row>
    <row r="1457" spans="1:22">
      <c r="A1457" s="3">
        <v>1454</v>
      </c>
      <c r="B1457" s="3" t="s">
        <v>5886</v>
      </c>
      <c r="C1457" s="3" t="s">
        <v>6055</v>
      </c>
      <c r="D1457" s="3" t="s">
        <v>5990</v>
      </c>
      <c r="E1457" s="3" t="s">
        <v>5991</v>
      </c>
      <c r="F1457" s="3" t="s">
        <v>3040</v>
      </c>
      <c r="G1457" s="3" t="s">
        <v>8645</v>
      </c>
      <c r="H1457" s="3" t="s">
        <v>5912</v>
      </c>
      <c r="I1457" s="3" t="s">
        <v>2846</v>
      </c>
      <c r="J1457" s="8" t="s">
        <v>5913</v>
      </c>
      <c r="M1457" s="3">
        <v>1</v>
      </c>
      <c r="N1457" s="4" t="s">
        <v>9636</v>
      </c>
      <c r="O1457" s="4">
        <v>72</v>
      </c>
      <c r="P1457" s="11" t="s">
        <v>6055</v>
      </c>
      <c r="Q1457" s="11" t="s">
        <v>10272</v>
      </c>
      <c r="R1457" s="4" t="s">
        <v>13086</v>
      </c>
      <c r="S1457" s="4" t="b">
        <f>ISNUMBER(MATCH(Q1457,T:T,0))</f>
        <v>0</v>
      </c>
      <c r="T1457" s="4" t="s">
        <v>5913</v>
      </c>
      <c r="U1457" s="4" t="str">
        <f t="shared" si="69"/>
        <v>待</v>
      </c>
      <c r="V1457" s="4" t="b">
        <f>ISNUMBER(MATCH(R1457,T:T,0))</f>
        <v>1</v>
      </c>
    </row>
    <row r="1458" spans="1:22">
      <c r="A1458" s="3">
        <v>1455</v>
      </c>
      <c r="B1458" s="3" t="s">
        <v>5886</v>
      </c>
      <c r="C1458" s="3" t="s">
        <v>5989</v>
      </c>
      <c r="D1458" s="3" t="s">
        <v>5990</v>
      </c>
      <c r="E1458" s="3" t="s">
        <v>5991</v>
      </c>
      <c r="F1458" s="3" t="s">
        <v>3040</v>
      </c>
      <c r="G1458" s="3" t="s">
        <v>8645</v>
      </c>
      <c r="H1458" s="3" t="s">
        <v>5914</v>
      </c>
      <c r="I1458" s="3" t="s">
        <v>2846</v>
      </c>
      <c r="J1458" s="5" t="s">
        <v>5915</v>
      </c>
      <c r="L1458" s="3" t="s">
        <v>5916</v>
      </c>
      <c r="M1458" s="3">
        <v>1</v>
      </c>
      <c r="N1458" s="4" t="s">
        <v>9636</v>
      </c>
      <c r="O1458" s="4">
        <v>72</v>
      </c>
      <c r="P1458" s="11" t="s">
        <v>9975</v>
      </c>
      <c r="Q1458" s="11" t="s">
        <v>10268</v>
      </c>
      <c r="S1458" s="4" t="b">
        <f>ISNUMBER(MATCH(Q1458,T:T,0))</f>
        <v>1</v>
      </c>
      <c r="T1458" s="4" t="s">
        <v>9649</v>
      </c>
      <c r="U1458" s="4" t="str">
        <f t="shared" si="69"/>
        <v>改</v>
      </c>
    </row>
    <row r="1459" spans="1:22">
      <c r="A1459" s="3">
        <v>1456</v>
      </c>
      <c r="B1459" s="3" t="s">
        <v>5886</v>
      </c>
      <c r="C1459" s="3" t="s">
        <v>6035</v>
      </c>
      <c r="D1459" s="3" t="s">
        <v>5990</v>
      </c>
      <c r="E1459" s="3" t="s">
        <v>5991</v>
      </c>
      <c r="F1459" s="3" t="s">
        <v>3040</v>
      </c>
      <c r="G1459" s="3" t="s">
        <v>8645</v>
      </c>
      <c r="H1459" s="3" t="s">
        <v>5917</v>
      </c>
      <c r="I1459" s="3" t="s">
        <v>2846</v>
      </c>
      <c r="J1459" s="5" t="s">
        <v>4779</v>
      </c>
      <c r="L1459" s="3" t="s">
        <v>5864</v>
      </c>
      <c r="M1459" s="3">
        <v>2</v>
      </c>
      <c r="N1459" s="4" t="s">
        <v>9636</v>
      </c>
      <c r="O1459" s="4">
        <v>72</v>
      </c>
      <c r="P1459" s="11" t="s">
        <v>9719</v>
      </c>
      <c r="Q1459" s="11" t="s">
        <v>10269</v>
      </c>
      <c r="S1459" s="4" t="b">
        <f>ISNUMBER(MATCH(Q1459,T:T,0))</f>
        <v>1</v>
      </c>
      <c r="T1459" s="4" t="s">
        <v>11681</v>
      </c>
      <c r="U1459" s="4" t="str">
        <f t="shared" si="69"/>
        <v>亥</v>
      </c>
    </row>
    <row r="1460" spans="1:22">
      <c r="A1460" s="3">
        <v>1457</v>
      </c>
      <c r="B1460" s="3" t="s">
        <v>5886</v>
      </c>
      <c r="C1460" s="3" t="s">
        <v>6069</v>
      </c>
      <c r="D1460" s="3" t="s">
        <v>5990</v>
      </c>
      <c r="E1460" s="3" t="s">
        <v>5991</v>
      </c>
      <c r="F1460" s="3" t="s">
        <v>3040</v>
      </c>
      <c r="G1460" s="3" t="s">
        <v>8645</v>
      </c>
      <c r="H1460" s="3" t="s">
        <v>5918</v>
      </c>
      <c r="I1460" s="3" t="s">
        <v>2846</v>
      </c>
      <c r="J1460" s="5" t="s">
        <v>5919</v>
      </c>
      <c r="L1460" s="3" t="s">
        <v>5920</v>
      </c>
      <c r="M1460" s="3">
        <v>1</v>
      </c>
      <c r="N1460" s="4" t="s">
        <v>9636</v>
      </c>
      <c r="O1460" s="4">
        <v>72</v>
      </c>
      <c r="P1460" s="11" t="s">
        <v>9880</v>
      </c>
      <c r="Q1460" s="11" t="s">
        <v>10271</v>
      </c>
      <c r="S1460" s="4" t="b">
        <f>ISNUMBER(MATCH(Q1460,T:T,0))</f>
        <v>1</v>
      </c>
      <c r="T1460" s="4" t="s">
        <v>5919</v>
      </c>
      <c r="U1460" s="4" t="str">
        <f t="shared" si="69"/>
        <v>宰</v>
      </c>
    </row>
    <row r="1461" spans="1:22">
      <c r="A1461" s="3">
        <v>1458</v>
      </c>
      <c r="B1461" s="3" t="s">
        <v>5886</v>
      </c>
      <c r="C1461" s="3" t="s">
        <v>6053</v>
      </c>
      <c r="D1461" s="3" t="s">
        <v>5990</v>
      </c>
      <c r="E1461" s="3" t="s">
        <v>5991</v>
      </c>
      <c r="F1461" s="3" t="s">
        <v>3040</v>
      </c>
      <c r="G1461" s="3" t="s">
        <v>8645</v>
      </c>
      <c r="H1461" s="3" t="s">
        <v>5921</v>
      </c>
      <c r="I1461" s="3" t="s">
        <v>2846</v>
      </c>
      <c r="J1461" s="5" t="s">
        <v>5922</v>
      </c>
      <c r="L1461" s="3" t="s">
        <v>5908</v>
      </c>
      <c r="M1461" s="3">
        <v>2</v>
      </c>
      <c r="N1461" s="4" t="s">
        <v>9636</v>
      </c>
      <c r="O1461" s="4">
        <v>72</v>
      </c>
      <c r="P1461" s="11" t="s">
        <v>9884</v>
      </c>
      <c r="Q1461" s="11" t="s">
        <v>9873</v>
      </c>
      <c r="S1461" s="4" t="b">
        <f>ISNUMBER(MATCH(Q1461,T:T,0))</f>
        <v>1</v>
      </c>
      <c r="T1461" s="4" t="s">
        <v>11682</v>
      </c>
      <c r="U1461" s="4" t="str">
        <f t="shared" si="69"/>
        <v>乃</v>
      </c>
    </row>
    <row r="1462" spans="1:22">
      <c r="A1462" s="3">
        <v>1459</v>
      </c>
      <c r="B1462" s="3" t="s">
        <v>5886</v>
      </c>
      <c r="C1462" s="3" t="s">
        <v>6072</v>
      </c>
      <c r="D1462" s="3" t="s">
        <v>5990</v>
      </c>
      <c r="E1462" s="3" t="s">
        <v>5991</v>
      </c>
      <c r="F1462" s="3" t="s">
        <v>3040</v>
      </c>
      <c r="G1462" s="3" t="s">
        <v>8645</v>
      </c>
      <c r="H1462" s="3" t="s">
        <v>5923</v>
      </c>
      <c r="I1462" s="3" t="s">
        <v>2846</v>
      </c>
      <c r="J1462" s="5" t="s">
        <v>5924</v>
      </c>
      <c r="L1462" s="3" t="s">
        <v>5925</v>
      </c>
      <c r="M1462" s="3">
        <v>4</v>
      </c>
      <c r="N1462" s="4" t="s">
        <v>9636</v>
      </c>
      <c r="O1462" s="4">
        <v>72</v>
      </c>
      <c r="P1462" s="11" t="s">
        <v>9754</v>
      </c>
      <c r="Q1462" s="11" t="s">
        <v>10268</v>
      </c>
      <c r="S1462" s="4" t="b">
        <f>ISNUMBER(MATCH(Q1462,T:T,0))</f>
        <v>1</v>
      </c>
      <c r="T1462" s="4" t="s">
        <v>11683</v>
      </c>
      <c r="U1462" s="4" t="str">
        <f t="shared" si="69"/>
        <v>改</v>
      </c>
    </row>
    <row r="1463" spans="1:22">
      <c r="A1463" s="3">
        <v>1460</v>
      </c>
      <c r="B1463" s="3" t="s">
        <v>5886</v>
      </c>
      <c r="C1463" s="3" t="s">
        <v>6028</v>
      </c>
      <c r="D1463" s="3" t="s">
        <v>5990</v>
      </c>
      <c r="E1463" s="3" t="s">
        <v>5991</v>
      </c>
      <c r="F1463" s="3" t="s">
        <v>3040</v>
      </c>
      <c r="G1463" s="3" t="s">
        <v>8645</v>
      </c>
      <c r="H1463" s="3" t="s">
        <v>5926</v>
      </c>
      <c r="I1463" s="3" t="s">
        <v>2846</v>
      </c>
      <c r="J1463" s="5" t="s">
        <v>5927</v>
      </c>
      <c r="M1463" s="3">
        <v>1</v>
      </c>
      <c r="N1463" s="4" t="s">
        <v>9636</v>
      </c>
      <c r="O1463" s="4">
        <v>72</v>
      </c>
      <c r="P1463" s="11" t="s">
        <v>9807</v>
      </c>
      <c r="Q1463" s="11" t="s">
        <v>5919</v>
      </c>
      <c r="S1463" s="4" t="b">
        <f>ISNUMBER(MATCH(Q1463,T:T,0))</f>
        <v>1</v>
      </c>
      <c r="T1463" s="4" t="s">
        <v>5927</v>
      </c>
      <c r="U1463" s="4" t="str">
        <f t="shared" si="69"/>
        <v>在</v>
      </c>
    </row>
    <row r="1464" spans="1:22">
      <c r="A1464" s="3">
        <v>1461</v>
      </c>
      <c r="B1464" s="3" t="s">
        <v>5886</v>
      </c>
      <c r="C1464" s="3" t="s">
        <v>6079</v>
      </c>
      <c r="D1464" s="3" t="s">
        <v>5990</v>
      </c>
      <c r="E1464" s="3" t="s">
        <v>5991</v>
      </c>
      <c r="F1464" s="3" t="s">
        <v>3040</v>
      </c>
      <c r="G1464" s="3" t="s">
        <v>8645</v>
      </c>
      <c r="H1464" s="3" t="s">
        <v>5928</v>
      </c>
      <c r="I1464" s="3" t="s">
        <v>2846</v>
      </c>
      <c r="J1464" s="5" t="s">
        <v>5929</v>
      </c>
      <c r="L1464" s="3" t="s">
        <v>5930</v>
      </c>
      <c r="M1464" s="3">
        <v>1</v>
      </c>
      <c r="N1464" s="4" t="s">
        <v>9636</v>
      </c>
      <c r="O1464" s="4">
        <v>72</v>
      </c>
      <c r="P1464" s="11" t="s">
        <v>9736</v>
      </c>
      <c r="Q1464" s="11" t="s">
        <v>10269</v>
      </c>
      <c r="S1464" s="4" t="b">
        <f>ISNUMBER(MATCH(Q1464,T:T,0))</f>
        <v>1</v>
      </c>
      <c r="T1464" s="4" t="s">
        <v>5929</v>
      </c>
      <c r="U1464" s="4" t="str">
        <f t="shared" si="69"/>
        <v>亥</v>
      </c>
    </row>
    <row r="1465" spans="1:22">
      <c r="A1465" s="3">
        <v>1462</v>
      </c>
      <c r="B1465" s="3" t="s">
        <v>5886</v>
      </c>
      <c r="C1465" s="3" t="s">
        <v>6021</v>
      </c>
      <c r="D1465" s="3" t="s">
        <v>5990</v>
      </c>
      <c r="E1465" s="3" t="s">
        <v>5991</v>
      </c>
      <c r="F1465" s="3" t="s">
        <v>3040</v>
      </c>
      <c r="G1465" s="3" t="s">
        <v>8645</v>
      </c>
      <c r="H1465" s="3" t="s">
        <v>5931</v>
      </c>
      <c r="I1465" s="3" t="s">
        <v>2846</v>
      </c>
      <c r="J1465" s="8" t="s">
        <v>5932</v>
      </c>
      <c r="M1465" s="3">
        <v>1</v>
      </c>
      <c r="N1465" s="4" t="s">
        <v>9636</v>
      </c>
      <c r="O1465" s="4">
        <v>72</v>
      </c>
      <c r="P1465" s="11" t="s">
        <v>9715</v>
      </c>
      <c r="Q1465" s="11" t="s">
        <v>10269</v>
      </c>
      <c r="S1465" s="4" t="b">
        <f>ISNUMBER(MATCH(Q1465,T:T,0))</f>
        <v>1</v>
      </c>
      <c r="T1465" s="4" t="s">
        <v>5932</v>
      </c>
      <c r="U1465" s="4" t="str">
        <f t="shared" si="69"/>
        <v>亥</v>
      </c>
    </row>
    <row r="1466" spans="1:22">
      <c r="A1466" s="3">
        <v>1463</v>
      </c>
      <c r="B1466" s="3" t="s">
        <v>5886</v>
      </c>
      <c r="C1466" s="3" t="s">
        <v>6058</v>
      </c>
      <c r="D1466" s="3" t="s">
        <v>5990</v>
      </c>
      <c r="E1466" s="3" t="s">
        <v>5991</v>
      </c>
      <c r="F1466" s="3" t="s">
        <v>3040</v>
      </c>
      <c r="G1466" s="3" t="s">
        <v>8645</v>
      </c>
      <c r="H1466" s="3" t="s">
        <v>5933</v>
      </c>
      <c r="I1466" s="3" t="s">
        <v>2846</v>
      </c>
      <c r="J1466" s="5" t="s">
        <v>5934</v>
      </c>
      <c r="L1466" s="3" t="s">
        <v>5935</v>
      </c>
      <c r="M1466" s="3">
        <v>2</v>
      </c>
      <c r="N1466" s="4" t="s">
        <v>9636</v>
      </c>
      <c r="O1466" s="4">
        <v>72</v>
      </c>
      <c r="P1466" s="11" t="s">
        <v>6058</v>
      </c>
      <c r="Q1466" s="11" t="s">
        <v>10268</v>
      </c>
      <c r="S1466" s="4" t="b">
        <f>ISNUMBER(MATCH(Q1466,T:T,0))</f>
        <v>1</v>
      </c>
      <c r="T1466" s="4" t="s">
        <v>11684</v>
      </c>
      <c r="U1466" s="4" t="str">
        <f t="shared" si="69"/>
        <v>改</v>
      </c>
    </row>
    <row r="1467" spans="1:22">
      <c r="A1467" s="3">
        <v>1464</v>
      </c>
      <c r="B1467" s="3" t="s">
        <v>5886</v>
      </c>
      <c r="C1467" s="3" t="s">
        <v>6028</v>
      </c>
      <c r="D1467" s="3" t="s">
        <v>5990</v>
      </c>
      <c r="E1467" s="3" t="s">
        <v>5991</v>
      </c>
      <c r="F1467" s="3" t="s">
        <v>3040</v>
      </c>
      <c r="G1467" s="3" t="s">
        <v>8645</v>
      </c>
      <c r="H1467" s="3" t="s">
        <v>5936</v>
      </c>
      <c r="I1467" s="3" t="s">
        <v>2846</v>
      </c>
      <c r="J1467" s="5" t="s">
        <v>5937</v>
      </c>
      <c r="M1467" s="3">
        <v>2</v>
      </c>
      <c r="N1467" s="4" t="s">
        <v>9636</v>
      </c>
      <c r="O1467" s="4">
        <v>72</v>
      </c>
      <c r="P1467" s="11" t="s">
        <v>9828</v>
      </c>
      <c r="Q1467" s="11" t="s">
        <v>10268</v>
      </c>
      <c r="S1467" s="4" t="b">
        <f>ISNUMBER(MATCH(Q1467,T:T,0))</f>
        <v>1</v>
      </c>
      <c r="T1467" s="4" t="s">
        <v>11685</v>
      </c>
      <c r="U1467" s="4" t="str">
        <f t="shared" si="69"/>
        <v>改</v>
      </c>
    </row>
    <row r="1468" spans="1:22">
      <c r="A1468" s="3">
        <v>1465</v>
      </c>
      <c r="B1468" s="3" t="s">
        <v>5886</v>
      </c>
      <c r="C1468" s="3" t="s">
        <v>6045</v>
      </c>
      <c r="D1468" s="3" t="s">
        <v>5990</v>
      </c>
      <c r="E1468" s="3" t="s">
        <v>5991</v>
      </c>
      <c r="F1468" s="3" t="s">
        <v>3040</v>
      </c>
      <c r="G1468" s="3" t="s">
        <v>8645</v>
      </c>
      <c r="H1468" s="3" t="s">
        <v>5938</v>
      </c>
      <c r="I1468" s="3" t="s">
        <v>2846</v>
      </c>
      <c r="J1468" s="5" t="s">
        <v>5939</v>
      </c>
      <c r="L1468" s="3" t="s">
        <v>5882</v>
      </c>
      <c r="M1468" s="3">
        <v>3</v>
      </c>
      <c r="N1468" s="4" t="s">
        <v>9636</v>
      </c>
      <c r="O1468" s="4">
        <v>72</v>
      </c>
      <c r="P1468" s="11" t="s">
        <v>9738</v>
      </c>
      <c r="Q1468" s="11" t="s">
        <v>10269</v>
      </c>
      <c r="S1468" s="4" t="b">
        <f>ISNUMBER(MATCH(Q1468,T:T,0))</f>
        <v>1</v>
      </c>
      <c r="T1468" s="4" t="s">
        <v>11686</v>
      </c>
      <c r="U1468" s="4" t="str">
        <f t="shared" si="69"/>
        <v>亥</v>
      </c>
    </row>
    <row r="1469" spans="1:22" ht="39">
      <c r="A1469" s="3">
        <v>1466</v>
      </c>
      <c r="B1469" s="3" t="s">
        <v>5940</v>
      </c>
      <c r="C1469" s="3" t="s">
        <v>6009</v>
      </c>
      <c r="D1469" s="3" t="s">
        <v>6001</v>
      </c>
      <c r="E1469" s="3" t="s">
        <v>5991</v>
      </c>
      <c r="F1469" s="7" t="s">
        <v>688</v>
      </c>
      <c r="G1469" s="3" t="s">
        <v>8645</v>
      </c>
      <c r="H1469" s="3" t="s">
        <v>5941</v>
      </c>
      <c r="I1469" s="3" t="s">
        <v>3079</v>
      </c>
      <c r="J1469" s="5" t="s">
        <v>4780</v>
      </c>
      <c r="L1469" s="3" t="s">
        <v>5942</v>
      </c>
      <c r="M1469" s="3">
        <v>23</v>
      </c>
      <c r="N1469" s="4" t="s">
        <v>5943</v>
      </c>
      <c r="O1469" s="4">
        <v>73</v>
      </c>
      <c r="P1469" s="11" t="s">
        <v>6009</v>
      </c>
      <c r="Q1469" s="11" t="s">
        <v>10273</v>
      </c>
      <c r="S1469" s="4" t="b">
        <f>ISNUMBER(MATCH(Q1469,T:T,0))</f>
        <v>1</v>
      </c>
      <c r="T1469" s="4" t="s">
        <v>5943</v>
      </c>
      <c r="U1469" s="4" t="str">
        <f t="shared" si="69"/>
        <v>忍</v>
      </c>
    </row>
    <row r="1470" spans="1:22">
      <c r="A1470" s="3">
        <v>1467</v>
      </c>
      <c r="B1470" s="3" t="s">
        <v>5940</v>
      </c>
      <c r="C1470" s="3" t="s">
        <v>6011</v>
      </c>
      <c r="D1470" s="3" t="s">
        <v>6001</v>
      </c>
      <c r="E1470" s="3" t="s">
        <v>5991</v>
      </c>
      <c r="F1470" s="7" t="s">
        <v>689</v>
      </c>
      <c r="G1470" s="3" t="s">
        <v>8645</v>
      </c>
      <c r="H1470" s="3" t="s">
        <v>5944</v>
      </c>
      <c r="I1470" s="3" t="s">
        <v>3079</v>
      </c>
      <c r="J1470" s="5" t="s">
        <v>5945</v>
      </c>
      <c r="L1470" s="3" t="s">
        <v>5946</v>
      </c>
      <c r="M1470" s="3">
        <v>1</v>
      </c>
      <c r="N1470" s="4" t="s">
        <v>5943</v>
      </c>
      <c r="O1470" s="4">
        <v>73</v>
      </c>
      <c r="P1470" s="11" t="s">
        <v>9757</v>
      </c>
      <c r="Q1470" s="11" t="s">
        <v>10273</v>
      </c>
      <c r="S1470" s="4" t="b">
        <f>ISNUMBER(MATCH(Q1470,T:T,0))</f>
        <v>1</v>
      </c>
      <c r="T1470" s="4" t="s">
        <v>5945</v>
      </c>
      <c r="U1470" s="4" t="str">
        <f t="shared" si="69"/>
        <v>忍</v>
      </c>
    </row>
    <row r="1471" spans="1:22">
      <c r="A1471" s="3">
        <v>1468</v>
      </c>
      <c r="B1471" s="3" t="s">
        <v>5940</v>
      </c>
      <c r="C1471" s="3" t="s">
        <v>6148</v>
      </c>
      <c r="D1471" s="3" t="s">
        <v>6001</v>
      </c>
      <c r="E1471" s="3" t="s">
        <v>5991</v>
      </c>
      <c r="F1471" s="7" t="s">
        <v>688</v>
      </c>
      <c r="G1471" s="3" t="s">
        <v>8645</v>
      </c>
      <c r="H1471" s="3" t="s">
        <v>5947</v>
      </c>
      <c r="I1471" s="3" t="s">
        <v>3079</v>
      </c>
      <c r="J1471" s="5" t="s">
        <v>5948</v>
      </c>
      <c r="L1471" s="3" t="s">
        <v>5949</v>
      </c>
      <c r="M1471" s="3">
        <v>6</v>
      </c>
      <c r="N1471" s="4" t="s">
        <v>5943</v>
      </c>
      <c r="O1471" s="4">
        <v>73</v>
      </c>
      <c r="P1471" s="11" t="s">
        <v>10190</v>
      </c>
      <c r="Q1471" s="11" t="s">
        <v>10273</v>
      </c>
      <c r="S1471" s="4" t="b">
        <f>ISNUMBER(MATCH(Q1471,T:T,0))</f>
        <v>1</v>
      </c>
      <c r="T1471" s="4" t="s">
        <v>10283</v>
      </c>
      <c r="U1471" s="4" t="str">
        <f t="shared" si="69"/>
        <v>忍</v>
      </c>
    </row>
    <row r="1472" spans="1:22">
      <c r="A1472" s="3">
        <v>1469</v>
      </c>
      <c r="B1472" s="3" t="s">
        <v>5940</v>
      </c>
      <c r="C1472" s="3" t="s">
        <v>6021</v>
      </c>
      <c r="D1472" s="3" t="s">
        <v>6001</v>
      </c>
      <c r="E1472" s="3" t="s">
        <v>5991</v>
      </c>
      <c r="F1472" s="7" t="s">
        <v>688</v>
      </c>
      <c r="G1472" s="3" t="s">
        <v>8645</v>
      </c>
      <c r="H1472" s="3" t="s">
        <v>5950</v>
      </c>
      <c r="I1472" s="3" t="s">
        <v>3079</v>
      </c>
      <c r="J1472" s="5" t="s">
        <v>5951</v>
      </c>
      <c r="L1472" s="3" t="s">
        <v>5952</v>
      </c>
      <c r="M1472" s="3">
        <v>3</v>
      </c>
      <c r="N1472" s="4" t="s">
        <v>5943</v>
      </c>
      <c r="O1472" s="4">
        <v>73</v>
      </c>
      <c r="P1472" s="11" t="s">
        <v>9761</v>
      </c>
      <c r="Q1472" s="11" t="s">
        <v>5943</v>
      </c>
      <c r="S1472" s="4" t="b">
        <f>ISNUMBER(MATCH(Q1472,T:T,0))</f>
        <v>1</v>
      </c>
      <c r="T1472" s="4" t="s">
        <v>10273</v>
      </c>
      <c r="U1472" s="4" t="str">
        <f t="shared" si="69"/>
        <v>軫</v>
      </c>
    </row>
    <row r="1473" spans="1:22">
      <c r="A1473" s="3">
        <v>1470</v>
      </c>
      <c r="B1473" s="3" t="s">
        <v>5940</v>
      </c>
      <c r="C1473" s="3" t="s">
        <v>6120</v>
      </c>
      <c r="D1473" s="3" t="s">
        <v>6001</v>
      </c>
      <c r="E1473" s="3" t="s">
        <v>5991</v>
      </c>
      <c r="F1473" s="7" t="s">
        <v>688</v>
      </c>
      <c r="G1473" s="3" t="s">
        <v>8645</v>
      </c>
      <c r="H1473" s="3" t="s">
        <v>5953</v>
      </c>
      <c r="I1473" s="3" t="s">
        <v>3079</v>
      </c>
      <c r="J1473" s="8" t="s">
        <v>4781</v>
      </c>
      <c r="L1473" s="3" t="s">
        <v>5954</v>
      </c>
      <c r="M1473" s="3">
        <v>6</v>
      </c>
      <c r="N1473" s="4" t="s">
        <v>5943</v>
      </c>
      <c r="O1473" s="4">
        <v>73</v>
      </c>
      <c r="P1473" s="11" t="s">
        <v>9793</v>
      </c>
      <c r="Q1473" s="11" t="s">
        <v>10273</v>
      </c>
      <c r="S1473" s="4" t="b">
        <f>ISNUMBER(MATCH(Q1473,T:T,0))</f>
        <v>1</v>
      </c>
      <c r="T1473" s="4" t="s">
        <v>11687</v>
      </c>
      <c r="U1473" s="4" t="str">
        <f t="shared" si="69"/>
        <v>忍</v>
      </c>
    </row>
    <row r="1474" spans="1:22">
      <c r="A1474" s="3">
        <v>1471</v>
      </c>
      <c r="B1474" s="3" t="s">
        <v>5940</v>
      </c>
      <c r="C1474" s="3" t="s">
        <v>6058</v>
      </c>
      <c r="D1474" s="3" t="s">
        <v>6001</v>
      </c>
      <c r="E1474" s="3" t="s">
        <v>5991</v>
      </c>
      <c r="F1474" s="7" t="s">
        <v>688</v>
      </c>
      <c r="G1474" s="3" t="s">
        <v>8645</v>
      </c>
      <c r="H1474" s="3" t="s">
        <v>5955</v>
      </c>
      <c r="I1474" s="3" t="s">
        <v>3079</v>
      </c>
      <c r="J1474" s="5" t="s">
        <v>4782</v>
      </c>
      <c r="L1474" s="3" t="s">
        <v>5956</v>
      </c>
      <c r="M1474" s="3">
        <v>5</v>
      </c>
      <c r="N1474" s="4" t="s">
        <v>5943</v>
      </c>
      <c r="O1474" s="4">
        <v>73</v>
      </c>
      <c r="P1474" s="11" t="s">
        <v>10084</v>
      </c>
      <c r="Q1474" s="11" t="s">
        <v>10273</v>
      </c>
      <c r="S1474" s="4" t="b">
        <f>ISNUMBER(MATCH(Q1474,T:T,0))</f>
        <v>1</v>
      </c>
      <c r="T1474" s="4" t="s">
        <v>11688</v>
      </c>
      <c r="U1474" s="4" t="str">
        <f t="shared" si="69"/>
        <v>忍</v>
      </c>
    </row>
    <row r="1475" spans="1:22">
      <c r="A1475" s="3">
        <v>1472</v>
      </c>
      <c r="B1475" s="3" t="s">
        <v>5940</v>
      </c>
      <c r="C1475" s="3" t="s">
        <v>6005</v>
      </c>
      <c r="D1475" s="3" t="s">
        <v>6001</v>
      </c>
      <c r="E1475" s="3" t="s">
        <v>5991</v>
      </c>
      <c r="F1475" s="7" t="s">
        <v>689</v>
      </c>
      <c r="G1475" s="3" t="s">
        <v>8645</v>
      </c>
      <c r="H1475" s="3" t="s">
        <v>5957</v>
      </c>
      <c r="I1475" s="3" t="s">
        <v>3079</v>
      </c>
      <c r="J1475" s="5" t="s">
        <v>5958</v>
      </c>
      <c r="L1475" s="3" t="s">
        <v>5959</v>
      </c>
      <c r="M1475" s="3">
        <v>4</v>
      </c>
      <c r="N1475" s="4" t="s">
        <v>5943</v>
      </c>
      <c r="O1475" s="4">
        <v>73</v>
      </c>
      <c r="P1475" s="11" t="s">
        <v>9709</v>
      </c>
      <c r="Q1475" s="11" t="s">
        <v>10274</v>
      </c>
      <c r="S1475" s="4" t="b">
        <f>ISNUMBER(MATCH(Q1475,T:T,0))</f>
        <v>1</v>
      </c>
      <c r="T1475" s="4" t="s">
        <v>10284</v>
      </c>
      <c r="U1475" s="4" t="str">
        <f t="shared" ref="U1475:U1538" si="70">IF(ISBLANK(R1475),Q1475,R1475)</f>
        <v>引</v>
      </c>
    </row>
    <row r="1476" spans="1:22">
      <c r="A1476" s="3">
        <v>1473</v>
      </c>
      <c r="B1476" s="3" t="s">
        <v>5940</v>
      </c>
      <c r="C1476" s="3" t="s">
        <v>6025</v>
      </c>
      <c r="D1476" s="3" t="s">
        <v>6001</v>
      </c>
      <c r="E1476" s="3" t="s">
        <v>5991</v>
      </c>
      <c r="F1476" s="7" t="s">
        <v>688</v>
      </c>
      <c r="G1476" s="3" t="s">
        <v>8645</v>
      </c>
      <c r="H1476" s="3" t="s">
        <v>5960</v>
      </c>
      <c r="I1476" s="3" t="s">
        <v>3079</v>
      </c>
      <c r="J1476" s="5" t="s">
        <v>5961</v>
      </c>
      <c r="L1476" s="3" t="s">
        <v>5962</v>
      </c>
      <c r="M1476" s="3">
        <v>4</v>
      </c>
      <c r="N1476" s="4" t="s">
        <v>5943</v>
      </c>
      <c r="O1476" s="4">
        <v>73</v>
      </c>
      <c r="P1476" s="11" t="s">
        <v>9717</v>
      </c>
      <c r="Q1476" s="11" t="s">
        <v>10273</v>
      </c>
      <c r="S1476" s="4" t="b">
        <f>ISNUMBER(MATCH(Q1476,T:T,0))</f>
        <v>1</v>
      </c>
      <c r="T1476" s="4" t="s">
        <v>11689</v>
      </c>
      <c r="U1476" s="4" t="str">
        <f t="shared" si="70"/>
        <v>忍</v>
      </c>
    </row>
    <row r="1477" spans="1:22">
      <c r="A1477" s="3">
        <v>1474</v>
      </c>
      <c r="B1477" s="3" t="s">
        <v>5940</v>
      </c>
      <c r="C1477" s="3" t="s">
        <v>6069</v>
      </c>
      <c r="D1477" s="3" t="s">
        <v>6001</v>
      </c>
      <c r="E1477" s="3" t="s">
        <v>5991</v>
      </c>
      <c r="F1477" s="7" t="s">
        <v>688</v>
      </c>
      <c r="G1477" s="3" t="s">
        <v>8645</v>
      </c>
      <c r="H1477" s="3" t="s">
        <v>5963</v>
      </c>
      <c r="I1477" s="3" t="s">
        <v>3079</v>
      </c>
      <c r="J1477" s="5" t="s">
        <v>5964</v>
      </c>
      <c r="L1477" s="3" t="s">
        <v>5965</v>
      </c>
      <c r="M1477" s="3">
        <v>2</v>
      </c>
      <c r="N1477" s="4" t="s">
        <v>5943</v>
      </c>
      <c r="O1477" s="4">
        <v>73</v>
      </c>
      <c r="P1477" s="11" t="s">
        <v>10244</v>
      </c>
      <c r="Q1477" s="11" t="s">
        <v>10273</v>
      </c>
      <c r="S1477" s="4" t="b">
        <f>ISNUMBER(MATCH(Q1477,T:T,0))</f>
        <v>1</v>
      </c>
      <c r="T1477" s="4" t="s">
        <v>10277</v>
      </c>
      <c r="U1477" s="4" t="str">
        <f t="shared" si="70"/>
        <v>忍</v>
      </c>
    </row>
    <row r="1478" spans="1:22">
      <c r="A1478" s="3">
        <v>1475</v>
      </c>
      <c r="B1478" s="3" t="s">
        <v>5940</v>
      </c>
      <c r="C1478" s="3" t="s">
        <v>6083</v>
      </c>
      <c r="D1478" s="3" t="s">
        <v>6001</v>
      </c>
      <c r="E1478" s="3" t="s">
        <v>5991</v>
      </c>
      <c r="F1478" s="7" t="s">
        <v>688</v>
      </c>
      <c r="G1478" s="3" t="s">
        <v>8645</v>
      </c>
      <c r="H1478" s="3" t="s">
        <v>5966</v>
      </c>
      <c r="I1478" s="3" t="s">
        <v>3079</v>
      </c>
      <c r="J1478" s="5" t="s">
        <v>5967</v>
      </c>
      <c r="L1478" s="3" t="s">
        <v>5962</v>
      </c>
      <c r="M1478" s="3">
        <v>2</v>
      </c>
      <c r="N1478" s="4" t="s">
        <v>5943</v>
      </c>
      <c r="O1478" s="4">
        <v>73</v>
      </c>
      <c r="P1478" s="11" t="s">
        <v>9760</v>
      </c>
      <c r="Q1478" s="11" t="s">
        <v>10273</v>
      </c>
      <c r="S1478" s="4" t="b">
        <f>ISNUMBER(MATCH(Q1478,T:T,0))</f>
        <v>1</v>
      </c>
      <c r="T1478" s="4" t="s">
        <v>11690</v>
      </c>
      <c r="U1478" s="4" t="str">
        <f t="shared" si="70"/>
        <v>忍</v>
      </c>
    </row>
    <row r="1479" spans="1:22">
      <c r="A1479" s="3">
        <v>1476</v>
      </c>
      <c r="B1479" s="3" t="s">
        <v>5940</v>
      </c>
      <c r="C1479" s="3" t="s">
        <v>6045</v>
      </c>
      <c r="D1479" s="3" t="s">
        <v>6001</v>
      </c>
      <c r="E1479" s="3" t="s">
        <v>5991</v>
      </c>
      <c r="F1479" s="7" t="s">
        <v>688</v>
      </c>
      <c r="G1479" s="3" t="s">
        <v>8645</v>
      </c>
      <c r="H1479" s="3" t="s">
        <v>5968</v>
      </c>
      <c r="I1479" s="3" t="s">
        <v>3079</v>
      </c>
      <c r="J1479" s="5" t="s">
        <v>5969</v>
      </c>
      <c r="L1479" s="3" t="s">
        <v>5970</v>
      </c>
      <c r="M1479" s="3">
        <v>4</v>
      </c>
      <c r="N1479" s="4" t="s">
        <v>5943</v>
      </c>
      <c r="O1479" s="4">
        <v>73</v>
      </c>
      <c r="P1479" s="11" t="s">
        <v>10275</v>
      </c>
      <c r="Q1479" s="11" t="s">
        <v>10273</v>
      </c>
      <c r="S1479" s="4" t="b">
        <f>ISNUMBER(MATCH(Q1479,T:T,0))</f>
        <v>1</v>
      </c>
      <c r="T1479" s="4" t="s">
        <v>8898</v>
      </c>
      <c r="U1479" s="4" t="str">
        <f t="shared" si="70"/>
        <v>忍</v>
      </c>
    </row>
    <row r="1480" spans="1:22">
      <c r="A1480" s="3">
        <v>1477</v>
      </c>
      <c r="B1480" s="3" t="s">
        <v>5940</v>
      </c>
      <c r="C1480" s="3" t="s">
        <v>6092</v>
      </c>
      <c r="D1480" s="3" t="s">
        <v>6001</v>
      </c>
      <c r="E1480" s="3" t="s">
        <v>5991</v>
      </c>
      <c r="F1480" s="7" t="s">
        <v>688</v>
      </c>
      <c r="G1480" s="3" t="s">
        <v>8645</v>
      </c>
      <c r="H1480" s="3" t="s">
        <v>5971</v>
      </c>
      <c r="I1480" s="3" t="s">
        <v>3079</v>
      </c>
      <c r="J1480" s="5" t="s">
        <v>5972</v>
      </c>
      <c r="L1480" s="3" t="s">
        <v>5973</v>
      </c>
      <c r="M1480" s="3">
        <v>5</v>
      </c>
      <c r="N1480" s="4" t="s">
        <v>5943</v>
      </c>
      <c r="O1480" s="4">
        <v>73</v>
      </c>
      <c r="P1480" s="11" t="s">
        <v>9792</v>
      </c>
      <c r="Q1480" s="11" t="s">
        <v>10274</v>
      </c>
      <c r="S1480" s="4" t="b">
        <f>ISNUMBER(MATCH(Q1480,T:T,0))</f>
        <v>1</v>
      </c>
      <c r="T1480" s="4" t="s">
        <v>11691</v>
      </c>
      <c r="U1480" s="4" t="str">
        <f t="shared" si="70"/>
        <v>引</v>
      </c>
    </row>
    <row r="1481" spans="1:22">
      <c r="A1481" s="3">
        <v>1478</v>
      </c>
      <c r="B1481" s="3" t="s">
        <v>5940</v>
      </c>
      <c r="C1481" s="3" t="s">
        <v>6076</v>
      </c>
      <c r="D1481" s="3" t="s">
        <v>6001</v>
      </c>
      <c r="E1481" s="3" t="s">
        <v>5991</v>
      </c>
      <c r="F1481" s="7" t="s">
        <v>688</v>
      </c>
      <c r="G1481" s="3" t="s">
        <v>8645</v>
      </c>
      <c r="H1481" s="3" t="s">
        <v>5974</v>
      </c>
      <c r="I1481" s="3" t="s">
        <v>3079</v>
      </c>
      <c r="J1481" s="5" t="s">
        <v>5975</v>
      </c>
      <c r="L1481" s="3" t="s">
        <v>5976</v>
      </c>
      <c r="M1481" s="3">
        <v>1</v>
      </c>
      <c r="N1481" s="4" t="s">
        <v>5943</v>
      </c>
      <c r="O1481" s="4">
        <v>73</v>
      </c>
      <c r="P1481" s="11" t="s">
        <v>9766</v>
      </c>
      <c r="Q1481" s="11" t="s">
        <v>10273</v>
      </c>
      <c r="S1481" s="4" t="b">
        <f>ISNUMBER(MATCH(Q1481,T:T,0))</f>
        <v>1</v>
      </c>
      <c r="T1481" s="4" t="s">
        <v>5975</v>
      </c>
      <c r="U1481" s="4" t="str">
        <f t="shared" si="70"/>
        <v>忍</v>
      </c>
    </row>
    <row r="1482" spans="1:22">
      <c r="A1482" s="3">
        <v>1479</v>
      </c>
      <c r="B1482" s="3" t="s">
        <v>5940</v>
      </c>
      <c r="C1482" s="3" t="s">
        <v>6041</v>
      </c>
      <c r="D1482" s="3" t="s">
        <v>6001</v>
      </c>
      <c r="E1482" s="3" t="s">
        <v>6212</v>
      </c>
      <c r="F1482" s="7" t="s">
        <v>689</v>
      </c>
      <c r="G1482" s="3" t="s">
        <v>8645</v>
      </c>
      <c r="H1482" s="3" t="s">
        <v>5977</v>
      </c>
      <c r="I1482" s="3" t="s">
        <v>3079</v>
      </c>
      <c r="J1482" s="5" t="s">
        <v>4783</v>
      </c>
      <c r="L1482" s="3" t="s">
        <v>5978</v>
      </c>
      <c r="M1482" s="3">
        <v>10</v>
      </c>
      <c r="N1482" s="4" t="s">
        <v>5943</v>
      </c>
      <c r="O1482" s="4">
        <v>73</v>
      </c>
      <c r="P1482" s="11" t="s">
        <v>9721</v>
      </c>
      <c r="Q1482" s="11" t="s">
        <v>10276</v>
      </c>
      <c r="S1482" s="4" t="b">
        <f>ISNUMBER(MATCH(Q1482,T:T,0))</f>
        <v>1</v>
      </c>
      <c r="T1482" s="4" t="s">
        <v>11692</v>
      </c>
      <c r="U1482" s="4" t="str">
        <f t="shared" si="70"/>
        <v>殞</v>
      </c>
    </row>
    <row r="1483" spans="1:22">
      <c r="A1483" s="3">
        <v>1480</v>
      </c>
      <c r="B1483" s="3" t="s">
        <v>5940</v>
      </c>
      <c r="C1483" s="3" t="s">
        <v>6028</v>
      </c>
      <c r="D1483" s="3" t="s">
        <v>6001</v>
      </c>
      <c r="E1483" s="3" t="s">
        <v>5991</v>
      </c>
      <c r="F1483" s="7" t="s">
        <v>688</v>
      </c>
      <c r="G1483" s="3" t="s">
        <v>8645</v>
      </c>
      <c r="H1483" s="3" t="s">
        <v>5979</v>
      </c>
      <c r="I1483" s="3" t="s">
        <v>3079</v>
      </c>
      <c r="J1483" s="5" t="s">
        <v>4784</v>
      </c>
      <c r="L1483" s="3" t="s">
        <v>5973</v>
      </c>
      <c r="M1483" s="3">
        <v>14</v>
      </c>
      <c r="N1483" s="4" t="s">
        <v>5943</v>
      </c>
      <c r="O1483" s="4">
        <v>73</v>
      </c>
      <c r="P1483" s="11" t="s">
        <v>9850</v>
      </c>
      <c r="Q1483" s="11" t="s">
        <v>10273</v>
      </c>
      <c r="S1483" s="4" t="b">
        <f>ISNUMBER(MATCH(Q1483,T:T,0))</f>
        <v>1</v>
      </c>
      <c r="T1483" s="4" t="s">
        <v>10274</v>
      </c>
      <c r="U1483" s="4" t="str">
        <f t="shared" si="70"/>
        <v>忍</v>
      </c>
    </row>
    <row r="1484" spans="1:22">
      <c r="A1484" s="3">
        <v>1481</v>
      </c>
      <c r="B1484" s="3" t="s">
        <v>5940</v>
      </c>
      <c r="C1484" s="3" t="s">
        <v>6035</v>
      </c>
      <c r="D1484" s="3" t="s">
        <v>6001</v>
      </c>
      <c r="E1484" s="3" t="s">
        <v>5991</v>
      </c>
      <c r="F1484" s="7" t="s">
        <v>689</v>
      </c>
      <c r="G1484" s="3" t="s">
        <v>8645</v>
      </c>
      <c r="H1484" s="3" t="s">
        <v>5980</v>
      </c>
      <c r="I1484" s="3" t="s">
        <v>3079</v>
      </c>
      <c r="J1484" s="5" t="s">
        <v>4785</v>
      </c>
      <c r="L1484" s="3" t="s">
        <v>5981</v>
      </c>
      <c r="M1484" s="3">
        <v>14</v>
      </c>
      <c r="N1484" s="4" t="s">
        <v>5943</v>
      </c>
      <c r="O1484" s="4">
        <v>73</v>
      </c>
      <c r="P1484" s="11" t="s">
        <v>9817</v>
      </c>
      <c r="Q1484" s="11" t="s">
        <v>10276</v>
      </c>
      <c r="S1484" s="4" t="b">
        <f>ISNUMBER(MATCH(Q1484,T:T,0))</f>
        <v>1</v>
      </c>
      <c r="T1484" s="4" t="s">
        <v>11693</v>
      </c>
      <c r="U1484" s="4" t="str">
        <f t="shared" si="70"/>
        <v>殞</v>
      </c>
    </row>
    <row r="1485" spans="1:22">
      <c r="A1485" s="3">
        <v>1482</v>
      </c>
      <c r="B1485" s="3" t="s">
        <v>5940</v>
      </c>
      <c r="C1485" s="3" t="s">
        <v>6035</v>
      </c>
      <c r="D1485" s="3" t="s">
        <v>6001</v>
      </c>
      <c r="E1485" s="3" t="s">
        <v>5991</v>
      </c>
      <c r="F1485" s="7" t="s">
        <v>688</v>
      </c>
      <c r="G1485" s="3" t="s">
        <v>8645</v>
      </c>
      <c r="H1485" s="3" t="s">
        <v>5982</v>
      </c>
      <c r="I1485" s="3" t="s">
        <v>3079</v>
      </c>
      <c r="J1485" s="5" t="s">
        <v>5983</v>
      </c>
      <c r="L1485" s="3" t="s">
        <v>5981</v>
      </c>
      <c r="M1485" s="3">
        <v>10</v>
      </c>
      <c r="N1485" s="4" t="s">
        <v>5943</v>
      </c>
      <c r="O1485" s="4">
        <v>73</v>
      </c>
      <c r="P1485" s="11" t="s">
        <v>9794</v>
      </c>
      <c r="Q1485" s="11" t="s">
        <v>10277</v>
      </c>
      <c r="S1485" s="4" t="b">
        <f>ISNUMBER(MATCH(Q1485,T:T,0))</f>
        <v>1</v>
      </c>
      <c r="T1485" s="4" t="s">
        <v>11694</v>
      </c>
      <c r="U1485" s="4" t="str">
        <f t="shared" si="70"/>
        <v>盡</v>
      </c>
    </row>
    <row r="1486" spans="1:22">
      <c r="A1486" s="3">
        <v>1483</v>
      </c>
      <c r="B1486" s="3" t="s">
        <v>5940</v>
      </c>
      <c r="C1486" s="3" t="s">
        <v>6032</v>
      </c>
      <c r="D1486" s="3" t="s">
        <v>6001</v>
      </c>
      <c r="E1486" s="3" t="s">
        <v>6212</v>
      </c>
      <c r="F1486" s="7" t="s">
        <v>689</v>
      </c>
      <c r="G1486" s="3" t="s">
        <v>8645</v>
      </c>
      <c r="H1486" s="3" t="s">
        <v>5984</v>
      </c>
      <c r="I1486" s="3" t="s">
        <v>3079</v>
      </c>
      <c r="J1486" s="5" t="s">
        <v>4786</v>
      </c>
      <c r="L1486" s="3" t="s">
        <v>5985</v>
      </c>
      <c r="M1486" s="3">
        <v>7</v>
      </c>
      <c r="N1486" s="4" t="s">
        <v>5943</v>
      </c>
      <c r="O1486" s="4">
        <v>73</v>
      </c>
      <c r="P1486" s="11" t="s">
        <v>9859</v>
      </c>
      <c r="Q1486" s="11" t="s">
        <v>10278</v>
      </c>
      <c r="R1486" s="4" t="s">
        <v>13087</v>
      </c>
      <c r="S1486" s="4" t="b">
        <f>ISNUMBER(MATCH(Q1486,T:T,0))</f>
        <v>0</v>
      </c>
      <c r="T1486" s="4" t="s">
        <v>10276</v>
      </c>
      <c r="U1486" s="4" t="str">
        <f t="shared" si="70"/>
        <v>愍</v>
      </c>
      <c r="V1486" s="4" t="b">
        <f>ISNUMBER(MATCH(R1486,T:T,0))</f>
        <v>1</v>
      </c>
    </row>
    <row r="1487" spans="1:22">
      <c r="A1487" s="3">
        <v>1494</v>
      </c>
      <c r="B1487" s="3" t="s">
        <v>5940</v>
      </c>
      <c r="C1487" s="3" t="s">
        <v>6038</v>
      </c>
      <c r="D1487" s="3" t="s">
        <v>6001</v>
      </c>
      <c r="E1487" s="3" t="s">
        <v>5991</v>
      </c>
      <c r="F1487" s="7" t="s">
        <v>688</v>
      </c>
      <c r="G1487" s="3" t="s">
        <v>8645</v>
      </c>
      <c r="H1487" s="7" t="s">
        <v>748</v>
      </c>
      <c r="I1487" s="3" t="s">
        <v>3079</v>
      </c>
      <c r="J1487" s="5" t="s">
        <v>126</v>
      </c>
      <c r="L1487" s="3" t="s">
        <v>5976</v>
      </c>
      <c r="M1487" s="3">
        <v>3</v>
      </c>
      <c r="N1487" s="4" t="s">
        <v>5943</v>
      </c>
      <c r="O1487" s="4">
        <v>73</v>
      </c>
      <c r="P1487" s="11" t="s">
        <v>10282</v>
      </c>
      <c r="Q1487" s="11" t="s">
        <v>10273</v>
      </c>
      <c r="S1487" s="4" t="b">
        <f>ISNUMBER(MATCH(Q1487,T:T,0))</f>
        <v>1</v>
      </c>
      <c r="T1487" s="4" t="s">
        <v>5604</v>
      </c>
      <c r="U1487" s="4" t="str">
        <f t="shared" si="70"/>
        <v>忍</v>
      </c>
    </row>
    <row r="1488" spans="1:22">
      <c r="A1488" s="3">
        <v>1496</v>
      </c>
      <c r="B1488" s="3" t="s">
        <v>5940</v>
      </c>
      <c r="C1488" s="3" t="s">
        <v>6089</v>
      </c>
      <c r="D1488" s="3" t="s">
        <v>6001</v>
      </c>
      <c r="E1488" s="3" t="s">
        <v>5991</v>
      </c>
      <c r="F1488" s="7" t="s">
        <v>688</v>
      </c>
      <c r="G1488" s="3" t="s">
        <v>8645</v>
      </c>
      <c r="H1488" s="3" t="s">
        <v>130</v>
      </c>
      <c r="I1488" s="3" t="s">
        <v>3079</v>
      </c>
      <c r="J1488" s="8" t="s">
        <v>4791</v>
      </c>
      <c r="L1488" s="3" t="s">
        <v>131</v>
      </c>
      <c r="M1488" s="3">
        <v>2</v>
      </c>
      <c r="N1488" s="4" t="s">
        <v>5943</v>
      </c>
      <c r="O1488" s="4">
        <v>73</v>
      </c>
      <c r="P1488" s="11" t="s">
        <v>10216</v>
      </c>
      <c r="Q1488" s="11" t="s">
        <v>10283</v>
      </c>
      <c r="S1488" s="4" t="b">
        <f>ISNUMBER(MATCH(Q1488,T:T,0))</f>
        <v>1</v>
      </c>
      <c r="T1488" s="4" t="s">
        <v>11699</v>
      </c>
      <c r="U1488" s="4" t="str">
        <f t="shared" si="70"/>
        <v>腎</v>
      </c>
    </row>
    <row r="1489" spans="1:22">
      <c r="A1489" s="3">
        <v>1497</v>
      </c>
      <c r="B1489" s="3" t="s">
        <v>5940</v>
      </c>
      <c r="C1489" s="3" t="s">
        <v>6015</v>
      </c>
      <c r="D1489" s="3" t="s">
        <v>6001</v>
      </c>
      <c r="E1489" s="3" t="s">
        <v>5991</v>
      </c>
      <c r="F1489" s="7" t="s">
        <v>689</v>
      </c>
      <c r="G1489" s="3" t="s">
        <v>8645</v>
      </c>
      <c r="H1489" s="3" t="s">
        <v>132</v>
      </c>
      <c r="I1489" s="3" t="s">
        <v>3079</v>
      </c>
      <c r="J1489" s="5" t="s">
        <v>133</v>
      </c>
      <c r="L1489" s="3" t="s">
        <v>5949</v>
      </c>
      <c r="M1489" s="3">
        <v>1</v>
      </c>
      <c r="N1489" s="4" t="s">
        <v>5943</v>
      </c>
      <c r="O1489" s="4">
        <v>73</v>
      </c>
      <c r="P1489" s="11" t="s">
        <v>10041</v>
      </c>
      <c r="Q1489" s="11" t="s">
        <v>10284</v>
      </c>
      <c r="S1489" s="4" t="b">
        <f>ISNUMBER(MATCH(Q1489,T:T,0))</f>
        <v>1</v>
      </c>
      <c r="T1489" s="4" t="s">
        <v>133</v>
      </c>
      <c r="U1489" s="4" t="str">
        <f t="shared" si="70"/>
        <v>紖</v>
      </c>
    </row>
    <row r="1490" spans="1:22">
      <c r="A1490" s="3">
        <v>1498</v>
      </c>
      <c r="B1490" s="3" t="s">
        <v>5940</v>
      </c>
      <c r="C1490" s="3" t="s">
        <v>6009</v>
      </c>
      <c r="D1490" s="3" t="s">
        <v>6001</v>
      </c>
      <c r="E1490" s="3" t="s">
        <v>5991</v>
      </c>
      <c r="F1490" s="7" t="s">
        <v>688</v>
      </c>
      <c r="G1490" s="3" t="s">
        <v>8645</v>
      </c>
      <c r="H1490" s="3" t="s">
        <v>134</v>
      </c>
      <c r="I1490" s="3" t="s">
        <v>3079</v>
      </c>
      <c r="J1490" s="8" t="s">
        <v>135</v>
      </c>
      <c r="L1490" s="3" t="s">
        <v>5942</v>
      </c>
      <c r="M1490" s="3">
        <v>1</v>
      </c>
      <c r="N1490" s="4" t="s">
        <v>5943</v>
      </c>
      <c r="O1490" s="4">
        <v>73</v>
      </c>
      <c r="P1490" s="11" t="s">
        <v>9930</v>
      </c>
      <c r="Q1490" s="11" t="s">
        <v>10273</v>
      </c>
      <c r="S1490" s="4" t="b">
        <f>ISNUMBER(MATCH(Q1490,T:T,0))</f>
        <v>1</v>
      </c>
      <c r="T1490" s="4" t="s">
        <v>135</v>
      </c>
      <c r="U1490" s="4" t="str">
        <f t="shared" si="70"/>
        <v>忍</v>
      </c>
    </row>
    <row r="1491" spans="1:22">
      <c r="A1491" s="3">
        <v>1484</v>
      </c>
      <c r="B1491" s="3" t="s">
        <v>5986</v>
      </c>
      <c r="C1491" s="3" t="s">
        <v>6009</v>
      </c>
      <c r="D1491" s="3" t="s">
        <v>6001</v>
      </c>
      <c r="E1491" s="3" t="s">
        <v>6212</v>
      </c>
      <c r="F1491" s="3" t="s">
        <v>6769</v>
      </c>
      <c r="G1491" s="3" t="s">
        <v>8645</v>
      </c>
      <c r="H1491" s="3" t="s">
        <v>103</v>
      </c>
      <c r="I1491" s="3" t="s">
        <v>3079</v>
      </c>
      <c r="J1491" s="5" t="s">
        <v>104</v>
      </c>
      <c r="L1491" s="3" t="s">
        <v>105</v>
      </c>
      <c r="M1491" s="3">
        <v>4</v>
      </c>
      <c r="N1491" s="4" t="s">
        <v>9637</v>
      </c>
      <c r="O1491" s="4">
        <v>74</v>
      </c>
      <c r="P1491" s="11" t="s">
        <v>6396</v>
      </c>
      <c r="Q1491" s="11" t="s">
        <v>10279</v>
      </c>
      <c r="S1491" s="4" t="b">
        <f>ISNUMBER(MATCH(Q1491,T:T,0))</f>
        <v>1</v>
      </c>
      <c r="T1491" s="4" t="s">
        <v>9637</v>
      </c>
      <c r="U1491" s="4" t="str">
        <f t="shared" si="70"/>
        <v>尹</v>
      </c>
    </row>
    <row r="1492" spans="1:22">
      <c r="A1492" s="3">
        <v>1485</v>
      </c>
      <c r="B1492" s="3" t="s">
        <v>5986</v>
      </c>
      <c r="C1492" s="3" t="s">
        <v>6028</v>
      </c>
      <c r="D1492" s="3" t="s">
        <v>6001</v>
      </c>
      <c r="E1492" s="3" t="s">
        <v>6212</v>
      </c>
      <c r="F1492" s="3" t="s">
        <v>6769</v>
      </c>
      <c r="G1492" s="3" t="s">
        <v>8645</v>
      </c>
      <c r="H1492" s="3" t="s">
        <v>106</v>
      </c>
      <c r="I1492" s="3" t="s">
        <v>3079</v>
      </c>
      <c r="J1492" s="5" t="s">
        <v>4787</v>
      </c>
      <c r="L1492" s="3" t="s">
        <v>5985</v>
      </c>
      <c r="M1492" s="3">
        <v>8</v>
      </c>
      <c r="N1492" s="4" t="s">
        <v>9637</v>
      </c>
      <c r="O1492" s="4">
        <v>74</v>
      </c>
      <c r="P1492" s="11" t="s">
        <v>9850</v>
      </c>
      <c r="Q1492" s="11" t="s">
        <v>9637</v>
      </c>
      <c r="S1492" s="4" t="b">
        <f>ISNUMBER(MATCH(Q1492,T:T,0))</f>
        <v>1</v>
      </c>
      <c r="T1492" s="4" t="s">
        <v>10279</v>
      </c>
      <c r="U1492" s="4" t="str">
        <f t="shared" si="70"/>
        <v>準</v>
      </c>
    </row>
    <row r="1493" spans="1:22">
      <c r="A1493" s="3">
        <v>1486</v>
      </c>
      <c r="B1493" s="3" t="s">
        <v>5986</v>
      </c>
      <c r="C1493" s="3" t="s">
        <v>6017</v>
      </c>
      <c r="D1493" s="3" t="s">
        <v>6001</v>
      </c>
      <c r="E1493" s="3" t="s">
        <v>6212</v>
      </c>
      <c r="F1493" s="3" t="s">
        <v>6769</v>
      </c>
      <c r="G1493" s="3" t="s">
        <v>8645</v>
      </c>
      <c r="H1493" s="3" t="s">
        <v>107</v>
      </c>
      <c r="I1493" s="3" t="s">
        <v>3079</v>
      </c>
      <c r="J1493" s="5" t="s">
        <v>4788</v>
      </c>
      <c r="L1493" s="3" t="s">
        <v>108</v>
      </c>
      <c r="M1493" s="3">
        <v>9</v>
      </c>
      <c r="N1493" s="4" t="s">
        <v>9637</v>
      </c>
      <c r="O1493" s="4">
        <v>74</v>
      </c>
      <c r="P1493" s="11" t="s">
        <v>9963</v>
      </c>
      <c r="Q1493" s="11" t="s">
        <v>10279</v>
      </c>
      <c r="S1493" s="4" t="b">
        <f>ISNUMBER(MATCH(Q1493,T:T,0))</f>
        <v>1</v>
      </c>
      <c r="T1493" s="4" t="s">
        <v>11695</v>
      </c>
      <c r="U1493" s="4" t="str">
        <f t="shared" si="70"/>
        <v>尹</v>
      </c>
    </row>
    <row r="1494" spans="1:22">
      <c r="A1494" s="3">
        <v>1487</v>
      </c>
      <c r="B1494" s="3" t="s">
        <v>5986</v>
      </c>
      <c r="C1494" s="3" t="s">
        <v>6021</v>
      </c>
      <c r="D1494" s="3" t="s">
        <v>6001</v>
      </c>
      <c r="E1494" s="3" t="s">
        <v>6212</v>
      </c>
      <c r="F1494" s="3" t="s">
        <v>6769</v>
      </c>
      <c r="G1494" s="3" t="s">
        <v>8645</v>
      </c>
      <c r="H1494" s="3" t="s">
        <v>109</v>
      </c>
      <c r="I1494" s="3" t="s">
        <v>3079</v>
      </c>
      <c r="J1494" s="5" t="s">
        <v>110</v>
      </c>
      <c r="L1494" s="3" t="s">
        <v>111</v>
      </c>
      <c r="M1494" s="3">
        <v>1</v>
      </c>
      <c r="N1494" s="4" t="s">
        <v>9637</v>
      </c>
      <c r="O1494" s="4">
        <v>74</v>
      </c>
      <c r="P1494" s="11" t="s">
        <v>9761</v>
      </c>
      <c r="Q1494" s="11" t="s">
        <v>10280</v>
      </c>
      <c r="R1494" s="4" t="s">
        <v>13088</v>
      </c>
      <c r="S1494" s="4" t="b">
        <f>ISNUMBER(MATCH(Q1494,T:T,0))</f>
        <v>0</v>
      </c>
      <c r="T1494" s="4" t="s">
        <v>110</v>
      </c>
      <c r="U1494" s="4" t="str">
        <f t="shared" si="70"/>
        <v>尹</v>
      </c>
      <c r="V1494" s="4" t="b">
        <f>ISNUMBER(MATCH(R1494,T:T,0))</f>
        <v>1</v>
      </c>
    </row>
    <row r="1495" spans="1:22">
      <c r="A1495" s="3">
        <v>1488</v>
      </c>
      <c r="B1495" s="3" t="s">
        <v>5986</v>
      </c>
      <c r="C1495" s="3" t="s">
        <v>6055</v>
      </c>
      <c r="D1495" s="3" t="s">
        <v>6001</v>
      </c>
      <c r="E1495" s="3" t="s">
        <v>6212</v>
      </c>
      <c r="F1495" s="3" t="s">
        <v>6769</v>
      </c>
      <c r="G1495" s="3" t="s">
        <v>8645</v>
      </c>
      <c r="H1495" s="3" t="s">
        <v>112</v>
      </c>
      <c r="I1495" s="3" t="s">
        <v>3079</v>
      </c>
      <c r="J1495" s="5" t="s">
        <v>4789</v>
      </c>
      <c r="L1495" s="3" t="s">
        <v>113</v>
      </c>
      <c r="M1495" s="3">
        <v>9</v>
      </c>
      <c r="N1495" s="4" t="s">
        <v>9637</v>
      </c>
      <c r="O1495" s="4">
        <v>74</v>
      </c>
      <c r="P1495" s="11" t="s">
        <v>9749</v>
      </c>
      <c r="Q1495" s="11" t="s">
        <v>10279</v>
      </c>
      <c r="S1495" s="4" t="b">
        <f>ISNUMBER(MATCH(Q1495,T:T,0))</f>
        <v>1</v>
      </c>
      <c r="T1495" s="4" t="s">
        <v>11696</v>
      </c>
      <c r="U1495" s="4" t="str">
        <f t="shared" si="70"/>
        <v>尹</v>
      </c>
    </row>
    <row r="1496" spans="1:22">
      <c r="A1496" s="3">
        <v>1489</v>
      </c>
      <c r="B1496" s="3" t="s">
        <v>5986</v>
      </c>
      <c r="C1496" s="3" t="s">
        <v>3093</v>
      </c>
      <c r="D1496" s="3" t="s">
        <v>6001</v>
      </c>
      <c r="E1496" s="3" t="s">
        <v>6212</v>
      </c>
      <c r="F1496" s="3" t="s">
        <v>6769</v>
      </c>
      <c r="G1496" s="3" t="s">
        <v>8645</v>
      </c>
      <c r="H1496" s="3" t="s">
        <v>114</v>
      </c>
      <c r="I1496" s="3" t="s">
        <v>3079</v>
      </c>
      <c r="J1496" s="5" t="s">
        <v>115</v>
      </c>
      <c r="L1496" s="3" t="s">
        <v>116</v>
      </c>
      <c r="M1496" s="3">
        <v>4</v>
      </c>
      <c r="N1496" s="4" t="s">
        <v>9637</v>
      </c>
      <c r="O1496" s="4">
        <v>74</v>
      </c>
      <c r="P1496" s="11" t="s">
        <v>9929</v>
      </c>
      <c r="Q1496" s="11" t="s">
        <v>10279</v>
      </c>
      <c r="S1496" s="4" t="b">
        <f>ISNUMBER(MATCH(Q1496,T:T,0))</f>
        <v>1</v>
      </c>
      <c r="T1496" s="4" t="s">
        <v>11697</v>
      </c>
      <c r="U1496" s="4" t="str">
        <f t="shared" si="70"/>
        <v>尹</v>
      </c>
    </row>
    <row r="1497" spans="1:22">
      <c r="A1497" s="3">
        <v>1490</v>
      </c>
      <c r="B1497" s="3" t="s">
        <v>5986</v>
      </c>
      <c r="C1497" s="3" t="s">
        <v>6011</v>
      </c>
      <c r="D1497" s="3" t="s">
        <v>6001</v>
      </c>
      <c r="E1497" s="3" t="s">
        <v>6212</v>
      </c>
      <c r="F1497" s="3" t="s">
        <v>6769</v>
      </c>
      <c r="G1497" s="3" t="s">
        <v>8645</v>
      </c>
      <c r="H1497" s="3" t="s">
        <v>117</v>
      </c>
      <c r="I1497" s="3" t="s">
        <v>3079</v>
      </c>
      <c r="J1497" s="5" t="s">
        <v>118</v>
      </c>
      <c r="L1497" s="3" t="s">
        <v>113</v>
      </c>
      <c r="M1497" s="3">
        <v>1</v>
      </c>
      <c r="N1497" s="4" t="s">
        <v>9637</v>
      </c>
      <c r="O1497" s="4">
        <v>74</v>
      </c>
      <c r="P1497" s="11" t="s">
        <v>10281</v>
      </c>
      <c r="Q1497" s="11" t="s">
        <v>9637</v>
      </c>
      <c r="S1497" s="4" t="b">
        <f>ISNUMBER(MATCH(Q1497,T:T,0))</f>
        <v>1</v>
      </c>
      <c r="T1497" s="4" t="s">
        <v>118</v>
      </c>
      <c r="U1497" s="4" t="str">
        <f t="shared" si="70"/>
        <v>準</v>
      </c>
    </row>
    <row r="1498" spans="1:22">
      <c r="A1498" s="3">
        <v>1491</v>
      </c>
      <c r="B1498" s="3" t="s">
        <v>5986</v>
      </c>
      <c r="C1498" s="3" t="s">
        <v>6058</v>
      </c>
      <c r="D1498" s="3" t="s">
        <v>6001</v>
      </c>
      <c r="E1498" s="3" t="s">
        <v>6212</v>
      </c>
      <c r="F1498" s="3" t="s">
        <v>6769</v>
      </c>
      <c r="G1498" s="3" t="s">
        <v>8645</v>
      </c>
      <c r="H1498" s="3" t="s">
        <v>119</v>
      </c>
      <c r="I1498" s="3" t="s">
        <v>3079</v>
      </c>
      <c r="J1498" s="8" t="s">
        <v>4790</v>
      </c>
      <c r="L1498" s="3" t="s">
        <v>120</v>
      </c>
      <c r="M1498" s="3">
        <v>2</v>
      </c>
      <c r="N1498" s="4" t="s">
        <v>9637</v>
      </c>
      <c r="O1498" s="4">
        <v>74</v>
      </c>
      <c r="P1498" s="11" t="s">
        <v>9727</v>
      </c>
      <c r="Q1498" s="11" t="s">
        <v>9637</v>
      </c>
      <c r="S1498" s="4" t="b">
        <f>ISNUMBER(MATCH(Q1498,T:T,0))</f>
        <v>1</v>
      </c>
      <c r="T1498" s="4" t="s">
        <v>11698</v>
      </c>
      <c r="U1498" s="4" t="str">
        <f t="shared" si="70"/>
        <v>準</v>
      </c>
    </row>
    <row r="1499" spans="1:22">
      <c r="A1499" s="3">
        <v>1492</v>
      </c>
      <c r="B1499" s="3" t="s">
        <v>5986</v>
      </c>
      <c r="C1499" s="3" t="s">
        <v>6021</v>
      </c>
      <c r="D1499" s="3" t="s">
        <v>6001</v>
      </c>
      <c r="E1499" s="3" t="s">
        <v>6212</v>
      </c>
      <c r="F1499" s="3" t="s">
        <v>6769</v>
      </c>
      <c r="G1499" s="3" t="s">
        <v>8645</v>
      </c>
      <c r="H1499" s="3" t="s">
        <v>121</v>
      </c>
      <c r="I1499" s="3" t="s">
        <v>3079</v>
      </c>
      <c r="J1499" s="5" t="s">
        <v>122</v>
      </c>
      <c r="L1499" s="3" t="s">
        <v>111</v>
      </c>
      <c r="M1499" s="3">
        <v>1</v>
      </c>
      <c r="N1499" s="4" t="s">
        <v>9637</v>
      </c>
      <c r="O1499" s="4">
        <v>74</v>
      </c>
      <c r="P1499" s="11" t="s">
        <v>9761</v>
      </c>
      <c r="Q1499" s="11" t="s">
        <v>10279</v>
      </c>
      <c r="S1499" s="4" t="b">
        <f>ISNUMBER(MATCH(Q1499,T:T,0))</f>
        <v>1</v>
      </c>
      <c r="T1499" s="4" t="s">
        <v>122</v>
      </c>
      <c r="U1499" s="4" t="str">
        <f t="shared" si="70"/>
        <v>尹</v>
      </c>
    </row>
    <row r="1500" spans="1:22">
      <c r="A1500" s="3">
        <v>1493</v>
      </c>
      <c r="B1500" s="3" t="s">
        <v>5986</v>
      </c>
      <c r="C1500" s="3" t="s">
        <v>6038</v>
      </c>
      <c r="D1500" s="3" t="s">
        <v>6001</v>
      </c>
      <c r="E1500" s="3" t="s">
        <v>6212</v>
      </c>
      <c r="F1500" s="3" t="s">
        <v>6769</v>
      </c>
      <c r="G1500" s="3" t="s">
        <v>8645</v>
      </c>
      <c r="H1500" s="3" t="s">
        <v>123</v>
      </c>
      <c r="I1500" s="3" t="s">
        <v>3079</v>
      </c>
      <c r="J1500" s="5" t="s">
        <v>124</v>
      </c>
      <c r="L1500" s="3" t="s">
        <v>125</v>
      </c>
      <c r="M1500" s="3">
        <v>1</v>
      </c>
      <c r="N1500" s="4" t="s">
        <v>9637</v>
      </c>
      <c r="O1500" s="4">
        <v>74</v>
      </c>
      <c r="P1500" s="11" t="s">
        <v>9825</v>
      </c>
      <c r="Q1500" s="11" t="s">
        <v>10279</v>
      </c>
      <c r="S1500" s="4" t="b">
        <f>ISNUMBER(MATCH(Q1500,T:T,0))</f>
        <v>1</v>
      </c>
      <c r="T1500" s="4" t="s">
        <v>124</v>
      </c>
      <c r="U1500" s="4" t="str">
        <f t="shared" si="70"/>
        <v>尹</v>
      </c>
    </row>
    <row r="1501" spans="1:22">
      <c r="A1501" s="3">
        <v>1495</v>
      </c>
      <c r="B1501" s="3" t="s">
        <v>5986</v>
      </c>
      <c r="C1501" s="3" t="s">
        <v>6120</v>
      </c>
      <c r="D1501" s="3" t="s">
        <v>6001</v>
      </c>
      <c r="E1501" s="3" t="s">
        <v>6212</v>
      </c>
      <c r="F1501" s="3" t="s">
        <v>6769</v>
      </c>
      <c r="G1501" s="3" t="s">
        <v>8645</v>
      </c>
      <c r="H1501" s="3" t="s">
        <v>127</v>
      </c>
      <c r="I1501" s="3" t="s">
        <v>3079</v>
      </c>
      <c r="J1501" s="5" t="s">
        <v>128</v>
      </c>
      <c r="L1501" s="3" t="s">
        <v>129</v>
      </c>
      <c r="M1501" s="3">
        <v>1</v>
      </c>
      <c r="N1501" s="4" t="s">
        <v>9637</v>
      </c>
      <c r="O1501" s="4">
        <v>74</v>
      </c>
      <c r="P1501" s="11" t="s">
        <v>9793</v>
      </c>
      <c r="Q1501" s="11" t="s">
        <v>10280</v>
      </c>
      <c r="R1501" s="4" t="s">
        <v>13088</v>
      </c>
      <c r="S1501" s="4" t="b">
        <f>ISNUMBER(MATCH(Q1501,T:T,0))</f>
        <v>0</v>
      </c>
      <c r="T1501" s="4" t="s">
        <v>128</v>
      </c>
      <c r="U1501" s="4" t="str">
        <f t="shared" si="70"/>
        <v>尹</v>
      </c>
      <c r="V1501" s="4" t="b">
        <f>ISNUMBER(MATCH(R1501,T:T,0))</f>
        <v>1</v>
      </c>
    </row>
    <row r="1502" spans="1:22">
      <c r="A1502" s="3">
        <v>1499</v>
      </c>
      <c r="B1502" s="3" t="s">
        <v>136</v>
      </c>
      <c r="C1502" s="3" t="s">
        <v>6035</v>
      </c>
      <c r="D1502" s="3" t="s">
        <v>6001</v>
      </c>
      <c r="E1502" s="3" t="s">
        <v>6212</v>
      </c>
      <c r="F1502" s="3" t="s">
        <v>6809</v>
      </c>
      <c r="G1502" s="3" t="s">
        <v>8645</v>
      </c>
      <c r="H1502" s="3" t="s">
        <v>137</v>
      </c>
      <c r="I1502" s="3" t="s">
        <v>3079</v>
      </c>
      <c r="J1502" s="5" t="s">
        <v>4792</v>
      </c>
      <c r="L1502" s="3" t="s">
        <v>138</v>
      </c>
      <c r="M1502" s="3">
        <v>7</v>
      </c>
      <c r="N1502" s="4" t="s">
        <v>139</v>
      </c>
      <c r="O1502" s="4">
        <v>75</v>
      </c>
      <c r="P1502" s="11" t="s">
        <v>9794</v>
      </c>
      <c r="Q1502" s="11" t="s">
        <v>10285</v>
      </c>
      <c r="S1502" s="4" t="b">
        <f>ISNUMBER(MATCH(Q1502,T:T,0))</f>
        <v>1</v>
      </c>
      <c r="T1502" s="4" t="s">
        <v>139</v>
      </c>
      <c r="U1502" s="4" t="str">
        <f t="shared" si="70"/>
        <v>粉</v>
      </c>
    </row>
    <row r="1503" spans="1:22">
      <c r="A1503" s="3">
        <v>1500</v>
      </c>
      <c r="B1503" s="3" t="s">
        <v>136</v>
      </c>
      <c r="C1503" s="3" t="s">
        <v>6049</v>
      </c>
      <c r="D1503" s="3" t="s">
        <v>6001</v>
      </c>
      <c r="E1503" s="3" t="s">
        <v>6212</v>
      </c>
      <c r="F1503" s="3" t="s">
        <v>6809</v>
      </c>
      <c r="G1503" s="3" t="s">
        <v>8645</v>
      </c>
      <c r="H1503" s="3" t="s">
        <v>140</v>
      </c>
      <c r="I1503" s="3" t="s">
        <v>3079</v>
      </c>
      <c r="J1503" s="5" t="s">
        <v>141</v>
      </c>
      <c r="L1503" s="3" t="s">
        <v>142</v>
      </c>
      <c r="M1503" s="3">
        <v>3</v>
      </c>
      <c r="N1503" s="4" t="s">
        <v>139</v>
      </c>
      <c r="O1503" s="4">
        <v>75</v>
      </c>
      <c r="P1503" s="11" t="s">
        <v>9723</v>
      </c>
      <c r="Q1503" s="11" t="s">
        <v>139</v>
      </c>
      <c r="S1503" s="4" t="b">
        <f>ISNUMBER(MATCH(Q1503,T:T,0))</f>
        <v>1</v>
      </c>
      <c r="T1503" s="4" t="s">
        <v>10285</v>
      </c>
      <c r="U1503" s="4" t="str">
        <f t="shared" si="70"/>
        <v>吻</v>
      </c>
    </row>
    <row r="1504" spans="1:22">
      <c r="A1504" s="3">
        <v>1501</v>
      </c>
      <c r="B1504" s="3" t="s">
        <v>136</v>
      </c>
      <c r="C1504" s="3" t="s">
        <v>6045</v>
      </c>
      <c r="D1504" s="3" t="s">
        <v>6001</v>
      </c>
      <c r="E1504" s="3" t="s">
        <v>6212</v>
      </c>
      <c r="F1504" s="3" t="s">
        <v>6809</v>
      </c>
      <c r="G1504" s="3" t="s">
        <v>8645</v>
      </c>
      <c r="H1504" s="3" t="s">
        <v>143</v>
      </c>
      <c r="I1504" s="3" t="s">
        <v>3079</v>
      </c>
      <c r="J1504" s="5" t="s">
        <v>4793</v>
      </c>
      <c r="L1504" s="3" t="s">
        <v>144</v>
      </c>
      <c r="M1504" s="3">
        <v>14</v>
      </c>
      <c r="N1504" s="4" t="s">
        <v>139</v>
      </c>
      <c r="O1504" s="4">
        <v>75</v>
      </c>
      <c r="P1504" s="11" t="s">
        <v>9722</v>
      </c>
      <c r="Q1504" s="11" t="s">
        <v>139</v>
      </c>
      <c r="S1504" s="4" t="b">
        <f>ISNUMBER(MATCH(Q1504,T:T,0))</f>
        <v>1</v>
      </c>
      <c r="T1504" s="4" t="s">
        <v>11700</v>
      </c>
      <c r="U1504" s="4" t="str">
        <f t="shared" si="70"/>
        <v>吻</v>
      </c>
    </row>
    <row r="1505" spans="1:21">
      <c r="A1505" s="3">
        <v>1502</v>
      </c>
      <c r="B1505" s="3" t="s">
        <v>136</v>
      </c>
      <c r="C1505" s="3" t="s">
        <v>6053</v>
      </c>
      <c r="D1505" s="3" t="s">
        <v>6001</v>
      </c>
      <c r="E1505" s="3" t="s">
        <v>6212</v>
      </c>
      <c r="F1505" s="3" t="s">
        <v>6809</v>
      </c>
      <c r="G1505" s="3" t="s">
        <v>8645</v>
      </c>
      <c r="H1505" s="3" t="s">
        <v>145</v>
      </c>
      <c r="I1505" s="3" t="s">
        <v>3079</v>
      </c>
      <c r="J1505" s="5" t="s">
        <v>146</v>
      </c>
      <c r="L1505" s="3" t="s">
        <v>142</v>
      </c>
      <c r="M1505" s="3">
        <v>2</v>
      </c>
      <c r="N1505" s="4" t="s">
        <v>139</v>
      </c>
      <c r="O1505" s="4">
        <v>75</v>
      </c>
      <c r="P1505" s="11" t="s">
        <v>9724</v>
      </c>
      <c r="Q1505" s="11" t="s">
        <v>10285</v>
      </c>
      <c r="S1505" s="4" t="b">
        <f>ISNUMBER(MATCH(Q1505,T:T,0))</f>
        <v>1</v>
      </c>
      <c r="T1505" s="4" t="s">
        <v>11701</v>
      </c>
      <c r="U1505" s="4" t="str">
        <f t="shared" si="70"/>
        <v>粉</v>
      </c>
    </row>
    <row r="1506" spans="1:21">
      <c r="A1506" s="3">
        <v>1503</v>
      </c>
      <c r="B1506" s="3" t="s">
        <v>136</v>
      </c>
      <c r="C1506" s="3" t="s">
        <v>6072</v>
      </c>
      <c r="D1506" s="3" t="s">
        <v>6001</v>
      </c>
      <c r="E1506" s="3" t="s">
        <v>6212</v>
      </c>
      <c r="F1506" s="3" t="s">
        <v>6809</v>
      </c>
      <c r="G1506" s="3" t="s">
        <v>8645</v>
      </c>
      <c r="H1506" s="3" t="s">
        <v>147</v>
      </c>
      <c r="I1506" s="3" t="s">
        <v>3079</v>
      </c>
      <c r="J1506" s="5" t="s">
        <v>4794</v>
      </c>
      <c r="L1506" s="3" t="s">
        <v>5985</v>
      </c>
      <c r="M1506" s="3">
        <v>10</v>
      </c>
      <c r="N1506" s="4" t="s">
        <v>139</v>
      </c>
      <c r="O1506" s="4">
        <v>75</v>
      </c>
      <c r="P1506" s="11" t="s">
        <v>9754</v>
      </c>
      <c r="Q1506" s="11" t="s">
        <v>10285</v>
      </c>
      <c r="S1506" s="4" t="b">
        <f>ISNUMBER(MATCH(Q1506,T:T,0))</f>
        <v>1</v>
      </c>
      <c r="T1506" s="4" t="s">
        <v>11702</v>
      </c>
      <c r="U1506" s="4" t="str">
        <f t="shared" si="70"/>
        <v>粉</v>
      </c>
    </row>
    <row r="1507" spans="1:21">
      <c r="A1507" s="3">
        <v>1504</v>
      </c>
      <c r="B1507" s="3" t="s">
        <v>136</v>
      </c>
      <c r="C1507" s="3" t="s">
        <v>6092</v>
      </c>
      <c r="D1507" s="3" t="s">
        <v>6001</v>
      </c>
      <c r="E1507" s="3" t="s">
        <v>6212</v>
      </c>
      <c r="F1507" s="3" t="s">
        <v>6809</v>
      </c>
      <c r="G1507" s="3" t="s">
        <v>8645</v>
      </c>
      <c r="H1507" s="3" t="s">
        <v>148</v>
      </c>
      <c r="I1507" s="3" t="s">
        <v>3079</v>
      </c>
      <c r="J1507" s="8" t="s">
        <v>4795</v>
      </c>
      <c r="L1507" s="3" t="s">
        <v>5985</v>
      </c>
      <c r="M1507" s="3">
        <v>5</v>
      </c>
      <c r="N1507" s="4" t="s">
        <v>139</v>
      </c>
      <c r="O1507" s="4">
        <v>75</v>
      </c>
      <c r="P1507" s="11" t="s">
        <v>6462</v>
      </c>
      <c r="Q1507" s="11" t="s">
        <v>139</v>
      </c>
      <c r="S1507" s="4" t="b">
        <f>ISNUMBER(MATCH(Q1507,T:T,0))</f>
        <v>1</v>
      </c>
      <c r="T1507" s="4" t="s">
        <v>11703</v>
      </c>
      <c r="U1507" s="4" t="str">
        <f t="shared" si="70"/>
        <v>吻</v>
      </c>
    </row>
    <row r="1508" spans="1:21">
      <c r="A1508" s="3">
        <v>1505</v>
      </c>
      <c r="B1508" s="3" t="s">
        <v>136</v>
      </c>
      <c r="C1508" s="3" t="s">
        <v>6032</v>
      </c>
      <c r="D1508" s="3" t="s">
        <v>6001</v>
      </c>
      <c r="E1508" s="3" t="s">
        <v>6212</v>
      </c>
      <c r="F1508" s="3" t="s">
        <v>6809</v>
      </c>
      <c r="G1508" s="3" t="s">
        <v>8645</v>
      </c>
      <c r="H1508" s="3" t="s">
        <v>149</v>
      </c>
      <c r="I1508" s="3" t="s">
        <v>3079</v>
      </c>
      <c r="J1508" s="5" t="s">
        <v>150</v>
      </c>
      <c r="L1508" s="3" t="s">
        <v>5985</v>
      </c>
      <c r="M1508" s="3">
        <v>4</v>
      </c>
      <c r="N1508" s="4" t="s">
        <v>139</v>
      </c>
      <c r="O1508" s="4">
        <v>75</v>
      </c>
      <c r="P1508" s="11" t="s">
        <v>6032</v>
      </c>
      <c r="Q1508" s="11" t="s">
        <v>10285</v>
      </c>
      <c r="S1508" s="4" t="b">
        <f>ISNUMBER(MATCH(Q1508,T:T,0))</f>
        <v>1</v>
      </c>
      <c r="T1508" s="4" t="s">
        <v>11704</v>
      </c>
      <c r="U1508" s="4" t="str">
        <f t="shared" si="70"/>
        <v>粉</v>
      </c>
    </row>
    <row r="1509" spans="1:21">
      <c r="A1509" s="3">
        <v>1506</v>
      </c>
      <c r="B1509" s="3" t="s">
        <v>136</v>
      </c>
      <c r="C1509" s="3" t="s">
        <v>6038</v>
      </c>
      <c r="D1509" s="3" t="s">
        <v>6001</v>
      </c>
      <c r="E1509" s="3" t="s">
        <v>6212</v>
      </c>
      <c r="F1509" s="3" t="s">
        <v>6809</v>
      </c>
      <c r="G1509" s="3" t="s">
        <v>8645</v>
      </c>
      <c r="H1509" s="3" t="s">
        <v>151</v>
      </c>
      <c r="I1509" s="3" t="s">
        <v>3079</v>
      </c>
      <c r="J1509" s="5" t="s">
        <v>152</v>
      </c>
      <c r="L1509" s="3" t="s">
        <v>125</v>
      </c>
      <c r="M1509" s="3">
        <v>2</v>
      </c>
      <c r="N1509" s="4" t="s">
        <v>139</v>
      </c>
      <c r="O1509" s="4">
        <v>75</v>
      </c>
      <c r="P1509" s="11" t="s">
        <v>9825</v>
      </c>
      <c r="Q1509" s="11" t="s">
        <v>10285</v>
      </c>
      <c r="S1509" s="4" t="b">
        <f>ISNUMBER(MATCH(Q1509,T:T,0))</f>
        <v>1</v>
      </c>
      <c r="T1509" s="4" t="s">
        <v>152</v>
      </c>
      <c r="U1509" s="4" t="str">
        <f t="shared" si="70"/>
        <v>粉</v>
      </c>
    </row>
    <row r="1510" spans="1:21">
      <c r="A1510" s="3">
        <v>1507</v>
      </c>
      <c r="B1510" s="3" t="s">
        <v>153</v>
      </c>
      <c r="C1510" s="3" t="s">
        <v>6072</v>
      </c>
      <c r="D1510" s="3" t="s">
        <v>6001</v>
      </c>
      <c r="E1510" s="3" t="s">
        <v>5991</v>
      </c>
      <c r="F1510" s="3" t="s">
        <v>6825</v>
      </c>
      <c r="G1510" s="3" t="s">
        <v>8645</v>
      </c>
      <c r="H1510" s="3" t="s">
        <v>154</v>
      </c>
      <c r="I1510" s="3" t="s">
        <v>3079</v>
      </c>
      <c r="J1510" s="5" t="s">
        <v>4796</v>
      </c>
      <c r="L1510" s="3" t="s">
        <v>5973</v>
      </c>
      <c r="M1510" s="3">
        <v>11</v>
      </c>
      <c r="N1510" s="4" t="s">
        <v>9638</v>
      </c>
      <c r="O1510" s="4">
        <v>76</v>
      </c>
      <c r="P1510" s="11" t="s">
        <v>9754</v>
      </c>
      <c r="Q1510" s="11" t="s">
        <v>10286</v>
      </c>
      <c r="S1510" s="4" t="b">
        <f>ISNUMBER(MATCH(Q1510,T:T,0))</f>
        <v>1</v>
      </c>
      <c r="T1510" s="4" t="s">
        <v>9638</v>
      </c>
      <c r="U1510" s="4" t="str">
        <f t="shared" si="70"/>
        <v>謹</v>
      </c>
    </row>
    <row r="1511" spans="1:21">
      <c r="A1511" s="3">
        <v>1508</v>
      </c>
      <c r="B1511" s="3" t="s">
        <v>153</v>
      </c>
      <c r="C1511" s="3" t="s">
        <v>6025</v>
      </c>
      <c r="D1511" s="3" t="s">
        <v>6001</v>
      </c>
      <c r="E1511" s="3" t="s">
        <v>5991</v>
      </c>
      <c r="F1511" s="3" t="s">
        <v>6825</v>
      </c>
      <c r="G1511" s="3" t="s">
        <v>8645</v>
      </c>
      <c r="H1511" s="3" t="s">
        <v>155</v>
      </c>
      <c r="I1511" s="3" t="s">
        <v>3079</v>
      </c>
      <c r="J1511" s="5" t="s">
        <v>4797</v>
      </c>
      <c r="L1511" s="3" t="s">
        <v>5962</v>
      </c>
      <c r="M1511" s="3">
        <v>11</v>
      </c>
      <c r="N1511" s="4" t="s">
        <v>9638</v>
      </c>
      <c r="O1511" s="4">
        <v>76</v>
      </c>
      <c r="P1511" s="11" t="s">
        <v>9717</v>
      </c>
      <c r="Q1511" s="11" t="s">
        <v>9638</v>
      </c>
      <c r="S1511" s="4" t="b">
        <f>ISNUMBER(MATCH(Q1511,T:T,0))</f>
        <v>1</v>
      </c>
      <c r="T1511" s="4" t="s">
        <v>10286</v>
      </c>
      <c r="U1511" s="4" t="str">
        <f t="shared" si="70"/>
        <v>隱</v>
      </c>
    </row>
    <row r="1512" spans="1:21">
      <c r="A1512" s="3">
        <v>1509</v>
      </c>
      <c r="B1512" s="3" t="s">
        <v>156</v>
      </c>
      <c r="C1512" s="3" t="s">
        <v>6318</v>
      </c>
      <c r="D1512" s="3" t="s">
        <v>6001</v>
      </c>
      <c r="E1512" s="3" t="s">
        <v>5991</v>
      </c>
      <c r="F1512" s="3" t="s">
        <v>3079</v>
      </c>
      <c r="G1512" s="3" t="s">
        <v>8645</v>
      </c>
      <c r="H1512" s="3" t="s">
        <v>157</v>
      </c>
      <c r="I1512" s="3" t="s">
        <v>3079</v>
      </c>
      <c r="J1512" s="5" t="s">
        <v>158</v>
      </c>
      <c r="K1512" s="3" t="s">
        <v>159</v>
      </c>
      <c r="L1512" s="3" t="s">
        <v>5942</v>
      </c>
      <c r="M1512" s="3">
        <v>2</v>
      </c>
      <c r="N1512" s="4" t="s">
        <v>9638</v>
      </c>
      <c r="O1512" s="4">
        <v>76</v>
      </c>
      <c r="P1512" s="11" t="s">
        <v>10287</v>
      </c>
      <c r="Q1512" s="11" t="s">
        <v>10286</v>
      </c>
      <c r="S1512" s="4" t="b">
        <f>ISNUMBER(MATCH(Q1512,T:T,0))</f>
        <v>1</v>
      </c>
      <c r="T1512" s="4" t="s">
        <v>11705</v>
      </c>
      <c r="U1512" s="4" t="str">
        <f t="shared" si="70"/>
        <v>謹</v>
      </c>
    </row>
    <row r="1513" spans="1:21">
      <c r="A1513" s="3">
        <v>1510</v>
      </c>
      <c r="B1513" s="3" t="s">
        <v>153</v>
      </c>
      <c r="C1513" s="3" t="s">
        <v>6038</v>
      </c>
      <c r="D1513" s="3" t="s">
        <v>6001</v>
      </c>
      <c r="E1513" s="3" t="s">
        <v>5991</v>
      </c>
      <c r="F1513" s="3" t="s">
        <v>6825</v>
      </c>
      <c r="G1513" s="3" t="s">
        <v>8645</v>
      </c>
      <c r="H1513" s="3" t="s">
        <v>160</v>
      </c>
      <c r="I1513" s="3" t="s">
        <v>3079</v>
      </c>
      <c r="J1513" s="8" t="s">
        <v>161</v>
      </c>
      <c r="L1513" s="3" t="s">
        <v>5976</v>
      </c>
      <c r="M1513" s="3">
        <v>1</v>
      </c>
      <c r="N1513" s="4" t="s">
        <v>9638</v>
      </c>
      <c r="O1513" s="4">
        <v>76</v>
      </c>
      <c r="P1513" s="11" t="s">
        <v>9825</v>
      </c>
      <c r="Q1513" s="11" t="s">
        <v>10286</v>
      </c>
      <c r="S1513" s="4" t="b">
        <f>ISNUMBER(MATCH(Q1513,T:T,0))</f>
        <v>1</v>
      </c>
      <c r="T1513" s="4" t="s">
        <v>161</v>
      </c>
      <c r="U1513" s="4" t="str">
        <f t="shared" si="70"/>
        <v>謹</v>
      </c>
    </row>
    <row r="1514" spans="1:21">
      <c r="A1514" s="3">
        <v>1511</v>
      </c>
      <c r="B1514" s="3" t="s">
        <v>153</v>
      </c>
      <c r="C1514" s="3" t="s">
        <v>6041</v>
      </c>
      <c r="D1514" s="3" t="s">
        <v>6001</v>
      </c>
      <c r="E1514" s="3" t="s">
        <v>5991</v>
      </c>
      <c r="F1514" s="3" t="s">
        <v>6825</v>
      </c>
      <c r="G1514" s="3" t="s">
        <v>8645</v>
      </c>
      <c r="H1514" s="3" t="s">
        <v>162</v>
      </c>
      <c r="I1514" s="3" t="s">
        <v>3079</v>
      </c>
      <c r="J1514" s="5" t="s">
        <v>163</v>
      </c>
      <c r="L1514" s="3" t="s">
        <v>5965</v>
      </c>
      <c r="M1514" s="3">
        <v>2</v>
      </c>
      <c r="N1514" s="4" t="s">
        <v>9638</v>
      </c>
      <c r="O1514" s="4">
        <v>76</v>
      </c>
      <c r="P1514" s="11" t="s">
        <v>9830</v>
      </c>
      <c r="Q1514" s="11" t="s">
        <v>10286</v>
      </c>
      <c r="S1514" s="4" t="b">
        <f>ISNUMBER(MATCH(Q1514,T:T,0))</f>
        <v>1</v>
      </c>
      <c r="T1514" s="4" t="s">
        <v>5642</v>
      </c>
      <c r="U1514" s="4" t="str">
        <f t="shared" si="70"/>
        <v>謹</v>
      </c>
    </row>
    <row r="1515" spans="1:21">
      <c r="A1515" s="3">
        <v>1512</v>
      </c>
      <c r="B1515" s="3" t="s">
        <v>156</v>
      </c>
      <c r="C1515" s="3" t="s">
        <v>6167</v>
      </c>
      <c r="D1515" s="3" t="s">
        <v>6001</v>
      </c>
      <c r="E1515" s="3" t="s">
        <v>5991</v>
      </c>
      <c r="F1515" s="3" t="s">
        <v>3079</v>
      </c>
      <c r="G1515" s="3" t="s">
        <v>8645</v>
      </c>
      <c r="H1515" s="3" t="s">
        <v>164</v>
      </c>
      <c r="I1515" s="3" t="s">
        <v>3079</v>
      </c>
      <c r="J1515" s="5" t="s">
        <v>4798</v>
      </c>
      <c r="L1515" s="3" t="s">
        <v>5946</v>
      </c>
      <c r="M1515" s="3">
        <v>1</v>
      </c>
      <c r="N1515" s="4" t="s">
        <v>9638</v>
      </c>
      <c r="O1515" s="4">
        <v>76</v>
      </c>
      <c r="P1515" s="11" t="s">
        <v>6167</v>
      </c>
      <c r="Q1515" s="11" t="s">
        <v>10286</v>
      </c>
      <c r="S1515" s="4" t="b">
        <f>ISNUMBER(MATCH(Q1515,T:T,0))</f>
        <v>1</v>
      </c>
      <c r="T1515" s="4" t="s">
        <v>11706</v>
      </c>
      <c r="U1515" s="4" t="str">
        <f t="shared" si="70"/>
        <v>謹</v>
      </c>
    </row>
    <row r="1516" spans="1:21">
      <c r="A1516" s="3">
        <v>1513</v>
      </c>
      <c r="B1516" s="3" t="s">
        <v>153</v>
      </c>
      <c r="C1516" s="3" t="s">
        <v>6092</v>
      </c>
      <c r="D1516" s="3" t="s">
        <v>6001</v>
      </c>
      <c r="E1516" s="3" t="s">
        <v>5991</v>
      </c>
      <c r="F1516" s="3" t="s">
        <v>6825</v>
      </c>
      <c r="G1516" s="3" t="s">
        <v>8645</v>
      </c>
      <c r="H1516" s="3" t="s">
        <v>165</v>
      </c>
      <c r="I1516" s="3" t="s">
        <v>3079</v>
      </c>
      <c r="J1516" s="5" t="s">
        <v>166</v>
      </c>
      <c r="L1516" s="3" t="s">
        <v>5973</v>
      </c>
      <c r="M1516" s="3">
        <v>1</v>
      </c>
      <c r="N1516" s="4" t="s">
        <v>9638</v>
      </c>
      <c r="O1516" s="4">
        <v>76</v>
      </c>
      <c r="P1516" s="11" t="s">
        <v>5008</v>
      </c>
      <c r="Q1516" s="11" t="s">
        <v>10286</v>
      </c>
      <c r="S1516" s="4" t="b">
        <f>ISNUMBER(MATCH(Q1516,T:T,0))</f>
        <v>1</v>
      </c>
      <c r="T1516" s="4" t="s">
        <v>166</v>
      </c>
      <c r="U1516" s="4" t="str">
        <f t="shared" si="70"/>
        <v>謹</v>
      </c>
    </row>
    <row r="1517" spans="1:21">
      <c r="A1517" s="3">
        <v>1514</v>
      </c>
      <c r="B1517" s="3" t="s">
        <v>153</v>
      </c>
      <c r="C1517" s="3" t="s">
        <v>6089</v>
      </c>
      <c r="D1517" s="3" t="s">
        <v>6001</v>
      </c>
      <c r="E1517" s="3" t="s">
        <v>5991</v>
      </c>
      <c r="F1517" s="3" t="s">
        <v>6825</v>
      </c>
      <c r="G1517" s="3" t="s">
        <v>8645</v>
      </c>
      <c r="H1517" s="3" t="s">
        <v>167</v>
      </c>
      <c r="I1517" s="3" t="s">
        <v>3079</v>
      </c>
      <c r="J1517" s="5" t="s">
        <v>168</v>
      </c>
      <c r="L1517" s="3" t="s">
        <v>131</v>
      </c>
      <c r="M1517" s="3">
        <v>1</v>
      </c>
      <c r="N1517" s="4" t="s">
        <v>9638</v>
      </c>
      <c r="O1517" s="4">
        <v>76</v>
      </c>
      <c r="P1517" s="11" t="s">
        <v>10288</v>
      </c>
      <c r="Q1517" s="11" t="s">
        <v>10286</v>
      </c>
      <c r="S1517" s="4" t="b">
        <f>ISNUMBER(MATCH(Q1517,T:T,0))</f>
        <v>1</v>
      </c>
      <c r="T1517" s="4" t="s">
        <v>168</v>
      </c>
      <c r="U1517" s="4" t="str">
        <f t="shared" si="70"/>
        <v>謹</v>
      </c>
    </row>
    <row r="1518" spans="1:21">
      <c r="A1518" s="3">
        <v>1515</v>
      </c>
      <c r="B1518" s="3" t="s">
        <v>169</v>
      </c>
      <c r="C1518" s="3" t="s">
        <v>6092</v>
      </c>
      <c r="D1518" s="3" t="s">
        <v>6001</v>
      </c>
      <c r="E1518" s="3" t="s">
        <v>6212</v>
      </c>
      <c r="F1518" s="3" t="s">
        <v>6834</v>
      </c>
      <c r="G1518" s="3" t="s">
        <v>8645</v>
      </c>
      <c r="H1518" s="3" t="s">
        <v>170</v>
      </c>
      <c r="I1518" s="3" t="s">
        <v>6836</v>
      </c>
      <c r="J1518" s="5" t="s">
        <v>171</v>
      </c>
      <c r="K1518" s="3" t="s">
        <v>604</v>
      </c>
      <c r="L1518" s="3" t="s">
        <v>172</v>
      </c>
      <c r="M1518" s="3">
        <v>3</v>
      </c>
      <c r="N1518" s="4" t="s">
        <v>173</v>
      </c>
      <c r="O1518" s="4">
        <v>77</v>
      </c>
      <c r="P1518" s="11" t="s">
        <v>2741</v>
      </c>
      <c r="Q1518" s="11" t="s">
        <v>1988</v>
      </c>
      <c r="S1518" s="4" t="b">
        <f>ISNUMBER(MATCH(Q1518,T:T,0))</f>
        <v>1</v>
      </c>
      <c r="T1518" s="4" t="s">
        <v>173</v>
      </c>
      <c r="U1518" s="4" t="str">
        <f t="shared" si="70"/>
        <v>遠</v>
      </c>
    </row>
    <row r="1519" spans="1:21">
      <c r="A1519" s="3">
        <v>1516</v>
      </c>
      <c r="B1519" s="3" t="s">
        <v>169</v>
      </c>
      <c r="C1519" s="3" t="s">
        <v>6032</v>
      </c>
      <c r="D1519" s="3" t="s">
        <v>6001</v>
      </c>
      <c r="E1519" s="3" t="s">
        <v>6212</v>
      </c>
      <c r="F1519" s="3" t="s">
        <v>6834</v>
      </c>
      <c r="G1519" s="3" t="s">
        <v>8645</v>
      </c>
      <c r="H1519" s="3" t="s">
        <v>174</v>
      </c>
      <c r="I1519" s="3" t="s">
        <v>6836</v>
      </c>
      <c r="J1519" s="5" t="s">
        <v>175</v>
      </c>
      <c r="L1519" s="3" t="s">
        <v>172</v>
      </c>
      <c r="M1519" s="3">
        <v>2</v>
      </c>
      <c r="N1519" s="4" t="s">
        <v>173</v>
      </c>
      <c r="O1519" s="4">
        <v>77</v>
      </c>
      <c r="P1519" s="11" t="s">
        <v>10289</v>
      </c>
      <c r="Q1519" s="11" t="s">
        <v>173</v>
      </c>
      <c r="S1519" s="4" t="b">
        <f>ISNUMBER(MATCH(Q1519,T:T,0))</f>
        <v>1</v>
      </c>
      <c r="T1519" s="4" t="s">
        <v>1988</v>
      </c>
      <c r="U1519" s="4" t="str">
        <f t="shared" si="70"/>
        <v>阮</v>
      </c>
    </row>
    <row r="1520" spans="1:21">
      <c r="A1520" s="3">
        <v>1517</v>
      </c>
      <c r="B1520" s="3" t="s">
        <v>169</v>
      </c>
      <c r="C1520" s="3" t="s">
        <v>6072</v>
      </c>
      <c r="D1520" s="3" t="s">
        <v>6001</v>
      </c>
      <c r="E1520" s="3" t="s">
        <v>5991</v>
      </c>
      <c r="F1520" s="3" t="s">
        <v>6834</v>
      </c>
      <c r="G1520" s="3" t="s">
        <v>8645</v>
      </c>
      <c r="H1520" s="3" t="s">
        <v>176</v>
      </c>
      <c r="I1520" s="3" t="s">
        <v>6836</v>
      </c>
      <c r="J1520" s="5" t="s">
        <v>177</v>
      </c>
      <c r="L1520" s="3" t="s">
        <v>178</v>
      </c>
      <c r="M1520" s="3">
        <v>12</v>
      </c>
      <c r="N1520" s="4" t="s">
        <v>173</v>
      </c>
      <c r="O1520" s="4">
        <v>77</v>
      </c>
      <c r="P1520" s="11" t="s">
        <v>9754</v>
      </c>
      <c r="Q1520" s="11" t="s">
        <v>10290</v>
      </c>
      <c r="S1520" s="4" t="b">
        <f>ISNUMBER(MATCH(Q1520,T:T,0))</f>
        <v>1</v>
      </c>
      <c r="T1520" s="4" t="s">
        <v>10291</v>
      </c>
      <c r="U1520" s="4" t="str">
        <f t="shared" si="70"/>
        <v>幰</v>
      </c>
    </row>
    <row r="1521" spans="1:21">
      <c r="A1521" s="3">
        <v>1518</v>
      </c>
      <c r="B1521" s="3" t="s">
        <v>169</v>
      </c>
      <c r="C1521" s="3" t="s">
        <v>6025</v>
      </c>
      <c r="D1521" s="3" t="s">
        <v>6001</v>
      </c>
      <c r="E1521" s="3" t="s">
        <v>5991</v>
      </c>
      <c r="F1521" s="3" t="s">
        <v>6834</v>
      </c>
      <c r="G1521" s="3" t="s">
        <v>8645</v>
      </c>
      <c r="H1521" s="3" t="s">
        <v>179</v>
      </c>
      <c r="I1521" s="3" t="s">
        <v>6836</v>
      </c>
      <c r="J1521" s="5" t="s">
        <v>180</v>
      </c>
      <c r="K1521" s="3" t="s">
        <v>605</v>
      </c>
      <c r="L1521" s="3" t="s">
        <v>181</v>
      </c>
      <c r="M1521" s="3">
        <v>5</v>
      </c>
      <c r="N1521" s="4" t="s">
        <v>173</v>
      </c>
      <c r="O1521" s="4">
        <v>77</v>
      </c>
      <c r="P1521" s="11" t="s">
        <v>9717</v>
      </c>
      <c r="Q1521" s="11" t="s">
        <v>10291</v>
      </c>
      <c r="S1521" s="4" t="b">
        <f>ISNUMBER(MATCH(Q1521,T:T,0))</f>
        <v>1</v>
      </c>
      <c r="T1521" s="4" t="s">
        <v>11707</v>
      </c>
      <c r="U1521" s="4" t="str">
        <f t="shared" si="70"/>
        <v>偃</v>
      </c>
    </row>
    <row r="1522" spans="1:21">
      <c r="A1522" s="3">
        <v>1519</v>
      </c>
      <c r="B1522" s="3" t="s">
        <v>169</v>
      </c>
      <c r="C1522" s="3" t="s">
        <v>6041</v>
      </c>
      <c r="D1522" s="3" t="s">
        <v>6001</v>
      </c>
      <c r="E1522" s="3" t="s">
        <v>5991</v>
      </c>
      <c r="F1522" s="3" t="s">
        <v>6834</v>
      </c>
      <c r="G1522" s="3" t="s">
        <v>8645</v>
      </c>
      <c r="H1522" s="3" t="s">
        <v>182</v>
      </c>
      <c r="I1522" s="3" t="s">
        <v>6836</v>
      </c>
      <c r="J1522" s="5" t="s">
        <v>183</v>
      </c>
      <c r="L1522" s="3" t="s">
        <v>184</v>
      </c>
      <c r="M1522" s="3">
        <v>4</v>
      </c>
      <c r="N1522" s="4" t="s">
        <v>173</v>
      </c>
      <c r="O1522" s="4">
        <v>77</v>
      </c>
      <c r="P1522" s="11" t="s">
        <v>9830</v>
      </c>
      <c r="Q1522" s="11" t="s">
        <v>10291</v>
      </c>
      <c r="S1522" s="4" t="b">
        <f>ISNUMBER(MATCH(Q1522,T:T,0))</f>
        <v>1</v>
      </c>
      <c r="T1522" s="4" t="s">
        <v>11708</v>
      </c>
      <c r="U1522" s="4" t="str">
        <f t="shared" si="70"/>
        <v>偃</v>
      </c>
    </row>
    <row r="1523" spans="1:21">
      <c r="A1523" s="3">
        <v>1520</v>
      </c>
      <c r="B1523" s="3" t="s">
        <v>169</v>
      </c>
      <c r="C1523" s="3" t="s">
        <v>6038</v>
      </c>
      <c r="D1523" s="3" t="s">
        <v>6001</v>
      </c>
      <c r="E1523" s="3" t="s">
        <v>5991</v>
      </c>
      <c r="F1523" s="3" t="s">
        <v>6834</v>
      </c>
      <c r="G1523" s="3" t="s">
        <v>8645</v>
      </c>
      <c r="H1523" s="3" t="s">
        <v>185</v>
      </c>
      <c r="I1523" s="3" t="s">
        <v>6836</v>
      </c>
      <c r="J1523" s="5" t="s">
        <v>186</v>
      </c>
      <c r="L1523" s="3" t="s">
        <v>187</v>
      </c>
      <c r="M1523" s="3">
        <v>1</v>
      </c>
      <c r="N1523" s="4" t="s">
        <v>173</v>
      </c>
      <c r="O1523" s="4">
        <v>77</v>
      </c>
      <c r="P1523" s="11" t="s">
        <v>4210</v>
      </c>
      <c r="Q1523" s="11" t="s">
        <v>10291</v>
      </c>
      <c r="S1523" s="4" t="b">
        <f>ISNUMBER(MATCH(Q1523,T:T,0))</f>
        <v>1</v>
      </c>
      <c r="T1523" s="4" t="s">
        <v>186</v>
      </c>
      <c r="U1523" s="4" t="str">
        <f t="shared" si="70"/>
        <v>偃</v>
      </c>
    </row>
    <row r="1524" spans="1:21">
      <c r="A1524" s="3">
        <v>1521</v>
      </c>
      <c r="B1524" s="3" t="s">
        <v>169</v>
      </c>
      <c r="C1524" s="3" t="s">
        <v>6092</v>
      </c>
      <c r="D1524" s="3" t="s">
        <v>6001</v>
      </c>
      <c r="E1524" s="3" t="s">
        <v>5991</v>
      </c>
      <c r="F1524" s="3" t="s">
        <v>6834</v>
      </c>
      <c r="G1524" s="3" t="s">
        <v>8645</v>
      </c>
      <c r="H1524" s="3" t="s">
        <v>188</v>
      </c>
      <c r="I1524" s="3" t="s">
        <v>6836</v>
      </c>
      <c r="J1524" s="5" t="s">
        <v>4799</v>
      </c>
      <c r="L1524" s="3" t="s">
        <v>178</v>
      </c>
      <c r="M1524" s="3">
        <v>4</v>
      </c>
      <c r="N1524" s="4" t="s">
        <v>173</v>
      </c>
      <c r="O1524" s="4">
        <v>77</v>
      </c>
      <c r="P1524" s="11" t="s">
        <v>9001</v>
      </c>
      <c r="Q1524" s="11" t="s">
        <v>10291</v>
      </c>
      <c r="S1524" s="4" t="b">
        <f>ISNUMBER(MATCH(Q1524,T:T,0))</f>
        <v>1</v>
      </c>
      <c r="T1524" s="4" t="s">
        <v>11709</v>
      </c>
      <c r="U1524" s="4" t="str">
        <f t="shared" si="70"/>
        <v>偃</v>
      </c>
    </row>
    <row r="1525" spans="1:21">
      <c r="A1525" s="3">
        <v>1522</v>
      </c>
      <c r="B1525" s="3" t="s">
        <v>169</v>
      </c>
      <c r="C1525" s="3" t="s">
        <v>6089</v>
      </c>
      <c r="D1525" s="3" t="s">
        <v>6001</v>
      </c>
      <c r="E1525" s="3" t="s">
        <v>5991</v>
      </c>
      <c r="F1525" s="3" t="s">
        <v>6834</v>
      </c>
      <c r="G1525" s="3" t="s">
        <v>8645</v>
      </c>
      <c r="H1525" s="7" t="s">
        <v>749</v>
      </c>
      <c r="I1525" s="3" t="s">
        <v>6836</v>
      </c>
      <c r="J1525" s="5" t="s">
        <v>189</v>
      </c>
      <c r="L1525" s="3" t="s">
        <v>190</v>
      </c>
      <c r="M1525" s="3">
        <v>4</v>
      </c>
      <c r="N1525" s="4" t="s">
        <v>173</v>
      </c>
      <c r="O1525" s="4">
        <v>77</v>
      </c>
      <c r="P1525" s="11" t="s">
        <v>9958</v>
      </c>
      <c r="Q1525" s="11" t="s">
        <v>10291</v>
      </c>
      <c r="S1525" s="4" t="b">
        <f>ISNUMBER(MATCH(Q1525,T:T,0))</f>
        <v>1</v>
      </c>
      <c r="T1525" s="4" t="s">
        <v>10290</v>
      </c>
      <c r="U1525" s="4" t="str">
        <f t="shared" si="70"/>
        <v>偃</v>
      </c>
    </row>
    <row r="1526" spans="1:21">
      <c r="A1526" s="3">
        <v>1523</v>
      </c>
      <c r="B1526" s="3" t="s">
        <v>169</v>
      </c>
      <c r="C1526" s="3" t="s">
        <v>6035</v>
      </c>
      <c r="D1526" s="3" t="s">
        <v>6001</v>
      </c>
      <c r="E1526" s="3" t="s">
        <v>6212</v>
      </c>
      <c r="F1526" s="3" t="s">
        <v>6834</v>
      </c>
      <c r="G1526" s="3" t="s">
        <v>8645</v>
      </c>
      <c r="H1526" s="3" t="s">
        <v>191</v>
      </c>
      <c r="I1526" s="3" t="s">
        <v>6836</v>
      </c>
      <c r="J1526" s="5" t="s">
        <v>192</v>
      </c>
      <c r="L1526" s="3" t="s">
        <v>193</v>
      </c>
      <c r="M1526" s="3">
        <v>7</v>
      </c>
      <c r="N1526" s="4" t="s">
        <v>173</v>
      </c>
      <c r="O1526" s="4">
        <v>77</v>
      </c>
      <c r="P1526" s="11" t="s">
        <v>9837</v>
      </c>
      <c r="Q1526" s="11" t="s">
        <v>1988</v>
      </c>
      <c r="S1526" s="4" t="b">
        <f>ISNUMBER(MATCH(Q1526,T:T,0))</f>
        <v>1</v>
      </c>
      <c r="T1526" s="4" t="s">
        <v>10292</v>
      </c>
      <c r="U1526" s="4" t="str">
        <f t="shared" si="70"/>
        <v>遠</v>
      </c>
    </row>
    <row r="1527" spans="1:21">
      <c r="A1527" s="3">
        <v>1524</v>
      </c>
      <c r="B1527" s="3" t="s">
        <v>169</v>
      </c>
      <c r="C1527" s="3" t="s">
        <v>6049</v>
      </c>
      <c r="D1527" s="3" t="s">
        <v>6001</v>
      </c>
      <c r="E1527" s="3" t="s">
        <v>6212</v>
      </c>
      <c r="F1527" s="3" t="s">
        <v>6834</v>
      </c>
      <c r="G1527" s="3" t="s">
        <v>8645</v>
      </c>
      <c r="H1527" s="3" t="s">
        <v>194</v>
      </c>
      <c r="I1527" s="3" t="s">
        <v>6836</v>
      </c>
      <c r="J1527" s="5" t="s">
        <v>4800</v>
      </c>
      <c r="L1527" s="3" t="s">
        <v>195</v>
      </c>
      <c r="M1527" s="3">
        <v>6</v>
      </c>
      <c r="N1527" s="4" t="s">
        <v>173</v>
      </c>
      <c r="O1527" s="4">
        <v>77</v>
      </c>
      <c r="P1527" s="11" t="s">
        <v>9752</v>
      </c>
      <c r="Q1527" s="11" t="s">
        <v>1988</v>
      </c>
      <c r="S1527" s="4" t="b">
        <f>ISNUMBER(MATCH(Q1527,T:T,0))</f>
        <v>1</v>
      </c>
      <c r="T1527" s="4" t="s">
        <v>11710</v>
      </c>
      <c r="U1527" s="4" t="str">
        <f t="shared" si="70"/>
        <v>遠</v>
      </c>
    </row>
    <row r="1528" spans="1:21">
      <c r="A1528" s="3">
        <v>1525</v>
      </c>
      <c r="B1528" s="3" t="s">
        <v>169</v>
      </c>
      <c r="C1528" s="3" t="s">
        <v>6041</v>
      </c>
      <c r="D1528" s="3" t="s">
        <v>6001</v>
      </c>
      <c r="E1528" s="3" t="s">
        <v>6212</v>
      </c>
      <c r="F1528" s="3" t="s">
        <v>6834</v>
      </c>
      <c r="G1528" s="3" t="s">
        <v>8645</v>
      </c>
      <c r="H1528" s="3" t="s">
        <v>196</v>
      </c>
      <c r="I1528" s="3" t="s">
        <v>6836</v>
      </c>
      <c r="J1528" s="5" t="s">
        <v>197</v>
      </c>
      <c r="L1528" s="3" t="s">
        <v>198</v>
      </c>
      <c r="M1528" s="3">
        <v>4</v>
      </c>
      <c r="N1528" s="4" t="s">
        <v>173</v>
      </c>
      <c r="O1528" s="4">
        <v>77</v>
      </c>
      <c r="P1528" s="11" t="s">
        <v>10062</v>
      </c>
      <c r="Q1528" s="11" t="s">
        <v>10292</v>
      </c>
      <c r="S1528" s="4" t="b">
        <f>ISNUMBER(MATCH(Q1528,T:T,0))</f>
        <v>1</v>
      </c>
      <c r="T1528" s="4" t="s">
        <v>11711</v>
      </c>
      <c r="U1528" s="4" t="str">
        <f t="shared" si="70"/>
        <v>晚</v>
      </c>
    </row>
    <row r="1529" spans="1:21" ht="39">
      <c r="A1529" s="3">
        <v>1526</v>
      </c>
      <c r="B1529" s="3" t="s">
        <v>169</v>
      </c>
      <c r="C1529" s="3" t="s">
        <v>6072</v>
      </c>
      <c r="D1529" s="3" t="s">
        <v>6001</v>
      </c>
      <c r="E1529" s="3" t="s">
        <v>6212</v>
      </c>
      <c r="F1529" s="3" t="s">
        <v>6834</v>
      </c>
      <c r="G1529" s="3" t="s">
        <v>8645</v>
      </c>
      <c r="H1529" s="3" t="s">
        <v>199</v>
      </c>
      <c r="I1529" s="3" t="s">
        <v>6836</v>
      </c>
      <c r="J1529" s="5" t="s">
        <v>200</v>
      </c>
      <c r="K1529" s="3" t="s">
        <v>606</v>
      </c>
      <c r="L1529" s="3" t="s">
        <v>172</v>
      </c>
      <c r="M1529" s="3">
        <v>20</v>
      </c>
      <c r="N1529" s="4" t="s">
        <v>173</v>
      </c>
      <c r="O1529" s="4">
        <v>77</v>
      </c>
      <c r="P1529" s="11" t="s">
        <v>9754</v>
      </c>
      <c r="Q1529" s="11" t="s">
        <v>173</v>
      </c>
      <c r="S1529" s="4" t="b">
        <f>ISNUMBER(MATCH(Q1529,T:T,0))</f>
        <v>1</v>
      </c>
      <c r="T1529" s="4" t="s">
        <v>11712</v>
      </c>
      <c r="U1529" s="4" t="str">
        <f t="shared" si="70"/>
        <v>阮</v>
      </c>
    </row>
    <row r="1530" spans="1:21">
      <c r="A1530" s="3">
        <v>1527</v>
      </c>
      <c r="B1530" s="3" t="s">
        <v>169</v>
      </c>
      <c r="C1530" s="3" t="s">
        <v>6038</v>
      </c>
      <c r="D1530" s="3" t="s">
        <v>6001</v>
      </c>
      <c r="E1530" s="3" t="s">
        <v>6212</v>
      </c>
      <c r="F1530" s="3" t="s">
        <v>6834</v>
      </c>
      <c r="G1530" s="3" t="s">
        <v>8645</v>
      </c>
      <c r="H1530" s="3" t="s">
        <v>201</v>
      </c>
      <c r="I1530" s="3" t="s">
        <v>6836</v>
      </c>
      <c r="J1530" s="5" t="s">
        <v>202</v>
      </c>
      <c r="L1530" s="3" t="s">
        <v>203</v>
      </c>
      <c r="M1530" s="3">
        <v>6</v>
      </c>
      <c r="N1530" s="4" t="s">
        <v>173</v>
      </c>
      <c r="O1530" s="4">
        <v>77</v>
      </c>
      <c r="P1530" s="11" t="s">
        <v>4210</v>
      </c>
      <c r="Q1530" s="11" t="s">
        <v>173</v>
      </c>
      <c r="S1530" s="4" t="b">
        <f>ISNUMBER(MATCH(Q1530,T:T,0))</f>
        <v>1</v>
      </c>
      <c r="T1530" s="4" t="s">
        <v>11713</v>
      </c>
      <c r="U1530" s="4" t="str">
        <f t="shared" si="70"/>
        <v>阮</v>
      </c>
    </row>
    <row r="1531" spans="1:21">
      <c r="A1531" s="3">
        <v>1528</v>
      </c>
      <c r="B1531" s="3" t="s">
        <v>169</v>
      </c>
      <c r="C1531" s="3" t="s">
        <v>6089</v>
      </c>
      <c r="D1531" s="3" t="s">
        <v>6001</v>
      </c>
      <c r="E1531" s="3" t="s">
        <v>6212</v>
      </c>
      <c r="F1531" s="3" t="s">
        <v>6834</v>
      </c>
      <c r="G1531" s="3" t="s">
        <v>8645</v>
      </c>
      <c r="H1531" s="7" t="s">
        <v>750</v>
      </c>
      <c r="I1531" s="3" t="s">
        <v>6836</v>
      </c>
      <c r="J1531" s="8" t="s">
        <v>4801</v>
      </c>
      <c r="L1531" s="3" t="s">
        <v>204</v>
      </c>
      <c r="M1531" s="3">
        <v>7</v>
      </c>
      <c r="N1531" s="4" t="s">
        <v>173</v>
      </c>
      <c r="O1531" s="4">
        <v>77</v>
      </c>
      <c r="P1531" s="11" t="s">
        <v>10293</v>
      </c>
      <c r="Q1531" s="11" t="s">
        <v>10292</v>
      </c>
      <c r="S1531" s="4" t="b">
        <f>ISNUMBER(MATCH(Q1531,T:T,0))</f>
        <v>1</v>
      </c>
      <c r="T1531" s="4" t="s">
        <v>11714</v>
      </c>
      <c r="U1531" s="4" t="str">
        <f t="shared" si="70"/>
        <v>晚</v>
      </c>
    </row>
    <row r="1532" spans="1:21">
      <c r="A1532" s="3">
        <v>1529</v>
      </c>
      <c r="B1532" s="3" t="s">
        <v>169</v>
      </c>
      <c r="C1532" s="3" t="s">
        <v>6045</v>
      </c>
      <c r="D1532" s="3" t="s">
        <v>6001</v>
      </c>
      <c r="E1532" s="3" t="s">
        <v>6212</v>
      </c>
      <c r="F1532" s="3" t="s">
        <v>6834</v>
      </c>
      <c r="G1532" s="3" t="s">
        <v>8645</v>
      </c>
      <c r="H1532" s="3" t="s">
        <v>205</v>
      </c>
      <c r="I1532" s="3" t="s">
        <v>6836</v>
      </c>
      <c r="J1532" s="5" t="s">
        <v>206</v>
      </c>
      <c r="L1532" s="3" t="s">
        <v>207</v>
      </c>
      <c r="M1532" s="3">
        <v>4</v>
      </c>
      <c r="N1532" s="4" t="s">
        <v>173</v>
      </c>
      <c r="O1532" s="4">
        <v>77</v>
      </c>
      <c r="P1532" s="11" t="s">
        <v>9926</v>
      </c>
      <c r="Q1532" s="11" t="s">
        <v>10292</v>
      </c>
      <c r="S1532" s="4" t="b">
        <f>ISNUMBER(MATCH(Q1532,T:T,0))</f>
        <v>1</v>
      </c>
      <c r="T1532" s="4" t="s">
        <v>11715</v>
      </c>
      <c r="U1532" s="4" t="str">
        <f t="shared" si="70"/>
        <v>晚</v>
      </c>
    </row>
    <row r="1533" spans="1:21">
      <c r="A1533" s="3">
        <v>1530</v>
      </c>
      <c r="B1533" s="3" t="s">
        <v>208</v>
      </c>
      <c r="C1533" s="3" t="s">
        <v>6067</v>
      </c>
      <c r="D1533" s="3" t="s">
        <v>5990</v>
      </c>
      <c r="E1533" s="3" t="s">
        <v>6212</v>
      </c>
      <c r="F1533" s="3" t="s">
        <v>6869</v>
      </c>
      <c r="G1533" s="3" t="s">
        <v>8645</v>
      </c>
      <c r="H1533" s="3" t="s">
        <v>209</v>
      </c>
      <c r="I1533" s="3" t="s">
        <v>3079</v>
      </c>
      <c r="J1533" s="5" t="s">
        <v>4802</v>
      </c>
      <c r="L1533" s="3" t="s">
        <v>210</v>
      </c>
      <c r="M1533" s="3">
        <v>16</v>
      </c>
      <c r="N1533" s="4" t="s">
        <v>9639</v>
      </c>
      <c r="O1533" s="4">
        <v>78</v>
      </c>
      <c r="P1533" s="11" t="s">
        <v>9870</v>
      </c>
      <c r="Q1533" s="11" t="s">
        <v>10294</v>
      </c>
      <c r="S1533" s="4" t="b">
        <f>ISNUMBER(MATCH(Q1533,T:T,0))</f>
        <v>1</v>
      </c>
      <c r="T1533" s="4" t="s">
        <v>9639</v>
      </c>
      <c r="U1533" s="4" t="str">
        <f t="shared" si="70"/>
        <v>本</v>
      </c>
    </row>
    <row r="1534" spans="1:21">
      <c r="A1534" s="3">
        <v>1531</v>
      </c>
      <c r="B1534" s="3" t="s">
        <v>208</v>
      </c>
      <c r="C1534" s="3" t="s">
        <v>6053</v>
      </c>
      <c r="D1534" s="3" t="s">
        <v>5990</v>
      </c>
      <c r="E1534" s="3" t="s">
        <v>6212</v>
      </c>
      <c r="F1534" s="3" t="s">
        <v>6869</v>
      </c>
      <c r="G1534" s="3" t="s">
        <v>8645</v>
      </c>
      <c r="H1534" s="3" t="s">
        <v>211</v>
      </c>
      <c r="I1534" s="3" t="s">
        <v>3079</v>
      </c>
      <c r="J1534" s="5" t="s">
        <v>212</v>
      </c>
      <c r="L1534" s="3" t="s">
        <v>213</v>
      </c>
      <c r="M1534" s="3">
        <v>1</v>
      </c>
      <c r="N1534" s="4" t="s">
        <v>9639</v>
      </c>
      <c r="O1534" s="4">
        <v>78</v>
      </c>
      <c r="P1534" s="11" t="s">
        <v>9884</v>
      </c>
      <c r="Q1534" s="11" t="s">
        <v>10294</v>
      </c>
      <c r="S1534" s="4" t="b">
        <f>ISNUMBER(MATCH(Q1534,T:T,0))</f>
        <v>1</v>
      </c>
      <c r="T1534" s="4" t="s">
        <v>212</v>
      </c>
      <c r="U1534" s="4" t="str">
        <f t="shared" si="70"/>
        <v>本</v>
      </c>
    </row>
    <row r="1535" spans="1:21">
      <c r="A1535" s="3">
        <v>1532</v>
      </c>
      <c r="B1535" s="3" t="s">
        <v>208</v>
      </c>
      <c r="C1535" s="3" t="s">
        <v>6076</v>
      </c>
      <c r="D1535" s="3" t="s">
        <v>5990</v>
      </c>
      <c r="E1535" s="3" t="s">
        <v>6212</v>
      </c>
      <c r="F1535" s="3" t="s">
        <v>6869</v>
      </c>
      <c r="G1535" s="3" t="s">
        <v>8645</v>
      </c>
      <c r="H1535" s="3" t="s">
        <v>214</v>
      </c>
      <c r="I1535" s="3" t="s">
        <v>3079</v>
      </c>
      <c r="J1535" s="5" t="s">
        <v>215</v>
      </c>
      <c r="L1535" s="3" t="s">
        <v>216</v>
      </c>
      <c r="M1535" s="3">
        <v>3</v>
      </c>
      <c r="N1535" s="4" t="s">
        <v>9639</v>
      </c>
      <c r="O1535" s="4">
        <v>78</v>
      </c>
      <c r="P1535" s="11" t="s">
        <v>9735</v>
      </c>
      <c r="Q1535" s="11" t="s">
        <v>10294</v>
      </c>
      <c r="S1535" s="4" t="b">
        <f>ISNUMBER(MATCH(Q1535,T:T,0))</f>
        <v>1</v>
      </c>
      <c r="T1535" s="4" t="s">
        <v>10295</v>
      </c>
      <c r="U1535" s="4" t="str">
        <f t="shared" si="70"/>
        <v>本</v>
      </c>
    </row>
    <row r="1536" spans="1:21">
      <c r="A1536" s="3">
        <v>1533</v>
      </c>
      <c r="B1536" s="3" t="s">
        <v>208</v>
      </c>
      <c r="C1536" s="3" t="s">
        <v>6049</v>
      </c>
      <c r="D1536" s="3" t="s">
        <v>5990</v>
      </c>
      <c r="E1536" s="3" t="s">
        <v>6212</v>
      </c>
      <c r="F1536" s="3" t="s">
        <v>6869</v>
      </c>
      <c r="G1536" s="3" t="s">
        <v>8645</v>
      </c>
      <c r="H1536" s="3" t="s">
        <v>217</v>
      </c>
      <c r="I1536" s="3" t="s">
        <v>3079</v>
      </c>
      <c r="J1536" s="5" t="s">
        <v>4803</v>
      </c>
      <c r="L1536" s="3" t="s">
        <v>218</v>
      </c>
      <c r="M1536" s="3">
        <v>6</v>
      </c>
      <c r="N1536" s="4" t="s">
        <v>9639</v>
      </c>
      <c r="O1536" s="4">
        <v>78</v>
      </c>
      <c r="P1536" s="11" t="s">
        <v>9921</v>
      </c>
      <c r="Q1536" s="11" t="s">
        <v>10295</v>
      </c>
      <c r="S1536" s="4" t="b">
        <f>ISNUMBER(MATCH(Q1536,T:T,0))</f>
        <v>1</v>
      </c>
      <c r="T1536" s="4" t="s">
        <v>10294</v>
      </c>
      <c r="U1536" s="4" t="str">
        <f t="shared" si="70"/>
        <v>忖</v>
      </c>
    </row>
    <row r="1537" spans="1:22">
      <c r="A1537" s="3">
        <v>1534</v>
      </c>
      <c r="B1537" s="3" t="s">
        <v>208</v>
      </c>
      <c r="C1537" s="3" t="s">
        <v>6017</v>
      </c>
      <c r="D1537" s="3" t="s">
        <v>5990</v>
      </c>
      <c r="E1537" s="3" t="s">
        <v>6212</v>
      </c>
      <c r="F1537" s="3" t="s">
        <v>6869</v>
      </c>
      <c r="G1537" s="3" t="s">
        <v>8645</v>
      </c>
      <c r="H1537" s="3" t="s">
        <v>219</v>
      </c>
      <c r="I1537" s="3" t="s">
        <v>3079</v>
      </c>
      <c r="J1537" s="5" t="s">
        <v>220</v>
      </c>
      <c r="L1537" s="3" t="s">
        <v>221</v>
      </c>
      <c r="M1537" s="3">
        <v>4</v>
      </c>
      <c r="N1537" s="4" t="s">
        <v>9639</v>
      </c>
      <c r="O1537" s="4">
        <v>78</v>
      </c>
      <c r="P1537" s="11" t="s">
        <v>9741</v>
      </c>
      <c r="Q1537" s="11" t="s">
        <v>10294</v>
      </c>
      <c r="S1537" s="4" t="b">
        <f>ISNUMBER(MATCH(Q1537,T:T,0))</f>
        <v>1</v>
      </c>
      <c r="T1537" s="4" t="s">
        <v>10296</v>
      </c>
      <c r="U1537" s="4" t="str">
        <f t="shared" si="70"/>
        <v>本</v>
      </c>
    </row>
    <row r="1538" spans="1:22">
      <c r="A1538" s="3">
        <v>1535</v>
      </c>
      <c r="B1538" s="3" t="s">
        <v>208</v>
      </c>
      <c r="C1538" s="3" t="s">
        <v>6083</v>
      </c>
      <c r="D1538" s="3" t="s">
        <v>5990</v>
      </c>
      <c r="E1538" s="3" t="s">
        <v>6212</v>
      </c>
      <c r="F1538" s="3" t="s">
        <v>6869</v>
      </c>
      <c r="G1538" s="3" t="s">
        <v>8645</v>
      </c>
      <c r="H1538" s="7" t="s">
        <v>751</v>
      </c>
      <c r="I1538" s="3" t="s">
        <v>3079</v>
      </c>
      <c r="J1538" s="5" t="s">
        <v>222</v>
      </c>
      <c r="L1538" s="3" t="s">
        <v>223</v>
      </c>
      <c r="M1538" s="3">
        <v>6</v>
      </c>
      <c r="N1538" s="4" t="s">
        <v>9639</v>
      </c>
      <c r="O1538" s="4">
        <v>78</v>
      </c>
      <c r="P1538" s="11" t="s">
        <v>9831</v>
      </c>
      <c r="Q1538" s="11" t="s">
        <v>10296</v>
      </c>
      <c r="S1538" s="4" t="b">
        <f>ISNUMBER(MATCH(Q1538,T:T,0))</f>
        <v>1</v>
      </c>
      <c r="T1538" s="4" t="s">
        <v>11716</v>
      </c>
      <c r="U1538" s="4" t="str">
        <f t="shared" si="70"/>
        <v>損</v>
      </c>
    </row>
    <row r="1539" spans="1:22">
      <c r="A1539" s="3">
        <v>1536</v>
      </c>
      <c r="B1539" s="3" t="s">
        <v>208</v>
      </c>
      <c r="C1539" s="3" t="s">
        <v>6072</v>
      </c>
      <c r="D1539" s="3" t="s">
        <v>5990</v>
      </c>
      <c r="E1539" s="3" t="s">
        <v>6212</v>
      </c>
      <c r="F1539" s="3" t="s">
        <v>6869</v>
      </c>
      <c r="G1539" s="3" t="s">
        <v>8645</v>
      </c>
      <c r="H1539" s="3" t="s">
        <v>224</v>
      </c>
      <c r="I1539" s="3" t="s">
        <v>3079</v>
      </c>
      <c r="J1539" s="5" t="s">
        <v>225</v>
      </c>
      <c r="L1539" s="3" t="s">
        <v>138</v>
      </c>
      <c r="M1539" s="3">
        <v>3</v>
      </c>
      <c r="N1539" s="4" t="s">
        <v>9639</v>
      </c>
      <c r="O1539" s="4">
        <v>78</v>
      </c>
      <c r="P1539" s="11" t="s">
        <v>9734</v>
      </c>
      <c r="Q1539" s="11" t="s">
        <v>10294</v>
      </c>
      <c r="S1539" s="4" t="b">
        <f>ISNUMBER(MATCH(Q1539,T:T,0))</f>
        <v>1</v>
      </c>
      <c r="T1539" s="4" t="s">
        <v>11717</v>
      </c>
      <c r="U1539" s="4" t="str">
        <f t="shared" ref="U1539:U1602" si="71">IF(ISBLANK(R1539),Q1539,R1539)</f>
        <v>本</v>
      </c>
    </row>
    <row r="1540" spans="1:22">
      <c r="A1540" s="3">
        <v>1537</v>
      </c>
      <c r="B1540" s="3" t="s">
        <v>208</v>
      </c>
      <c r="C1540" s="3" t="s">
        <v>5997</v>
      </c>
      <c r="D1540" s="3" t="s">
        <v>5990</v>
      </c>
      <c r="E1540" s="3" t="s">
        <v>6212</v>
      </c>
      <c r="F1540" s="3" t="s">
        <v>6869</v>
      </c>
      <c r="G1540" s="3" t="s">
        <v>8645</v>
      </c>
      <c r="H1540" s="3" t="s">
        <v>226</v>
      </c>
      <c r="I1540" s="3" t="s">
        <v>3079</v>
      </c>
      <c r="J1540" s="5" t="s">
        <v>227</v>
      </c>
      <c r="L1540" s="3" t="s">
        <v>228</v>
      </c>
      <c r="M1540" s="3">
        <v>9</v>
      </c>
      <c r="N1540" s="4" t="s">
        <v>9639</v>
      </c>
      <c r="O1540" s="4">
        <v>78</v>
      </c>
      <c r="P1540" s="11" t="s">
        <v>9706</v>
      </c>
      <c r="Q1540" s="11" t="s">
        <v>10296</v>
      </c>
      <c r="S1540" s="4" t="b">
        <f>ISNUMBER(MATCH(Q1540,T:T,0))</f>
        <v>1</v>
      </c>
      <c r="T1540" s="4" t="s">
        <v>11718</v>
      </c>
      <c r="U1540" s="4" t="str">
        <f t="shared" si="71"/>
        <v>損</v>
      </c>
    </row>
    <row r="1541" spans="1:22">
      <c r="A1541" s="3">
        <v>1538</v>
      </c>
      <c r="B1541" s="3" t="s">
        <v>208</v>
      </c>
      <c r="C1541" s="3" t="s">
        <v>6069</v>
      </c>
      <c r="D1541" s="3" t="s">
        <v>5990</v>
      </c>
      <c r="E1541" s="3" t="s">
        <v>6212</v>
      </c>
      <c r="F1541" s="3" t="s">
        <v>6869</v>
      </c>
      <c r="G1541" s="3" t="s">
        <v>8645</v>
      </c>
      <c r="H1541" s="3" t="s">
        <v>229</v>
      </c>
      <c r="I1541" s="3" t="s">
        <v>3079</v>
      </c>
      <c r="J1541" s="5" t="s">
        <v>230</v>
      </c>
      <c r="L1541" s="3" t="s">
        <v>231</v>
      </c>
      <c r="M1541" s="3">
        <v>1</v>
      </c>
      <c r="N1541" s="4" t="s">
        <v>9639</v>
      </c>
      <c r="O1541" s="4">
        <v>78</v>
      </c>
      <c r="P1541" s="11" t="s">
        <v>9925</v>
      </c>
      <c r="Q1541" s="11" t="s">
        <v>10294</v>
      </c>
      <c r="S1541" s="4" t="b">
        <f>ISNUMBER(MATCH(Q1541,T:T,0))</f>
        <v>1</v>
      </c>
      <c r="T1541" s="4" t="s">
        <v>230</v>
      </c>
      <c r="U1541" s="4" t="str">
        <f t="shared" si="71"/>
        <v>本</v>
      </c>
    </row>
    <row r="1542" spans="1:22">
      <c r="A1542" s="3">
        <v>1539</v>
      </c>
      <c r="B1542" s="3" t="s">
        <v>208</v>
      </c>
      <c r="C1542" s="3" t="s">
        <v>6025</v>
      </c>
      <c r="D1542" s="3" t="s">
        <v>5990</v>
      </c>
      <c r="E1542" s="3" t="s">
        <v>6212</v>
      </c>
      <c r="F1542" s="3" t="s">
        <v>6869</v>
      </c>
      <c r="G1542" s="3" t="s">
        <v>8645</v>
      </c>
      <c r="H1542" s="3" t="s">
        <v>232</v>
      </c>
      <c r="I1542" s="3" t="s">
        <v>3079</v>
      </c>
      <c r="J1542" s="5" t="s">
        <v>4804</v>
      </c>
      <c r="L1542" s="3" t="s">
        <v>233</v>
      </c>
      <c r="M1542" s="3">
        <v>12</v>
      </c>
      <c r="N1542" s="4" t="s">
        <v>9639</v>
      </c>
      <c r="O1542" s="4">
        <v>78</v>
      </c>
      <c r="P1542" s="11" t="s">
        <v>9729</v>
      </c>
      <c r="Q1542" s="11" t="s">
        <v>10294</v>
      </c>
      <c r="S1542" s="4" t="b">
        <f>ISNUMBER(MATCH(Q1542,T:T,0))</f>
        <v>1</v>
      </c>
      <c r="T1542" s="4" t="s">
        <v>11719</v>
      </c>
      <c r="U1542" s="4" t="str">
        <f t="shared" si="71"/>
        <v>本</v>
      </c>
    </row>
    <row r="1543" spans="1:22">
      <c r="A1543" s="3">
        <v>1540</v>
      </c>
      <c r="B1543" s="3" t="s">
        <v>208</v>
      </c>
      <c r="C1543" s="3" t="s">
        <v>6079</v>
      </c>
      <c r="D1543" s="3" t="s">
        <v>5990</v>
      </c>
      <c r="E1543" s="3" t="s">
        <v>6212</v>
      </c>
      <c r="F1543" s="3" t="s">
        <v>6869</v>
      </c>
      <c r="G1543" s="3" t="s">
        <v>8645</v>
      </c>
      <c r="H1543" s="3" t="s">
        <v>752</v>
      </c>
      <c r="I1543" s="3" t="s">
        <v>3079</v>
      </c>
      <c r="J1543" s="5" t="s">
        <v>4805</v>
      </c>
      <c r="L1543" s="3" t="s">
        <v>234</v>
      </c>
      <c r="M1543" s="3">
        <v>4</v>
      </c>
      <c r="N1543" s="4" t="s">
        <v>9639</v>
      </c>
      <c r="O1543" s="4">
        <v>78</v>
      </c>
      <c r="P1543" s="11" t="s">
        <v>9736</v>
      </c>
      <c r="Q1543" s="11" t="s">
        <v>10297</v>
      </c>
      <c r="R1543" s="12" t="s">
        <v>13089</v>
      </c>
      <c r="S1543" s="4" t="b">
        <f>ISNUMBER(MATCH(Q1543,T:T,0))</f>
        <v>0</v>
      </c>
      <c r="T1543" s="4" t="s">
        <v>11720</v>
      </c>
      <c r="U1543" s="4" t="str">
        <f t="shared" si="71"/>
        <v>𩩌</v>
      </c>
      <c r="V1543" s="4" t="b">
        <f>ISNUMBER(MATCH(R1543,T:T,0))</f>
        <v>1</v>
      </c>
    </row>
    <row r="1544" spans="1:22">
      <c r="A1544" s="3">
        <v>1541</v>
      </c>
      <c r="B1544" s="3" t="s">
        <v>208</v>
      </c>
      <c r="C1544" s="3" t="s">
        <v>6038</v>
      </c>
      <c r="D1544" s="3" t="s">
        <v>5990</v>
      </c>
      <c r="E1544" s="3" t="s">
        <v>6212</v>
      </c>
      <c r="F1544" s="3" t="s">
        <v>6869</v>
      </c>
      <c r="G1544" s="3" t="s">
        <v>8645</v>
      </c>
      <c r="H1544" s="3" t="s">
        <v>235</v>
      </c>
      <c r="I1544" s="3" t="s">
        <v>3079</v>
      </c>
      <c r="J1544" s="5" t="s">
        <v>4806</v>
      </c>
      <c r="L1544" s="3" t="s">
        <v>236</v>
      </c>
      <c r="M1544" s="3">
        <v>10</v>
      </c>
      <c r="N1544" s="4" t="s">
        <v>9639</v>
      </c>
      <c r="O1544" s="4">
        <v>78</v>
      </c>
      <c r="P1544" s="11" t="s">
        <v>9728</v>
      </c>
      <c r="Q1544" s="11" t="s">
        <v>10294</v>
      </c>
      <c r="S1544" s="4" t="b">
        <f>ISNUMBER(MATCH(Q1544,T:T,0))</f>
        <v>1</v>
      </c>
      <c r="T1544" s="4" t="s">
        <v>11721</v>
      </c>
      <c r="U1544" s="4" t="str">
        <f t="shared" si="71"/>
        <v>本</v>
      </c>
    </row>
    <row r="1545" spans="1:22">
      <c r="A1545" s="3">
        <v>1542</v>
      </c>
      <c r="B1545" s="3" t="s">
        <v>208</v>
      </c>
      <c r="C1545" s="3" t="s">
        <v>6058</v>
      </c>
      <c r="D1545" s="3" t="s">
        <v>5990</v>
      </c>
      <c r="E1545" s="3" t="s">
        <v>6212</v>
      </c>
      <c r="F1545" s="3" t="s">
        <v>6869</v>
      </c>
      <c r="G1545" s="3" t="s">
        <v>8645</v>
      </c>
      <c r="H1545" s="3" t="s">
        <v>237</v>
      </c>
      <c r="I1545" s="3" t="s">
        <v>3079</v>
      </c>
      <c r="J1545" s="5" t="s">
        <v>238</v>
      </c>
      <c r="L1545" s="3" t="s">
        <v>120</v>
      </c>
      <c r="M1545" s="3">
        <v>4</v>
      </c>
      <c r="N1545" s="4" t="s">
        <v>9639</v>
      </c>
      <c r="O1545" s="4">
        <v>78</v>
      </c>
      <c r="P1545" s="11" t="s">
        <v>9730</v>
      </c>
      <c r="Q1545" s="11" t="s">
        <v>10294</v>
      </c>
      <c r="S1545" s="4" t="b">
        <f>ISNUMBER(MATCH(Q1545,T:T,0))</f>
        <v>1</v>
      </c>
      <c r="T1545" s="4" t="s">
        <v>11722</v>
      </c>
      <c r="U1545" s="4" t="str">
        <f t="shared" si="71"/>
        <v>本</v>
      </c>
    </row>
    <row r="1546" spans="1:22">
      <c r="A1546" s="3">
        <v>1543</v>
      </c>
      <c r="B1546" s="3" t="s">
        <v>208</v>
      </c>
      <c r="C1546" s="3" t="s">
        <v>6045</v>
      </c>
      <c r="D1546" s="3" t="s">
        <v>5990</v>
      </c>
      <c r="E1546" s="3" t="s">
        <v>6212</v>
      </c>
      <c r="F1546" s="3" t="s">
        <v>6869</v>
      </c>
      <c r="G1546" s="3" t="s">
        <v>8645</v>
      </c>
      <c r="H1546" s="3" t="s">
        <v>239</v>
      </c>
      <c r="I1546" s="3" t="s">
        <v>3079</v>
      </c>
      <c r="J1546" s="8" t="s">
        <v>4807</v>
      </c>
      <c r="L1546" s="3" t="s">
        <v>240</v>
      </c>
      <c r="M1546" s="3">
        <v>4</v>
      </c>
      <c r="N1546" s="4" t="s">
        <v>9639</v>
      </c>
      <c r="O1546" s="4">
        <v>78</v>
      </c>
      <c r="P1546" s="11" t="s">
        <v>9965</v>
      </c>
      <c r="Q1546" s="11" t="s">
        <v>10294</v>
      </c>
      <c r="S1546" s="4" t="b">
        <f>ISNUMBER(MATCH(Q1546,T:T,0))</f>
        <v>1</v>
      </c>
      <c r="T1546" s="4" t="s">
        <v>11723</v>
      </c>
      <c r="U1546" s="4" t="str">
        <f t="shared" si="71"/>
        <v>本</v>
      </c>
    </row>
    <row r="1547" spans="1:22">
      <c r="A1547" s="3">
        <v>1544</v>
      </c>
      <c r="B1547" s="3" t="s">
        <v>208</v>
      </c>
      <c r="C1547" s="3" t="s">
        <v>6035</v>
      </c>
      <c r="D1547" s="3" t="s">
        <v>5990</v>
      </c>
      <c r="E1547" s="3" t="s">
        <v>6212</v>
      </c>
      <c r="F1547" s="3" t="s">
        <v>6869</v>
      </c>
      <c r="G1547" s="3" t="s">
        <v>8645</v>
      </c>
      <c r="H1547" s="3" t="s">
        <v>241</v>
      </c>
      <c r="I1547" s="3" t="s">
        <v>3079</v>
      </c>
      <c r="J1547" s="5" t="s">
        <v>242</v>
      </c>
      <c r="L1547" s="3" t="s">
        <v>243</v>
      </c>
      <c r="M1547" s="3">
        <v>1</v>
      </c>
      <c r="N1547" s="4" t="s">
        <v>9639</v>
      </c>
      <c r="O1547" s="4">
        <v>78</v>
      </c>
      <c r="P1547" s="11" t="s">
        <v>2788</v>
      </c>
      <c r="Q1547" s="11" t="s">
        <v>10294</v>
      </c>
      <c r="S1547" s="4" t="b">
        <f>ISNUMBER(MATCH(Q1547,T:T,0))</f>
        <v>1</v>
      </c>
      <c r="T1547" s="4" t="s">
        <v>242</v>
      </c>
      <c r="U1547" s="4" t="str">
        <f t="shared" si="71"/>
        <v>本</v>
      </c>
    </row>
    <row r="1548" spans="1:22">
      <c r="A1548" s="3">
        <v>1545</v>
      </c>
      <c r="B1548" s="3" t="s">
        <v>208</v>
      </c>
      <c r="C1548" s="3" t="s">
        <v>6102</v>
      </c>
      <c r="D1548" s="3" t="s">
        <v>5990</v>
      </c>
      <c r="E1548" s="3" t="s">
        <v>6212</v>
      </c>
      <c r="F1548" s="3" t="s">
        <v>6869</v>
      </c>
      <c r="G1548" s="3" t="s">
        <v>8645</v>
      </c>
      <c r="H1548" s="3" t="s">
        <v>244</v>
      </c>
      <c r="I1548" s="3" t="s">
        <v>3079</v>
      </c>
      <c r="J1548" s="5" t="s">
        <v>245</v>
      </c>
      <c r="L1548" s="3" t="s">
        <v>246</v>
      </c>
      <c r="M1548" s="3">
        <v>1</v>
      </c>
      <c r="N1548" s="4" t="s">
        <v>9639</v>
      </c>
      <c r="O1548" s="4">
        <v>78</v>
      </c>
      <c r="P1548" s="11" t="s">
        <v>9873</v>
      </c>
      <c r="Q1548" s="11" t="s">
        <v>10294</v>
      </c>
      <c r="S1548" s="4" t="b">
        <f>ISNUMBER(MATCH(Q1548,T:T,0))</f>
        <v>1</v>
      </c>
      <c r="T1548" s="4" t="s">
        <v>245</v>
      </c>
      <c r="U1548" s="4" t="str">
        <f t="shared" si="71"/>
        <v>本</v>
      </c>
    </row>
    <row r="1549" spans="1:22">
      <c r="A1549" s="3">
        <v>1546</v>
      </c>
      <c r="B1549" s="3" t="s">
        <v>208</v>
      </c>
      <c r="C1549" s="3" t="s">
        <v>6089</v>
      </c>
      <c r="D1549" s="3" t="s">
        <v>5990</v>
      </c>
      <c r="E1549" s="3" t="s">
        <v>6212</v>
      </c>
      <c r="F1549" s="3" t="s">
        <v>6869</v>
      </c>
      <c r="G1549" s="3" t="s">
        <v>8645</v>
      </c>
      <c r="H1549" s="7" t="s">
        <v>753</v>
      </c>
      <c r="I1549" s="3" t="s">
        <v>3079</v>
      </c>
      <c r="J1549" s="5" t="s">
        <v>247</v>
      </c>
      <c r="L1549" s="3" t="s">
        <v>248</v>
      </c>
      <c r="M1549" s="3">
        <v>2</v>
      </c>
      <c r="N1549" s="4" t="s">
        <v>9639</v>
      </c>
      <c r="O1549" s="4">
        <v>78</v>
      </c>
      <c r="P1549" s="11" t="s">
        <v>9958</v>
      </c>
      <c r="Q1549" s="11" t="s">
        <v>10294</v>
      </c>
      <c r="S1549" s="4" t="b">
        <f>ISNUMBER(MATCH(Q1549,T:T,0))</f>
        <v>1</v>
      </c>
      <c r="T1549" s="4" t="s">
        <v>11724</v>
      </c>
      <c r="U1549" s="4" t="str">
        <f t="shared" si="71"/>
        <v>本</v>
      </c>
    </row>
    <row r="1550" spans="1:22">
      <c r="A1550" s="3">
        <v>1547</v>
      </c>
      <c r="B1550" s="3" t="s">
        <v>249</v>
      </c>
      <c r="C1550" s="3" t="s">
        <v>6067</v>
      </c>
      <c r="D1550" s="3" t="s">
        <v>5990</v>
      </c>
      <c r="E1550" s="3" t="s">
        <v>5991</v>
      </c>
      <c r="F1550" s="3" t="s">
        <v>6914</v>
      </c>
      <c r="G1550" s="3" t="s">
        <v>8645</v>
      </c>
      <c r="H1550" s="3" t="s">
        <v>250</v>
      </c>
      <c r="I1550" s="3" t="s">
        <v>3079</v>
      </c>
      <c r="J1550" s="5" t="s">
        <v>251</v>
      </c>
      <c r="L1550" s="3" t="s">
        <v>252</v>
      </c>
      <c r="M1550" s="3">
        <v>2</v>
      </c>
      <c r="N1550" s="4" t="s">
        <v>9640</v>
      </c>
      <c r="O1550" s="4">
        <v>79</v>
      </c>
      <c r="P1550" s="11" t="s">
        <v>9870</v>
      </c>
      <c r="Q1550" s="11" t="s">
        <v>10298</v>
      </c>
      <c r="S1550" s="4" t="b">
        <f>ISNUMBER(MATCH(Q1550,T:T,0))</f>
        <v>1</v>
      </c>
      <c r="T1550" s="4" t="s">
        <v>9640</v>
      </c>
      <c r="U1550" s="4" t="str">
        <f t="shared" si="71"/>
        <v>墾</v>
      </c>
    </row>
    <row r="1551" spans="1:22">
      <c r="A1551" s="3">
        <v>1548</v>
      </c>
      <c r="B1551" s="3" t="s">
        <v>249</v>
      </c>
      <c r="C1551" s="3" t="s">
        <v>6038</v>
      </c>
      <c r="D1551" s="3" t="s">
        <v>5990</v>
      </c>
      <c r="E1551" s="3" t="s">
        <v>5991</v>
      </c>
      <c r="F1551" s="3" t="s">
        <v>6914</v>
      </c>
      <c r="G1551" s="3" t="s">
        <v>8645</v>
      </c>
      <c r="H1551" s="3" t="s">
        <v>253</v>
      </c>
      <c r="I1551" s="3" t="s">
        <v>3079</v>
      </c>
      <c r="J1551" s="5" t="s">
        <v>254</v>
      </c>
      <c r="L1551" s="3" t="s">
        <v>255</v>
      </c>
      <c r="M1551" s="3">
        <v>4</v>
      </c>
      <c r="N1551" s="4" t="s">
        <v>9640</v>
      </c>
      <c r="O1551" s="4">
        <v>79</v>
      </c>
      <c r="P1551" s="11" t="s">
        <v>10184</v>
      </c>
      <c r="Q1551" s="11" t="s">
        <v>9640</v>
      </c>
      <c r="S1551" s="4" t="b">
        <f>ISNUMBER(MATCH(Q1551,T:T,0))</f>
        <v>1</v>
      </c>
      <c r="T1551" s="4" t="s">
        <v>10298</v>
      </c>
      <c r="U1551" s="4" t="str">
        <f t="shared" si="71"/>
        <v>很</v>
      </c>
    </row>
    <row r="1552" spans="1:22">
      <c r="A1552" s="3">
        <v>1549</v>
      </c>
      <c r="B1552" s="3" t="s">
        <v>249</v>
      </c>
      <c r="C1552" s="3" t="s">
        <v>6025</v>
      </c>
      <c r="D1552" s="3" t="s">
        <v>5990</v>
      </c>
      <c r="E1552" s="3" t="s">
        <v>5991</v>
      </c>
      <c r="F1552" s="3" t="s">
        <v>6914</v>
      </c>
      <c r="G1552" s="3" t="s">
        <v>8645</v>
      </c>
      <c r="H1552" s="3" t="s">
        <v>256</v>
      </c>
      <c r="I1552" s="3" t="s">
        <v>3079</v>
      </c>
      <c r="J1552" s="5" t="s">
        <v>4808</v>
      </c>
      <c r="L1552" s="3" t="s">
        <v>257</v>
      </c>
      <c r="M1552" s="3">
        <v>2</v>
      </c>
      <c r="N1552" s="4" t="s">
        <v>9640</v>
      </c>
      <c r="O1552" s="4">
        <v>79</v>
      </c>
      <c r="P1552" s="11" t="s">
        <v>9729</v>
      </c>
      <c r="Q1552" s="11" t="s">
        <v>9640</v>
      </c>
      <c r="S1552" s="4" t="b">
        <f>ISNUMBER(MATCH(Q1552,T:T,0))</f>
        <v>1</v>
      </c>
      <c r="T1552" s="4" t="s">
        <v>11725</v>
      </c>
      <c r="U1552" s="4" t="str">
        <f t="shared" si="71"/>
        <v>很</v>
      </c>
    </row>
    <row r="1553" spans="1:22">
      <c r="A1553" s="3">
        <v>1550</v>
      </c>
      <c r="B1553" s="3" t="s">
        <v>258</v>
      </c>
      <c r="C1553" s="3" t="s">
        <v>6067</v>
      </c>
      <c r="D1553" s="3" t="s">
        <v>5990</v>
      </c>
      <c r="E1553" s="3" t="s">
        <v>5991</v>
      </c>
      <c r="F1553" s="3" t="s">
        <v>6926</v>
      </c>
      <c r="G1553" s="3" t="s">
        <v>8645</v>
      </c>
      <c r="H1553" s="3" t="s">
        <v>259</v>
      </c>
      <c r="I1553" s="3" t="s">
        <v>6836</v>
      </c>
      <c r="J1553" s="5" t="s">
        <v>4809</v>
      </c>
      <c r="L1553" s="3" t="s">
        <v>260</v>
      </c>
      <c r="M1553" s="3">
        <v>5</v>
      </c>
      <c r="N1553" s="4" t="s">
        <v>261</v>
      </c>
      <c r="O1553" s="4">
        <v>80</v>
      </c>
      <c r="P1553" s="11" t="s">
        <v>9870</v>
      </c>
      <c r="Q1553" s="11" t="s">
        <v>10299</v>
      </c>
      <c r="R1553" s="4" t="s">
        <v>13090</v>
      </c>
      <c r="S1553" s="4" t="b">
        <f>ISNUMBER(MATCH(Q1553,T:T,0))</f>
        <v>0</v>
      </c>
      <c r="T1553" s="4" t="s">
        <v>261</v>
      </c>
      <c r="U1553" s="4" t="str">
        <f t="shared" si="71"/>
        <v>趕</v>
      </c>
      <c r="V1553" s="4" t="b">
        <f>ISNUMBER(MATCH(R1553,T:T,0))</f>
        <v>1</v>
      </c>
    </row>
    <row r="1554" spans="1:22" ht="26.25">
      <c r="A1554" s="3">
        <v>1551</v>
      </c>
      <c r="B1554" s="3" t="s">
        <v>258</v>
      </c>
      <c r="C1554" s="3" t="s">
        <v>5989</v>
      </c>
      <c r="D1554" s="3" t="s">
        <v>5990</v>
      </c>
      <c r="E1554" s="3" t="s">
        <v>5991</v>
      </c>
      <c r="F1554" s="3" t="s">
        <v>6926</v>
      </c>
      <c r="G1554" s="3" t="s">
        <v>8645</v>
      </c>
      <c r="H1554" s="3" t="s">
        <v>262</v>
      </c>
      <c r="I1554" s="3" t="s">
        <v>6836</v>
      </c>
      <c r="J1554" s="5" t="s">
        <v>4810</v>
      </c>
      <c r="K1554" s="3" t="s">
        <v>607</v>
      </c>
      <c r="L1554" s="3" t="s">
        <v>263</v>
      </c>
      <c r="M1554" s="3">
        <v>8</v>
      </c>
      <c r="N1554" s="4" t="s">
        <v>261</v>
      </c>
      <c r="O1554" s="4">
        <v>80</v>
      </c>
      <c r="P1554" s="11" t="s">
        <v>9975</v>
      </c>
      <c r="Q1554" s="11" t="s">
        <v>261</v>
      </c>
      <c r="S1554" s="4" t="b">
        <f>ISNUMBER(MATCH(Q1554,T:T,0))</f>
        <v>1</v>
      </c>
      <c r="T1554" s="4" t="s">
        <v>11726</v>
      </c>
      <c r="U1554" s="4" t="str">
        <f t="shared" si="71"/>
        <v>旱</v>
      </c>
    </row>
    <row r="1555" spans="1:22">
      <c r="A1555" s="3">
        <v>1552</v>
      </c>
      <c r="B1555" s="3" t="s">
        <v>258</v>
      </c>
      <c r="C1555" s="3" t="s">
        <v>6079</v>
      </c>
      <c r="D1555" s="3" t="s">
        <v>5990</v>
      </c>
      <c r="E1555" s="3" t="s">
        <v>5991</v>
      </c>
      <c r="F1555" s="3" t="s">
        <v>6926</v>
      </c>
      <c r="G1555" s="3" t="s">
        <v>8645</v>
      </c>
      <c r="H1555" s="3" t="s">
        <v>264</v>
      </c>
      <c r="I1555" s="3" t="s">
        <v>6836</v>
      </c>
      <c r="J1555" s="5" t="s">
        <v>265</v>
      </c>
      <c r="L1555" s="3" t="s">
        <v>266</v>
      </c>
      <c r="M1555" s="3">
        <v>2</v>
      </c>
      <c r="N1555" s="4" t="s">
        <v>261</v>
      </c>
      <c r="O1555" s="4">
        <v>80</v>
      </c>
      <c r="P1555" s="11" t="s">
        <v>9736</v>
      </c>
      <c r="Q1555" s="11" t="s">
        <v>10300</v>
      </c>
      <c r="S1555" s="4" t="b">
        <f>ISNUMBER(MATCH(Q1555,T:T,0))</f>
        <v>1</v>
      </c>
      <c r="T1555" s="4" t="s">
        <v>11727</v>
      </c>
      <c r="U1555" s="4" t="str">
        <f t="shared" si="71"/>
        <v>旦</v>
      </c>
    </row>
    <row r="1556" spans="1:22">
      <c r="A1556" s="3">
        <v>1553</v>
      </c>
      <c r="B1556" s="3" t="s">
        <v>258</v>
      </c>
      <c r="C1556" s="3" t="s">
        <v>6017</v>
      </c>
      <c r="D1556" s="3" t="s">
        <v>5990</v>
      </c>
      <c r="E1556" s="3" t="s">
        <v>5991</v>
      </c>
      <c r="F1556" s="3" t="s">
        <v>6926</v>
      </c>
      <c r="G1556" s="3" t="s">
        <v>8645</v>
      </c>
      <c r="H1556" s="3" t="s">
        <v>267</v>
      </c>
      <c r="I1556" s="3" t="s">
        <v>6836</v>
      </c>
      <c r="J1556" s="5" t="s">
        <v>4811</v>
      </c>
      <c r="L1556" s="3" t="s">
        <v>268</v>
      </c>
      <c r="M1556" s="3">
        <v>11</v>
      </c>
      <c r="N1556" s="4" t="s">
        <v>261</v>
      </c>
      <c r="O1556" s="4">
        <v>80</v>
      </c>
      <c r="P1556" s="11" t="s">
        <v>9741</v>
      </c>
      <c r="Q1556" s="11" t="s">
        <v>261</v>
      </c>
      <c r="S1556" s="4" t="b">
        <f>ISNUMBER(MATCH(Q1556,T:T,0))</f>
        <v>1</v>
      </c>
      <c r="T1556" s="4" t="s">
        <v>11728</v>
      </c>
      <c r="U1556" s="4" t="str">
        <f t="shared" si="71"/>
        <v>旱</v>
      </c>
    </row>
    <row r="1557" spans="1:22">
      <c r="A1557" s="3">
        <v>1554</v>
      </c>
      <c r="B1557" s="3" t="s">
        <v>258</v>
      </c>
      <c r="C1557" s="3" t="s">
        <v>5997</v>
      </c>
      <c r="D1557" s="3" t="s">
        <v>5990</v>
      </c>
      <c r="E1557" s="3" t="s">
        <v>5991</v>
      </c>
      <c r="F1557" s="3" t="s">
        <v>6926</v>
      </c>
      <c r="G1557" s="3" t="s">
        <v>8645</v>
      </c>
      <c r="H1557" s="3" t="s">
        <v>269</v>
      </c>
      <c r="I1557" s="3" t="s">
        <v>6836</v>
      </c>
      <c r="J1557" s="5" t="s">
        <v>270</v>
      </c>
      <c r="L1557" s="3" t="s">
        <v>271</v>
      </c>
      <c r="M1557" s="3">
        <v>11</v>
      </c>
      <c r="N1557" s="4" t="s">
        <v>261</v>
      </c>
      <c r="O1557" s="4">
        <v>80</v>
      </c>
      <c r="P1557" s="11" t="s">
        <v>9706</v>
      </c>
      <c r="Q1557" s="11" t="s">
        <v>261</v>
      </c>
      <c r="S1557" s="4" t="b">
        <f>ISNUMBER(MATCH(Q1557,T:T,0))</f>
        <v>1</v>
      </c>
      <c r="T1557" s="4" t="s">
        <v>10305</v>
      </c>
      <c r="U1557" s="4" t="str">
        <f t="shared" si="71"/>
        <v>旱</v>
      </c>
    </row>
    <row r="1558" spans="1:22">
      <c r="A1558" s="3">
        <v>1555</v>
      </c>
      <c r="B1558" s="3" t="s">
        <v>258</v>
      </c>
      <c r="C1558" s="3" t="s">
        <v>6069</v>
      </c>
      <c r="D1558" s="3" t="s">
        <v>5990</v>
      </c>
      <c r="E1558" s="3" t="s">
        <v>5991</v>
      </c>
      <c r="F1558" s="3" t="s">
        <v>6926</v>
      </c>
      <c r="G1558" s="3" t="s">
        <v>8645</v>
      </c>
      <c r="H1558" s="3" t="s">
        <v>272</v>
      </c>
      <c r="I1558" s="3" t="s">
        <v>6836</v>
      </c>
      <c r="J1558" s="8" t="s">
        <v>4812</v>
      </c>
      <c r="L1558" s="3" t="s">
        <v>273</v>
      </c>
      <c r="M1558" s="3">
        <v>3</v>
      </c>
      <c r="N1558" s="4" t="s">
        <v>261</v>
      </c>
      <c r="O1558" s="4">
        <v>80</v>
      </c>
      <c r="P1558" s="11" t="s">
        <v>1077</v>
      </c>
      <c r="Q1558" s="11" t="s">
        <v>261</v>
      </c>
      <c r="S1558" s="4" t="b">
        <f>ISNUMBER(MATCH(Q1558,T:T,0))</f>
        <v>1</v>
      </c>
      <c r="T1558" s="4" t="s">
        <v>11729</v>
      </c>
      <c r="U1558" s="4" t="str">
        <f t="shared" si="71"/>
        <v>旱</v>
      </c>
    </row>
    <row r="1559" spans="1:22">
      <c r="A1559" s="3">
        <v>1556</v>
      </c>
      <c r="B1559" s="3" t="s">
        <v>258</v>
      </c>
      <c r="C1559" s="3" t="s">
        <v>6025</v>
      </c>
      <c r="D1559" s="3" t="s">
        <v>5990</v>
      </c>
      <c r="E1559" s="3" t="s">
        <v>5991</v>
      </c>
      <c r="F1559" s="3" t="s">
        <v>6926</v>
      </c>
      <c r="G1559" s="3" t="s">
        <v>8645</v>
      </c>
      <c r="H1559" s="3" t="s">
        <v>274</v>
      </c>
      <c r="I1559" s="3" t="s">
        <v>6836</v>
      </c>
      <c r="J1559" s="5" t="s">
        <v>4813</v>
      </c>
      <c r="L1559" s="3" t="s">
        <v>275</v>
      </c>
      <c r="M1559" s="3">
        <v>12</v>
      </c>
      <c r="N1559" s="4" t="s">
        <v>261</v>
      </c>
      <c r="O1559" s="4">
        <v>80</v>
      </c>
      <c r="P1559" s="11" t="s">
        <v>9729</v>
      </c>
      <c r="Q1559" s="11" t="s">
        <v>261</v>
      </c>
      <c r="S1559" s="4" t="b">
        <f>ISNUMBER(MATCH(Q1559,T:T,0))</f>
        <v>1</v>
      </c>
      <c r="T1559" s="4" t="s">
        <v>11730</v>
      </c>
      <c r="U1559" s="4" t="str">
        <f t="shared" si="71"/>
        <v>旱</v>
      </c>
    </row>
    <row r="1560" spans="1:22">
      <c r="A1560" s="3">
        <v>1557</v>
      </c>
      <c r="B1560" s="3" t="s">
        <v>258</v>
      </c>
      <c r="C1560" s="3" t="s">
        <v>6058</v>
      </c>
      <c r="D1560" s="3" t="s">
        <v>5990</v>
      </c>
      <c r="E1560" s="3" t="s">
        <v>5991</v>
      </c>
      <c r="F1560" s="3" t="s">
        <v>6926</v>
      </c>
      <c r="G1560" s="3" t="s">
        <v>8645</v>
      </c>
      <c r="H1560" s="3" t="s">
        <v>276</v>
      </c>
      <c r="I1560" s="3" t="s">
        <v>6836</v>
      </c>
      <c r="J1560" s="5" t="s">
        <v>277</v>
      </c>
      <c r="L1560" s="3" t="s">
        <v>278</v>
      </c>
      <c r="M1560" s="3">
        <v>5</v>
      </c>
      <c r="N1560" s="4" t="s">
        <v>261</v>
      </c>
      <c r="O1560" s="4">
        <v>80</v>
      </c>
      <c r="P1560" s="11" t="s">
        <v>9877</v>
      </c>
      <c r="Q1560" s="11" t="s">
        <v>261</v>
      </c>
      <c r="S1560" s="4" t="b">
        <f>ISNUMBER(MATCH(Q1560,T:T,0))</f>
        <v>1</v>
      </c>
      <c r="T1560" s="4" t="s">
        <v>11731</v>
      </c>
      <c r="U1560" s="4" t="str">
        <f t="shared" si="71"/>
        <v>旱</v>
      </c>
    </row>
    <row r="1561" spans="1:22">
      <c r="A1561" s="3">
        <v>1558</v>
      </c>
      <c r="B1561" s="3" t="s">
        <v>258</v>
      </c>
      <c r="C1561" s="3" t="s">
        <v>6038</v>
      </c>
      <c r="D1561" s="3" t="s">
        <v>5990</v>
      </c>
      <c r="E1561" s="3" t="s">
        <v>5991</v>
      </c>
      <c r="F1561" s="3" t="s">
        <v>6926</v>
      </c>
      <c r="G1561" s="3" t="s">
        <v>8645</v>
      </c>
      <c r="H1561" s="3" t="s">
        <v>279</v>
      </c>
      <c r="I1561" s="3" t="s">
        <v>6836</v>
      </c>
      <c r="J1561" s="5" t="s">
        <v>280</v>
      </c>
      <c r="L1561" s="3" t="s">
        <v>281</v>
      </c>
      <c r="M1561" s="3">
        <v>2</v>
      </c>
      <c r="N1561" s="4" t="s">
        <v>261</v>
      </c>
      <c r="O1561" s="4">
        <v>80</v>
      </c>
      <c r="P1561" s="11" t="s">
        <v>9725</v>
      </c>
      <c r="Q1561" s="11" t="s">
        <v>261</v>
      </c>
      <c r="S1561" s="4" t="b">
        <f>ISNUMBER(MATCH(Q1561,T:T,0))</f>
        <v>1</v>
      </c>
      <c r="T1561" s="4" t="s">
        <v>11732</v>
      </c>
      <c r="U1561" s="4" t="str">
        <f t="shared" si="71"/>
        <v>旱</v>
      </c>
    </row>
    <row r="1562" spans="1:22">
      <c r="A1562" s="3">
        <v>1559</v>
      </c>
      <c r="B1562" s="3" t="s">
        <v>258</v>
      </c>
      <c r="C1562" s="3" t="s">
        <v>6089</v>
      </c>
      <c r="D1562" s="3" t="s">
        <v>5990</v>
      </c>
      <c r="E1562" s="3" t="s">
        <v>5991</v>
      </c>
      <c r="F1562" s="3" t="s">
        <v>6926</v>
      </c>
      <c r="G1562" s="3" t="s">
        <v>8645</v>
      </c>
      <c r="H1562" s="3" t="s">
        <v>282</v>
      </c>
      <c r="I1562" s="3" t="s">
        <v>6836</v>
      </c>
      <c r="J1562" s="5" t="s">
        <v>283</v>
      </c>
      <c r="L1562" s="3" t="s">
        <v>284</v>
      </c>
      <c r="M1562" s="3">
        <v>7</v>
      </c>
      <c r="N1562" s="4" t="s">
        <v>261</v>
      </c>
      <c r="O1562" s="4">
        <v>80</v>
      </c>
      <c r="P1562" s="11" t="s">
        <v>9739</v>
      </c>
      <c r="Q1562" s="11" t="s">
        <v>261</v>
      </c>
      <c r="S1562" s="4" t="b">
        <f>ISNUMBER(MATCH(Q1562,T:T,0))</f>
        <v>1</v>
      </c>
      <c r="T1562" s="4" t="s">
        <v>11733</v>
      </c>
      <c r="U1562" s="4" t="str">
        <f t="shared" si="71"/>
        <v>旱</v>
      </c>
    </row>
    <row r="1563" spans="1:22">
      <c r="A1563" s="3">
        <v>1560</v>
      </c>
      <c r="B1563" s="3" t="s">
        <v>258</v>
      </c>
      <c r="C1563" s="3" t="s">
        <v>6083</v>
      </c>
      <c r="D1563" s="3" t="s">
        <v>5990</v>
      </c>
      <c r="E1563" s="3" t="s">
        <v>5991</v>
      </c>
      <c r="F1563" s="3" t="s">
        <v>6926</v>
      </c>
      <c r="G1563" s="3" t="s">
        <v>8645</v>
      </c>
      <c r="H1563" s="3" t="s">
        <v>285</v>
      </c>
      <c r="I1563" s="3" t="s">
        <v>6836</v>
      </c>
      <c r="J1563" s="5" t="s">
        <v>286</v>
      </c>
      <c r="L1563" s="3" t="s">
        <v>287</v>
      </c>
      <c r="M1563" s="3">
        <v>1</v>
      </c>
      <c r="N1563" s="4" t="s">
        <v>261</v>
      </c>
      <c r="O1563" s="4">
        <v>80</v>
      </c>
      <c r="P1563" s="11" t="s">
        <v>9745</v>
      </c>
      <c r="Q1563" s="11" t="s">
        <v>261</v>
      </c>
      <c r="S1563" s="4" t="b">
        <f>ISNUMBER(MATCH(Q1563,T:T,0))</f>
        <v>1</v>
      </c>
      <c r="T1563" s="4" t="s">
        <v>11734</v>
      </c>
      <c r="U1563" s="4" t="str">
        <f t="shared" si="71"/>
        <v>旱</v>
      </c>
    </row>
    <row r="1564" spans="1:22">
      <c r="A1564" s="3">
        <v>1576</v>
      </c>
      <c r="B1564" s="3" t="s">
        <v>258</v>
      </c>
      <c r="C1564" s="3" t="s">
        <v>6102</v>
      </c>
      <c r="D1564" s="3" t="s">
        <v>5990</v>
      </c>
      <c r="E1564" s="3" t="s">
        <v>5991</v>
      </c>
      <c r="F1564" s="3" t="s">
        <v>6926</v>
      </c>
      <c r="G1564" s="3" t="s">
        <v>8645</v>
      </c>
      <c r="H1564" s="3" t="s">
        <v>3138</v>
      </c>
      <c r="I1564" s="3" t="s">
        <v>6836</v>
      </c>
      <c r="J1564" s="5" t="s">
        <v>3139</v>
      </c>
      <c r="L1564" s="3" t="s">
        <v>3140</v>
      </c>
      <c r="M1564" s="3">
        <v>1</v>
      </c>
      <c r="N1564" s="4" t="s">
        <v>261</v>
      </c>
      <c r="O1564" s="4">
        <v>80</v>
      </c>
      <c r="P1564" s="11" t="s">
        <v>9744</v>
      </c>
      <c r="Q1564" s="11" t="s">
        <v>10305</v>
      </c>
      <c r="S1564" s="4" t="b">
        <f>ISNUMBER(MATCH(Q1564,T:T,0))</f>
        <v>1</v>
      </c>
      <c r="T1564" s="4" t="s">
        <v>3139</v>
      </c>
      <c r="U1564" s="4" t="str">
        <f t="shared" si="71"/>
        <v>但</v>
      </c>
    </row>
    <row r="1565" spans="1:22">
      <c r="A1565" s="3">
        <v>1561</v>
      </c>
      <c r="B1565" s="3" t="s">
        <v>288</v>
      </c>
      <c r="C1565" s="3" t="s">
        <v>6067</v>
      </c>
      <c r="D1565" s="3" t="s">
        <v>5990</v>
      </c>
      <c r="E1565" s="3" t="s">
        <v>6212</v>
      </c>
      <c r="F1565" s="3" t="s">
        <v>8009</v>
      </c>
      <c r="G1565" s="3" t="s">
        <v>8645</v>
      </c>
      <c r="H1565" s="3" t="s">
        <v>289</v>
      </c>
      <c r="I1565" s="3" t="s">
        <v>6836</v>
      </c>
      <c r="J1565" s="5" t="s">
        <v>4814</v>
      </c>
      <c r="L1565" s="3" t="s">
        <v>290</v>
      </c>
      <c r="M1565" s="3">
        <v>14</v>
      </c>
      <c r="N1565" s="4" t="s">
        <v>9641</v>
      </c>
      <c r="O1565" s="4">
        <v>81</v>
      </c>
      <c r="P1565" s="11" t="s">
        <v>9870</v>
      </c>
      <c r="Q1565" s="11" t="s">
        <v>10301</v>
      </c>
      <c r="S1565" s="4" t="b">
        <f>ISNUMBER(MATCH(Q1565,T:T,0))</f>
        <v>1</v>
      </c>
      <c r="T1565" s="4" t="s">
        <v>9641</v>
      </c>
      <c r="U1565" s="4" t="str">
        <f t="shared" si="71"/>
        <v>管</v>
      </c>
    </row>
    <row r="1566" spans="1:22">
      <c r="A1566" s="3">
        <v>1562</v>
      </c>
      <c r="B1566" s="3" t="s">
        <v>288</v>
      </c>
      <c r="C1566" s="3" t="s">
        <v>5989</v>
      </c>
      <c r="D1566" s="3" t="s">
        <v>5990</v>
      </c>
      <c r="E1566" s="3" t="s">
        <v>6212</v>
      </c>
      <c r="F1566" s="3" t="s">
        <v>8009</v>
      </c>
      <c r="G1566" s="3" t="s">
        <v>8645</v>
      </c>
      <c r="H1566" s="3" t="s">
        <v>291</v>
      </c>
      <c r="I1566" s="3" t="s">
        <v>6836</v>
      </c>
      <c r="J1566" s="5" t="s">
        <v>292</v>
      </c>
      <c r="L1566" s="3" t="s">
        <v>293</v>
      </c>
      <c r="M1566" s="3">
        <v>4</v>
      </c>
      <c r="N1566" s="4" t="s">
        <v>9641</v>
      </c>
      <c r="O1566" s="4">
        <v>81</v>
      </c>
      <c r="P1566" s="11" t="s">
        <v>9742</v>
      </c>
      <c r="Q1566" s="11" t="s">
        <v>10301</v>
      </c>
      <c r="S1566" s="4" t="b">
        <f>ISNUMBER(MATCH(Q1566,T:T,0))</f>
        <v>1</v>
      </c>
      <c r="T1566" s="4" t="s">
        <v>11735</v>
      </c>
      <c r="U1566" s="4" t="str">
        <f t="shared" si="71"/>
        <v>管</v>
      </c>
    </row>
    <row r="1567" spans="1:22">
      <c r="A1567" s="3">
        <v>1563</v>
      </c>
      <c r="B1567" s="3" t="s">
        <v>288</v>
      </c>
      <c r="C1567" s="3" t="s">
        <v>6072</v>
      </c>
      <c r="D1567" s="3" t="s">
        <v>5990</v>
      </c>
      <c r="E1567" s="3" t="s">
        <v>6212</v>
      </c>
      <c r="F1567" s="3" t="s">
        <v>8009</v>
      </c>
      <c r="G1567" s="3" t="s">
        <v>8645</v>
      </c>
      <c r="H1567" s="3" t="s">
        <v>294</v>
      </c>
      <c r="I1567" s="3" t="s">
        <v>6836</v>
      </c>
      <c r="J1567" s="5" t="s">
        <v>4815</v>
      </c>
      <c r="L1567" s="3" t="s">
        <v>193</v>
      </c>
      <c r="M1567" s="3">
        <v>3</v>
      </c>
      <c r="N1567" s="4" t="s">
        <v>9641</v>
      </c>
      <c r="O1567" s="4">
        <v>81</v>
      </c>
      <c r="P1567" s="11" t="s">
        <v>9734</v>
      </c>
      <c r="Q1567" s="11" t="s">
        <v>10301</v>
      </c>
      <c r="S1567" s="4" t="b">
        <f>ISNUMBER(MATCH(Q1567,T:T,0))</f>
        <v>1</v>
      </c>
      <c r="T1567" s="4" t="s">
        <v>11736</v>
      </c>
      <c r="U1567" s="4" t="str">
        <f t="shared" si="71"/>
        <v>管</v>
      </c>
    </row>
    <row r="1568" spans="1:22">
      <c r="A1568" s="3">
        <v>1564</v>
      </c>
      <c r="B1568" s="3" t="s">
        <v>288</v>
      </c>
      <c r="C1568" s="3" t="s">
        <v>6079</v>
      </c>
      <c r="D1568" s="3" t="s">
        <v>5990</v>
      </c>
      <c r="E1568" s="3" t="s">
        <v>6212</v>
      </c>
      <c r="F1568" s="3" t="s">
        <v>8009</v>
      </c>
      <c r="G1568" s="3" t="s">
        <v>8645</v>
      </c>
      <c r="H1568" s="3" t="s">
        <v>295</v>
      </c>
      <c r="I1568" s="3" t="s">
        <v>6836</v>
      </c>
      <c r="J1568" s="8" t="s">
        <v>4816</v>
      </c>
      <c r="L1568" s="3" t="s">
        <v>296</v>
      </c>
      <c r="M1568" s="3">
        <v>4</v>
      </c>
      <c r="N1568" s="4" t="s">
        <v>9641</v>
      </c>
      <c r="O1568" s="4">
        <v>81</v>
      </c>
      <c r="P1568" s="11" t="s">
        <v>9967</v>
      </c>
      <c r="Q1568" s="11" t="s">
        <v>9641</v>
      </c>
      <c r="S1568" s="4" t="b">
        <f>ISNUMBER(MATCH(Q1568,T:T,0))</f>
        <v>1</v>
      </c>
      <c r="T1568" s="4" t="s">
        <v>11737</v>
      </c>
      <c r="U1568" s="4" t="str">
        <f t="shared" si="71"/>
        <v>緩</v>
      </c>
    </row>
    <row r="1569" spans="1:21">
      <c r="A1569" s="3">
        <v>1565</v>
      </c>
      <c r="B1569" s="3" t="s">
        <v>288</v>
      </c>
      <c r="C1569" s="3" t="s">
        <v>6017</v>
      </c>
      <c r="D1569" s="3" t="s">
        <v>5990</v>
      </c>
      <c r="E1569" s="3" t="s">
        <v>6212</v>
      </c>
      <c r="F1569" s="3" t="s">
        <v>8009</v>
      </c>
      <c r="G1569" s="3" t="s">
        <v>8645</v>
      </c>
      <c r="H1569" s="3" t="s">
        <v>297</v>
      </c>
      <c r="I1569" s="3" t="s">
        <v>6836</v>
      </c>
      <c r="J1569" s="5" t="s">
        <v>298</v>
      </c>
      <c r="L1569" s="3" t="s">
        <v>299</v>
      </c>
      <c r="M1569" s="3">
        <v>3</v>
      </c>
      <c r="N1569" s="4" t="s">
        <v>9641</v>
      </c>
      <c r="O1569" s="4">
        <v>81</v>
      </c>
      <c r="P1569" s="11" t="s">
        <v>9741</v>
      </c>
      <c r="Q1569" s="11" t="s">
        <v>10301</v>
      </c>
      <c r="S1569" s="4" t="b">
        <f>ISNUMBER(MATCH(Q1569,T:T,0))</f>
        <v>1</v>
      </c>
      <c r="T1569" s="4" t="s">
        <v>11738</v>
      </c>
      <c r="U1569" s="4" t="str">
        <f t="shared" si="71"/>
        <v>管</v>
      </c>
    </row>
    <row r="1570" spans="1:21">
      <c r="A1570" s="3">
        <v>1566</v>
      </c>
      <c r="B1570" s="3" t="s">
        <v>288</v>
      </c>
      <c r="C1570" s="3" t="s">
        <v>6025</v>
      </c>
      <c r="D1570" s="3" t="s">
        <v>5990</v>
      </c>
      <c r="E1570" s="3" t="s">
        <v>6212</v>
      </c>
      <c r="F1570" s="3" t="s">
        <v>8009</v>
      </c>
      <c r="G1570" s="3" t="s">
        <v>8645</v>
      </c>
      <c r="H1570" s="3" t="s">
        <v>300</v>
      </c>
      <c r="I1570" s="3" t="s">
        <v>6836</v>
      </c>
      <c r="J1570" s="5" t="s">
        <v>4817</v>
      </c>
      <c r="L1570" s="3" t="s">
        <v>301</v>
      </c>
      <c r="M1570" s="3">
        <v>12</v>
      </c>
      <c r="N1570" s="4" t="s">
        <v>9641</v>
      </c>
      <c r="O1570" s="4">
        <v>81</v>
      </c>
      <c r="P1570" s="11" t="s">
        <v>9729</v>
      </c>
      <c r="Q1570" s="11" t="s">
        <v>10302</v>
      </c>
      <c r="S1570" s="4" t="b">
        <f>ISNUMBER(MATCH(Q1570,T:T,0))</f>
        <v>1</v>
      </c>
      <c r="T1570" s="4" t="s">
        <v>10301</v>
      </c>
      <c r="U1570" s="4" t="str">
        <f t="shared" si="71"/>
        <v>滿</v>
      </c>
    </row>
    <row r="1571" spans="1:21">
      <c r="A1571" s="3">
        <v>1567</v>
      </c>
      <c r="B1571" s="3" t="s">
        <v>288</v>
      </c>
      <c r="C1571" s="3" t="s">
        <v>6058</v>
      </c>
      <c r="D1571" s="3" t="s">
        <v>5990</v>
      </c>
      <c r="E1571" s="3" t="s">
        <v>6212</v>
      </c>
      <c r="F1571" s="3" t="s">
        <v>8009</v>
      </c>
      <c r="G1571" s="3" t="s">
        <v>8645</v>
      </c>
      <c r="H1571" s="3" t="s">
        <v>302</v>
      </c>
      <c r="I1571" s="3" t="s">
        <v>6836</v>
      </c>
      <c r="J1571" s="5" t="s">
        <v>303</v>
      </c>
      <c r="L1571" s="3" t="s">
        <v>304</v>
      </c>
      <c r="M1571" s="3">
        <v>1</v>
      </c>
      <c r="N1571" s="4" t="s">
        <v>9641</v>
      </c>
      <c r="O1571" s="4">
        <v>81</v>
      </c>
      <c r="P1571" s="11" t="s">
        <v>9730</v>
      </c>
      <c r="Q1571" s="11" t="s">
        <v>10301</v>
      </c>
      <c r="S1571" s="4" t="b">
        <f>ISNUMBER(MATCH(Q1571,T:T,0))</f>
        <v>1</v>
      </c>
      <c r="T1571" s="4" t="s">
        <v>303</v>
      </c>
      <c r="U1571" s="4" t="str">
        <f t="shared" si="71"/>
        <v>管</v>
      </c>
    </row>
    <row r="1572" spans="1:21">
      <c r="A1572" s="3">
        <v>1568</v>
      </c>
      <c r="B1572" s="3" t="s">
        <v>288</v>
      </c>
      <c r="C1572" s="3" t="s">
        <v>6038</v>
      </c>
      <c r="D1572" s="3" t="s">
        <v>5990</v>
      </c>
      <c r="E1572" s="3" t="s">
        <v>6212</v>
      </c>
      <c r="F1572" s="3" t="s">
        <v>8009</v>
      </c>
      <c r="G1572" s="3" t="s">
        <v>8645</v>
      </c>
      <c r="H1572" s="3" t="s">
        <v>305</v>
      </c>
      <c r="I1572" s="3" t="s">
        <v>6836</v>
      </c>
      <c r="J1572" s="5" t="s">
        <v>4818</v>
      </c>
      <c r="L1572" s="3" t="s">
        <v>306</v>
      </c>
      <c r="M1572" s="3">
        <v>8</v>
      </c>
      <c r="N1572" s="4" t="s">
        <v>9641</v>
      </c>
      <c r="O1572" s="4">
        <v>81</v>
      </c>
      <c r="P1572" s="11" t="s">
        <v>9728</v>
      </c>
      <c r="Q1572" s="11" t="s">
        <v>10301</v>
      </c>
      <c r="S1572" s="4" t="b">
        <f>ISNUMBER(MATCH(Q1572,T:T,0))</f>
        <v>1</v>
      </c>
      <c r="T1572" s="4" t="s">
        <v>11739</v>
      </c>
      <c r="U1572" s="4" t="str">
        <f t="shared" si="71"/>
        <v>管</v>
      </c>
    </row>
    <row r="1573" spans="1:21">
      <c r="A1573" s="3">
        <v>1569</v>
      </c>
      <c r="B1573" s="3" t="s">
        <v>288</v>
      </c>
      <c r="C1573" s="3" t="s">
        <v>6102</v>
      </c>
      <c r="D1573" s="3" t="s">
        <v>5990</v>
      </c>
      <c r="E1573" s="3" t="s">
        <v>6212</v>
      </c>
      <c r="F1573" s="3" t="s">
        <v>8009</v>
      </c>
      <c r="G1573" s="3" t="s">
        <v>8645</v>
      </c>
      <c r="H1573" s="3" t="s">
        <v>307</v>
      </c>
      <c r="I1573" s="3" t="s">
        <v>6836</v>
      </c>
      <c r="J1573" s="8" t="s">
        <v>4819</v>
      </c>
      <c r="L1573" s="3" t="s">
        <v>308</v>
      </c>
      <c r="M1573" s="3">
        <v>7</v>
      </c>
      <c r="N1573" s="4" t="s">
        <v>9641</v>
      </c>
      <c r="O1573" s="4">
        <v>81</v>
      </c>
      <c r="P1573" s="11" t="s">
        <v>9873</v>
      </c>
      <c r="Q1573" s="11" t="s">
        <v>10301</v>
      </c>
      <c r="S1573" s="4" t="b">
        <f>ISNUMBER(MATCH(Q1573,T:T,0))</f>
        <v>1</v>
      </c>
      <c r="T1573" s="4" t="s">
        <v>11740</v>
      </c>
      <c r="U1573" s="4" t="str">
        <f t="shared" si="71"/>
        <v>管</v>
      </c>
    </row>
    <row r="1574" spans="1:21">
      <c r="A1574" s="3">
        <v>1570</v>
      </c>
      <c r="B1574" s="3" t="s">
        <v>288</v>
      </c>
      <c r="C1574" s="3" t="s">
        <v>6083</v>
      </c>
      <c r="D1574" s="3" t="s">
        <v>5990</v>
      </c>
      <c r="E1574" s="3" t="s">
        <v>6212</v>
      </c>
      <c r="F1574" s="3" t="s">
        <v>8009</v>
      </c>
      <c r="G1574" s="3" t="s">
        <v>8645</v>
      </c>
      <c r="H1574" s="3" t="s">
        <v>309</v>
      </c>
      <c r="I1574" s="3" t="s">
        <v>6836</v>
      </c>
      <c r="J1574" s="5" t="s">
        <v>4820</v>
      </c>
      <c r="L1574" s="3" t="s">
        <v>310</v>
      </c>
      <c r="M1574" s="3">
        <v>8</v>
      </c>
      <c r="N1574" s="4" t="s">
        <v>9641</v>
      </c>
      <c r="O1574" s="4">
        <v>81</v>
      </c>
      <c r="P1574" s="11" t="s">
        <v>9745</v>
      </c>
      <c r="Q1574" s="11" t="s">
        <v>10301</v>
      </c>
      <c r="S1574" s="4" t="b">
        <f>ISNUMBER(MATCH(Q1574,T:T,0))</f>
        <v>1</v>
      </c>
      <c r="T1574" s="4" t="s">
        <v>10304</v>
      </c>
      <c r="U1574" s="4" t="str">
        <f t="shared" si="71"/>
        <v>管</v>
      </c>
    </row>
    <row r="1575" spans="1:21">
      <c r="A1575" s="3">
        <v>1571</v>
      </c>
      <c r="B1575" s="3" t="s">
        <v>288</v>
      </c>
      <c r="C1575" s="3" t="s">
        <v>6045</v>
      </c>
      <c r="D1575" s="3" t="s">
        <v>5990</v>
      </c>
      <c r="E1575" s="3" t="s">
        <v>6212</v>
      </c>
      <c r="F1575" s="3" t="s">
        <v>8009</v>
      </c>
      <c r="G1575" s="3" t="s">
        <v>8645</v>
      </c>
      <c r="H1575" s="3" t="s">
        <v>311</v>
      </c>
      <c r="I1575" s="3" t="s">
        <v>6836</v>
      </c>
      <c r="J1575" s="5" t="s">
        <v>312</v>
      </c>
      <c r="L1575" s="3" t="s">
        <v>313</v>
      </c>
      <c r="M1575" s="3">
        <v>3</v>
      </c>
      <c r="N1575" s="4" t="s">
        <v>9641</v>
      </c>
      <c r="O1575" s="4">
        <v>81</v>
      </c>
      <c r="P1575" s="11" t="s">
        <v>9965</v>
      </c>
      <c r="Q1575" s="11" t="s">
        <v>261</v>
      </c>
      <c r="S1575" s="4" t="b">
        <f>ISNUMBER(MATCH(Q1575,T:T,0))</f>
        <v>1</v>
      </c>
      <c r="T1575" s="4" t="s">
        <v>10306</v>
      </c>
      <c r="U1575" s="4" t="str">
        <f t="shared" si="71"/>
        <v>旱</v>
      </c>
    </row>
    <row r="1576" spans="1:21">
      <c r="A1576" s="3">
        <v>1572</v>
      </c>
      <c r="B1576" s="3" t="s">
        <v>288</v>
      </c>
      <c r="C1576" s="3" t="s">
        <v>6035</v>
      </c>
      <c r="D1576" s="3" t="s">
        <v>5990</v>
      </c>
      <c r="E1576" s="3" t="s">
        <v>6212</v>
      </c>
      <c r="F1576" s="3" t="s">
        <v>8009</v>
      </c>
      <c r="G1576" s="3" t="s">
        <v>8645</v>
      </c>
      <c r="H1576" s="3" t="s">
        <v>314</v>
      </c>
      <c r="I1576" s="3" t="s">
        <v>6836</v>
      </c>
      <c r="J1576" s="5" t="s">
        <v>4821</v>
      </c>
      <c r="L1576" s="3" t="s">
        <v>315</v>
      </c>
      <c r="M1576" s="3">
        <v>5</v>
      </c>
      <c r="N1576" s="4" t="s">
        <v>9641</v>
      </c>
      <c r="O1576" s="4">
        <v>81</v>
      </c>
      <c r="P1576" s="11" t="s">
        <v>9719</v>
      </c>
      <c r="Q1576" s="11" t="s">
        <v>261</v>
      </c>
      <c r="S1576" s="4" t="b">
        <f>ISNUMBER(MATCH(Q1576,T:T,0))</f>
        <v>1</v>
      </c>
      <c r="T1576" s="4" t="s">
        <v>10302</v>
      </c>
      <c r="U1576" s="4" t="str">
        <f t="shared" si="71"/>
        <v>旱</v>
      </c>
    </row>
    <row r="1577" spans="1:21">
      <c r="A1577" s="3">
        <v>1573</v>
      </c>
      <c r="B1577" s="3" t="s">
        <v>288</v>
      </c>
      <c r="C1577" s="3" t="s">
        <v>6049</v>
      </c>
      <c r="D1577" s="3" t="s">
        <v>5990</v>
      </c>
      <c r="E1577" s="3" t="s">
        <v>6212</v>
      </c>
      <c r="F1577" s="3" t="s">
        <v>8009</v>
      </c>
      <c r="G1577" s="3" t="s">
        <v>8645</v>
      </c>
      <c r="H1577" s="3" t="s">
        <v>316</v>
      </c>
      <c r="I1577" s="3" t="s">
        <v>6836</v>
      </c>
      <c r="J1577" s="5" t="s">
        <v>4822</v>
      </c>
      <c r="L1577" s="3" t="s">
        <v>317</v>
      </c>
      <c r="M1577" s="3">
        <v>5</v>
      </c>
      <c r="N1577" s="4" t="s">
        <v>9641</v>
      </c>
      <c r="O1577" s="4">
        <v>81</v>
      </c>
      <c r="P1577" s="11" t="s">
        <v>9770</v>
      </c>
      <c r="Q1577" s="11" t="s">
        <v>10301</v>
      </c>
      <c r="S1577" s="4" t="b">
        <f>ISNUMBER(MATCH(Q1577,T:T,0))</f>
        <v>1</v>
      </c>
      <c r="T1577" s="4" t="s">
        <v>11741</v>
      </c>
      <c r="U1577" s="4" t="str">
        <f t="shared" si="71"/>
        <v>管</v>
      </c>
    </row>
    <row r="1578" spans="1:21">
      <c r="A1578" s="3">
        <v>1574</v>
      </c>
      <c r="B1578" s="3" t="s">
        <v>288</v>
      </c>
      <c r="C1578" s="3" t="s">
        <v>6123</v>
      </c>
      <c r="D1578" s="3" t="s">
        <v>5990</v>
      </c>
      <c r="E1578" s="3" t="s">
        <v>6212</v>
      </c>
      <c r="F1578" s="3" t="s">
        <v>8009</v>
      </c>
      <c r="G1578" s="3" t="s">
        <v>8645</v>
      </c>
      <c r="H1578" s="7" t="s">
        <v>754</v>
      </c>
      <c r="I1578" s="3" t="s">
        <v>6836</v>
      </c>
      <c r="J1578" s="5" t="s">
        <v>318</v>
      </c>
      <c r="M1578" s="3">
        <v>1</v>
      </c>
      <c r="N1578" s="4" t="s">
        <v>9641</v>
      </c>
      <c r="O1578" s="4">
        <v>81</v>
      </c>
      <c r="P1578" s="11" t="s">
        <v>10303</v>
      </c>
      <c r="Q1578" s="11" t="s">
        <v>10304</v>
      </c>
      <c r="S1578" s="4" t="b">
        <f>ISNUMBER(MATCH(Q1578,T:T,0))</f>
        <v>1</v>
      </c>
      <c r="T1578" s="4" t="s">
        <v>318</v>
      </c>
      <c r="U1578" s="4" t="str">
        <f t="shared" si="71"/>
        <v>纂</v>
      </c>
    </row>
    <row r="1579" spans="1:21">
      <c r="A1579" s="3">
        <v>1575</v>
      </c>
      <c r="B1579" s="3" t="s">
        <v>288</v>
      </c>
      <c r="C1579" s="3" t="s">
        <v>5997</v>
      </c>
      <c r="D1579" s="3" t="s">
        <v>5990</v>
      </c>
      <c r="E1579" s="3" t="s">
        <v>6212</v>
      </c>
      <c r="F1579" s="3" t="s">
        <v>8009</v>
      </c>
      <c r="G1579" s="3" t="s">
        <v>8645</v>
      </c>
      <c r="H1579" s="3" t="s">
        <v>319</v>
      </c>
      <c r="I1579" s="3" t="s">
        <v>6836</v>
      </c>
      <c r="J1579" s="5" t="s">
        <v>320</v>
      </c>
      <c r="L1579" s="3" t="s">
        <v>3137</v>
      </c>
      <c r="M1579" s="3">
        <v>3</v>
      </c>
      <c r="N1579" s="4" t="s">
        <v>9641</v>
      </c>
      <c r="O1579" s="4">
        <v>81</v>
      </c>
      <c r="P1579" s="11" t="s">
        <v>9706</v>
      </c>
      <c r="Q1579" s="11" t="s">
        <v>10301</v>
      </c>
      <c r="S1579" s="4" t="b">
        <f>ISNUMBER(MATCH(Q1579,T:T,0))</f>
        <v>1</v>
      </c>
      <c r="T1579" s="4" t="s">
        <v>11742</v>
      </c>
      <c r="U1579" s="4" t="str">
        <f t="shared" si="71"/>
        <v>管</v>
      </c>
    </row>
    <row r="1580" spans="1:21">
      <c r="A1580" s="3">
        <v>1577</v>
      </c>
      <c r="B1580" s="3" t="s">
        <v>288</v>
      </c>
      <c r="C1580" s="3" t="s">
        <v>6053</v>
      </c>
      <c r="D1580" s="3" t="s">
        <v>5990</v>
      </c>
      <c r="E1580" s="3" t="s">
        <v>6212</v>
      </c>
      <c r="F1580" s="3" t="s">
        <v>8009</v>
      </c>
      <c r="G1580" s="3" t="s">
        <v>8645</v>
      </c>
      <c r="H1580" s="3" t="s">
        <v>3141</v>
      </c>
      <c r="I1580" s="3" t="s">
        <v>6836</v>
      </c>
      <c r="J1580" s="5" t="s">
        <v>3142</v>
      </c>
      <c r="L1580" s="3" t="s">
        <v>3143</v>
      </c>
      <c r="M1580" s="3">
        <v>2</v>
      </c>
      <c r="N1580" s="4" t="s">
        <v>9641</v>
      </c>
      <c r="O1580" s="4">
        <v>81</v>
      </c>
      <c r="P1580" s="11" t="s">
        <v>9884</v>
      </c>
      <c r="Q1580" s="11" t="s">
        <v>10306</v>
      </c>
      <c r="S1580" s="4" t="b">
        <f>ISNUMBER(MATCH(Q1580,T:T,0))</f>
        <v>1</v>
      </c>
      <c r="T1580" s="4" t="s">
        <v>11743</v>
      </c>
      <c r="U1580" s="4" t="str">
        <f t="shared" si="71"/>
        <v>伴</v>
      </c>
    </row>
    <row r="1581" spans="1:21">
      <c r="A1581" s="3">
        <v>1578</v>
      </c>
      <c r="B1581" s="3" t="s">
        <v>3144</v>
      </c>
      <c r="C1581" s="3" t="s">
        <v>6180</v>
      </c>
      <c r="D1581" s="3" t="s">
        <v>6157</v>
      </c>
      <c r="E1581" s="3" t="s">
        <v>5991</v>
      </c>
      <c r="F1581" s="3" t="s">
        <v>8055</v>
      </c>
      <c r="G1581" s="3" t="s">
        <v>8645</v>
      </c>
      <c r="H1581" s="3" t="s">
        <v>3145</v>
      </c>
      <c r="I1581" s="3" t="s">
        <v>6836</v>
      </c>
      <c r="J1581" s="5" t="s">
        <v>3146</v>
      </c>
      <c r="L1581" s="3" t="s">
        <v>3147</v>
      </c>
      <c r="M1581" s="3">
        <v>1</v>
      </c>
      <c r="N1581" s="4" t="s">
        <v>3146</v>
      </c>
      <c r="O1581" s="4">
        <v>82</v>
      </c>
      <c r="P1581" s="11" t="s">
        <v>9984</v>
      </c>
      <c r="Q1581" s="11" t="s">
        <v>10307</v>
      </c>
      <c r="S1581" s="4" t="b">
        <f>ISNUMBER(MATCH(Q1581,T:T,0))</f>
        <v>1</v>
      </c>
      <c r="T1581" s="4" t="s">
        <v>3146</v>
      </c>
      <c r="U1581" s="4" t="str">
        <f t="shared" si="71"/>
        <v>板</v>
      </c>
    </row>
    <row r="1582" spans="1:21">
      <c r="A1582" s="3">
        <v>1579</v>
      </c>
      <c r="B1582" s="3" t="s">
        <v>3144</v>
      </c>
      <c r="C1582" s="3" t="s">
        <v>6072</v>
      </c>
      <c r="D1582" s="3" t="s">
        <v>6157</v>
      </c>
      <c r="E1582" s="3" t="s">
        <v>6212</v>
      </c>
      <c r="F1582" s="3" t="s">
        <v>8055</v>
      </c>
      <c r="G1582" s="3" t="s">
        <v>8645</v>
      </c>
      <c r="H1582" s="3" t="s">
        <v>3148</v>
      </c>
      <c r="I1582" s="3" t="s">
        <v>6836</v>
      </c>
      <c r="J1582" s="5" t="s">
        <v>3149</v>
      </c>
      <c r="L1582" s="3" t="s">
        <v>193</v>
      </c>
      <c r="M1582" s="3">
        <v>1</v>
      </c>
      <c r="N1582" s="4" t="s">
        <v>3146</v>
      </c>
      <c r="O1582" s="4">
        <v>82</v>
      </c>
      <c r="P1582" s="11" t="s">
        <v>9734</v>
      </c>
      <c r="Q1582" s="11" t="s">
        <v>10307</v>
      </c>
      <c r="S1582" s="4" t="b">
        <f>ISNUMBER(MATCH(Q1582,T:T,0))</f>
        <v>1</v>
      </c>
      <c r="T1582" s="4" t="s">
        <v>3149</v>
      </c>
      <c r="U1582" s="4" t="str">
        <f t="shared" si="71"/>
        <v>板</v>
      </c>
    </row>
    <row r="1583" spans="1:21">
      <c r="A1583" s="3">
        <v>1580</v>
      </c>
      <c r="B1583" s="3" t="s">
        <v>3144</v>
      </c>
      <c r="C1583" s="3" t="s">
        <v>6049</v>
      </c>
      <c r="D1583" s="3" t="s">
        <v>6157</v>
      </c>
      <c r="E1583" s="3" t="s">
        <v>5991</v>
      </c>
      <c r="F1583" s="3" t="s">
        <v>8055</v>
      </c>
      <c r="G1583" s="3" t="s">
        <v>8645</v>
      </c>
      <c r="H1583" s="3" t="s">
        <v>3150</v>
      </c>
      <c r="I1583" s="3" t="s">
        <v>6836</v>
      </c>
      <c r="J1583" s="5" t="s">
        <v>4823</v>
      </c>
      <c r="L1583" s="3" t="s">
        <v>317</v>
      </c>
      <c r="M1583" s="3">
        <v>6</v>
      </c>
      <c r="N1583" s="4" t="s">
        <v>3146</v>
      </c>
      <c r="O1583" s="4">
        <v>82</v>
      </c>
      <c r="P1583" s="11" t="s">
        <v>9921</v>
      </c>
      <c r="Q1583" s="11" t="s">
        <v>3149</v>
      </c>
      <c r="S1583" s="4" t="b">
        <f>ISNUMBER(MATCH(Q1583,T:T,0))</f>
        <v>1</v>
      </c>
      <c r="T1583" s="4" t="s">
        <v>10307</v>
      </c>
      <c r="U1583" s="4" t="str">
        <f t="shared" si="71"/>
        <v>綰</v>
      </c>
    </row>
    <row r="1584" spans="1:21">
      <c r="A1584" s="3">
        <v>1581</v>
      </c>
      <c r="B1584" s="3" t="s">
        <v>3144</v>
      </c>
      <c r="C1584" s="3" t="s">
        <v>6318</v>
      </c>
      <c r="D1584" s="3" t="s">
        <v>6157</v>
      </c>
      <c r="E1584" s="3" t="s">
        <v>5991</v>
      </c>
      <c r="F1584" s="3" t="s">
        <v>8055</v>
      </c>
      <c r="G1584" s="3" t="s">
        <v>8645</v>
      </c>
      <c r="H1584" s="3" t="s">
        <v>3151</v>
      </c>
      <c r="I1584" s="3" t="s">
        <v>6836</v>
      </c>
      <c r="J1584" s="5" t="s">
        <v>4824</v>
      </c>
      <c r="L1584" s="3" t="s">
        <v>3152</v>
      </c>
      <c r="M1584" s="3">
        <v>3</v>
      </c>
      <c r="N1584" s="4" t="s">
        <v>3146</v>
      </c>
      <c r="O1584" s="4">
        <v>82</v>
      </c>
      <c r="P1584" s="11" t="s">
        <v>9804</v>
      </c>
      <c r="Q1584" s="11" t="s">
        <v>10307</v>
      </c>
      <c r="S1584" s="4" t="b">
        <f>ISNUMBER(MATCH(Q1584,T:T,0))</f>
        <v>1</v>
      </c>
      <c r="T1584" s="4" t="s">
        <v>11744</v>
      </c>
      <c r="U1584" s="4" t="str">
        <f t="shared" si="71"/>
        <v>板</v>
      </c>
    </row>
    <row r="1585" spans="1:22">
      <c r="A1585" s="3">
        <v>1582</v>
      </c>
      <c r="B1585" s="3" t="s">
        <v>3144</v>
      </c>
      <c r="C1585" s="3" t="s">
        <v>6137</v>
      </c>
      <c r="D1585" s="3" t="s">
        <v>6157</v>
      </c>
      <c r="E1585" s="3" t="s">
        <v>5991</v>
      </c>
      <c r="F1585" s="3" t="s">
        <v>8055</v>
      </c>
      <c r="G1585" s="3" t="s">
        <v>8645</v>
      </c>
      <c r="H1585" s="3" t="s">
        <v>3153</v>
      </c>
      <c r="I1585" s="3" t="s">
        <v>6836</v>
      </c>
      <c r="J1585" s="5" t="s">
        <v>3154</v>
      </c>
      <c r="L1585" s="3" t="s">
        <v>3140</v>
      </c>
      <c r="M1585" s="3">
        <v>4</v>
      </c>
      <c r="N1585" s="4" t="s">
        <v>3146</v>
      </c>
      <c r="O1585" s="4">
        <v>82</v>
      </c>
      <c r="P1585" s="11" t="s">
        <v>9744</v>
      </c>
      <c r="Q1585" s="11" t="s">
        <v>10307</v>
      </c>
      <c r="S1585" s="4" t="b">
        <f>ISNUMBER(MATCH(Q1585,T:T,0))</f>
        <v>1</v>
      </c>
      <c r="T1585" s="4" t="s">
        <v>10308</v>
      </c>
      <c r="U1585" s="4" t="str">
        <f t="shared" si="71"/>
        <v>板</v>
      </c>
    </row>
    <row r="1586" spans="1:22">
      <c r="A1586" s="3">
        <v>1583</v>
      </c>
      <c r="B1586" s="3" t="s">
        <v>3144</v>
      </c>
      <c r="C1586" s="3" t="s">
        <v>6067</v>
      </c>
      <c r="D1586" s="3" t="s">
        <v>6157</v>
      </c>
      <c r="E1586" s="3" t="s">
        <v>5991</v>
      </c>
      <c r="F1586" s="3" t="s">
        <v>8055</v>
      </c>
      <c r="G1586" s="3" t="s">
        <v>8645</v>
      </c>
      <c r="H1586" s="3" t="s">
        <v>3155</v>
      </c>
      <c r="I1586" s="3" t="s">
        <v>6836</v>
      </c>
      <c r="J1586" s="5" t="s">
        <v>4825</v>
      </c>
      <c r="L1586" s="3" t="s">
        <v>3156</v>
      </c>
      <c r="M1586" s="3">
        <v>5</v>
      </c>
      <c r="N1586" s="4" t="s">
        <v>3146</v>
      </c>
      <c r="O1586" s="4">
        <v>82</v>
      </c>
      <c r="P1586" s="11" t="s">
        <v>9771</v>
      </c>
      <c r="Q1586" s="11" t="s">
        <v>10308</v>
      </c>
      <c r="S1586" s="4" t="b">
        <f>ISNUMBER(MATCH(Q1586,T:T,0))</f>
        <v>1</v>
      </c>
      <c r="T1586" s="4" t="s">
        <v>11745</v>
      </c>
      <c r="U1586" s="4" t="str">
        <f t="shared" si="71"/>
        <v>赧</v>
      </c>
    </row>
    <row r="1587" spans="1:22">
      <c r="A1587" s="3">
        <v>1584</v>
      </c>
      <c r="B1587" s="3" t="s">
        <v>3144</v>
      </c>
      <c r="C1587" s="3" t="s">
        <v>6067</v>
      </c>
      <c r="D1587" s="3" t="s">
        <v>6157</v>
      </c>
      <c r="E1587" s="3" t="s">
        <v>6212</v>
      </c>
      <c r="F1587" s="3" t="s">
        <v>8055</v>
      </c>
      <c r="G1587" s="3" t="s">
        <v>8645</v>
      </c>
      <c r="H1587" s="7" t="s">
        <v>755</v>
      </c>
      <c r="I1587" s="3" t="s">
        <v>6836</v>
      </c>
      <c r="J1587" s="5" t="s">
        <v>3157</v>
      </c>
      <c r="L1587" s="3" t="s">
        <v>290</v>
      </c>
      <c r="M1587" s="3">
        <v>7</v>
      </c>
      <c r="N1587" s="4" t="s">
        <v>3146</v>
      </c>
      <c r="O1587" s="4">
        <v>82</v>
      </c>
      <c r="P1587" s="11" t="s">
        <v>9731</v>
      </c>
      <c r="Q1587" s="11" t="s">
        <v>10307</v>
      </c>
      <c r="S1587" s="4" t="b">
        <f>ISNUMBER(MATCH(Q1587,T:T,0))</f>
        <v>1</v>
      </c>
      <c r="T1587" s="4" t="s">
        <v>11746</v>
      </c>
      <c r="U1587" s="4" t="str">
        <f t="shared" si="71"/>
        <v>板</v>
      </c>
    </row>
    <row r="1588" spans="1:22">
      <c r="A1588" s="3">
        <v>1585</v>
      </c>
      <c r="B1588" s="3" t="s">
        <v>3144</v>
      </c>
      <c r="C1588" s="3" t="s">
        <v>6045</v>
      </c>
      <c r="D1588" s="3" t="s">
        <v>6157</v>
      </c>
      <c r="E1588" s="3" t="s">
        <v>5991</v>
      </c>
      <c r="F1588" s="3" t="s">
        <v>8055</v>
      </c>
      <c r="G1588" s="3" t="s">
        <v>8645</v>
      </c>
      <c r="H1588" s="3" t="s">
        <v>3158</v>
      </c>
      <c r="I1588" s="3" t="s">
        <v>6836</v>
      </c>
      <c r="J1588" s="5" t="s">
        <v>3159</v>
      </c>
      <c r="L1588" s="3" t="s">
        <v>313</v>
      </c>
      <c r="M1588" s="3">
        <v>3</v>
      </c>
      <c r="N1588" s="4" t="s">
        <v>3146</v>
      </c>
      <c r="O1588" s="4">
        <v>82</v>
      </c>
      <c r="P1588" s="11" t="s">
        <v>9926</v>
      </c>
      <c r="Q1588" s="11" t="s">
        <v>10307</v>
      </c>
      <c r="S1588" s="4" t="b">
        <f>ISNUMBER(MATCH(Q1588,T:T,0))</f>
        <v>1</v>
      </c>
      <c r="T1588" s="4" t="s">
        <v>11747</v>
      </c>
      <c r="U1588" s="4" t="str">
        <f t="shared" si="71"/>
        <v>板</v>
      </c>
    </row>
    <row r="1589" spans="1:22">
      <c r="A1589" s="3">
        <v>1586</v>
      </c>
      <c r="B1589" s="3" t="s">
        <v>3144</v>
      </c>
      <c r="C1589" s="3" t="s">
        <v>6035</v>
      </c>
      <c r="D1589" s="3" t="s">
        <v>6157</v>
      </c>
      <c r="E1589" s="3" t="s">
        <v>5991</v>
      </c>
      <c r="F1589" s="3" t="s">
        <v>8055</v>
      </c>
      <c r="G1589" s="3" t="s">
        <v>8645</v>
      </c>
      <c r="H1589" s="3" t="s">
        <v>3160</v>
      </c>
      <c r="I1589" s="3" t="s">
        <v>6836</v>
      </c>
      <c r="J1589" s="5" t="s">
        <v>3161</v>
      </c>
      <c r="L1589" s="3" t="s">
        <v>315</v>
      </c>
      <c r="M1589" s="3">
        <v>2</v>
      </c>
      <c r="N1589" s="4" t="s">
        <v>3146</v>
      </c>
      <c r="O1589" s="4">
        <v>82</v>
      </c>
      <c r="P1589" s="11" t="s">
        <v>9794</v>
      </c>
      <c r="Q1589" s="11" t="s">
        <v>10307</v>
      </c>
      <c r="S1589" s="4" t="b">
        <f>ISNUMBER(MATCH(Q1589,T:T,0))</f>
        <v>1</v>
      </c>
      <c r="T1589" s="4" t="s">
        <v>11748</v>
      </c>
      <c r="U1589" s="4" t="str">
        <f t="shared" si="71"/>
        <v>板</v>
      </c>
    </row>
    <row r="1590" spans="1:22">
      <c r="A1590" s="3">
        <v>1587</v>
      </c>
      <c r="B1590" s="3" t="s">
        <v>3144</v>
      </c>
      <c r="C1590" s="3" t="s">
        <v>6015</v>
      </c>
      <c r="D1590" s="3" t="s">
        <v>6157</v>
      </c>
      <c r="E1590" s="3" t="s">
        <v>5991</v>
      </c>
      <c r="F1590" s="3" t="s">
        <v>8055</v>
      </c>
      <c r="G1590" s="3" t="s">
        <v>8645</v>
      </c>
      <c r="H1590" s="3" t="s">
        <v>3162</v>
      </c>
      <c r="I1590" s="3" t="s">
        <v>6836</v>
      </c>
      <c r="J1590" s="5" t="s">
        <v>3163</v>
      </c>
      <c r="L1590" s="3" t="s">
        <v>3164</v>
      </c>
      <c r="M1590" s="3">
        <v>2</v>
      </c>
      <c r="N1590" s="4" t="s">
        <v>3146</v>
      </c>
      <c r="O1590" s="4">
        <v>82</v>
      </c>
      <c r="P1590" s="11" t="s">
        <v>9777</v>
      </c>
      <c r="Q1590" s="11" t="s">
        <v>10307</v>
      </c>
      <c r="S1590" s="4" t="b">
        <f>ISNUMBER(MATCH(Q1590,T:T,0))</f>
        <v>1</v>
      </c>
      <c r="T1590" s="4" t="s">
        <v>11749</v>
      </c>
      <c r="U1590" s="4" t="str">
        <f t="shared" si="71"/>
        <v>板</v>
      </c>
    </row>
    <row r="1591" spans="1:22">
      <c r="A1591" s="3">
        <v>1588</v>
      </c>
      <c r="B1591" s="3" t="s">
        <v>3144</v>
      </c>
      <c r="C1591" s="3" t="s">
        <v>6092</v>
      </c>
      <c r="D1591" s="3" t="s">
        <v>6157</v>
      </c>
      <c r="E1591" s="3" t="s">
        <v>5991</v>
      </c>
      <c r="F1591" s="3" t="s">
        <v>8055</v>
      </c>
      <c r="G1591" s="3" t="s">
        <v>8645</v>
      </c>
      <c r="H1591" s="3" t="s">
        <v>3165</v>
      </c>
      <c r="I1591" s="3" t="s">
        <v>6836</v>
      </c>
      <c r="J1591" s="5" t="s">
        <v>3166</v>
      </c>
      <c r="L1591" s="3" t="s">
        <v>178</v>
      </c>
      <c r="M1591" s="3">
        <v>1</v>
      </c>
      <c r="N1591" s="4" t="s">
        <v>3146</v>
      </c>
      <c r="O1591" s="4">
        <v>82</v>
      </c>
      <c r="P1591" s="11" t="s">
        <v>9740</v>
      </c>
      <c r="Q1591" s="11" t="s">
        <v>10307</v>
      </c>
      <c r="S1591" s="4" t="b">
        <f>ISNUMBER(MATCH(Q1591,T:T,0))</f>
        <v>1</v>
      </c>
      <c r="T1591" s="4" t="s">
        <v>3166</v>
      </c>
      <c r="U1591" s="4" t="str">
        <f t="shared" si="71"/>
        <v>板</v>
      </c>
    </row>
    <row r="1592" spans="1:22">
      <c r="A1592" s="3">
        <v>1589</v>
      </c>
      <c r="B1592" s="3" t="s">
        <v>3144</v>
      </c>
      <c r="C1592" s="3" t="s">
        <v>6167</v>
      </c>
      <c r="D1592" s="3" t="s">
        <v>6157</v>
      </c>
      <c r="E1592" s="3" t="s">
        <v>5991</v>
      </c>
      <c r="F1592" s="3" t="s">
        <v>8055</v>
      </c>
      <c r="G1592" s="3" t="s">
        <v>8645</v>
      </c>
      <c r="H1592" s="3" t="s">
        <v>3167</v>
      </c>
      <c r="I1592" s="3" t="s">
        <v>6836</v>
      </c>
      <c r="J1592" s="5" t="s">
        <v>3168</v>
      </c>
      <c r="L1592" s="3" t="s">
        <v>3169</v>
      </c>
      <c r="M1592" s="3">
        <v>1</v>
      </c>
      <c r="N1592" s="4" t="s">
        <v>3146</v>
      </c>
      <c r="O1592" s="4">
        <v>82</v>
      </c>
      <c r="P1592" s="11" t="s">
        <v>6167</v>
      </c>
      <c r="Q1592" s="11" t="s">
        <v>10307</v>
      </c>
      <c r="S1592" s="4" t="b">
        <f>ISNUMBER(MATCH(Q1592,T:T,0))</f>
        <v>1</v>
      </c>
      <c r="T1592" s="4" t="s">
        <v>3168</v>
      </c>
      <c r="U1592" s="4" t="str">
        <f t="shared" si="71"/>
        <v>板</v>
      </c>
    </row>
    <row r="1593" spans="1:22">
      <c r="A1593" s="3">
        <v>1590</v>
      </c>
      <c r="B1593" s="3" t="s">
        <v>3144</v>
      </c>
      <c r="C1593" s="3" t="s">
        <v>6053</v>
      </c>
      <c r="D1593" s="3" t="s">
        <v>6157</v>
      </c>
      <c r="E1593" s="3" t="s">
        <v>5991</v>
      </c>
      <c r="F1593" s="3" t="s">
        <v>8055</v>
      </c>
      <c r="G1593" s="3" t="s">
        <v>8645</v>
      </c>
      <c r="H1593" s="3" t="s">
        <v>3170</v>
      </c>
      <c r="I1593" s="3" t="s">
        <v>6836</v>
      </c>
      <c r="J1593" s="5" t="s">
        <v>3171</v>
      </c>
      <c r="L1593" s="3" t="s">
        <v>3143</v>
      </c>
      <c r="M1593" s="3">
        <v>1</v>
      </c>
      <c r="N1593" s="4" t="s">
        <v>3146</v>
      </c>
      <c r="O1593" s="4">
        <v>82</v>
      </c>
      <c r="P1593" s="11" t="s">
        <v>9884</v>
      </c>
      <c r="Q1593" s="11" t="s">
        <v>10307</v>
      </c>
      <c r="S1593" s="4" t="b">
        <f>ISNUMBER(MATCH(Q1593,T:T,0))</f>
        <v>1</v>
      </c>
      <c r="T1593" s="4" t="s">
        <v>3171</v>
      </c>
      <c r="U1593" s="4" t="str">
        <f t="shared" si="71"/>
        <v>板</v>
      </c>
    </row>
    <row r="1594" spans="1:22" ht="28.5">
      <c r="A1594" s="3">
        <v>1591</v>
      </c>
      <c r="B1594" s="3" t="s">
        <v>3144</v>
      </c>
      <c r="C1594" s="3" t="s">
        <v>6015</v>
      </c>
      <c r="D1594" s="3" t="s">
        <v>6157</v>
      </c>
      <c r="E1594" s="3" t="s">
        <v>6212</v>
      </c>
      <c r="F1594" s="3" t="s">
        <v>8055</v>
      </c>
      <c r="G1594" s="3" t="s">
        <v>8645</v>
      </c>
      <c r="H1594" s="3" t="s">
        <v>3172</v>
      </c>
      <c r="I1594" s="3" t="s">
        <v>6836</v>
      </c>
      <c r="J1594" s="5" t="s">
        <v>3173</v>
      </c>
      <c r="L1594" s="3" t="s">
        <v>3174</v>
      </c>
      <c r="M1594" s="3">
        <v>2</v>
      </c>
      <c r="N1594" s="4" t="s">
        <v>3146</v>
      </c>
      <c r="O1594" s="4">
        <v>82</v>
      </c>
      <c r="P1594" s="11" t="s">
        <v>10309</v>
      </c>
      <c r="Q1594" s="11" t="s">
        <v>10310</v>
      </c>
      <c r="R1594" s="4" t="s">
        <v>13091</v>
      </c>
      <c r="S1594" s="4" t="b">
        <f>ISNUMBER(MATCH(Q1594,T:T,0))</f>
        <v>0</v>
      </c>
      <c r="T1594" s="4" t="s">
        <v>11750</v>
      </c>
      <c r="U1594" s="4" t="str">
        <f t="shared" si="71"/>
        <v>睆</v>
      </c>
      <c r="V1594" s="4" t="b">
        <f>ISNUMBER(MATCH(R1594,T:T,0))</f>
        <v>1</v>
      </c>
    </row>
    <row r="1595" spans="1:22">
      <c r="A1595" s="3">
        <v>1592</v>
      </c>
      <c r="B1595" s="3" t="s">
        <v>3175</v>
      </c>
      <c r="C1595" s="3" t="s">
        <v>6180</v>
      </c>
      <c r="D1595" s="3" t="s">
        <v>6157</v>
      </c>
      <c r="E1595" s="3" t="s">
        <v>5991</v>
      </c>
      <c r="F1595" s="3" t="s">
        <v>6836</v>
      </c>
      <c r="G1595" s="3" t="s">
        <v>8645</v>
      </c>
      <c r="H1595" s="3" t="s">
        <v>3176</v>
      </c>
      <c r="I1595" s="3" t="s">
        <v>6836</v>
      </c>
      <c r="J1595" s="5" t="s">
        <v>4826</v>
      </c>
      <c r="L1595" s="3" t="s">
        <v>3147</v>
      </c>
      <c r="M1595" s="3">
        <v>10</v>
      </c>
      <c r="N1595" s="4" t="s">
        <v>9642</v>
      </c>
      <c r="O1595" s="4">
        <v>83</v>
      </c>
      <c r="P1595" s="11" t="s">
        <v>9774</v>
      </c>
      <c r="Q1595" s="11" t="s">
        <v>10311</v>
      </c>
      <c r="S1595" s="4" t="b">
        <f>ISNUMBER(MATCH(Q1595,T:T,0))</f>
        <v>1</v>
      </c>
      <c r="T1595" s="4" t="s">
        <v>9642</v>
      </c>
      <c r="U1595" s="4" t="str">
        <f t="shared" si="71"/>
        <v>簡</v>
      </c>
    </row>
    <row r="1596" spans="1:22">
      <c r="A1596" s="3">
        <v>1593</v>
      </c>
      <c r="B1596" s="3" t="s">
        <v>3175</v>
      </c>
      <c r="C1596" s="3" t="s">
        <v>6067</v>
      </c>
      <c r="D1596" s="3" t="s">
        <v>6157</v>
      </c>
      <c r="E1596" s="3" t="s">
        <v>5991</v>
      </c>
      <c r="F1596" s="3" t="s">
        <v>6836</v>
      </c>
      <c r="G1596" s="3" t="s">
        <v>8645</v>
      </c>
      <c r="H1596" s="3" t="s">
        <v>3177</v>
      </c>
      <c r="I1596" s="3" t="s">
        <v>6836</v>
      </c>
      <c r="J1596" s="5" t="s">
        <v>3178</v>
      </c>
      <c r="L1596" s="3" t="s">
        <v>3156</v>
      </c>
      <c r="M1596" s="3">
        <v>5</v>
      </c>
      <c r="N1596" s="4" t="s">
        <v>9642</v>
      </c>
      <c r="O1596" s="4">
        <v>83</v>
      </c>
      <c r="P1596" s="11" t="s">
        <v>9870</v>
      </c>
      <c r="Q1596" s="11" t="s">
        <v>10311</v>
      </c>
      <c r="S1596" s="4" t="b">
        <f>ISNUMBER(MATCH(Q1596,T:T,0))</f>
        <v>1</v>
      </c>
      <c r="T1596" s="4" t="s">
        <v>10312</v>
      </c>
      <c r="U1596" s="4" t="str">
        <f t="shared" si="71"/>
        <v>簡</v>
      </c>
    </row>
    <row r="1597" spans="1:22">
      <c r="A1597" s="3">
        <v>1595</v>
      </c>
      <c r="B1597" s="3" t="s">
        <v>3175</v>
      </c>
      <c r="C1597" s="3" t="s">
        <v>6025</v>
      </c>
      <c r="D1597" s="3" t="s">
        <v>6157</v>
      </c>
      <c r="E1597" s="3" t="s">
        <v>5991</v>
      </c>
      <c r="F1597" s="3" t="s">
        <v>6836</v>
      </c>
      <c r="G1597" s="3" t="s">
        <v>8645</v>
      </c>
      <c r="H1597" s="3" t="s">
        <v>3179</v>
      </c>
      <c r="I1597" s="3" t="s">
        <v>6836</v>
      </c>
      <c r="J1597" s="5" t="s">
        <v>4827</v>
      </c>
      <c r="L1597" s="3" t="s">
        <v>181</v>
      </c>
      <c r="M1597" s="3">
        <v>7</v>
      </c>
      <c r="N1597" s="4" t="s">
        <v>9642</v>
      </c>
      <c r="O1597" s="4">
        <v>83</v>
      </c>
      <c r="P1597" s="11" t="s">
        <v>9729</v>
      </c>
      <c r="Q1597" s="11" t="s">
        <v>10312</v>
      </c>
      <c r="S1597" s="4" t="b">
        <f>ISNUMBER(MATCH(Q1597,T:T,0))</f>
        <v>1</v>
      </c>
      <c r="T1597" s="4" t="s">
        <v>10311</v>
      </c>
      <c r="U1597" s="4" t="str">
        <f t="shared" si="71"/>
        <v>限</v>
      </c>
    </row>
    <row r="1598" spans="1:22">
      <c r="A1598" s="3">
        <v>1596</v>
      </c>
      <c r="B1598" s="3" t="s">
        <v>3175</v>
      </c>
      <c r="C1598" s="3" t="s">
        <v>6167</v>
      </c>
      <c r="D1598" s="3" t="s">
        <v>6157</v>
      </c>
      <c r="E1598" s="3" t="s">
        <v>5991</v>
      </c>
      <c r="F1598" s="3" t="s">
        <v>6836</v>
      </c>
      <c r="G1598" s="3" t="s">
        <v>8645</v>
      </c>
      <c r="H1598" s="3" t="s">
        <v>3180</v>
      </c>
      <c r="I1598" s="3" t="s">
        <v>6836</v>
      </c>
      <c r="J1598" s="8" t="s">
        <v>4828</v>
      </c>
      <c r="L1598" s="3" t="s">
        <v>3169</v>
      </c>
      <c r="M1598" s="3">
        <v>6</v>
      </c>
      <c r="N1598" s="4" t="s">
        <v>9642</v>
      </c>
      <c r="O1598" s="4">
        <v>83</v>
      </c>
      <c r="P1598" s="11" t="s">
        <v>6167</v>
      </c>
      <c r="Q1598" s="11" t="s">
        <v>10312</v>
      </c>
      <c r="S1598" s="4" t="b">
        <f>ISNUMBER(MATCH(Q1598,T:T,0))</f>
        <v>1</v>
      </c>
      <c r="T1598" s="4" t="s">
        <v>11751</v>
      </c>
      <c r="U1598" s="4" t="str">
        <f t="shared" si="71"/>
        <v>限</v>
      </c>
    </row>
    <row r="1599" spans="1:22">
      <c r="A1599" s="3">
        <v>1597</v>
      </c>
      <c r="B1599" s="3" t="s">
        <v>3175</v>
      </c>
      <c r="C1599" s="3" t="s">
        <v>6015</v>
      </c>
      <c r="D1599" s="3" t="s">
        <v>6157</v>
      </c>
      <c r="E1599" s="3" t="s">
        <v>5991</v>
      </c>
      <c r="F1599" s="3" t="s">
        <v>6836</v>
      </c>
      <c r="G1599" s="3" t="s">
        <v>8645</v>
      </c>
      <c r="H1599" s="3" t="s">
        <v>3181</v>
      </c>
      <c r="I1599" s="3" t="s">
        <v>6836</v>
      </c>
      <c r="J1599" s="5" t="s">
        <v>4829</v>
      </c>
      <c r="L1599" s="3" t="s">
        <v>3164</v>
      </c>
      <c r="M1599" s="3">
        <v>8</v>
      </c>
      <c r="N1599" s="4" t="s">
        <v>9642</v>
      </c>
      <c r="O1599" s="4">
        <v>83</v>
      </c>
      <c r="P1599" s="11" t="s">
        <v>9777</v>
      </c>
      <c r="Q1599" s="11" t="s">
        <v>10312</v>
      </c>
      <c r="S1599" s="4" t="b">
        <f>ISNUMBER(MATCH(Q1599,T:T,0))</f>
        <v>1</v>
      </c>
      <c r="T1599" s="4" t="s">
        <v>6961</v>
      </c>
      <c r="U1599" s="4" t="str">
        <f t="shared" si="71"/>
        <v>限</v>
      </c>
    </row>
    <row r="1600" spans="1:22">
      <c r="A1600" s="3">
        <v>1598</v>
      </c>
      <c r="B1600" s="3" t="s">
        <v>3175</v>
      </c>
      <c r="C1600" s="3" t="s">
        <v>6092</v>
      </c>
      <c r="D1600" s="3" t="s">
        <v>6157</v>
      </c>
      <c r="E1600" s="3" t="s">
        <v>5991</v>
      </c>
      <c r="F1600" s="3" t="s">
        <v>6836</v>
      </c>
      <c r="G1600" s="3" t="s">
        <v>8645</v>
      </c>
      <c r="H1600" s="3" t="s">
        <v>3182</v>
      </c>
      <c r="I1600" s="3" t="s">
        <v>6836</v>
      </c>
      <c r="J1600" s="5" t="s">
        <v>3183</v>
      </c>
      <c r="L1600" s="3" t="s">
        <v>178</v>
      </c>
      <c r="M1600" s="3">
        <v>1</v>
      </c>
      <c r="N1600" s="4" t="s">
        <v>9642</v>
      </c>
      <c r="O1600" s="4">
        <v>83</v>
      </c>
      <c r="P1600" s="11" t="s">
        <v>9740</v>
      </c>
      <c r="Q1600" s="11" t="s">
        <v>10312</v>
      </c>
      <c r="S1600" s="4" t="b">
        <f>ISNUMBER(MATCH(Q1600,T:T,0))</f>
        <v>1</v>
      </c>
      <c r="T1600" s="4" t="s">
        <v>3183</v>
      </c>
      <c r="U1600" s="4" t="str">
        <f t="shared" si="71"/>
        <v>限</v>
      </c>
    </row>
    <row r="1601" spans="1:22">
      <c r="A1601" s="3">
        <v>1599</v>
      </c>
      <c r="B1601" s="3" t="s">
        <v>3175</v>
      </c>
      <c r="C1601" s="3" t="s">
        <v>6318</v>
      </c>
      <c r="D1601" s="3" t="s">
        <v>6157</v>
      </c>
      <c r="E1601" s="3" t="s">
        <v>5991</v>
      </c>
      <c r="F1601" s="3" t="s">
        <v>6836</v>
      </c>
      <c r="G1601" s="3" t="s">
        <v>8645</v>
      </c>
      <c r="H1601" s="3" t="s">
        <v>3184</v>
      </c>
      <c r="I1601" s="3" t="s">
        <v>6836</v>
      </c>
      <c r="J1601" s="5" t="s">
        <v>3185</v>
      </c>
      <c r="L1601" s="3" t="s">
        <v>3152</v>
      </c>
      <c r="M1601" s="3">
        <v>4</v>
      </c>
      <c r="N1601" s="4" t="s">
        <v>9642</v>
      </c>
      <c r="O1601" s="4">
        <v>83</v>
      </c>
      <c r="P1601" s="11" t="s">
        <v>9988</v>
      </c>
      <c r="Q1601" s="11" t="s">
        <v>10312</v>
      </c>
      <c r="S1601" s="4" t="b">
        <f>ISNUMBER(MATCH(Q1601,T:T,0))</f>
        <v>1</v>
      </c>
      <c r="T1601" s="4" t="s">
        <v>11752</v>
      </c>
      <c r="U1601" s="4" t="str">
        <f t="shared" si="71"/>
        <v>限</v>
      </c>
    </row>
    <row r="1602" spans="1:22" ht="28.5">
      <c r="A1602" s="3">
        <v>1600</v>
      </c>
      <c r="B1602" s="3" t="s">
        <v>3175</v>
      </c>
      <c r="C1602" s="3" t="s">
        <v>6167</v>
      </c>
      <c r="D1602" s="3" t="s">
        <v>6157</v>
      </c>
      <c r="E1602" s="3" t="s">
        <v>6212</v>
      </c>
      <c r="F1602" s="3" t="s">
        <v>6836</v>
      </c>
      <c r="G1602" s="3" t="s">
        <v>8645</v>
      </c>
      <c r="H1602" s="3" t="s">
        <v>3186</v>
      </c>
      <c r="I1602" s="3" t="s">
        <v>6836</v>
      </c>
      <c r="J1602" s="5" t="s">
        <v>3187</v>
      </c>
      <c r="L1602" s="3" t="s">
        <v>3188</v>
      </c>
      <c r="M1602" s="3">
        <v>2</v>
      </c>
      <c r="N1602" s="4" t="s">
        <v>9642</v>
      </c>
      <c r="O1602" s="4">
        <v>83</v>
      </c>
      <c r="P1602" s="11" t="s">
        <v>6167</v>
      </c>
      <c r="Q1602" s="11" t="s">
        <v>3149</v>
      </c>
      <c r="S1602" s="4" t="b">
        <f>ISNUMBER(MATCH(Q1602,T:T,0))</f>
        <v>1</v>
      </c>
      <c r="T1602" s="4" t="s">
        <v>11753</v>
      </c>
      <c r="U1602" s="4" t="str">
        <f t="shared" si="71"/>
        <v>綰</v>
      </c>
    </row>
    <row r="1603" spans="1:22">
      <c r="A1603" s="3">
        <v>1601</v>
      </c>
      <c r="B1603" s="3" t="s">
        <v>3175</v>
      </c>
      <c r="C1603" s="3" t="s">
        <v>6038</v>
      </c>
      <c r="D1603" s="3" t="s">
        <v>6157</v>
      </c>
      <c r="E1603" s="3" t="s">
        <v>5991</v>
      </c>
      <c r="F1603" s="3" t="s">
        <v>6836</v>
      </c>
      <c r="G1603" s="3" t="s">
        <v>8645</v>
      </c>
      <c r="H1603" s="3" t="s">
        <v>3189</v>
      </c>
      <c r="I1603" s="3" t="s">
        <v>6836</v>
      </c>
      <c r="J1603" s="5" t="s">
        <v>3190</v>
      </c>
      <c r="L1603" s="3" t="s">
        <v>187</v>
      </c>
      <c r="M1603" s="3">
        <v>1</v>
      </c>
      <c r="N1603" s="4" t="s">
        <v>9642</v>
      </c>
      <c r="O1603" s="4">
        <v>83</v>
      </c>
      <c r="P1603" s="11" t="s">
        <v>10038</v>
      </c>
      <c r="Q1603" s="11" t="s">
        <v>10312</v>
      </c>
      <c r="S1603" s="4" t="b">
        <f>ISNUMBER(MATCH(Q1603,T:T,0))</f>
        <v>1</v>
      </c>
      <c r="T1603" s="4" t="s">
        <v>3190</v>
      </c>
      <c r="U1603" s="4" t="str">
        <f t="shared" ref="U1603:U1666" si="72">IF(ISBLANK(R1603),Q1603,R1603)</f>
        <v>限</v>
      </c>
    </row>
    <row r="1604" spans="1:22">
      <c r="A1604" s="3">
        <v>1602</v>
      </c>
      <c r="B1604" s="3" t="s">
        <v>3191</v>
      </c>
      <c r="C1604" s="3" t="s">
        <v>6017</v>
      </c>
      <c r="D1604" s="3" t="s">
        <v>2843</v>
      </c>
      <c r="E1604" s="3" t="s">
        <v>5991</v>
      </c>
      <c r="F1604" s="3" t="s">
        <v>8121</v>
      </c>
      <c r="G1604" s="3" t="s">
        <v>8645</v>
      </c>
      <c r="H1604" s="3" t="s">
        <v>3192</v>
      </c>
      <c r="I1604" s="3" t="s">
        <v>6836</v>
      </c>
      <c r="J1604" s="5" t="s">
        <v>4830</v>
      </c>
      <c r="L1604" s="3" t="s">
        <v>190</v>
      </c>
      <c r="M1604" s="3">
        <v>11</v>
      </c>
      <c r="N1604" s="4" t="s">
        <v>3193</v>
      </c>
      <c r="O1604" s="4">
        <v>84</v>
      </c>
      <c r="P1604" s="11" t="s">
        <v>9741</v>
      </c>
      <c r="Q1604" s="11" t="s">
        <v>10313</v>
      </c>
      <c r="S1604" s="4" t="b">
        <f>ISNUMBER(MATCH(Q1604,T:T,0))</f>
        <v>1</v>
      </c>
      <c r="T1604" s="4" t="s">
        <v>3193</v>
      </c>
      <c r="U1604" s="4" t="str">
        <f t="shared" si="72"/>
        <v>典</v>
      </c>
    </row>
    <row r="1605" spans="1:22">
      <c r="A1605" s="3">
        <v>1603</v>
      </c>
      <c r="B1605" s="3" t="s">
        <v>3191</v>
      </c>
      <c r="C1605" s="3" t="s">
        <v>6079</v>
      </c>
      <c r="D1605" s="3" t="s">
        <v>2843</v>
      </c>
      <c r="E1605" s="3" t="s">
        <v>5991</v>
      </c>
      <c r="F1605" s="3" t="s">
        <v>8121</v>
      </c>
      <c r="G1605" s="3" t="s">
        <v>8645</v>
      </c>
      <c r="H1605" s="3" t="s">
        <v>3194</v>
      </c>
      <c r="I1605" s="3" t="s">
        <v>6836</v>
      </c>
      <c r="J1605" s="5" t="s">
        <v>3195</v>
      </c>
      <c r="L1605" s="3" t="s">
        <v>3196</v>
      </c>
      <c r="M1605" s="3">
        <v>15</v>
      </c>
      <c r="N1605" s="4" t="s">
        <v>3193</v>
      </c>
      <c r="O1605" s="4">
        <v>84</v>
      </c>
      <c r="P1605" s="11" t="s">
        <v>9736</v>
      </c>
      <c r="Q1605" s="11" t="s">
        <v>10313</v>
      </c>
      <c r="S1605" s="4" t="b">
        <f>ISNUMBER(MATCH(Q1605,T:T,0))</f>
        <v>1</v>
      </c>
      <c r="T1605" s="4" t="s">
        <v>11754</v>
      </c>
      <c r="U1605" s="4" t="str">
        <f t="shared" si="72"/>
        <v>典</v>
      </c>
    </row>
    <row r="1606" spans="1:22">
      <c r="A1606" s="3">
        <v>1604</v>
      </c>
      <c r="B1606" s="3" t="s">
        <v>3191</v>
      </c>
      <c r="C1606" s="3" t="s">
        <v>5989</v>
      </c>
      <c r="D1606" s="3" t="s">
        <v>2843</v>
      </c>
      <c r="E1606" s="3" t="s">
        <v>5991</v>
      </c>
      <c r="F1606" s="3" t="s">
        <v>8121</v>
      </c>
      <c r="G1606" s="3" t="s">
        <v>8645</v>
      </c>
      <c r="H1606" s="3" t="s">
        <v>3197</v>
      </c>
      <c r="I1606" s="3" t="s">
        <v>6836</v>
      </c>
      <c r="J1606" s="5" t="s">
        <v>4831</v>
      </c>
      <c r="L1606" s="3" t="s">
        <v>3198</v>
      </c>
      <c r="M1606" s="3">
        <v>5</v>
      </c>
      <c r="N1606" s="4" t="s">
        <v>3193</v>
      </c>
      <c r="O1606" s="4">
        <v>84</v>
      </c>
      <c r="P1606" s="11" t="s">
        <v>9975</v>
      </c>
      <c r="Q1606" s="11" t="s">
        <v>10314</v>
      </c>
      <c r="S1606" s="4" t="b">
        <f>ISNUMBER(MATCH(Q1606,T:T,0))</f>
        <v>1</v>
      </c>
      <c r="T1606" s="4" t="s">
        <v>10313</v>
      </c>
      <c r="U1606" s="4" t="str">
        <f t="shared" si="72"/>
        <v>殄</v>
      </c>
    </row>
    <row r="1607" spans="1:22">
      <c r="A1607" s="3">
        <v>1605</v>
      </c>
      <c r="B1607" s="3" t="s">
        <v>3191</v>
      </c>
      <c r="C1607" s="3" t="s">
        <v>6072</v>
      </c>
      <c r="D1607" s="3" t="s">
        <v>2843</v>
      </c>
      <c r="E1607" s="3" t="s">
        <v>5991</v>
      </c>
      <c r="F1607" s="3" t="s">
        <v>8121</v>
      </c>
      <c r="G1607" s="3" t="s">
        <v>8645</v>
      </c>
      <c r="H1607" s="3" t="s">
        <v>3199</v>
      </c>
      <c r="I1607" s="3" t="s">
        <v>6836</v>
      </c>
      <c r="J1607" s="5" t="s">
        <v>3200</v>
      </c>
      <c r="L1607" s="3" t="s">
        <v>178</v>
      </c>
      <c r="M1607" s="3">
        <v>5</v>
      </c>
      <c r="N1607" s="4" t="s">
        <v>3193</v>
      </c>
      <c r="O1607" s="4">
        <v>84</v>
      </c>
      <c r="P1607" s="11" t="s">
        <v>9754</v>
      </c>
      <c r="Q1607" s="11" t="s">
        <v>10314</v>
      </c>
      <c r="S1607" s="4" t="b">
        <f>ISNUMBER(MATCH(Q1607,T:T,0))</f>
        <v>1</v>
      </c>
      <c r="T1607" s="4" t="s">
        <v>11755</v>
      </c>
      <c r="U1607" s="4" t="str">
        <f t="shared" si="72"/>
        <v>殄</v>
      </c>
    </row>
    <row r="1608" spans="1:22">
      <c r="A1608" s="3">
        <v>1606</v>
      </c>
      <c r="B1608" s="3" t="s">
        <v>3191</v>
      </c>
      <c r="C1608" s="3" t="s">
        <v>5997</v>
      </c>
      <c r="D1608" s="3" t="s">
        <v>2843</v>
      </c>
      <c r="E1608" s="3" t="s">
        <v>5991</v>
      </c>
      <c r="F1608" s="3" t="s">
        <v>8121</v>
      </c>
      <c r="G1608" s="3" t="s">
        <v>8645</v>
      </c>
      <c r="H1608" s="3" t="s">
        <v>3201</v>
      </c>
      <c r="I1608" s="3" t="s">
        <v>6836</v>
      </c>
      <c r="J1608" s="5" t="s">
        <v>3202</v>
      </c>
      <c r="L1608" s="3" t="s">
        <v>3203</v>
      </c>
      <c r="M1608" s="3">
        <v>3</v>
      </c>
      <c r="N1608" s="4" t="s">
        <v>3193</v>
      </c>
      <c r="O1608" s="4">
        <v>84</v>
      </c>
      <c r="P1608" s="11" t="s">
        <v>9706</v>
      </c>
      <c r="Q1608" s="11" t="s">
        <v>10313</v>
      </c>
      <c r="S1608" s="4" t="b">
        <f>ISNUMBER(MATCH(Q1608,T:T,0))</f>
        <v>1</v>
      </c>
      <c r="T1608" s="4" t="s">
        <v>10314</v>
      </c>
      <c r="U1608" s="4" t="str">
        <f t="shared" si="72"/>
        <v>典</v>
      </c>
    </row>
    <row r="1609" spans="1:22">
      <c r="A1609" s="3">
        <v>1607</v>
      </c>
      <c r="B1609" s="3" t="s">
        <v>3191</v>
      </c>
      <c r="C1609" s="3" t="s">
        <v>6025</v>
      </c>
      <c r="D1609" s="3" t="s">
        <v>2843</v>
      </c>
      <c r="E1609" s="3" t="s">
        <v>5991</v>
      </c>
      <c r="F1609" s="3" t="s">
        <v>8121</v>
      </c>
      <c r="G1609" s="3" t="s">
        <v>8645</v>
      </c>
      <c r="H1609" s="3" t="s">
        <v>3204</v>
      </c>
      <c r="I1609" s="3" t="s">
        <v>6836</v>
      </c>
      <c r="J1609" s="5" t="s">
        <v>4832</v>
      </c>
      <c r="L1609" s="3" t="s">
        <v>181</v>
      </c>
      <c r="M1609" s="3">
        <v>13</v>
      </c>
      <c r="N1609" s="4" t="s">
        <v>3193</v>
      </c>
      <c r="O1609" s="4">
        <v>84</v>
      </c>
      <c r="P1609" s="11" t="s">
        <v>9729</v>
      </c>
      <c r="Q1609" s="11" t="s">
        <v>10313</v>
      </c>
      <c r="S1609" s="4" t="b">
        <f>ISNUMBER(MATCH(Q1609,T:T,0))</f>
        <v>1</v>
      </c>
      <c r="T1609" s="4" t="s">
        <v>10318</v>
      </c>
      <c r="U1609" s="4" t="str">
        <f t="shared" si="72"/>
        <v>典</v>
      </c>
    </row>
    <row r="1610" spans="1:22">
      <c r="A1610" s="3">
        <v>1608</v>
      </c>
      <c r="B1610" s="3" t="s">
        <v>3191</v>
      </c>
      <c r="C1610" s="3" t="s">
        <v>6067</v>
      </c>
      <c r="D1610" s="3" t="s">
        <v>2843</v>
      </c>
      <c r="E1610" s="3" t="s">
        <v>5991</v>
      </c>
      <c r="F1610" s="3" t="s">
        <v>8121</v>
      </c>
      <c r="G1610" s="3" t="s">
        <v>8645</v>
      </c>
      <c r="H1610" s="3" t="s">
        <v>3205</v>
      </c>
      <c r="I1610" s="3" t="s">
        <v>6836</v>
      </c>
      <c r="J1610" s="5" t="s">
        <v>4833</v>
      </c>
      <c r="L1610" s="3" t="s">
        <v>3156</v>
      </c>
      <c r="M1610" s="3">
        <v>13</v>
      </c>
      <c r="N1610" s="4" t="s">
        <v>3193</v>
      </c>
      <c r="O1610" s="4">
        <v>84</v>
      </c>
      <c r="P1610" s="11" t="s">
        <v>9870</v>
      </c>
      <c r="Q1610" s="11" t="s">
        <v>10313</v>
      </c>
      <c r="S1610" s="4" t="b">
        <f>ISNUMBER(MATCH(Q1610,T:T,0))</f>
        <v>1</v>
      </c>
      <c r="T1610" s="4" t="s">
        <v>10319</v>
      </c>
      <c r="U1610" s="4" t="str">
        <f t="shared" si="72"/>
        <v>典</v>
      </c>
    </row>
    <row r="1611" spans="1:22">
      <c r="A1611" s="3">
        <v>1609</v>
      </c>
      <c r="B1611" s="3" t="s">
        <v>3191</v>
      </c>
      <c r="C1611" s="3" t="s">
        <v>6089</v>
      </c>
      <c r="D1611" s="3" t="s">
        <v>2843</v>
      </c>
      <c r="E1611" s="3" t="s">
        <v>5991</v>
      </c>
      <c r="F1611" s="3" t="s">
        <v>8121</v>
      </c>
      <c r="G1611" s="3" t="s">
        <v>8645</v>
      </c>
      <c r="H1611" s="3" t="s">
        <v>3206</v>
      </c>
      <c r="I1611" s="3" t="s">
        <v>6836</v>
      </c>
      <c r="J1611" s="5" t="s">
        <v>3207</v>
      </c>
      <c r="L1611" s="3" t="s">
        <v>190</v>
      </c>
      <c r="M1611" s="3">
        <v>5</v>
      </c>
      <c r="N1611" s="4" t="s">
        <v>3193</v>
      </c>
      <c r="O1611" s="4">
        <v>84</v>
      </c>
      <c r="P1611" s="11" t="s">
        <v>9739</v>
      </c>
      <c r="Q1611" s="11" t="s">
        <v>10313</v>
      </c>
      <c r="S1611" s="4" t="b">
        <f>ISNUMBER(MATCH(Q1611,T:T,0))</f>
        <v>1</v>
      </c>
      <c r="T1611" s="4" t="s">
        <v>11756</v>
      </c>
      <c r="U1611" s="4" t="str">
        <f t="shared" si="72"/>
        <v>典</v>
      </c>
    </row>
    <row r="1612" spans="1:22">
      <c r="A1612" s="3">
        <v>1610</v>
      </c>
      <c r="B1612" s="3" t="s">
        <v>3191</v>
      </c>
      <c r="C1612" s="3" t="s">
        <v>6035</v>
      </c>
      <c r="D1612" s="3" t="s">
        <v>2843</v>
      </c>
      <c r="E1612" s="3" t="s">
        <v>5991</v>
      </c>
      <c r="F1612" s="3" t="s">
        <v>8121</v>
      </c>
      <c r="G1612" s="3" t="s">
        <v>8645</v>
      </c>
      <c r="H1612" s="3" t="s">
        <v>3208</v>
      </c>
      <c r="I1612" s="3" t="s">
        <v>6836</v>
      </c>
      <c r="J1612" s="5" t="s">
        <v>4834</v>
      </c>
      <c r="L1612" s="3" t="s">
        <v>3209</v>
      </c>
      <c r="M1612" s="3">
        <v>4</v>
      </c>
      <c r="N1612" s="4" t="s">
        <v>3193</v>
      </c>
      <c r="O1612" s="4">
        <v>84</v>
      </c>
      <c r="P1612" s="11" t="s">
        <v>9941</v>
      </c>
      <c r="Q1612" s="11" t="s">
        <v>10314</v>
      </c>
      <c r="S1612" s="4" t="b">
        <f>ISNUMBER(MATCH(Q1612,T:T,0))</f>
        <v>1</v>
      </c>
      <c r="T1612" s="4" t="s">
        <v>11757</v>
      </c>
      <c r="U1612" s="4" t="str">
        <f t="shared" si="72"/>
        <v>殄</v>
      </c>
    </row>
    <row r="1613" spans="1:22">
      <c r="A1613" s="3">
        <v>1611</v>
      </c>
      <c r="B1613" s="3" t="s">
        <v>3191</v>
      </c>
      <c r="C1613" s="3" t="s">
        <v>6102</v>
      </c>
      <c r="D1613" s="3" t="s">
        <v>2843</v>
      </c>
      <c r="E1613" s="3" t="s">
        <v>5991</v>
      </c>
      <c r="F1613" s="3" t="s">
        <v>8121</v>
      </c>
      <c r="G1613" s="3" t="s">
        <v>8645</v>
      </c>
      <c r="H1613" s="3" t="s">
        <v>3210</v>
      </c>
      <c r="I1613" s="3" t="s">
        <v>6836</v>
      </c>
      <c r="J1613" s="5" t="s">
        <v>4835</v>
      </c>
      <c r="L1613" s="3" t="s">
        <v>3211</v>
      </c>
      <c r="M1613" s="3">
        <v>4</v>
      </c>
      <c r="N1613" s="4" t="s">
        <v>3193</v>
      </c>
      <c r="O1613" s="4">
        <v>84</v>
      </c>
      <c r="P1613" s="11" t="s">
        <v>9873</v>
      </c>
      <c r="Q1613" s="11" t="s">
        <v>10314</v>
      </c>
      <c r="S1613" s="4" t="b">
        <f>ISNUMBER(MATCH(Q1613,T:T,0))</f>
        <v>1</v>
      </c>
      <c r="T1613" s="4" t="s">
        <v>11758</v>
      </c>
      <c r="U1613" s="4" t="str">
        <f t="shared" si="72"/>
        <v>殄</v>
      </c>
    </row>
    <row r="1614" spans="1:22">
      <c r="A1614" s="3">
        <v>1612</v>
      </c>
      <c r="B1614" s="3" t="s">
        <v>3191</v>
      </c>
      <c r="C1614" s="3" t="s">
        <v>6049</v>
      </c>
      <c r="D1614" s="3" t="s">
        <v>2843</v>
      </c>
      <c r="E1614" s="3" t="s">
        <v>5991</v>
      </c>
      <c r="F1614" s="3" t="s">
        <v>8121</v>
      </c>
      <c r="G1614" s="3" t="s">
        <v>8645</v>
      </c>
      <c r="H1614" s="3" t="s">
        <v>3212</v>
      </c>
      <c r="I1614" s="3" t="s">
        <v>6836</v>
      </c>
      <c r="J1614" s="5" t="s">
        <v>4836</v>
      </c>
      <c r="L1614" s="3" t="s">
        <v>3213</v>
      </c>
      <c r="M1614" s="3">
        <v>11</v>
      </c>
      <c r="N1614" s="4" t="s">
        <v>3193</v>
      </c>
      <c r="O1614" s="4">
        <v>84</v>
      </c>
      <c r="P1614" s="11" t="s">
        <v>9723</v>
      </c>
      <c r="Q1614" s="11" t="s">
        <v>10313</v>
      </c>
      <c r="S1614" s="4" t="b">
        <f>ISNUMBER(MATCH(Q1614,T:T,0))</f>
        <v>1</v>
      </c>
      <c r="T1614" s="4" t="s">
        <v>11759</v>
      </c>
      <c r="U1614" s="4" t="str">
        <f t="shared" si="72"/>
        <v>典</v>
      </c>
    </row>
    <row r="1615" spans="1:22">
      <c r="A1615" s="3">
        <v>1613</v>
      </c>
      <c r="B1615" s="3" t="s">
        <v>3191</v>
      </c>
      <c r="C1615" s="3" t="s">
        <v>6067</v>
      </c>
      <c r="D1615" s="3" t="s">
        <v>2843</v>
      </c>
      <c r="E1615" s="3" t="s">
        <v>6212</v>
      </c>
      <c r="F1615" s="3" t="s">
        <v>8121</v>
      </c>
      <c r="G1615" s="3" t="s">
        <v>8645</v>
      </c>
      <c r="H1615" s="3" t="s">
        <v>3214</v>
      </c>
      <c r="I1615" s="3" t="s">
        <v>6836</v>
      </c>
      <c r="J1615" s="5" t="s">
        <v>4837</v>
      </c>
      <c r="K1615" s="3" t="s">
        <v>3215</v>
      </c>
      <c r="L1615" s="3" t="s">
        <v>3216</v>
      </c>
      <c r="M1615" s="3">
        <v>14</v>
      </c>
      <c r="N1615" s="4" t="s">
        <v>3193</v>
      </c>
      <c r="O1615" s="4">
        <v>84</v>
      </c>
      <c r="P1615" s="11" t="s">
        <v>9870</v>
      </c>
      <c r="Q1615" s="11" t="s">
        <v>10315</v>
      </c>
      <c r="R1615" s="12" t="s">
        <v>13092</v>
      </c>
      <c r="S1615" s="4" t="b">
        <f>ISNUMBER(MATCH(Q1615,T:T,0))</f>
        <v>0</v>
      </c>
      <c r="T1615" s="4" t="s">
        <v>10316</v>
      </c>
      <c r="U1615" s="4" t="str">
        <f t="shared" si="72"/>
        <v>𡿨</v>
      </c>
      <c r="V1615" s="4" t="b">
        <f>ISNUMBER(MATCH(R1615,T:T,0))</f>
        <v>1</v>
      </c>
    </row>
    <row r="1616" spans="1:22">
      <c r="A1616" s="3">
        <v>1614</v>
      </c>
      <c r="B1616" s="3" t="s">
        <v>3191</v>
      </c>
      <c r="C1616" s="3" t="s">
        <v>6025</v>
      </c>
      <c r="D1616" s="3" t="s">
        <v>2843</v>
      </c>
      <c r="E1616" s="3" t="s">
        <v>6212</v>
      </c>
      <c r="F1616" s="3" t="s">
        <v>8121</v>
      </c>
      <c r="G1616" s="3" t="s">
        <v>8645</v>
      </c>
      <c r="H1616" s="3" t="s">
        <v>3217</v>
      </c>
      <c r="I1616" s="3" t="s">
        <v>6836</v>
      </c>
      <c r="J1616" s="5" t="s">
        <v>4838</v>
      </c>
      <c r="K1616" s="3" t="s">
        <v>3218</v>
      </c>
      <c r="L1616" s="3" t="s">
        <v>3219</v>
      </c>
      <c r="M1616" s="3">
        <v>8</v>
      </c>
      <c r="N1616" s="4" t="s">
        <v>3193</v>
      </c>
      <c r="O1616" s="4">
        <v>84</v>
      </c>
      <c r="P1616" s="11" t="s">
        <v>9879</v>
      </c>
      <c r="Q1616" s="11" t="s">
        <v>10316</v>
      </c>
      <c r="S1616" s="4" t="b">
        <f>ISNUMBER(MATCH(Q1616,T:T,0))</f>
        <v>1</v>
      </c>
      <c r="T1616" s="4" t="s">
        <v>11760</v>
      </c>
      <c r="U1616" s="4" t="str">
        <f t="shared" si="72"/>
        <v>泫</v>
      </c>
    </row>
    <row r="1617" spans="1:21" ht="28.5">
      <c r="A1617" s="3">
        <v>1615</v>
      </c>
      <c r="B1617" s="3" t="s">
        <v>3191</v>
      </c>
      <c r="C1617" s="3" t="s">
        <v>6045</v>
      </c>
      <c r="D1617" s="3" t="s">
        <v>2843</v>
      </c>
      <c r="E1617" s="3" t="s">
        <v>5991</v>
      </c>
      <c r="F1617" s="3" t="s">
        <v>8121</v>
      </c>
      <c r="G1617" s="3" t="s">
        <v>8645</v>
      </c>
      <c r="H1617" s="3" t="s">
        <v>3220</v>
      </c>
      <c r="I1617" s="3" t="s">
        <v>6836</v>
      </c>
      <c r="J1617" s="5" t="s">
        <v>3221</v>
      </c>
      <c r="K1617" s="3" t="s">
        <v>608</v>
      </c>
      <c r="L1617" s="3" t="s">
        <v>3222</v>
      </c>
      <c r="M1617" s="3">
        <v>7</v>
      </c>
      <c r="N1617" s="4" t="s">
        <v>3193</v>
      </c>
      <c r="O1617" s="4">
        <v>84</v>
      </c>
      <c r="P1617" s="11" t="s">
        <v>9738</v>
      </c>
      <c r="Q1617" s="11" t="s">
        <v>10316</v>
      </c>
      <c r="S1617" s="4" t="b">
        <f>ISNUMBER(MATCH(Q1617,T:T,0))</f>
        <v>1</v>
      </c>
      <c r="T1617" s="4" t="s">
        <v>11761</v>
      </c>
      <c r="U1617" s="4" t="str">
        <f t="shared" si="72"/>
        <v>泫</v>
      </c>
    </row>
    <row r="1618" spans="1:21">
      <c r="A1618" s="3">
        <v>1616</v>
      </c>
      <c r="B1618" s="3" t="s">
        <v>3191</v>
      </c>
      <c r="C1618" s="3" t="s">
        <v>6038</v>
      </c>
      <c r="D1618" s="3" t="s">
        <v>2843</v>
      </c>
      <c r="E1618" s="3" t="s">
        <v>6212</v>
      </c>
      <c r="F1618" s="3" t="s">
        <v>8121</v>
      </c>
      <c r="G1618" s="3" t="s">
        <v>8645</v>
      </c>
      <c r="H1618" s="3" t="s">
        <v>3223</v>
      </c>
      <c r="I1618" s="3" t="s">
        <v>6836</v>
      </c>
      <c r="J1618" s="5" t="s">
        <v>3224</v>
      </c>
      <c r="L1618" s="3" t="s">
        <v>203</v>
      </c>
      <c r="M1618" s="3">
        <v>1</v>
      </c>
      <c r="N1618" s="4" t="s">
        <v>3193</v>
      </c>
      <c r="O1618" s="4">
        <v>84</v>
      </c>
      <c r="P1618" s="11" t="s">
        <v>9728</v>
      </c>
      <c r="Q1618" s="11" t="s">
        <v>10316</v>
      </c>
      <c r="S1618" s="4" t="b">
        <f>ISNUMBER(MATCH(Q1618,T:T,0))</f>
        <v>1</v>
      </c>
      <c r="T1618" s="4" t="s">
        <v>3224</v>
      </c>
      <c r="U1618" s="4" t="str">
        <f t="shared" si="72"/>
        <v>泫</v>
      </c>
    </row>
    <row r="1619" spans="1:21">
      <c r="A1619" s="3">
        <v>1617</v>
      </c>
      <c r="B1619" s="3" t="s">
        <v>3191</v>
      </c>
      <c r="C1619" s="3" t="s">
        <v>6038</v>
      </c>
      <c r="D1619" s="3" t="s">
        <v>2843</v>
      </c>
      <c r="E1619" s="3" t="s">
        <v>5991</v>
      </c>
      <c r="F1619" s="3" t="s">
        <v>8121</v>
      </c>
      <c r="G1619" s="3" t="s">
        <v>8645</v>
      </c>
      <c r="H1619" s="3" t="s">
        <v>3225</v>
      </c>
      <c r="I1619" s="3" t="s">
        <v>6836</v>
      </c>
      <c r="J1619" s="5" t="s">
        <v>3226</v>
      </c>
      <c r="L1619" s="3" t="s">
        <v>187</v>
      </c>
      <c r="M1619" s="3">
        <v>4</v>
      </c>
      <c r="N1619" s="4" t="s">
        <v>3193</v>
      </c>
      <c r="O1619" s="4">
        <v>84</v>
      </c>
      <c r="P1619" s="11" t="s">
        <v>10317</v>
      </c>
      <c r="Q1619" s="11" t="s">
        <v>10318</v>
      </c>
      <c r="S1619" s="4" t="b">
        <f>ISNUMBER(MATCH(Q1619,T:T,0))</f>
        <v>1</v>
      </c>
      <c r="T1619" s="4" t="s">
        <v>11762</v>
      </c>
      <c r="U1619" s="4" t="str">
        <f t="shared" si="72"/>
        <v>繭</v>
      </c>
    </row>
    <row r="1620" spans="1:21">
      <c r="A1620" s="3">
        <v>1618</v>
      </c>
      <c r="B1620" s="3" t="s">
        <v>3191</v>
      </c>
      <c r="C1620" s="3" t="s">
        <v>6092</v>
      </c>
      <c r="D1620" s="3" t="s">
        <v>2843</v>
      </c>
      <c r="E1620" s="3" t="s">
        <v>5991</v>
      </c>
      <c r="F1620" s="3" t="s">
        <v>8121</v>
      </c>
      <c r="G1620" s="3" t="s">
        <v>8645</v>
      </c>
      <c r="H1620" s="3" t="s">
        <v>3227</v>
      </c>
      <c r="I1620" s="3" t="s">
        <v>6836</v>
      </c>
      <c r="J1620" s="5" t="s">
        <v>3228</v>
      </c>
      <c r="L1620" s="3" t="s">
        <v>178</v>
      </c>
      <c r="M1620" s="3">
        <v>1</v>
      </c>
      <c r="N1620" s="4" t="s">
        <v>3193</v>
      </c>
      <c r="O1620" s="4">
        <v>84</v>
      </c>
      <c r="P1620" s="11" t="s">
        <v>10261</v>
      </c>
      <c r="Q1620" s="11" t="s">
        <v>10319</v>
      </c>
      <c r="S1620" s="4" t="b">
        <f>ISNUMBER(MATCH(Q1620,T:T,0))</f>
        <v>1</v>
      </c>
      <c r="T1620" s="4" t="s">
        <v>3228</v>
      </c>
      <c r="U1620" s="4" t="str">
        <f t="shared" si="72"/>
        <v>峴</v>
      </c>
    </row>
    <row r="1621" spans="1:21">
      <c r="A1621" s="3">
        <v>1619</v>
      </c>
      <c r="B1621" s="3" t="s">
        <v>3229</v>
      </c>
      <c r="C1621" s="3" t="s">
        <v>6017</v>
      </c>
      <c r="D1621" s="3" t="s">
        <v>6001</v>
      </c>
      <c r="E1621" s="3" t="s">
        <v>5991</v>
      </c>
      <c r="F1621" s="3" t="s">
        <v>8163</v>
      </c>
      <c r="G1621" s="3" t="s">
        <v>8645</v>
      </c>
      <c r="H1621" s="3" t="s">
        <v>3230</v>
      </c>
      <c r="I1621" s="3" t="s">
        <v>6836</v>
      </c>
      <c r="J1621" s="5" t="s">
        <v>4839</v>
      </c>
      <c r="L1621" s="3" t="s">
        <v>190</v>
      </c>
      <c r="M1621" s="3">
        <v>13</v>
      </c>
      <c r="N1621" s="4" t="s">
        <v>9643</v>
      </c>
      <c r="O1621" s="4">
        <v>85</v>
      </c>
      <c r="P1621" s="11" t="s">
        <v>9714</v>
      </c>
      <c r="Q1621" s="11" t="s">
        <v>3242</v>
      </c>
      <c r="S1621" s="4" t="b">
        <f>ISNUMBER(MATCH(Q1621,T:T,0))</f>
        <v>1</v>
      </c>
      <c r="T1621" s="4" t="s">
        <v>9643</v>
      </c>
      <c r="U1621" s="4" t="str">
        <f t="shared" si="72"/>
        <v>淺</v>
      </c>
    </row>
    <row r="1622" spans="1:21">
      <c r="A1622" s="3">
        <v>1620</v>
      </c>
      <c r="B1622" s="3" t="s">
        <v>3229</v>
      </c>
      <c r="C1622" s="3" t="s">
        <v>6028</v>
      </c>
      <c r="D1622" s="3" t="s">
        <v>6001</v>
      </c>
      <c r="E1622" s="3" t="s">
        <v>5991</v>
      </c>
      <c r="F1622" s="3" t="s">
        <v>8163</v>
      </c>
      <c r="G1622" s="3" t="s">
        <v>8645</v>
      </c>
      <c r="H1622" s="3" t="s">
        <v>3231</v>
      </c>
      <c r="I1622" s="3" t="s">
        <v>6836</v>
      </c>
      <c r="J1622" s="5" t="s">
        <v>3232</v>
      </c>
      <c r="L1622" s="3" t="s">
        <v>178</v>
      </c>
      <c r="M1622" s="3">
        <v>8</v>
      </c>
      <c r="N1622" s="4" t="s">
        <v>9643</v>
      </c>
      <c r="O1622" s="4">
        <v>85</v>
      </c>
      <c r="P1622" s="11" t="s">
        <v>6028</v>
      </c>
      <c r="Q1622" s="11" t="s">
        <v>3242</v>
      </c>
      <c r="S1622" s="4" t="b">
        <f>ISNUMBER(MATCH(Q1622,T:T,0))</f>
        <v>1</v>
      </c>
      <c r="T1622" s="4" t="s">
        <v>10320</v>
      </c>
      <c r="U1622" s="4" t="str">
        <f t="shared" si="72"/>
        <v>淺</v>
      </c>
    </row>
    <row r="1623" spans="1:21">
      <c r="A1623" s="3">
        <v>1621</v>
      </c>
      <c r="B1623" s="3" t="s">
        <v>3229</v>
      </c>
      <c r="C1623" s="3" t="s">
        <v>6069</v>
      </c>
      <c r="D1623" s="3" t="s">
        <v>6001</v>
      </c>
      <c r="E1623" s="3" t="s">
        <v>5991</v>
      </c>
      <c r="F1623" s="3" t="s">
        <v>8163</v>
      </c>
      <c r="G1623" s="3" t="s">
        <v>8645</v>
      </c>
      <c r="H1623" s="3" t="s">
        <v>3233</v>
      </c>
      <c r="I1623" s="3" t="s">
        <v>6836</v>
      </c>
      <c r="J1623" s="5" t="s">
        <v>3234</v>
      </c>
      <c r="L1623" s="3" t="s">
        <v>198</v>
      </c>
      <c r="M1623" s="3">
        <v>7</v>
      </c>
      <c r="N1623" s="4" t="s">
        <v>9643</v>
      </c>
      <c r="O1623" s="4">
        <v>85</v>
      </c>
      <c r="P1623" s="11" t="s">
        <v>10244</v>
      </c>
      <c r="Q1623" s="11" t="s">
        <v>10320</v>
      </c>
      <c r="S1623" s="4" t="b">
        <f>ISNUMBER(MATCH(Q1623,T:T,0))</f>
        <v>1</v>
      </c>
      <c r="T1623" s="4" t="s">
        <v>11763</v>
      </c>
      <c r="U1623" s="4" t="str">
        <f t="shared" si="72"/>
        <v>演</v>
      </c>
    </row>
    <row r="1624" spans="1:21">
      <c r="A1624" s="3">
        <v>1622</v>
      </c>
      <c r="B1624" s="3" t="s">
        <v>3229</v>
      </c>
      <c r="C1624" s="3" t="s">
        <v>6000</v>
      </c>
      <c r="D1624" s="3" t="s">
        <v>6001</v>
      </c>
      <c r="E1624" s="3" t="s">
        <v>5991</v>
      </c>
      <c r="F1624" s="3" t="s">
        <v>8177</v>
      </c>
      <c r="G1624" s="3" t="s">
        <v>8645</v>
      </c>
      <c r="H1624" s="3" t="s">
        <v>3235</v>
      </c>
      <c r="I1624" s="3" t="s">
        <v>6836</v>
      </c>
      <c r="J1624" s="5" t="s">
        <v>3236</v>
      </c>
      <c r="L1624" s="3" t="s">
        <v>3152</v>
      </c>
      <c r="M1624" s="3">
        <v>10</v>
      </c>
      <c r="N1624" s="4" t="s">
        <v>9643</v>
      </c>
      <c r="O1624" s="4">
        <v>85</v>
      </c>
      <c r="P1624" s="11" t="s">
        <v>6000</v>
      </c>
      <c r="Q1624" s="11" t="s">
        <v>10320</v>
      </c>
      <c r="S1624" s="4" t="b">
        <f>ISNUMBER(MATCH(Q1624,T:T,0))</f>
        <v>1</v>
      </c>
      <c r="T1624" s="4" t="s">
        <v>10322</v>
      </c>
      <c r="U1624" s="4" t="str">
        <f t="shared" si="72"/>
        <v>演</v>
      </c>
    </row>
    <row r="1625" spans="1:21">
      <c r="A1625" s="3">
        <v>1623</v>
      </c>
      <c r="B1625" s="3" t="s">
        <v>3229</v>
      </c>
      <c r="C1625" s="3" t="s">
        <v>6009</v>
      </c>
      <c r="D1625" s="3" t="s">
        <v>6001</v>
      </c>
      <c r="E1625" s="3" t="s">
        <v>5991</v>
      </c>
      <c r="F1625" s="3" t="s">
        <v>8163</v>
      </c>
      <c r="G1625" s="3" t="s">
        <v>8645</v>
      </c>
      <c r="H1625" s="3" t="s">
        <v>3237</v>
      </c>
      <c r="I1625" s="3" t="s">
        <v>6836</v>
      </c>
      <c r="J1625" s="5" t="s">
        <v>3238</v>
      </c>
      <c r="L1625" s="3" t="s">
        <v>3152</v>
      </c>
      <c r="M1625" s="3">
        <v>17</v>
      </c>
      <c r="N1625" s="4" t="s">
        <v>9643</v>
      </c>
      <c r="O1625" s="4">
        <v>85</v>
      </c>
      <c r="P1625" s="11" t="s">
        <v>9633</v>
      </c>
      <c r="Q1625" s="11" t="s">
        <v>10321</v>
      </c>
      <c r="S1625" s="4" t="b">
        <f>ISNUMBER(MATCH(Q1625,T:T,0))</f>
        <v>1</v>
      </c>
      <c r="T1625" s="4" t="s">
        <v>11764</v>
      </c>
      <c r="U1625" s="4" t="str">
        <f t="shared" si="72"/>
        <v>善</v>
      </c>
    </row>
    <row r="1626" spans="1:21">
      <c r="A1626" s="3">
        <v>1624</v>
      </c>
      <c r="B1626" s="3" t="s">
        <v>3229</v>
      </c>
      <c r="C1626" s="3" t="s">
        <v>6137</v>
      </c>
      <c r="D1626" s="3" t="s">
        <v>6001</v>
      </c>
      <c r="E1626" s="3" t="s">
        <v>5991</v>
      </c>
      <c r="F1626" s="3" t="s">
        <v>8177</v>
      </c>
      <c r="G1626" s="3" t="s">
        <v>8645</v>
      </c>
      <c r="H1626" s="3" t="s">
        <v>3239</v>
      </c>
      <c r="I1626" s="3" t="s">
        <v>6836</v>
      </c>
      <c r="J1626" s="5" t="s">
        <v>3240</v>
      </c>
      <c r="L1626" s="3" t="s">
        <v>3211</v>
      </c>
      <c r="M1626" s="3">
        <v>3</v>
      </c>
      <c r="N1626" s="4" t="s">
        <v>9643</v>
      </c>
      <c r="O1626" s="4">
        <v>85</v>
      </c>
      <c r="P1626" s="11" t="s">
        <v>9812</v>
      </c>
      <c r="Q1626" s="11" t="s">
        <v>10322</v>
      </c>
      <c r="S1626" s="4" t="b">
        <f>ISNUMBER(MATCH(Q1626,T:T,0))</f>
        <v>1</v>
      </c>
      <c r="T1626" s="4" t="s">
        <v>11765</v>
      </c>
      <c r="U1626" s="4" t="str">
        <f t="shared" si="72"/>
        <v>展</v>
      </c>
    </row>
    <row r="1627" spans="1:21">
      <c r="A1627" s="3">
        <v>1625</v>
      </c>
      <c r="B1627" s="3" t="s">
        <v>3229</v>
      </c>
      <c r="C1627" s="3" t="s">
        <v>6076</v>
      </c>
      <c r="D1627" s="3" t="s">
        <v>6001</v>
      </c>
      <c r="E1627" s="3" t="s">
        <v>5991</v>
      </c>
      <c r="F1627" s="3" t="s">
        <v>8163</v>
      </c>
      <c r="G1627" s="3" t="s">
        <v>8645</v>
      </c>
      <c r="H1627" s="3" t="s">
        <v>3241</v>
      </c>
      <c r="I1627" s="3" t="s">
        <v>6836</v>
      </c>
      <c r="J1627" s="5" t="s">
        <v>3242</v>
      </c>
      <c r="L1627" s="3" t="s">
        <v>187</v>
      </c>
      <c r="M1627" s="3">
        <v>1</v>
      </c>
      <c r="N1627" s="4" t="s">
        <v>9643</v>
      </c>
      <c r="O1627" s="4">
        <v>85</v>
      </c>
      <c r="P1627" s="11" t="s">
        <v>9766</v>
      </c>
      <c r="Q1627" s="11" t="s">
        <v>10320</v>
      </c>
      <c r="S1627" s="4" t="b">
        <f>ISNUMBER(MATCH(Q1627,T:T,0))</f>
        <v>1</v>
      </c>
      <c r="T1627" s="4" t="s">
        <v>3242</v>
      </c>
      <c r="U1627" s="4" t="str">
        <f t="shared" si="72"/>
        <v>演</v>
      </c>
    </row>
    <row r="1628" spans="1:21">
      <c r="A1628" s="3">
        <v>1626</v>
      </c>
      <c r="B1628" s="3" t="s">
        <v>3229</v>
      </c>
      <c r="C1628" s="3" t="s">
        <v>6055</v>
      </c>
      <c r="D1628" s="3" t="s">
        <v>6001</v>
      </c>
      <c r="E1628" s="3" t="s">
        <v>5991</v>
      </c>
      <c r="F1628" s="3" t="s">
        <v>8163</v>
      </c>
      <c r="G1628" s="3" t="s">
        <v>8645</v>
      </c>
      <c r="H1628" s="3" t="s">
        <v>3243</v>
      </c>
      <c r="I1628" s="3" t="s">
        <v>6836</v>
      </c>
      <c r="J1628" s="5" t="s">
        <v>3244</v>
      </c>
      <c r="L1628" s="3" t="s">
        <v>3169</v>
      </c>
      <c r="M1628" s="3">
        <v>9</v>
      </c>
      <c r="N1628" s="4" t="s">
        <v>9643</v>
      </c>
      <c r="O1628" s="4">
        <v>85</v>
      </c>
      <c r="P1628" s="11" t="s">
        <v>6055</v>
      </c>
      <c r="Q1628" s="11" t="s">
        <v>10321</v>
      </c>
      <c r="S1628" s="4" t="b">
        <f>ISNUMBER(MATCH(Q1628,T:T,0))</f>
        <v>1</v>
      </c>
      <c r="T1628" s="4" t="s">
        <v>11766</v>
      </c>
      <c r="U1628" s="4" t="str">
        <f t="shared" si="72"/>
        <v>善</v>
      </c>
    </row>
    <row r="1629" spans="1:21">
      <c r="A1629" s="3">
        <v>1627</v>
      </c>
      <c r="B1629" s="3" t="s">
        <v>3229</v>
      </c>
      <c r="C1629" s="3" t="s">
        <v>6038</v>
      </c>
      <c r="D1629" s="3" t="s">
        <v>6001</v>
      </c>
      <c r="E1629" s="3" t="s">
        <v>5991</v>
      </c>
      <c r="F1629" s="3" t="s">
        <v>8163</v>
      </c>
      <c r="G1629" s="3" t="s">
        <v>8645</v>
      </c>
      <c r="H1629" s="3" t="s">
        <v>3245</v>
      </c>
      <c r="I1629" s="3" t="s">
        <v>6836</v>
      </c>
      <c r="J1629" s="5" t="s">
        <v>3246</v>
      </c>
      <c r="L1629" s="3" t="s">
        <v>187</v>
      </c>
      <c r="M1629" s="3">
        <v>8</v>
      </c>
      <c r="N1629" s="4" t="s">
        <v>9643</v>
      </c>
      <c r="O1629" s="4">
        <v>85</v>
      </c>
      <c r="P1629" s="11" t="s">
        <v>4210</v>
      </c>
      <c r="Q1629" s="11" t="s">
        <v>10320</v>
      </c>
      <c r="S1629" s="4" t="b">
        <f>ISNUMBER(MATCH(Q1629,T:T,0))</f>
        <v>1</v>
      </c>
      <c r="T1629" s="4" t="s">
        <v>11767</v>
      </c>
      <c r="U1629" s="4" t="str">
        <f t="shared" si="72"/>
        <v>演</v>
      </c>
    </row>
    <row r="1630" spans="1:21">
      <c r="A1630" s="3">
        <v>1628</v>
      </c>
      <c r="B1630" s="3" t="s">
        <v>3229</v>
      </c>
      <c r="C1630" s="3" t="s">
        <v>6025</v>
      </c>
      <c r="D1630" s="3" t="s">
        <v>6001</v>
      </c>
      <c r="E1630" s="3" t="s">
        <v>5991</v>
      </c>
      <c r="F1630" s="3" t="s">
        <v>8177</v>
      </c>
      <c r="G1630" s="3" t="s">
        <v>8645</v>
      </c>
      <c r="H1630" s="3" t="s">
        <v>3247</v>
      </c>
      <c r="I1630" s="3" t="s">
        <v>6836</v>
      </c>
      <c r="J1630" s="5" t="s">
        <v>3248</v>
      </c>
      <c r="L1630" s="3" t="s">
        <v>181</v>
      </c>
      <c r="M1630" s="3">
        <v>11</v>
      </c>
      <c r="N1630" s="4" t="s">
        <v>9643</v>
      </c>
      <c r="O1630" s="4">
        <v>85</v>
      </c>
      <c r="P1630" s="11" t="s">
        <v>9764</v>
      </c>
      <c r="Q1630" s="11" t="s">
        <v>10323</v>
      </c>
      <c r="S1630" s="4" t="b">
        <f>ISNUMBER(MATCH(Q1630,T:T,0))</f>
        <v>1</v>
      </c>
      <c r="T1630" s="4" t="s">
        <v>10325</v>
      </c>
      <c r="U1630" s="4" t="str">
        <f t="shared" si="72"/>
        <v>輦</v>
      </c>
    </row>
    <row r="1631" spans="1:21">
      <c r="A1631" s="3">
        <v>1629</v>
      </c>
      <c r="B1631" s="3" t="s">
        <v>3229</v>
      </c>
      <c r="C1631" s="3" t="s">
        <v>6148</v>
      </c>
      <c r="D1631" s="3" t="s">
        <v>6001</v>
      </c>
      <c r="E1631" s="3" t="s">
        <v>5991</v>
      </c>
      <c r="F1631" s="3" t="s">
        <v>8163</v>
      </c>
      <c r="G1631" s="3" t="s">
        <v>8645</v>
      </c>
      <c r="H1631" s="3" t="s">
        <v>3249</v>
      </c>
      <c r="I1631" s="3" t="s">
        <v>6836</v>
      </c>
      <c r="J1631" s="5" t="s">
        <v>4840</v>
      </c>
      <c r="L1631" s="3" t="s">
        <v>3164</v>
      </c>
      <c r="M1631" s="3">
        <v>11</v>
      </c>
      <c r="N1631" s="4" t="s">
        <v>9643</v>
      </c>
      <c r="O1631" s="4">
        <v>85</v>
      </c>
      <c r="P1631" s="11" t="s">
        <v>6148</v>
      </c>
      <c r="Q1631" s="11" t="s">
        <v>10320</v>
      </c>
      <c r="S1631" s="4" t="b">
        <f>ISNUMBER(MATCH(Q1631,T:T,0))</f>
        <v>1</v>
      </c>
      <c r="T1631" s="4" t="s">
        <v>10321</v>
      </c>
      <c r="U1631" s="4" t="str">
        <f t="shared" si="72"/>
        <v>演</v>
      </c>
    </row>
    <row r="1632" spans="1:21">
      <c r="A1632" s="3">
        <v>1630</v>
      </c>
      <c r="B1632" s="3" t="s">
        <v>3229</v>
      </c>
      <c r="C1632" s="3" t="s">
        <v>6083</v>
      </c>
      <c r="D1632" s="3" t="s">
        <v>6001</v>
      </c>
      <c r="E1632" s="3" t="s">
        <v>5991</v>
      </c>
      <c r="F1632" s="3" t="s">
        <v>8163</v>
      </c>
      <c r="G1632" s="3" t="s">
        <v>8645</v>
      </c>
      <c r="H1632" s="3" t="s">
        <v>3250</v>
      </c>
      <c r="I1632" s="3" t="s">
        <v>6836</v>
      </c>
      <c r="J1632" s="5" t="s">
        <v>3251</v>
      </c>
      <c r="L1632" s="3" t="s">
        <v>181</v>
      </c>
      <c r="M1632" s="3">
        <v>14</v>
      </c>
      <c r="N1632" s="4" t="s">
        <v>9643</v>
      </c>
      <c r="O1632" s="4">
        <v>85</v>
      </c>
      <c r="P1632" s="11" t="s">
        <v>9760</v>
      </c>
      <c r="Q1632" s="11" t="s">
        <v>3242</v>
      </c>
      <c r="S1632" s="4" t="b">
        <f>ISNUMBER(MATCH(Q1632,T:T,0))</f>
        <v>1</v>
      </c>
      <c r="T1632" s="4" t="s">
        <v>11768</v>
      </c>
      <c r="U1632" s="4" t="str">
        <f t="shared" si="72"/>
        <v>淺</v>
      </c>
    </row>
    <row r="1633" spans="1:22">
      <c r="A1633" s="3">
        <v>1631</v>
      </c>
      <c r="B1633" s="3" t="s">
        <v>3229</v>
      </c>
      <c r="C1633" s="3" t="s">
        <v>6021</v>
      </c>
      <c r="D1633" s="3" t="s">
        <v>6001</v>
      </c>
      <c r="E1633" s="3" t="s">
        <v>5991</v>
      </c>
      <c r="F1633" s="3" t="s">
        <v>8163</v>
      </c>
      <c r="G1633" s="3" t="s">
        <v>8645</v>
      </c>
      <c r="H1633" s="3" t="s">
        <v>3252</v>
      </c>
      <c r="I1633" s="3" t="s">
        <v>6836</v>
      </c>
      <c r="J1633" s="8" t="s">
        <v>4841</v>
      </c>
      <c r="L1633" s="3" t="s">
        <v>3253</v>
      </c>
      <c r="M1633" s="3">
        <v>5</v>
      </c>
      <c r="N1633" s="4" t="s">
        <v>9643</v>
      </c>
      <c r="O1633" s="4">
        <v>85</v>
      </c>
      <c r="P1633" s="11" t="s">
        <v>9798</v>
      </c>
      <c r="Q1633" s="11" t="s">
        <v>10321</v>
      </c>
      <c r="S1633" s="4" t="b">
        <f>ISNUMBER(MATCH(Q1633,T:T,0))</f>
        <v>1</v>
      </c>
      <c r="T1633" s="4" t="s">
        <v>11769</v>
      </c>
      <c r="U1633" s="4" t="str">
        <f t="shared" si="72"/>
        <v>善</v>
      </c>
    </row>
    <row r="1634" spans="1:22">
      <c r="A1634" s="3">
        <v>1632</v>
      </c>
      <c r="B1634" s="3" t="s">
        <v>3229</v>
      </c>
      <c r="C1634" s="3" t="s">
        <v>6123</v>
      </c>
      <c r="D1634" s="3" t="s">
        <v>6001</v>
      </c>
      <c r="E1634" s="3" t="s">
        <v>5991</v>
      </c>
      <c r="F1634" s="3" t="s">
        <v>8163</v>
      </c>
      <c r="G1634" s="3" t="s">
        <v>8645</v>
      </c>
      <c r="H1634" s="3" t="s">
        <v>3254</v>
      </c>
      <c r="I1634" s="3" t="s">
        <v>6836</v>
      </c>
      <c r="J1634" s="5" t="s">
        <v>3255</v>
      </c>
      <c r="L1634" s="3" t="s">
        <v>3156</v>
      </c>
      <c r="M1634" s="3">
        <v>1</v>
      </c>
      <c r="N1634" s="4" t="s">
        <v>9643</v>
      </c>
      <c r="O1634" s="4">
        <v>85</v>
      </c>
      <c r="P1634" s="11" t="s">
        <v>10110</v>
      </c>
      <c r="Q1634" s="11" t="s">
        <v>10324</v>
      </c>
      <c r="R1634" s="4" t="s">
        <v>13093</v>
      </c>
      <c r="S1634" s="4" t="b">
        <f>ISNUMBER(MATCH(Q1634,T:T,0))</f>
        <v>0</v>
      </c>
      <c r="T1634" s="4" t="s">
        <v>3255</v>
      </c>
      <c r="U1634" s="4" t="str">
        <f t="shared" si="72"/>
        <v>剪</v>
      </c>
      <c r="V1634" s="4" t="b">
        <f>ISNUMBER(MATCH(R1634,T:T,0))</f>
        <v>1</v>
      </c>
    </row>
    <row r="1635" spans="1:22">
      <c r="A1635" s="3">
        <v>1633</v>
      </c>
      <c r="B1635" s="3" t="s">
        <v>3229</v>
      </c>
      <c r="C1635" s="3" t="s">
        <v>6058</v>
      </c>
      <c r="D1635" s="3" t="s">
        <v>6001</v>
      </c>
      <c r="E1635" s="3" t="s">
        <v>5991</v>
      </c>
      <c r="F1635" s="3" t="s">
        <v>8163</v>
      </c>
      <c r="G1635" s="3" t="s">
        <v>8645</v>
      </c>
      <c r="H1635" s="3" t="s">
        <v>3256</v>
      </c>
      <c r="I1635" s="3" t="s">
        <v>6836</v>
      </c>
      <c r="J1635" s="5" t="s">
        <v>3257</v>
      </c>
      <c r="L1635" s="3" t="s">
        <v>3258</v>
      </c>
      <c r="M1635" s="3">
        <v>9</v>
      </c>
      <c r="N1635" s="4" t="s">
        <v>9643</v>
      </c>
      <c r="O1635" s="4">
        <v>85</v>
      </c>
      <c r="P1635" s="11" t="s">
        <v>9727</v>
      </c>
      <c r="Q1635" s="11" t="s">
        <v>10322</v>
      </c>
      <c r="S1635" s="4" t="b">
        <f>ISNUMBER(MATCH(Q1635,T:T,0))</f>
        <v>1</v>
      </c>
      <c r="T1635" s="4" t="s">
        <v>10323</v>
      </c>
      <c r="U1635" s="4" t="str">
        <f t="shared" si="72"/>
        <v>展</v>
      </c>
    </row>
    <row r="1636" spans="1:22">
      <c r="A1636" s="3">
        <v>1634</v>
      </c>
      <c r="B1636" s="3" t="s">
        <v>3229</v>
      </c>
      <c r="C1636" s="3" t="s">
        <v>6092</v>
      </c>
      <c r="D1636" s="3" t="s">
        <v>6001</v>
      </c>
      <c r="E1636" s="3" t="s">
        <v>5991</v>
      </c>
      <c r="F1636" s="3" t="s">
        <v>8177</v>
      </c>
      <c r="G1636" s="3" t="s">
        <v>8645</v>
      </c>
      <c r="H1636" s="3" t="s">
        <v>3259</v>
      </c>
      <c r="I1636" s="3" t="s">
        <v>6836</v>
      </c>
      <c r="J1636" s="5" t="s">
        <v>4842</v>
      </c>
      <c r="L1636" s="3" t="s">
        <v>178</v>
      </c>
      <c r="M1636" s="3">
        <v>7</v>
      </c>
      <c r="N1636" s="4" t="s">
        <v>9643</v>
      </c>
      <c r="O1636" s="4">
        <v>85</v>
      </c>
      <c r="P1636" s="11" t="s">
        <v>6462</v>
      </c>
      <c r="Q1636" s="11" t="s">
        <v>10325</v>
      </c>
      <c r="S1636" s="4" t="b">
        <f>ISNUMBER(MATCH(Q1636,T:T,0))</f>
        <v>1</v>
      </c>
      <c r="T1636" s="4" t="s">
        <v>11770</v>
      </c>
      <c r="U1636" s="4" t="str">
        <f t="shared" si="72"/>
        <v>蹇</v>
      </c>
    </row>
    <row r="1637" spans="1:22">
      <c r="A1637" s="3">
        <v>1635</v>
      </c>
      <c r="B1637" s="3" t="s">
        <v>3229</v>
      </c>
      <c r="C1637" s="3" t="s">
        <v>6041</v>
      </c>
      <c r="D1637" s="3" t="s">
        <v>6001</v>
      </c>
      <c r="E1637" s="3" t="s">
        <v>5991</v>
      </c>
      <c r="F1637" s="3" t="s">
        <v>8177</v>
      </c>
      <c r="G1637" s="3" t="s">
        <v>8645</v>
      </c>
      <c r="H1637" s="3" t="s">
        <v>3260</v>
      </c>
      <c r="I1637" s="3" t="s">
        <v>6836</v>
      </c>
      <c r="J1637" s="5" t="s">
        <v>3261</v>
      </c>
      <c r="L1637" s="3" t="s">
        <v>184</v>
      </c>
      <c r="M1637" s="3">
        <v>4</v>
      </c>
      <c r="N1637" s="4" t="s">
        <v>9643</v>
      </c>
      <c r="O1637" s="4">
        <v>85</v>
      </c>
      <c r="P1637" s="11" t="s">
        <v>9830</v>
      </c>
      <c r="Q1637" s="11" t="s">
        <v>10323</v>
      </c>
      <c r="S1637" s="4" t="b">
        <f>ISNUMBER(MATCH(Q1637,T:T,0))</f>
        <v>1</v>
      </c>
      <c r="T1637" s="4" t="s">
        <v>11771</v>
      </c>
      <c r="U1637" s="4" t="str">
        <f t="shared" si="72"/>
        <v>輦</v>
      </c>
    </row>
    <row r="1638" spans="1:22">
      <c r="A1638" s="3">
        <v>1636</v>
      </c>
      <c r="B1638" s="3" t="s">
        <v>3229</v>
      </c>
      <c r="C1638" s="3" t="s">
        <v>6045</v>
      </c>
      <c r="D1638" s="3" t="s">
        <v>6001</v>
      </c>
      <c r="E1638" s="3" t="s">
        <v>5991</v>
      </c>
      <c r="F1638" s="3" t="s">
        <v>8177</v>
      </c>
      <c r="G1638" s="3" t="s">
        <v>8645</v>
      </c>
      <c r="H1638" s="3" t="s">
        <v>3262</v>
      </c>
      <c r="I1638" s="3" t="s">
        <v>6836</v>
      </c>
      <c r="J1638" s="5" t="s">
        <v>4843</v>
      </c>
      <c r="L1638" s="3" t="s">
        <v>3222</v>
      </c>
      <c r="M1638" s="3">
        <v>5</v>
      </c>
      <c r="N1638" s="4" t="s">
        <v>9643</v>
      </c>
      <c r="O1638" s="4">
        <v>85</v>
      </c>
      <c r="P1638" s="11" t="s">
        <v>9759</v>
      </c>
      <c r="Q1638" s="11" t="s">
        <v>10325</v>
      </c>
      <c r="S1638" s="4" t="b">
        <f>ISNUMBER(MATCH(Q1638,T:T,0))</f>
        <v>1</v>
      </c>
      <c r="T1638" s="4" t="s">
        <v>11772</v>
      </c>
      <c r="U1638" s="4" t="str">
        <f t="shared" si="72"/>
        <v>蹇</v>
      </c>
    </row>
    <row r="1639" spans="1:22">
      <c r="A1639" s="3">
        <v>1637</v>
      </c>
      <c r="B1639" s="3" t="s">
        <v>3229</v>
      </c>
      <c r="C1639" s="3" t="s">
        <v>6035</v>
      </c>
      <c r="D1639" s="3" t="s">
        <v>6001</v>
      </c>
      <c r="E1639" s="3" t="s">
        <v>5991</v>
      </c>
      <c r="F1639" s="3" t="s">
        <v>8163</v>
      </c>
      <c r="G1639" s="3" t="s">
        <v>8645</v>
      </c>
      <c r="H1639" s="3" t="s">
        <v>756</v>
      </c>
      <c r="I1639" s="3" t="s">
        <v>6836</v>
      </c>
      <c r="J1639" s="5" t="s">
        <v>4844</v>
      </c>
      <c r="L1639" s="3" t="s">
        <v>3209</v>
      </c>
      <c r="M1639" s="3">
        <v>10</v>
      </c>
      <c r="N1639" s="4" t="s">
        <v>9643</v>
      </c>
      <c r="O1639" s="4">
        <v>85</v>
      </c>
      <c r="P1639" s="11" t="s">
        <v>9941</v>
      </c>
      <c r="Q1639" s="11" t="s">
        <v>10326</v>
      </c>
      <c r="S1639" s="4" t="b">
        <f>ISNUMBER(MATCH(Q1639,T:T,0))</f>
        <v>1</v>
      </c>
      <c r="T1639" s="4" t="s">
        <v>10327</v>
      </c>
      <c r="U1639" s="4" t="str">
        <f t="shared" si="72"/>
        <v>兖</v>
      </c>
    </row>
    <row r="1640" spans="1:22">
      <c r="A1640" s="3">
        <v>1638</v>
      </c>
      <c r="B1640" s="3" t="s">
        <v>3229</v>
      </c>
      <c r="C1640" s="3" t="s">
        <v>6049</v>
      </c>
      <c r="D1640" s="3" t="s">
        <v>6001</v>
      </c>
      <c r="E1640" s="3" t="s">
        <v>5991</v>
      </c>
      <c r="F1640" s="3" t="s">
        <v>8163</v>
      </c>
      <c r="G1640" s="3" t="s">
        <v>8645</v>
      </c>
      <c r="H1640" s="3" t="s">
        <v>3263</v>
      </c>
      <c r="I1640" s="3" t="s">
        <v>6836</v>
      </c>
      <c r="J1640" s="5" t="s">
        <v>3264</v>
      </c>
      <c r="L1640" s="3" t="s">
        <v>3213</v>
      </c>
      <c r="M1640" s="3">
        <v>2</v>
      </c>
      <c r="N1640" s="4" t="s">
        <v>9643</v>
      </c>
      <c r="O1640" s="4">
        <v>85</v>
      </c>
      <c r="P1640" s="11" t="s">
        <v>9723</v>
      </c>
      <c r="Q1640" s="11" t="s">
        <v>10327</v>
      </c>
      <c r="S1640" s="4" t="b">
        <f>ISNUMBER(MATCH(Q1640,T:T,0))</f>
        <v>1</v>
      </c>
      <c r="T1640" s="4" t="s">
        <v>11773</v>
      </c>
      <c r="U1640" s="4" t="str">
        <f t="shared" si="72"/>
        <v>緬</v>
      </c>
    </row>
    <row r="1641" spans="1:22">
      <c r="A1641" s="3">
        <v>1639</v>
      </c>
      <c r="B1641" s="3" t="s">
        <v>3229</v>
      </c>
      <c r="C1641" s="3" t="s">
        <v>6083</v>
      </c>
      <c r="D1641" s="3" t="s">
        <v>6001</v>
      </c>
      <c r="E1641" s="3" t="s">
        <v>6212</v>
      </c>
      <c r="F1641" s="3" t="s">
        <v>8163</v>
      </c>
      <c r="G1641" s="3" t="s">
        <v>8645</v>
      </c>
      <c r="H1641" s="3" t="s">
        <v>757</v>
      </c>
      <c r="I1641" s="3" t="s">
        <v>6836</v>
      </c>
      <c r="J1641" s="5" t="s">
        <v>3265</v>
      </c>
      <c r="L1641" s="3" t="s">
        <v>3219</v>
      </c>
      <c r="M1641" s="3">
        <v>3</v>
      </c>
      <c r="N1641" s="4" t="s">
        <v>9643</v>
      </c>
      <c r="O1641" s="4">
        <v>85</v>
      </c>
      <c r="P1641" s="11" t="s">
        <v>9737</v>
      </c>
      <c r="Q1641" s="11" t="s">
        <v>10326</v>
      </c>
      <c r="S1641" s="4" t="b">
        <f>ISNUMBER(MATCH(Q1641,T:T,0))</f>
        <v>1</v>
      </c>
      <c r="T1641" s="4" t="s">
        <v>11774</v>
      </c>
      <c r="U1641" s="4" t="str">
        <f t="shared" si="72"/>
        <v>兖</v>
      </c>
    </row>
    <row r="1642" spans="1:22">
      <c r="A1642" s="3">
        <v>1640</v>
      </c>
      <c r="B1642" s="3" t="s">
        <v>3229</v>
      </c>
      <c r="C1642" s="3" t="s">
        <v>6069</v>
      </c>
      <c r="D1642" s="3" t="s">
        <v>6001</v>
      </c>
      <c r="E1642" s="3" t="s">
        <v>6212</v>
      </c>
      <c r="F1642" s="3" t="s">
        <v>8163</v>
      </c>
      <c r="G1642" s="3" t="s">
        <v>8645</v>
      </c>
      <c r="H1642" s="3" t="s">
        <v>758</v>
      </c>
      <c r="I1642" s="3" t="s">
        <v>6836</v>
      </c>
      <c r="J1642" s="5" t="s">
        <v>4845</v>
      </c>
      <c r="L1642" s="3" t="s">
        <v>198</v>
      </c>
      <c r="M1642" s="3">
        <v>5</v>
      </c>
      <c r="N1642" s="4" t="s">
        <v>9643</v>
      </c>
      <c r="O1642" s="4">
        <v>85</v>
      </c>
      <c r="P1642" s="11" t="s">
        <v>9733</v>
      </c>
      <c r="Q1642" s="11" t="s">
        <v>10326</v>
      </c>
      <c r="S1642" s="4" t="b">
        <f>ISNUMBER(MATCH(Q1642,T:T,0))</f>
        <v>1</v>
      </c>
      <c r="T1642" s="4" t="s">
        <v>11775</v>
      </c>
      <c r="U1642" s="4" t="str">
        <f t="shared" si="72"/>
        <v>兖</v>
      </c>
    </row>
    <row r="1643" spans="1:22">
      <c r="A1643" s="3">
        <v>1641</v>
      </c>
      <c r="B1643" s="3" t="s">
        <v>3229</v>
      </c>
      <c r="C1643" s="3" t="s">
        <v>6049</v>
      </c>
      <c r="D1643" s="3" t="s">
        <v>6001</v>
      </c>
      <c r="E1643" s="3" t="s">
        <v>5991</v>
      </c>
      <c r="F1643" s="3" t="s">
        <v>8177</v>
      </c>
      <c r="G1643" s="3" t="s">
        <v>8645</v>
      </c>
      <c r="H1643" s="3" t="s">
        <v>3266</v>
      </c>
      <c r="I1643" s="3" t="s">
        <v>6836</v>
      </c>
      <c r="J1643" s="8" t="s">
        <v>4846</v>
      </c>
      <c r="L1643" s="3" t="s">
        <v>3213</v>
      </c>
      <c r="M1643" s="3">
        <v>4</v>
      </c>
      <c r="N1643" s="4" t="s">
        <v>9643</v>
      </c>
      <c r="O1643" s="4">
        <v>85</v>
      </c>
      <c r="P1643" s="11" t="s">
        <v>9723</v>
      </c>
      <c r="Q1643" s="11" t="s">
        <v>10328</v>
      </c>
      <c r="S1643" s="4" t="b">
        <f>ISNUMBER(MATCH(Q1643,T:T,0))</f>
        <v>1</v>
      </c>
      <c r="T1643" s="4" t="s">
        <v>11776</v>
      </c>
      <c r="U1643" s="4" t="str">
        <f t="shared" si="72"/>
        <v>免</v>
      </c>
    </row>
    <row r="1644" spans="1:22">
      <c r="A1644" s="3">
        <v>1642</v>
      </c>
      <c r="B1644" s="3" t="s">
        <v>3229</v>
      </c>
      <c r="C1644" s="3" t="s">
        <v>6028</v>
      </c>
      <c r="D1644" s="3" t="s">
        <v>6001</v>
      </c>
      <c r="E1644" s="3" t="s">
        <v>6212</v>
      </c>
      <c r="F1644" s="3" t="s">
        <v>8163</v>
      </c>
      <c r="G1644" s="3" t="s">
        <v>8645</v>
      </c>
      <c r="H1644" s="3" t="s">
        <v>3267</v>
      </c>
      <c r="I1644" s="3" t="s">
        <v>6836</v>
      </c>
      <c r="J1644" s="8" t="s">
        <v>4847</v>
      </c>
      <c r="L1644" s="3" t="s">
        <v>172</v>
      </c>
      <c r="M1644" s="3">
        <v>10</v>
      </c>
      <c r="N1644" s="4" t="s">
        <v>9643</v>
      </c>
      <c r="O1644" s="4">
        <v>85</v>
      </c>
      <c r="P1644" s="11" t="s">
        <v>6028</v>
      </c>
      <c r="Q1644" s="11" t="s">
        <v>10329</v>
      </c>
      <c r="S1644" s="4" t="b">
        <f>ISNUMBER(MATCH(Q1644,T:T,0))</f>
        <v>1</v>
      </c>
      <c r="T1644" s="4" t="s">
        <v>10326</v>
      </c>
      <c r="U1644" s="4" t="str">
        <f t="shared" si="72"/>
        <v>轉</v>
      </c>
    </row>
    <row r="1645" spans="1:22">
      <c r="A1645" s="3">
        <v>1643</v>
      </c>
      <c r="B1645" s="3" t="s">
        <v>3229</v>
      </c>
      <c r="C1645" s="3" t="s">
        <v>6058</v>
      </c>
      <c r="D1645" s="3" t="s">
        <v>6001</v>
      </c>
      <c r="E1645" s="3" t="s">
        <v>6212</v>
      </c>
      <c r="F1645" s="3" t="s">
        <v>8163</v>
      </c>
      <c r="G1645" s="3" t="s">
        <v>8645</v>
      </c>
      <c r="H1645" s="3" t="s">
        <v>759</v>
      </c>
      <c r="I1645" s="3" t="s">
        <v>6836</v>
      </c>
      <c r="J1645" s="5" t="s">
        <v>3268</v>
      </c>
      <c r="L1645" s="3" t="s">
        <v>304</v>
      </c>
      <c r="M1645" s="3">
        <v>4</v>
      </c>
      <c r="N1645" s="4" t="s">
        <v>9643</v>
      </c>
      <c r="O1645" s="4">
        <v>85</v>
      </c>
      <c r="P1645" s="11" t="s">
        <v>9727</v>
      </c>
      <c r="Q1645" s="11" t="s">
        <v>10326</v>
      </c>
      <c r="S1645" s="4" t="b">
        <f>ISNUMBER(MATCH(Q1645,T:T,0))</f>
        <v>1</v>
      </c>
      <c r="T1645" s="4" t="s">
        <v>11777</v>
      </c>
      <c r="U1645" s="4" t="str">
        <f t="shared" si="72"/>
        <v>兖</v>
      </c>
    </row>
    <row r="1646" spans="1:22" ht="28.5">
      <c r="A1646" s="3">
        <v>1644</v>
      </c>
      <c r="B1646" s="3" t="s">
        <v>3229</v>
      </c>
      <c r="C1646" s="3" t="s">
        <v>6000</v>
      </c>
      <c r="D1646" s="3" t="s">
        <v>6001</v>
      </c>
      <c r="E1646" s="3" t="s">
        <v>6212</v>
      </c>
      <c r="F1646" s="3" t="s">
        <v>8177</v>
      </c>
      <c r="G1646" s="3" t="s">
        <v>8645</v>
      </c>
      <c r="H1646" s="3" t="s">
        <v>760</v>
      </c>
      <c r="I1646" s="3" t="s">
        <v>6836</v>
      </c>
      <c r="J1646" s="5" t="s">
        <v>3269</v>
      </c>
      <c r="L1646" s="3" t="s">
        <v>3270</v>
      </c>
      <c r="M1646" s="3">
        <v>2</v>
      </c>
      <c r="N1646" s="4" t="s">
        <v>9643</v>
      </c>
      <c r="O1646" s="4">
        <v>85</v>
      </c>
      <c r="P1646" s="11" t="s">
        <v>9707</v>
      </c>
      <c r="Q1646" s="11" t="s">
        <v>10326</v>
      </c>
      <c r="S1646" s="4" t="b">
        <f>ISNUMBER(MATCH(Q1646,T:T,0))</f>
        <v>1</v>
      </c>
      <c r="T1646" s="4" t="s">
        <v>10329</v>
      </c>
      <c r="U1646" s="4" t="str">
        <f t="shared" si="72"/>
        <v>兖</v>
      </c>
    </row>
    <row r="1647" spans="1:22">
      <c r="A1647" s="3">
        <v>1645</v>
      </c>
      <c r="B1647" s="3" t="s">
        <v>3229</v>
      </c>
      <c r="C1647" s="3" t="s">
        <v>6025</v>
      </c>
      <c r="D1647" s="3" t="s">
        <v>6001</v>
      </c>
      <c r="E1647" s="3" t="s">
        <v>6212</v>
      </c>
      <c r="F1647" s="3" t="s">
        <v>8177</v>
      </c>
      <c r="G1647" s="3" t="s">
        <v>8645</v>
      </c>
      <c r="H1647" s="3" t="s">
        <v>3271</v>
      </c>
      <c r="I1647" s="3" t="s">
        <v>6836</v>
      </c>
      <c r="J1647" s="5" t="s">
        <v>3272</v>
      </c>
      <c r="L1647" s="3" t="s">
        <v>3219</v>
      </c>
      <c r="M1647" s="3">
        <v>6</v>
      </c>
      <c r="N1647" s="4" t="s">
        <v>9643</v>
      </c>
      <c r="O1647" s="4">
        <v>85</v>
      </c>
      <c r="P1647" s="11" t="s">
        <v>9717</v>
      </c>
      <c r="Q1647" s="11" t="s">
        <v>10329</v>
      </c>
      <c r="S1647" s="4" t="b">
        <f>ISNUMBER(MATCH(Q1647,T:T,0))</f>
        <v>1</v>
      </c>
      <c r="T1647" s="4" t="s">
        <v>10633</v>
      </c>
      <c r="U1647" s="4" t="str">
        <f t="shared" si="72"/>
        <v>轉</v>
      </c>
    </row>
    <row r="1648" spans="1:22">
      <c r="A1648" s="3">
        <v>1646</v>
      </c>
      <c r="B1648" s="3" t="s">
        <v>3229</v>
      </c>
      <c r="C1648" s="3" t="s">
        <v>6041</v>
      </c>
      <c r="D1648" s="3" t="s">
        <v>6001</v>
      </c>
      <c r="E1648" s="3" t="s">
        <v>6212</v>
      </c>
      <c r="F1648" s="3" t="s">
        <v>8177</v>
      </c>
      <c r="G1648" s="3" t="s">
        <v>8645</v>
      </c>
      <c r="H1648" s="3" t="s">
        <v>3273</v>
      </c>
      <c r="I1648" s="3" t="s">
        <v>6836</v>
      </c>
      <c r="J1648" s="5" t="s">
        <v>3274</v>
      </c>
      <c r="L1648" s="3" t="s">
        <v>198</v>
      </c>
      <c r="M1648" s="3">
        <v>3</v>
      </c>
      <c r="N1648" s="4" t="s">
        <v>9643</v>
      </c>
      <c r="O1648" s="4">
        <v>85</v>
      </c>
      <c r="P1648" s="11" t="s">
        <v>9721</v>
      </c>
      <c r="Q1648" s="11" t="s">
        <v>10330</v>
      </c>
      <c r="S1648" s="4" t="b">
        <f>ISNUMBER(MATCH(Q1648,T:T,0))</f>
        <v>1</v>
      </c>
      <c r="T1648" s="4" t="s">
        <v>1991</v>
      </c>
      <c r="U1648" s="4" t="str">
        <f t="shared" si="72"/>
        <v>篆</v>
      </c>
    </row>
    <row r="1649" spans="1:22">
      <c r="A1649" s="3">
        <v>1647</v>
      </c>
      <c r="B1649" s="3" t="s">
        <v>3229</v>
      </c>
      <c r="C1649" s="3" t="s">
        <v>6021</v>
      </c>
      <c r="D1649" s="3" t="s">
        <v>6001</v>
      </c>
      <c r="E1649" s="3" t="s">
        <v>6212</v>
      </c>
      <c r="F1649" s="3" t="s">
        <v>8163</v>
      </c>
      <c r="G1649" s="3" t="s">
        <v>8645</v>
      </c>
      <c r="H1649" s="3" t="s">
        <v>761</v>
      </c>
      <c r="I1649" s="3" t="s">
        <v>6836</v>
      </c>
      <c r="J1649" s="5" t="s">
        <v>4848</v>
      </c>
      <c r="L1649" s="3" t="s">
        <v>3275</v>
      </c>
      <c r="M1649" s="3">
        <v>17</v>
      </c>
      <c r="N1649" s="4" t="s">
        <v>9643</v>
      </c>
      <c r="O1649" s="4">
        <v>85</v>
      </c>
      <c r="P1649" s="11" t="s">
        <v>9761</v>
      </c>
      <c r="Q1649" s="11" t="s">
        <v>10326</v>
      </c>
      <c r="S1649" s="4" t="b">
        <f>ISNUMBER(MATCH(Q1649,T:T,0))</f>
        <v>1</v>
      </c>
      <c r="T1649" s="4" t="s">
        <v>11778</v>
      </c>
      <c r="U1649" s="4" t="str">
        <f t="shared" si="72"/>
        <v>兖</v>
      </c>
    </row>
    <row r="1650" spans="1:22" ht="28.5">
      <c r="A1650" s="3">
        <v>1648</v>
      </c>
      <c r="B1650" s="3" t="s">
        <v>3229</v>
      </c>
      <c r="C1650" s="3" t="s">
        <v>6055</v>
      </c>
      <c r="D1650" s="3" t="s">
        <v>6001</v>
      </c>
      <c r="E1650" s="3" t="s">
        <v>6212</v>
      </c>
      <c r="F1650" s="3" t="s">
        <v>8163</v>
      </c>
      <c r="G1650" s="3" t="s">
        <v>8645</v>
      </c>
      <c r="H1650" s="3" t="s">
        <v>762</v>
      </c>
      <c r="I1650" s="3" t="s">
        <v>6836</v>
      </c>
      <c r="J1650" s="5" t="s">
        <v>3276</v>
      </c>
      <c r="L1650" s="3" t="s">
        <v>3188</v>
      </c>
      <c r="M1650" s="3">
        <v>4</v>
      </c>
      <c r="N1650" s="4" t="s">
        <v>9643</v>
      </c>
      <c r="O1650" s="4">
        <v>85</v>
      </c>
      <c r="P1650" s="11" t="s">
        <v>6055</v>
      </c>
      <c r="Q1650" s="11" t="s">
        <v>10326</v>
      </c>
      <c r="S1650" s="4" t="b">
        <f>ISNUMBER(MATCH(Q1650,T:T,0))</f>
        <v>1</v>
      </c>
      <c r="T1650" s="4" t="s">
        <v>11779</v>
      </c>
      <c r="U1650" s="4" t="str">
        <f t="shared" si="72"/>
        <v>兖</v>
      </c>
    </row>
    <row r="1651" spans="1:22" ht="28.5">
      <c r="A1651" s="3">
        <v>1649</v>
      </c>
      <c r="B1651" s="3" t="s">
        <v>3229</v>
      </c>
      <c r="C1651" s="3" t="s">
        <v>6148</v>
      </c>
      <c r="D1651" s="3" t="s">
        <v>6001</v>
      </c>
      <c r="E1651" s="3" t="s">
        <v>6212</v>
      </c>
      <c r="F1651" s="3" t="s">
        <v>8163</v>
      </c>
      <c r="G1651" s="3" t="s">
        <v>8645</v>
      </c>
      <c r="H1651" s="3" t="s">
        <v>763</v>
      </c>
      <c r="I1651" s="3" t="s">
        <v>6836</v>
      </c>
      <c r="J1651" s="5" t="s">
        <v>4849</v>
      </c>
      <c r="L1651" s="3" t="s">
        <v>3174</v>
      </c>
      <c r="M1651" s="3">
        <v>7</v>
      </c>
      <c r="N1651" s="4" t="s">
        <v>9643</v>
      </c>
      <c r="O1651" s="4">
        <v>85</v>
      </c>
      <c r="P1651" s="11" t="s">
        <v>9829</v>
      </c>
      <c r="Q1651" s="11" t="s">
        <v>10326</v>
      </c>
      <c r="S1651" s="4" t="b">
        <f>ISNUMBER(MATCH(Q1651,T:T,0))</f>
        <v>1</v>
      </c>
      <c r="T1651" s="4" t="s">
        <v>11780</v>
      </c>
      <c r="U1651" s="4" t="str">
        <f t="shared" si="72"/>
        <v>兖</v>
      </c>
    </row>
    <row r="1652" spans="1:22" ht="28.5">
      <c r="A1652" s="3">
        <v>1650</v>
      </c>
      <c r="B1652" s="3" t="s">
        <v>3229</v>
      </c>
      <c r="C1652" s="3" t="s">
        <v>6005</v>
      </c>
      <c r="D1652" s="3" t="s">
        <v>6001</v>
      </c>
      <c r="E1652" s="3" t="s">
        <v>6212</v>
      </c>
      <c r="F1652" s="3" t="s">
        <v>8177</v>
      </c>
      <c r="G1652" s="3" t="s">
        <v>8645</v>
      </c>
      <c r="H1652" s="3" t="s">
        <v>764</v>
      </c>
      <c r="I1652" s="3" t="s">
        <v>6836</v>
      </c>
      <c r="J1652" s="5" t="s">
        <v>4850</v>
      </c>
      <c r="L1652" s="3" t="s">
        <v>3277</v>
      </c>
      <c r="M1652" s="3">
        <v>7</v>
      </c>
      <c r="N1652" s="4" t="s">
        <v>9643</v>
      </c>
      <c r="O1652" s="4">
        <v>85</v>
      </c>
      <c r="P1652" s="11" t="s">
        <v>9832</v>
      </c>
      <c r="Q1652" s="11" t="s">
        <v>10326</v>
      </c>
      <c r="S1652" s="4" t="b">
        <f>ISNUMBER(MATCH(Q1652,T:T,0))</f>
        <v>1</v>
      </c>
      <c r="T1652" s="4" t="s">
        <v>10330</v>
      </c>
      <c r="U1652" s="4" t="str">
        <f t="shared" si="72"/>
        <v>兖</v>
      </c>
    </row>
    <row r="1653" spans="1:22" ht="28.5">
      <c r="A1653" s="3">
        <v>1651</v>
      </c>
      <c r="B1653" s="3" t="s">
        <v>3229</v>
      </c>
      <c r="C1653" s="3" t="s">
        <v>6009</v>
      </c>
      <c r="D1653" s="3" t="s">
        <v>6001</v>
      </c>
      <c r="E1653" s="3" t="s">
        <v>6212</v>
      </c>
      <c r="F1653" s="3" t="s">
        <v>8163</v>
      </c>
      <c r="G1653" s="3" t="s">
        <v>8645</v>
      </c>
      <c r="H1653" s="3" t="s">
        <v>765</v>
      </c>
      <c r="I1653" s="3" t="s">
        <v>6836</v>
      </c>
      <c r="J1653" s="5" t="s">
        <v>4851</v>
      </c>
      <c r="L1653" s="3" t="s">
        <v>3270</v>
      </c>
      <c r="M1653" s="3">
        <v>9</v>
      </c>
      <c r="N1653" s="4" t="s">
        <v>9643</v>
      </c>
      <c r="O1653" s="4">
        <v>85</v>
      </c>
      <c r="P1653" s="11" t="s">
        <v>9633</v>
      </c>
      <c r="Q1653" s="11" t="s">
        <v>10326</v>
      </c>
      <c r="S1653" s="4" t="b">
        <f>ISNUMBER(MATCH(Q1653,T:T,0))</f>
        <v>1</v>
      </c>
      <c r="T1653" s="4" t="s">
        <v>2268</v>
      </c>
      <c r="U1653" s="4" t="str">
        <f t="shared" si="72"/>
        <v>兖</v>
      </c>
    </row>
    <row r="1654" spans="1:22">
      <c r="A1654" s="3">
        <v>1652</v>
      </c>
      <c r="B1654" s="3" t="s">
        <v>3229</v>
      </c>
      <c r="C1654" s="3" t="s">
        <v>6017</v>
      </c>
      <c r="D1654" s="3" t="s">
        <v>6001</v>
      </c>
      <c r="E1654" s="3" t="s">
        <v>6212</v>
      </c>
      <c r="F1654" s="3" t="s">
        <v>8163</v>
      </c>
      <c r="G1654" s="3" t="s">
        <v>8645</v>
      </c>
      <c r="H1654" s="3" t="s">
        <v>766</v>
      </c>
      <c r="I1654" s="3" t="s">
        <v>6836</v>
      </c>
      <c r="J1654" s="5" t="s">
        <v>3278</v>
      </c>
      <c r="L1654" s="3" t="s">
        <v>204</v>
      </c>
      <c r="M1654" s="3">
        <v>3</v>
      </c>
      <c r="N1654" s="4" t="s">
        <v>9643</v>
      </c>
      <c r="O1654" s="4">
        <v>85</v>
      </c>
      <c r="P1654" s="11" t="s">
        <v>9963</v>
      </c>
      <c r="Q1654" s="11" t="s">
        <v>10326</v>
      </c>
      <c r="S1654" s="4" t="b">
        <f>ISNUMBER(MATCH(Q1654,T:T,0))</f>
        <v>1</v>
      </c>
      <c r="T1654" s="4" t="s">
        <v>11781</v>
      </c>
      <c r="U1654" s="4" t="str">
        <f t="shared" si="72"/>
        <v>兖</v>
      </c>
    </row>
    <row r="1655" spans="1:22" ht="28.5">
      <c r="A1655" s="3">
        <v>1653</v>
      </c>
      <c r="B1655" s="3" t="s">
        <v>3229</v>
      </c>
      <c r="C1655" s="3" t="s">
        <v>6015</v>
      </c>
      <c r="D1655" s="3" t="s">
        <v>6001</v>
      </c>
      <c r="E1655" s="3" t="s">
        <v>6212</v>
      </c>
      <c r="F1655" s="3" t="s">
        <v>8177</v>
      </c>
      <c r="G1655" s="3" t="s">
        <v>8645</v>
      </c>
      <c r="H1655" s="3" t="s">
        <v>3279</v>
      </c>
      <c r="I1655" s="3" t="s">
        <v>6836</v>
      </c>
      <c r="J1655" s="5" t="s">
        <v>3280</v>
      </c>
      <c r="L1655" s="3" t="s">
        <v>3174</v>
      </c>
      <c r="M1655" s="3">
        <v>5</v>
      </c>
      <c r="N1655" s="4" t="s">
        <v>9643</v>
      </c>
      <c r="O1655" s="4">
        <v>85</v>
      </c>
      <c r="P1655" s="11" t="s">
        <v>9777</v>
      </c>
      <c r="Q1655" s="11" t="s">
        <v>10328</v>
      </c>
      <c r="S1655" s="4" t="b">
        <f>ISNUMBER(MATCH(Q1655,T:T,0))</f>
        <v>1</v>
      </c>
      <c r="T1655" s="4" t="s">
        <v>11750</v>
      </c>
      <c r="U1655" s="4" t="str">
        <f t="shared" si="72"/>
        <v>免</v>
      </c>
    </row>
    <row r="1656" spans="1:22">
      <c r="A1656" s="3">
        <v>1654</v>
      </c>
      <c r="B1656" s="3" t="s">
        <v>3229</v>
      </c>
      <c r="C1656" s="3" t="s">
        <v>6041</v>
      </c>
      <c r="D1656" s="3" t="s">
        <v>6001</v>
      </c>
      <c r="E1656" s="3" t="s">
        <v>6212</v>
      </c>
      <c r="F1656" s="3" t="s">
        <v>8163</v>
      </c>
      <c r="G1656" s="3" t="s">
        <v>8645</v>
      </c>
      <c r="H1656" s="3" t="s">
        <v>767</v>
      </c>
      <c r="I1656" s="3" t="s">
        <v>6836</v>
      </c>
      <c r="J1656" s="5" t="s">
        <v>3281</v>
      </c>
      <c r="L1656" s="3" t="s">
        <v>198</v>
      </c>
      <c r="M1656" s="3">
        <v>1</v>
      </c>
      <c r="N1656" s="4" t="s">
        <v>9643</v>
      </c>
      <c r="O1656" s="4">
        <v>85</v>
      </c>
      <c r="P1656" s="11" t="s">
        <v>10331</v>
      </c>
      <c r="Q1656" s="11" t="s">
        <v>10326</v>
      </c>
      <c r="S1656" s="4" t="b">
        <f>ISNUMBER(MATCH(Q1656,T:T,0))</f>
        <v>1</v>
      </c>
      <c r="T1656" s="4" t="s">
        <v>3281</v>
      </c>
      <c r="U1656" s="4" t="str">
        <f t="shared" si="72"/>
        <v>兖</v>
      </c>
    </row>
    <row r="1657" spans="1:22">
      <c r="A1657" s="3">
        <v>1655</v>
      </c>
      <c r="B1657" s="3" t="s">
        <v>3229</v>
      </c>
      <c r="C1657" s="3" t="s">
        <v>6089</v>
      </c>
      <c r="D1657" s="3" t="s">
        <v>6001</v>
      </c>
      <c r="E1657" s="3" t="s">
        <v>6212</v>
      </c>
      <c r="F1657" s="3" t="s">
        <v>8163</v>
      </c>
      <c r="G1657" s="3" t="s">
        <v>8645</v>
      </c>
      <c r="H1657" s="3" t="s">
        <v>768</v>
      </c>
      <c r="I1657" s="3" t="s">
        <v>6836</v>
      </c>
      <c r="J1657" s="5" t="s">
        <v>3282</v>
      </c>
      <c r="L1657" s="3" t="s">
        <v>204</v>
      </c>
      <c r="M1657" s="3">
        <v>2</v>
      </c>
      <c r="N1657" s="4" t="s">
        <v>9643</v>
      </c>
      <c r="O1657" s="4">
        <v>85</v>
      </c>
      <c r="P1657" s="11" t="s">
        <v>9797</v>
      </c>
      <c r="Q1657" s="11" t="s">
        <v>10326</v>
      </c>
      <c r="S1657" s="4" t="b">
        <f>ISNUMBER(MATCH(Q1657,T:T,0))</f>
        <v>1</v>
      </c>
      <c r="T1657" s="4" t="s">
        <v>11782</v>
      </c>
      <c r="U1657" s="4" t="str">
        <f t="shared" si="72"/>
        <v>兖</v>
      </c>
    </row>
    <row r="1658" spans="1:22">
      <c r="A1658" s="3">
        <v>1656</v>
      </c>
      <c r="B1658" s="3" t="s">
        <v>3229</v>
      </c>
      <c r="C1658" s="3" t="s">
        <v>6045</v>
      </c>
      <c r="D1658" s="3" t="s">
        <v>6001</v>
      </c>
      <c r="E1658" s="3" t="s">
        <v>5991</v>
      </c>
      <c r="F1658" s="3" t="s">
        <v>8163</v>
      </c>
      <c r="G1658" s="3" t="s">
        <v>8645</v>
      </c>
      <c r="H1658" s="3" t="s">
        <v>3283</v>
      </c>
      <c r="I1658" s="3" t="s">
        <v>6836</v>
      </c>
      <c r="J1658" s="5" t="s">
        <v>3284</v>
      </c>
      <c r="L1658" s="3" t="s">
        <v>3222</v>
      </c>
      <c r="M1658" s="3">
        <v>4</v>
      </c>
      <c r="N1658" s="4" t="s">
        <v>9643</v>
      </c>
      <c r="O1658" s="4">
        <v>85</v>
      </c>
      <c r="P1658" s="11" t="s">
        <v>9759</v>
      </c>
      <c r="Q1658" s="11" t="s">
        <v>10321</v>
      </c>
      <c r="S1658" s="4" t="b">
        <f>ISNUMBER(MATCH(Q1658,T:T,0))</f>
        <v>1</v>
      </c>
      <c r="T1658" s="4" t="s">
        <v>11783</v>
      </c>
      <c r="U1658" s="4" t="str">
        <f t="shared" si="72"/>
        <v>善</v>
      </c>
    </row>
    <row r="1659" spans="1:22">
      <c r="A1659" s="3">
        <v>1657</v>
      </c>
      <c r="B1659" s="3" t="s">
        <v>3229</v>
      </c>
      <c r="C1659" s="3" t="s">
        <v>6035</v>
      </c>
      <c r="D1659" s="3" t="s">
        <v>6001</v>
      </c>
      <c r="E1659" s="3" t="s">
        <v>5991</v>
      </c>
      <c r="F1659" s="3" t="s">
        <v>8177</v>
      </c>
      <c r="G1659" s="3" t="s">
        <v>8645</v>
      </c>
      <c r="H1659" s="3" t="s">
        <v>3285</v>
      </c>
      <c r="I1659" s="3" t="s">
        <v>6836</v>
      </c>
      <c r="J1659" s="5" t="s">
        <v>3286</v>
      </c>
      <c r="L1659" s="3" t="s">
        <v>3209</v>
      </c>
      <c r="M1659" s="3">
        <v>8</v>
      </c>
      <c r="N1659" s="4" t="s">
        <v>9643</v>
      </c>
      <c r="O1659" s="4">
        <v>85</v>
      </c>
      <c r="P1659" s="11" t="s">
        <v>10151</v>
      </c>
      <c r="Q1659" s="11" t="s">
        <v>10332</v>
      </c>
      <c r="R1659" s="4" t="s">
        <v>13094</v>
      </c>
      <c r="S1659" s="4" t="b">
        <f>ISNUMBER(MATCH(Q1659,T:T,0))</f>
        <v>0</v>
      </c>
      <c r="T1659" s="4" t="s">
        <v>10328</v>
      </c>
      <c r="U1659" s="4" t="str">
        <f t="shared" si="72"/>
        <v>辯</v>
      </c>
      <c r="V1659" s="4" t="b">
        <f>ISNUMBER(MATCH(R1659,T:T,0))</f>
        <v>1</v>
      </c>
    </row>
    <row r="1660" spans="1:22">
      <c r="A1660" s="3">
        <v>1658</v>
      </c>
      <c r="B1660" s="3" t="s">
        <v>3229</v>
      </c>
      <c r="C1660" s="3" t="s">
        <v>6011</v>
      </c>
      <c r="D1660" s="3" t="s">
        <v>6001</v>
      </c>
      <c r="E1660" s="3" t="s">
        <v>5991</v>
      </c>
      <c r="F1660" s="3" t="s">
        <v>8177</v>
      </c>
      <c r="G1660" s="3" t="s">
        <v>8645</v>
      </c>
      <c r="H1660" s="3" t="s">
        <v>3287</v>
      </c>
      <c r="I1660" s="3" t="s">
        <v>6836</v>
      </c>
      <c r="J1660" s="5" t="s">
        <v>3288</v>
      </c>
      <c r="L1660" s="3" t="s">
        <v>3169</v>
      </c>
      <c r="M1660" s="3">
        <v>7</v>
      </c>
      <c r="N1660" s="4" t="s">
        <v>9643</v>
      </c>
      <c r="O1660" s="4">
        <v>85</v>
      </c>
      <c r="P1660" s="11" t="s">
        <v>9757</v>
      </c>
      <c r="Q1660" s="11" t="s">
        <v>10321</v>
      </c>
      <c r="S1660" s="4" t="b">
        <f>ISNUMBER(MATCH(Q1660,T:T,0))</f>
        <v>1</v>
      </c>
      <c r="T1660" s="4" t="s">
        <v>11784</v>
      </c>
      <c r="U1660" s="4" t="str">
        <f t="shared" si="72"/>
        <v>善</v>
      </c>
    </row>
    <row r="1661" spans="1:22">
      <c r="A1661" s="3">
        <v>1659</v>
      </c>
      <c r="B1661" s="3" t="s">
        <v>3229</v>
      </c>
      <c r="C1661" s="3" t="s">
        <v>6053</v>
      </c>
      <c r="D1661" s="3" t="s">
        <v>6001</v>
      </c>
      <c r="E1661" s="3" t="s">
        <v>5991</v>
      </c>
      <c r="F1661" s="3" t="s">
        <v>8177</v>
      </c>
      <c r="G1661" s="3" t="s">
        <v>8645</v>
      </c>
      <c r="H1661" s="3" t="s">
        <v>3289</v>
      </c>
      <c r="I1661" s="3" t="s">
        <v>6836</v>
      </c>
      <c r="J1661" s="5" t="s">
        <v>3290</v>
      </c>
      <c r="L1661" s="3" t="s">
        <v>3291</v>
      </c>
      <c r="M1661" s="3">
        <v>1</v>
      </c>
      <c r="N1661" s="4" t="s">
        <v>9643</v>
      </c>
      <c r="O1661" s="4">
        <v>85</v>
      </c>
      <c r="P1661" s="11" t="s">
        <v>10130</v>
      </c>
      <c r="Q1661" s="11" t="s">
        <v>10328</v>
      </c>
      <c r="S1661" s="4" t="b">
        <f>ISNUMBER(MATCH(Q1661,T:T,0))</f>
        <v>1</v>
      </c>
      <c r="T1661" s="4" t="s">
        <v>3290</v>
      </c>
      <c r="U1661" s="4" t="str">
        <f t="shared" si="72"/>
        <v>免</v>
      </c>
    </row>
    <row r="1662" spans="1:22">
      <c r="A1662" s="3">
        <v>1660</v>
      </c>
      <c r="B1662" s="3" t="s">
        <v>3229</v>
      </c>
      <c r="C1662" s="3" t="s">
        <v>6120</v>
      </c>
      <c r="D1662" s="3" t="s">
        <v>6001</v>
      </c>
      <c r="E1662" s="3" t="s">
        <v>5991</v>
      </c>
      <c r="F1662" s="3" t="s">
        <v>8163</v>
      </c>
      <c r="G1662" s="3" t="s">
        <v>8645</v>
      </c>
      <c r="H1662" s="3" t="s">
        <v>3292</v>
      </c>
      <c r="I1662" s="3" t="s">
        <v>6836</v>
      </c>
      <c r="J1662" s="5" t="s">
        <v>3293</v>
      </c>
      <c r="L1662" s="3" t="s">
        <v>3147</v>
      </c>
      <c r="M1662" s="3">
        <v>3</v>
      </c>
      <c r="N1662" s="4" t="s">
        <v>9643</v>
      </c>
      <c r="O1662" s="4">
        <v>85</v>
      </c>
      <c r="P1662" s="11" t="s">
        <v>9793</v>
      </c>
      <c r="Q1662" s="11" t="s">
        <v>10321</v>
      </c>
      <c r="S1662" s="4" t="b">
        <f>ISNUMBER(MATCH(Q1662,T:T,0))</f>
        <v>1</v>
      </c>
      <c r="T1662" s="4" t="s">
        <v>11785</v>
      </c>
      <c r="U1662" s="4" t="str">
        <f t="shared" si="72"/>
        <v>善</v>
      </c>
    </row>
    <row r="1663" spans="1:22">
      <c r="A1663" s="3">
        <v>1661</v>
      </c>
      <c r="B1663" s="3" t="s">
        <v>3229</v>
      </c>
      <c r="C1663" s="3" t="s">
        <v>6072</v>
      </c>
      <c r="D1663" s="3" t="s">
        <v>6001</v>
      </c>
      <c r="E1663" s="3" t="s">
        <v>5991</v>
      </c>
      <c r="F1663" s="3" t="s">
        <v>8177</v>
      </c>
      <c r="G1663" s="3" t="s">
        <v>8645</v>
      </c>
      <c r="H1663" s="3" t="s">
        <v>3294</v>
      </c>
      <c r="I1663" s="3" t="s">
        <v>6836</v>
      </c>
      <c r="J1663" s="5" t="s">
        <v>3295</v>
      </c>
      <c r="L1663" s="3" t="s">
        <v>178</v>
      </c>
      <c r="M1663" s="3">
        <v>3</v>
      </c>
      <c r="N1663" s="4" t="s">
        <v>9643</v>
      </c>
      <c r="O1663" s="4">
        <v>85</v>
      </c>
      <c r="P1663" s="11" t="s">
        <v>9754</v>
      </c>
      <c r="Q1663" s="11" t="s">
        <v>10325</v>
      </c>
      <c r="S1663" s="4" t="b">
        <f>ISNUMBER(MATCH(Q1663,T:T,0))</f>
        <v>1</v>
      </c>
      <c r="T1663" s="4" t="s">
        <v>11786</v>
      </c>
      <c r="U1663" s="4" t="str">
        <f t="shared" si="72"/>
        <v>蹇</v>
      </c>
    </row>
    <row r="1664" spans="1:22">
      <c r="A1664" s="3">
        <v>1662</v>
      </c>
      <c r="B1664" s="3" t="s">
        <v>3229</v>
      </c>
      <c r="C1664" s="3" t="s">
        <v>6005</v>
      </c>
      <c r="D1664" s="3" t="s">
        <v>6001</v>
      </c>
      <c r="E1664" s="3" t="s">
        <v>5991</v>
      </c>
      <c r="F1664" s="3" t="s">
        <v>8177</v>
      </c>
      <c r="G1664" s="3" t="s">
        <v>8645</v>
      </c>
      <c r="H1664" s="3" t="s">
        <v>6958</v>
      </c>
      <c r="I1664" s="3" t="s">
        <v>6836</v>
      </c>
      <c r="J1664" s="5" t="s">
        <v>6959</v>
      </c>
      <c r="L1664" s="3" t="s">
        <v>6960</v>
      </c>
      <c r="M1664" s="3">
        <v>1</v>
      </c>
      <c r="N1664" s="4" t="s">
        <v>9643</v>
      </c>
      <c r="O1664" s="4">
        <v>85</v>
      </c>
      <c r="P1664" s="11" t="s">
        <v>10333</v>
      </c>
      <c r="Q1664" s="11" t="s">
        <v>10321</v>
      </c>
      <c r="S1664" s="4" t="b">
        <f>ISNUMBER(MATCH(Q1664,T:T,0))</f>
        <v>1</v>
      </c>
      <c r="T1664" s="4" t="s">
        <v>6959</v>
      </c>
      <c r="U1664" s="4" t="str">
        <f t="shared" si="72"/>
        <v>善</v>
      </c>
    </row>
    <row r="1665" spans="1:22">
      <c r="A1665" s="3">
        <v>1663</v>
      </c>
      <c r="B1665" s="3" t="s">
        <v>3229</v>
      </c>
      <c r="C1665" s="3" t="s">
        <v>6015</v>
      </c>
      <c r="D1665" s="3" t="s">
        <v>6001</v>
      </c>
      <c r="E1665" s="3" t="s">
        <v>5991</v>
      </c>
      <c r="F1665" s="3" t="s">
        <v>8177</v>
      </c>
      <c r="G1665" s="3" t="s">
        <v>8645</v>
      </c>
      <c r="H1665" s="3" t="s">
        <v>3279</v>
      </c>
      <c r="I1665" s="3" t="s">
        <v>6836</v>
      </c>
      <c r="J1665" s="5" t="s">
        <v>6961</v>
      </c>
      <c r="L1665" s="3" t="s">
        <v>3164</v>
      </c>
      <c r="M1665" s="3">
        <v>1</v>
      </c>
      <c r="N1665" s="4" t="s">
        <v>9643</v>
      </c>
      <c r="O1665" s="4">
        <v>85</v>
      </c>
      <c r="P1665" s="11" t="s">
        <v>9777</v>
      </c>
      <c r="Q1665" s="11" t="s">
        <v>10328</v>
      </c>
      <c r="S1665" s="4" t="b">
        <f>ISNUMBER(MATCH(Q1665,T:T,0))</f>
        <v>1</v>
      </c>
      <c r="T1665" s="4" t="s">
        <v>6961</v>
      </c>
      <c r="U1665" s="4" t="str">
        <f t="shared" si="72"/>
        <v>免</v>
      </c>
    </row>
    <row r="1666" spans="1:22">
      <c r="A1666" s="3">
        <v>1664</v>
      </c>
      <c r="B1666" s="3" t="s">
        <v>6962</v>
      </c>
      <c r="C1666" s="3" t="s">
        <v>6017</v>
      </c>
      <c r="D1666" s="3" t="s">
        <v>2843</v>
      </c>
      <c r="E1666" s="3" t="s">
        <v>5991</v>
      </c>
      <c r="F1666" s="3" t="s">
        <v>8250</v>
      </c>
      <c r="G1666" s="3" t="s">
        <v>8645</v>
      </c>
      <c r="H1666" s="3" t="s">
        <v>6963</v>
      </c>
      <c r="I1666" s="3" t="s">
        <v>8252</v>
      </c>
      <c r="J1666" s="5" t="s">
        <v>6964</v>
      </c>
      <c r="K1666" s="3" t="s">
        <v>609</v>
      </c>
      <c r="L1666" s="3" t="s">
        <v>6965</v>
      </c>
      <c r="M1666" s="3">
        <v>7</v>
      </c>
      <c r="N1666" s="4" t="s">
        <v>6966</v>
      </c>
      <c r="O1666" s="4">
        <v>86</v>
      </c>
      <c r="P1666" s="11" t="s">
        <v>8121</v>
      </c>
      <c r="Q1666" s="11" t="s">
        <v>10334</v>
      </c>
      <c r="S1666" s="4" t="b">
        <f>ISNUMBER(MATCH(Q1666,T:T,0))</f>
        <v>1</v>
      </c>
      <c r="T1666" s="4" t="s">
        <v>6966</v>
      </c>
      <c r="U1666" s="4" t="str">
        <f t="shared" si="72"/>
        <v>鳥</v>
      </c>
    </row>
    <row r="1667" spans="1:22">
      <c r="A1667" s="3">
        <v>1665</v>
      </c>
      <c r="B1667" s="3" t="s">
        <v>6962</v>
      </c>
      <c r="C1667" s="3" t="s">
        <v>6025</v>
      </c>
      <c r="D1667" s="3" t="s">
        <v>2843</v>
      </c>
      <c r="E1667" s="3" t="s">
        <v>5991</v>
      </c>
      <c r="F1667" s="3" t="s">
        <v>8250</v>
      </c>
      <c r="G1667" s="3" t="s">
        <v>8645</v>
      </c>
      <c r="H1667" s="3" t="s">
        <v>6967</v>
      </c>
      <c r="I1667" s="3" t="s">
        <v>8252</v>
      </c>
      <c r="J1667" s="5" t="s">
        <v>4852</v>
      </c>
      <c r="L1667" s="3" t="s">
        <v>6968</v>
      </c>
      <c r="M1667" s="3">
        <v>12</v>
      </c>
      <c r="N1667" s="4" t="s">
        <v>6966</v>
      </c>
      <c r="O1667" s="4">
        <v>86</v>
      </c>
      <c r="P1667" s="11" t="s">
        <v>9729</v>
      </c>
      <c r="Q1667" s="11" t="s">
        <v>10335</v>
      </c>
      <c r="S1667" s="4" t="b">
        <f>ISNUMBER(MATCH(Q1667,T:T,0))</f>
        <v>1</v>
      </c>
      <c r="T1667" s="4" t="s">
        <v>10338</v>
      </c>
      <c r="U1667" s="4" t="str">
        <f t="shared" ref="U1667:U1730" si="73">IF(ISBLANK(R1667),Q1667,R1667)</f>
        <v>了</v>
      </c>
    </row>
    <row r="1668" spans="1:22" ht="39">
      <c r="A1668" s="3">
        <v>1666</v>
      </c>
      <c r="B1668" s="3" t="s">
        <v>6962</v>
      </c>
      <c r="C1668" s="3" t="s">
        <v>5989</v>
      </c>
      <c r="D1668" s="3" t="s">
        <v>2843</v>
      </c>
      <c r="E1668" s="3" t="s">
        <v>5991</v>
      </c>
      <c r="F1668" s="3" t="s">
        <v>8250</v>
      </c>
      <c r="G1668" s="3" t="s">
        <v>8645</v>
      </c>
      <c r="H1668" s="3" t="s">
        <v>6969</v>
      </c>
      <c r="I1668" s="3" t="s">
        <v>8252</v>
      </c>
      <c r="J1668" s="5" t="s">
        <v>4853</v>
      </c>
      <c r="L1668" s="3" t="s">
        <v>6970</v>
      </c>
      <c r="M1668" s="3">
        <v>9</v>
      </c>
      <c r="N1668" s="4" t="s">
        <v>6966</v>
      </c>
      <c r="O1668" s="4">
        <v>86</v>
      </c>
      <c r="P1668" s="11" t="s">
        <v>9742</v>
      </c>
      <c r="Q1668" s="11" t="s">
        <v>10335</v>
      </c>
      <c r="S1668" s="4" t="b">
        <f>ISNUMBER(MATCH(Q1668,T:T,0))</f>
        <v>1</v>
      </c>
      <c r="T1668" s="4" t="s">
        <v>10334</v>
      </c>
      <c r="U1668" s="4" t="str">
        <f t="shared" si="73"/>
        <v>了</v>
      </c>
    </row>
    <row r="1669" spans="1:22">
      <c r="A1669" s="3">
        <v>1667</v>
      </c>
      <c r="B1669" s="3" t="s">
        <v>6962</v>
      </c>
      <c r="C1669" s="3" t="s">
        <v>6058</v>
      </c>
      <c r="D1669" s="3" t="s">
        <v>2843</v>
      </c>
      <c r="E1669" s="3" t="s">
        <v>5991</v>
      </c>
      <c r="F1669" s="3" t="s">
        <v>8250</v>
      </c>
      <c r="G1669" s="3" t="s">
        <v>8645</v>
      </c>
      <c r="H1669" s="3" t="s">
        <v>6971</v>
      </c>
      <c r="I1669" s="3" t="s">
        <v>8252</v>
      </c>
      <c r="J1669" s="5" t="s">
        <v>4854</v>
      </c>
      <c r="L1669" s="3" t="s">
        <v>6972</v>
      </c>
      <c r="M1669" s="3">
        <v>14</v>
      </c>
      <c r="N1669" s="4" t="s">
        <v>6966</v>
      </c>
      <c r="O1669" s="4">
        <v>86</v>
      </c>
      <c r="P1669" s="11" t="s">
        <v>9730</v>
      </c>
      <c r="Q1669" s="11" t="s">
        <v>10334</v>
      </c>
      <c r="S1669" s="4" t="b">
        <f>ISNUMBER(MATCH(Q1669,T:T,0))</f>
        <v>1</v>
      </c>
      <c r="T1669" s="4" t="s">
        <v>10335</v>
      </c>
      <c r="U1669" s="4" t="str">
        <f t="shared" si="73"/>
        <v>鳥</v>
      </c>
    </row>
    <row r="1670" spans="1:22">
      <c r="A1670" s="3">
        <v>1668</v>
      </c>
      <c r="B1670" s="3" t="s">
        <v>6962</v>
      </c>
      <c r="C1670" s="3" t="s">
        <v>6079</v>
      </c>
      <c r="D1670" s="3" t="s">
        <v>2843</v>
      </c>
      <c r="E1670" s="3" t="s">
        <v>5991</v>
      </c>
      <c r="F1670" s="3" t="s">
        <v>8250</v>
      </c>
      <c r="G1670" s="3" t="s">
        <v>8645</v>
      </c>
      <c r="H1670" s="3" t="s">
        <v>6973</v>
      </c>
      <c r="I1670" s="3" t="s">
        <v>8252</v>
      </c>
      <c r="J1670" s="5" t="s">
        <v>6974</v>
      </c>
      <c r="L1670" s="3" t="s">
        <v>6975</v>
      </c>
      <c r="M1670" s="3">
        <v>3</v>
      </c>
      <c r="N1670" s="4" t="s">
        <v>6966</v>
      </c>
      <c r="O1670" s="4">
        <v>86</v>
      </c>
      <c r="P1670" s="11" t="s">
        <v>9892</v>
      </c>
      <c r="Q1670" s="11" t="s">
        <v>10335</v>
      </c>
      <c r="S1670" s="4" t="b">
        <f>ISNUMBER(MATCH(Q1670,T:T,0))</f>
        <v>1</v>
      </c>
      <c r="T1670" s="4" t="s">
        <v>2324</v>
      </c>
      <c r="U1670" s="4" t="str">
        <f t="shared" si="73"/>
        <v>了</v>
      </c>
    </row>
    <row r="1671" spans="1:22">
      <c r="A1671" s="3">
        <v>1669</v>
      </c>
      <c r="B1671" s="3" t="s">
        <v>6962</v>
      </c>
      <c r="C1671" s="3" t="s">
        <v>6089</v>
      </c>
      <c r="D1671" s="3" t="s">
        <v>2843</v>
      </c>
      <c r="E1671" s="3" t="s">
        <v>5991</v>
      </c>
      <c r="F1671" s="3" t="s">
        <v>8250</v>
      </c>
      <c r="G1671" s="3" t="s">
        <v>8645</v>
      </c>
      <c r="H1671" s="3" t="s">
        <v>6976</v>
      </c>
      <c r="I1671" s="3" t="s">
        <v>8252</v>
      </c>
      <c r="J1671" s="5" t="s">
        <v>4855</v>
      </c>
      <c r="L1671" s="3" t="s">
        <v>6965</v>
      </c>
      <c r="M1671" s="3">
        <v>4</v>
      </c>
      <c r="N1671" s="4" t="s">
        <v>6966</v>
      </c>
      <c r="O1671" s="4">
        <v>86</v>
      </c>
      <c r="P1671" s="11" t="s">
        <v>10336</v>
      </c>
      <c r="Q1671" s="11" t="s">
        <v>10337</v>
      </c>
      <c r="S1671" s="4" t="b">
        <f>ISNUMBER(MATCH(Q1671,T:T,0))</f>
        <v>1</v>
      </c>
      <c r="T1671" s="4" t="s">
        <v>6089</v>
      </c>
      <c r="U1671" s="4" t="str">
        <f t="shared" si="73"/>
        <v>皛</v>
      </c>
    </row>
    <row r="1672" spans="1:22">
      <c r="A1672" s="3">
        <v>1670</v>
      </c>
      <c r="B1672" s="3" t="s">
        <v>6962</v>
      </c>
      <c r="C1672" s="3" t="s">
        <v>6072</v>
      </c>
      <c r="D1672" s="3" t="s">
        <v>2843</v>
      </c>
      <c r="E1672" s="3" t="s">
        <v>5991</v>
      </c>
      <c r="F1672" s="3" t="s">
        <v>8250</v>
      </c>
      <c r="G1672" s="3" t="s">
        <v>8645</v>
      </c>
      <c r="H1672" s="3" t="s">
        <v>6977</v>
      </c>
      <c r="I1672" s="3" t="s">
        <v>8252</v>
      </c>
      <c r="J1672" s="5" t="s">
        <v>4856</v>
      </c>
      <c r="L1672" s="3" t="s">
        <v>6978</v>
      </c>
      <c r="M1672" s="3">
        <v>15</v>
      </c>
      <c r="N1672" s="4" t="s">
        <v>6966</v>
      </c>
      <c r="O1672" s="4">
        <v>86</v>
      </c>
      <c r="P1672" s="11" t="s">
        <v>9734</v>
      </c>
      <c r="Q1672" s="11" t="s">
        <v>10338</v>
      </c>
      <c r="S1672" s="4" t="b">
        <f>ISNUMBER(MATCH(Q1672,T:T,0))</f>
        <v>1</v>
      </c>
      <c r="T1672" s="4" t="s">
        <v>11787</v>
      </c>
      <c r="U1672" s="4" t="str">
        <f t="shared" si="73"/>
        <v>皎</v>
      </c>
    </row>
    <row r="1673" spans="1:22">
      <c r="A1673" s="3">
        <v>1671</v>
      </c>
      <c r="B1673" s="3" t="s">
        <v>6962</v>
      </c>
      <c r="C1673" s="3" t="s">
        <v>6102</v>
      </c>
      <c r="D1673" s="3" t="s">
        <v>2843</v>
      </c>
      <c r="E1673" s="3" t="s">
        <v>5991</v>
      </c>
      <c r="F1673" s="3" t="s">
        <v>8250</v>
      </c>
      <c r="G1673" s="3" t="s">
        <v>8645</v>
      </c>
      <c r="H1673" s="3" t="s">
        <v>6979</v>
      </c>
      <c r="I1673" s="3" t="s">
        <v>8252</v>
      </c>
      <c r="J1673" s="5" t="s">
        <v>6980</v>
      </c>
      <c r="L1673" s="3" t="s">
        <v>6981</v>
      </c>
      <c r="M1673" s="3">
        <v>9</v>
      </c>
      <c r="N1673" s="4" t="s">
        <v>6966</v>
      </c>
      <c r="O1673" s="4">
        <v>86</v>
      </c>
      <c r="P1673" s="11" t="s">
        <v>9744</v>
      </c>
      <c r="Q1673" s="11" t="s">
        <v>10334</v>
      </c>
      <c r="S1673" s="4" t="b">
        <f>ISNUMBER(MATCH(Q1673,T:T,0))</f>
        <v>1</v>
      </c>
      <c r="T1673" s="4" t="s">
        <v>11788</v>
      </c>
      <c r="U1673" s="4" t="str">
        <f t="shared" si="73"/>
        <v>鳥</v>
      </c>
    </row>
    <row r="1674" spans="1:22">
      <c r="A1674" s="3">
        <v>1672</v>
      </c>
      <c r="B1674" s="3" t="s">
        <v>6962</v>
      </c>
      <c r="C1674" s="3" t="s">
        <v>6067</v>
      </c>
      <c r="D1674" s="3" t="s">
        <v>2843</v>
      </c>
      <c r="E1674" s="3" t="s">
        <v>5991</v>
      </c>
      <c r="F1674" s="3" t="s">
        <v>8250</v>
      </c>
      <c r="G1674" s="3" t="s">
        <v>8645</v>
      </c>
      <c r="H1674" s="3" t="s">
        <v>6982</v>
      </c>
      <c r="I1674" s="3" t="s">
        <v>8252</v>
      </c>
      <c r="J1674" s="5" t="s">
        <v>6983</v>
      </c>
      <c r="L1674" s="3" t="s">
        <v>6984</v>
      </c>
      <c r="M1674" s="3">
        <v>5</v>
      </c>
      <c r="N1674" s="4" t="s">
        <v>6966</v>
      </c>
      <c r="O1674" s="4">
        <v>86</v>
      </c>
      <c r="P1674" s="11" t="s">
        <v>9870</v>
      </c>
      <c r="Q1674" s="11" t="s">
        <v>10335</v>
      </c>
      <c r="S1674" s="4" t="b">
        <f>ISNUMBER(MATCH(Q1674,T:T,0))</f>
        <v>1</v>
      </c>
      <c r="T1674" s="4" t="s">
        <v>10337</v>
      </c>
      <c r="U1674" s="4" t="str">
        <f t="shared" si="73"/>
        <v>了</v>
      </c>
    </row>
    <row r="1675" spans="1:22">
      <c r="A1675" s="3">
        <v>1673</v>
      </c>
      <c r="B1675" s="3" t="s">
        <v>6962</v>
      </c>
      <c r="C1675" s="3" t="s">
        <v>5997</v>
      </c>
      <c r="D1675" s="3" t="s">
        <v>2843</v>
      </c>
      <c r="E1675" s="3" t="s">
        <v>5991</v>
      </c>
      <c r="F1675" s="3" t="s">
        <v>8250</v>
      </c>
      <c r="G1675" s="3" t="s">
        <v>8645</v>
      </c>
      <c r="H1675" s="3" t="s">
        <v>6985</v>
      </c>
      <c r="I1675" s="3" t="s">
        <v>8252</v>
      </c>
      <c r="J1675" s="5" t="s">
        <v>6986</v>
      </c>
      <c r="L1675" s="3" t="s">
        <v>6987</v>
      </c>
      <c r="M1675" s="3">
        <v>8</v>
      </c>
      <c r="N1675" s="4" t="s">
        <v>6966</v>
      </c>
      <c r="O1675" s="4">
        <v>86</v>
      </c>
      <c r="P1675" s="11" t="s">
        <v>9706</v>
      </c>
      <c r="Q1675" s="11" t="s">
        <v>10335</v>
      </c>
      <c r="S1675" s="4" t="b">
        <f>ISNUMBER(MATCH(Q1675,T:T,0))</f>
        <v>1</v>
      </c>
      <c r="T1675" s="4" t="s">
        <v>11789</v>
      </c>
      <c r="U1675" s="4" t="str">
        <f t="shared" si="73"/>
        <v>了</v>
      </c>
    </row>
    <row r="1676" spans="1:22">
      <c r="A1676" s="3">
        <v>1674</v>
      </c>
      <c r="B1676" s="3" t="s">
        <v>6962</v>
      </c>
      <c r="C1676" s="3" t="s">
        <v>6038</v>
      </c>
      <c r="D1676" s="3" t="s">
        <v>2843</v>
      </c>
      <c r="E1676" s="3" t="s">
        <v>5991</v>
      </c>
      <c r="F1676" s="3" t="s">
        <v>8250</v>
      </c>
      <c r="G1676" s="3" t="s">
        <v>8645</v>
      </c>
      <c r="H1676" s="3" t="s">
        <v>6988</v>
      </c>
      <c r="I1676" s="3" t="s">
        <v>8252</v>
      </c>
      <c r="J1676" s="5" t="s">
        <v>6989</v>
      </c>
      <c r="L1676" s="3" t="s">
        <v>6990</v>
      </c>
      <c r="M1676" s="3">
        <v>2</v>
      </c>
      <c r="N1676" s="4" t="s">
        <v>6966</v>
      </c>
      <c r="O1676" s="4">
        <v>86</v>
      </c>
      <c r="P1676" s="11" t="s">
        <v>9728</v>
      </c>
      <c r="Q1676" s="11" t="s">
        <v>10338</v>
      </c>
      <c r="S1676" s="4" t="b">
        <f>ISNUMBER(MATCH(Q1676,T:T,0))</f>
        <v>1</v>
      </c>
      <c r="T1676" s="4" t="s">
        <v>11790</v>
      </c>
      <c r="U1676" s="4" t="str">
        <f t="shared" si="73"/>
        <v>皎</v>
      </c>
    </row>
    <row r="1677" spans="1:22">
      <c r="A1677" s="3">
        <v>1675</v>
      </c>
      <c r="B1677" s="3" t="s">
        <v>6962</v>
      </c>
      <c r="C1677" s="3" t="s">
        <v>6083</v>
      </c>
      <c r="D1677" s="3" t="s">
        <v>2843</v>
      </c>
      <c r="E1677" s="3" t="s">
        <v>5991</v>
      </c>
      <c r="F1677" s="3" t="s">
        <v>8250</v>
      </c>
      <c r="G1677" s="3" t="s">
        <v>8645</v>
      </c>
      <c r="H1677" s="3" t="s">
        <v>6991</v>
      </c>
      <c r="I1677" s="3" t="s">
        <v>8252</v>
      </c>
      <c r="J1677" s="5" t="s">
        <v>6992</v>
      </c>
      <c r="L1677" s="3" t="s">
        <v>6968</v>
      </c>
      <c r="M1677" s="3">
        <v>5</v>
      </c>
      <c r="N1677" s="4" t="s">
        <v>6966</v>
      </c>
      <c r="O1677" s="4">
        <v>86</v>
      </c>
      <c r="P1677" s="11" t="s">
        <v>9737</v>
      </c>
      <c r="Q1677" s="11" t="s">
        <v>10335</v>
      </c>
      <c r="S1677" s="4" t="b">
        <f>ISNUMBER(MATCH(Q1677,T:T,0))</f>
        <v>1</v>
      </c>
      <c r="T1677" s="4" t="s">
        <v>11791</v>
      </c>
      <c r="U1677" s="4" t="str">
        <f t="shared" si="73"/>
        <v>了</v>
      </c>
    </row>
    <row r="1678" spans="1:22">
      <c r="A1678" s="3">
        <v>1676</v>
      </c>
      <c r="B1678" s="3" t="s">
        <v>6993</v>
      </c>
      <c r="C1678" s="3" t="s">
        <v>6017</v>
      </c>
      <c r="D1678" s="3" t="s">
        <v>6001</v>
      </c>
      <c r="E1678" s="3" t="s">
        <v>5991</v>
      </c>
      <c r="F1678" s="3" t="s">
        <v>8274</v>
      </c>
      <c r="G1678" s="3" t="s">
        <v>8645</v>
      </c>
      <c r="H1678" s="3" t="s">
        <v>6994</v>
      </c>
      <c r="I1678" s="3" t="s">
        <v>8252</v>
      </c>
      <c r="J1678" s="5" t="s">
        <v>6995</v>
      </c>
      <c r="L1678" s="3" t="s">
        <v>6965</v>
      </c>
      <c r="M1678" s="3">
        <v>3</v>
      </c>
      <c r="N1678" s="4" t="s">
        <v>9644</v>
      </c>
      <c r="O1678" s="4">
        <v>87</v>
      </c>
      <c r="P1678" s="11" t="s">
        <v>9746</v>
      </c>
      <c r="Q1678" s="11" t="s">
        <v>10339</v>
      </c>
      <c r="R1678" s="4" t="s">
        <v>13095</v>
      </c>
      <c r="S1678" s="4" t="b">
        <f>ISNUMBER(MATCH(Q1678,T:T,0))</f>
        <v>0</v>
      </c>
      <c r="T1678" s="4" t="s">
        <v>9644</v>
      </c>
      <c r="U1678" s="4" t="str">
        <f t="shared" si="73"/>
        <v>肇</v>
      </c>
      <c r="V1678" s="4" t="b">
        <f>ISNUMBER(MATCH(R1678,T:T,0))</f>
        <v>1</v>
      </c>
    </row>
    <row r="1679" spans="1:22">
      <c r="A1679" s="3">
        <v>1677</v>
      </c>
      <c r="B1679" s="3" t="s">
        <v>6993</v>
      </c>
      <c r="C1679" s="3" t="s">
        <v>6005</v>
      </c>
      <c r="D1679" s="3" t="s">
        <v>6001</v>
      </c>
      <c r="E1679" s="3" t="s">
        <v>5991</v>
      </c>
      <c r="F1679" s="3" t="s">
        <v>8276</v>
      </c>
      <c r="G1679" s="3" t="s">
        <v>8645</v>
      </c>
      <c r="H1679" s="3" t="s">
        <v>6996</v>
      </c>
      <c r="I1679" s="3" t="s">
        <v>8252</v>
      </c>
      <c r="J1679" s="5" t="s">
        <v>4857</v>
      </c>
      <c r="L1679" s="3" t="s">
        <v>6997</v>
      </c>
      <c r="M1679" s="3">
        <v>11</v>
      </c>
      <c r="N1679" s="4" t="s">
        <v>9644</v>
      </c>
      <c r="O1679" s="4">
        <v>87</v>
      </c>
      <c r="P1679" s="11" t="s">
        <v>10340</v>
      </c>
      <c r="Q1679" s="11" t="s">
        <v>9644</v>
      </c>
      <c r="S1679" s="4" t="b">
        <f>ISNUMBER(MATCH(Q1679,T:T,0))</f>
        <v>1</v>
      </c>
      <c r="T1679" s="4" t="s">
        <v>11792</v>
      </c>
      <c r="U1679" s="4" t="str">
        <f t="shared" si="73"/>
        <v>小</v>
      </c>
    </row>
    <row r="1680" spans="1:22">
      <c r="A1680" s="3">
        <v>1678</v>
      </c>
      <c r="B1680" s="3" t="s">
        <v>6993</v>
      </c>
      <c r="C1680" s="3" t="s">
        <v>6009</v>
      </c>
      <c r="D1680" s="3" t="s">
        <v>6001</v>
      </c>
      <c r="E1680" s="3" t="s">
        <v>5991</v>
      </c>
      <c r="F1680" s="3" t="s">
        <v>8274</v>
      </c>
      <c r="G1680" s="3" t="s">
        <v>8645</v>
      </c>
      <c r="H1680" s="3" t="s">
        <v>6998</v>
      </c>
      <c r="I1680" s="3" t="s">
        <v>8252</v>
      </c>
      <c r="J1680" s="5" t="s">
        <v>6999</v>
      </c>
      <c r="L1680" s="3" t="s">
        <v>7000</v>
      </c>
      <c r="M1680" s="3">
        <v>3</v>
      </c>
      <c r="N1680" s="4" t="s">
        <v>9644</v>
      </c>
      <c r="O1680" s="4">
        <v>87</v>
      </c>
      <c r="P1680" s="11" t="s">
        <v>6396</v>
      </c>
      <c r="Q1680" s="11" t="s">
        <v>10341</v>
      </c>
      <c r="S1680" s="4" t="b">
        <f>ISNUMBER(MATCH(Q1680,T:T,0))</f>
        <v>1</v>
      </c>
      <c r="T1680" s="4" t="s">
        <v>10342</v>
      </c>
      <c r="U1680" s="4" t="str">
        <f t="shared" si="73"/>
        <v>少</v>
      </c>
    </row>
    <row r="1681" spans="1:22">
      <c r="A1681" s="3">
        <v>1679</v>
      </c>
      <c r="B1681" s="3" t="s">
        <v>6993</v>
      </c>
      <c r="C1681" s="3" t="s">
        <v>6072</v>
      </c>
      <c r="D1681" s="3" t="s">
        <v>6001</v>
      </c>
      <c r="E1681" s="3" t="s">
        <v>5991</v>
      </c>
      <c r="F1681" s="3" t="s">
        <v>8276</v>
      </c>
      <c r="G1681" s="3" t="s">
        <v>8645</v>
      </c>
      <c r="H1681" s="3" t="s">
        <v>7001</v>
      </c>
      <c r="I1681" s="3" t="s">
        <v>8252</v>
      </c>
      <c r="J1681" s="5" t="s">
        <v>4858</v>
      </c>
      <c r="L1681" s="3" t="s">
        <v>6978</v>
      </c>
      <c r="M1681" s="3">
        <v>4</v>
      </c>
      <c r="N1681" s="4" t="s">
        <v>9644</v>
      </c>
      <c r="O1681" s="4">
        <v>87</v>
      </c>
      <c r="P1681" s="11" t="s">
        <v>9754</v>
      </c>
      <c r="Q1681" s="11" t="s">
        <v>10339</v>
      </c>
      <c r="R1681" s="4" t="s">
        <v>13095</v>
      </c>
      <c r="S1681" s="4" t="b">
        <f>ISNUMBER(MATCH(Q1681,T:T,0))</f>
        <v>0</v>
      </c>
      <c r="T1681" s="4" t="s">
        <v>10343</v>
      </c>
      <c r="U1681" s="4" t="str">
        <f t="shared" si="73"/>
        <v>肇</v>
      </c>
      <c r="V1681" s="4" t="b">
        <f>ISNUMBER(MATCH(R1681,T:T,0))</f>
        <v>1</v>
      </c>
    </row>
    <row r="1682" spans="1:22">
      <c r="A1682" s="3">
        <v>1680</v>
      </c>
      <c r="B1682" s="3" t="s">
        <v>6993</v>
      </c>
      <c r="C1682" s="3" t="s">
        <v>6011</v>
      </c>
      <c r="D1682" s="3" t="s">
        <v>6001</v>
      </c>
      <c r="E1682" s="3" t="s">
        <v>5991</v>
      </c>
      <c r="F1682" s="3" t="s">
        <v>8276</v>
      </c>
      <c r="G1682" s="3" t="s">
        <v>8645</v>
      </c>
      <c r="H1682" s="3" t="s">
        <v>7002</v>
      </c>
      <c r="I1682" s="3" t="s">
        <v>8252</v>
      </c>
      <c r="J1682" s="8" t="s">
        <v>7003</v>
      </c>
      <c r="L1682" s="3" t="s">
        <v>7004</v>
      </c>
      <c r="M1682" s="3">
        <v>1</v>
      </c>
      <c r="N1682" s="4" t="s">
        <v>9644</v>
      </c>
      <c r="O1682" s="4">
        <v>87</v>
      </c>
      <c r="P1682" s="11" t="s">
        <v>9757</v>
      </c>
      <c r="Q1682" s="11" t="s">
        <v>9644</v>
      </c>
      <c r="S1682" s="4" t="b">
        <f>ISNUMBER(MATCH(Q1682,T:T,0))</f>
        <v>1</v>
      </c>
      <c r="T1682" s="4" t="s">
        <v>7003</v>
      </c>
      <c r="U1682" s="4" t="str">
        <f t="shared" si="73"/>
        <v>小</v>
      </c>
    </row>
    <row r="1683" spans="1:22">
      <c r="A1683" s="3">
        <v>1681</v>
      </c>
      <c r="B1683" s="3" t="s">
        <v>6993</v>
      </c>
      <c r="C1683" s="3" t="s">
        <v>6120</v>
      </c>
      <c r="D1683" s="3" t="s">
        <v>6001</v>
      </c>
      <c r="E1683" s="3" t="s">
        <v>5991</v>
      </c>
      <c r="F1683" s="3" t="s">
        <v>8274</v>
      </c>
      <c r="G1683" s="3" t="s">
        <v>8645</v>
      </c>
      <c r="H1683" s="3" t="s">
        <v>7005</v>
      </c>
      <c r="I1683" s="3" t="s">
        <v>8252</v>
      </c>
      <c r="J1683" s="5" t="s">
        <v>7006</v>
      </c>
      <c r="L1683" s="3" t="s">
        <v>7007</v>
      </c>
      <c r="M1683" s="3">
        <v>3</v>
      </c>
      <c r="N1683" s="4" t="s">
        <v>9644</v>
      </c>
      <c r="O1683" s="4">
        <v>87</v>
      </c>
      <c r="P1683" s="11" t="s">
        <v>6120</v>
      </c>
      <c r="Q1683" s="11" t="s">
        <v>10342</v>
      </c>
      <c r="S1683" s="4" t="b">
        <f>ISNUMBER(MATCH(Q1683,T:T,0))</f>
        <v>1</v>
      </c>
      <c r="T1683" s="4" t="s">
        <v>10341</v>
      </c>
      <c r="U1683" s="4" t="str">
        <f t="shared" si="73"/>
        <v>沼</v>
      </c>
    </row>
    <row r="1684" spans="1:22">
      <c r="A1684" s="3">
        <v>1682</v>
      </c>
      <c r="B1684" s="3" t="s">
        <v>6993</v>
      </c>
      <c r="C1684" s="3" t="s">
        <v>6021</v>
      </c>
      <c r="D1684" s="3" t="s">
        <v>6001</v>
      </c>
      <c r="E1684" s="3" t="s">
        <v>5991</v>
      </c>
      <c r="F1684" s="3" t="s">
        <v>8274</v>
      </c>
      <c r="G1684" s="3" t="s">
        <v>8645</v>
      </c>
      <c r="H1684" s="3" t="s">
        <v>7008</v>
      </c>
      <c r="I1684" s="3" t="s">
        <v>8252</v>
      </c>
      <c r="J1684" s="5" t="s">
        <v>7009</v>
      </c>
      <c r="L1684" s="3" t="s">
        <v>7010</v>
      </c>
      <c r="M1684" s="3">
        <v>7</v>
      </c>
      <c r="N1684" s="4" t="s">
        <v>9644</v>
      </c>
      <c r="O1684" s="4">
        <v>87</v>
      </c>
      <c r="P1684" s="11" t="s">
        <v>9761</v>
      </c>
      <c r="Q1684" s="11" t="s">
        <v>10342</v>
      </c>
      <c r="S1684" s="4" t="b">
        <f>ISNUMBER(MATCH(Q1684,T:T,0))</f>
        <v>1</v>
      </c>
      <c r="T1684" s="4" t="s">
        <v>11793</v>
      </c>
      <c r="U1684" s="4" t="str">
        <f t="shared" si="73"/>
        <v>沼</v>
      </c>
    </row>
    <row r="1685" spans="1:22">
      <c r="A1685" s="3">
        <v>1683</v>
      </c>
      <c r="B1685" s="3" t="s">
        <v>6993</v>
      </c>
      <c r="C1685" s="3" t="s">
        <v>6045</v>
      </c>
      <c r="D1685" s="3" t="s">
        <v>6001</v>
      </c>
      <c r="E1685" s="3" t="s">
        <v>5991</v>
      </c>
      <c r="F1685" s="3" t="s">
        <v>8274</v>
      </c>
      <c r="G1685" s="3" t="s">
        <v>8645</v>
      </c>
      <c r="H1685" s="3" t="s">
        <v>7011</v>
      </c>
      <c r="I1685" s="3" t="s">
        <v>8252</v>
      </c>
      <c r="J1685" s="5" t="s">
        <v>7012</v>
      </c>
      <c r="L1685" s="3" t="s">
        <v>7013</v>
      </c>
      <c r="M1685" s="3">
        <v>8</v>
      </c>
      <c r="N1685" s="4" t="s">
        <v>9644</v>
      </c>
      <c r="O1685" s="4">
        <v>87</v>
      </c>
      <c r="P1685" s="11" t="s">
        <v>9759</v>
      </c>
      <c r="Q1685" s="11" t="s">
        <v>10341</v>
      </c>
      <c r="S1685" s="4" t="b">
        <f>ISNUMBER(MATCH(Q1685,T:T,0))</f>
        <v>1</v>
      </c>
      <c r="T1685" s="4" t="s">
        <v>11794</v>
      </c>
      <c r="U1685" s="4" t="str">
        <f t="shared" si="73"/>
        <v>少</v>
      </c>
    </row>
    <row r="1686" spans="1:22">
      <c r="A1686" s="3">
        <v>1684</v>
      </c>
      <c r="B1686" s="3" t="s">
        <v>6993</v>
      </c>
      <c r="C1686" s="3" t="s">
        <v>6055</v>
      </c>
      <c r="D1686" s="3" t="s">
        <v>6001</v>
      </c>
      <c r="E1686" s="3" t="s">
        <v>5991</v>
      </c>
      <c r="F1686" s="3" t="s">
        <v>8274</v>
      </c>
      <c r="G1686" s="3" t="s">
        <v>8645</v>
      </c>
      <c r="H1686" s="3" t="s">
        <v>7014</v>
      </c>
      <c r="I1686" s="3" t="s">
        <v>8252</v>
      </c>
      <c r="J1686" s="5" t="s">
        <v>4859</v>
      </c>
      <c r="L1686" s="3" t="s">
        <v>7004</v>
      </c>
      <c r="M1686" s="3">
        <v>5</v>
      </c>
      <c r="N1686" s="4" t="s">
        <v>9644</v>
      </c>
      <c r="O1686" s="4">
        <v>87</v>
      </c>
      <c r="P1686" s="11" t="s">
        <v>9749</v>
      </c>
      <c r="Q1686" s="11" t="s">
        <v>10342</v>
      </c>
      <c r="S1686" s="4" t="b">
        <f>ISNUMBER(MATCH(Q1686,T:T,0))</f>
        <v>1</v>
      </c>
      <c r="T1686" s="4" t="s">
        <v>11795</v>
      </c>
      <c r="U1686" s="4" t="str">
        <f t="shared" si="73"/>
        <v>沼</v>
      </c>
    </row>
    <row r="1687" spans="1:22">
      <c r="A1687" s="3">
        <v>1685</v>
      </c>
      <c r="B1687" s="3" t="s">
        <v>6993</v>
      </c>
      <c r="C1687" s="3" t="s">
        <v>6053</v>
      </c>
      <c r="D1687" s="3" t="s">
        <v>6001</v>
      </c>
      <c r="E1687" s="3" t="s">
        <v>5991</v>
      </c>
      <c r="F1687" s="3" t="s">
        <v>8274</v>
      </c>
      <c r="G1687" s="3" t="s">
        <v>8645</v>
      </c>
      <c r="H1687" s="3" t="s">
        <v>7015</v>
      </c>
      <c r="I1687" s="3" t="s">
        <v>8252</v>
      </c>
      <c r="J1687" s="5" t="s">
        <v>7016</v>
      </c>
      <c r="L1687" s="3" t="s">
        <v>7017</v>
      </c>
      <c r="M1687" s="3">
        <v>8</v>
      </c>
      <c r="N1687" s="4" t="s">
        <v>9644</v>
      </c>
      <c r="O1687" s="4">
        <v>87</v>
      </c>
      <c r="P1687" s="11" t="s">
        <v>9724</v>
      </c>
      <c r="Q1687" s="11" t="s">
        <v>10342</v>
      </c>
      <c r="S1687" s="4" t="b">
        <f>ISNUMBER(MATCH(Q1687,T:T,0))</f>
        <v>1</v>
      </c>
      <c r="T1687" s="4" t="s">
        <v>11796</v>
      </c>
      <c r="U1687" s="4" t="str">
        <f t="shared" si="73"/>
        <v>沼</v>
      </c>
    </row>
    <row r="1688" spans="1:22">
      <c r="A1688" s="3">
        <v>1686</v>
      </c>
      <c r="B1688" s="3" t="s">
        <v>6993</v>
      </c>
      <c r="C1688" s="3" t="s">
        <v>6035</v>
      </c>
      <c r="D1688" s="3" t="s">
        <v>6001</v>
      </c>
      <c r="E1688" s="3" t="s">
        <v>5991</v>
      </c>
      <c r="F1688" s="3" t="s">
        <v>8274</v>
      </c>
      <c r="G1688" s="3" t="s">
        <v>8645</v>
      </c>
      <c r="H1688" s="3" t="s">
        <v>7018</v>
      </c>
      <c r="I1688" s="3" t="s">
        <v>8252</v>
      </c>
      <c r="J1688" s="5" t="s">
        <v>7019</v>
      </c>
      <c r="L1688" s="3" t="s">
        <v>7020</v>
      </c>
      <c r="M1688" s="3">
        <v>10</v>
      </c>
      <c r="N1688" s="4" t="s">
        <v>9644</v>
      </c>
      <c r="O1688" s="4">
        <v>87</v>
      </c>
      <c r="P1688" s="11" t="s">
        <v>10151</v>
      </c>
      <c r="Q1688" s="11" t="s">
        <v>10342</v>
      </c>
      <c r="S1688" s="4" t="b">
        <f>ISNUMBER(MATCH(Q1688,T:T,0))</f>
        <v>1</v>
      </c>
      <c r="T1688" s="4" t="s">
        <v>11797</v>
      </c>
      <c r="U1688" s="4" t="str">
        <f t="shared" si="73"/>
        <v>沼</v>
      </c>
    </row>
    <row r="1689" spans="1:22">
      <c r="A1689" s="3">
        <v>1687</v>
      </c>
      <c r="B1689" s="3" t="s">
        <v>6993</v>
      </c>
      <c r="C1689" s="3" t="s">
        <v>6148</v>
      </c>
      <c r="D1689" s="3" t="s">
        <v>6001</v>
      </c>
      <c r="E1689" s="3" t="s">
        <v>5991</v>
      </c>
      <c r="F1689" s="3" t="s">
        <v>8274</v>
      </c>
      <c r="G1689" s="3" t="s">
        <v>8645</v>
      </c>
      <c r="H1689" s="3" t="s">
        <v>7021</v>
      </c>
      <c r="I1689" s="3" t="s">
        <v>8252</v>
      </c>
      <c r="J1689" s="5" t="s">
        <v>4860</v>
      </c>
      <c r="L1689" s="3" t="s">
        <v>7022</v>
      </c>
      <c r="M1689" s="3">
        <v>5</v>
      </c>
      <c r="N1689" s="4" t="s">
        <v>9644</v>
      </c>
      <c r="O1689" s="4">
        <v>87</v>
      </c>
      <c r="P1689" s="11" t="s">
        <v>9829</v>
      </c>
      <c r="Q1689" s="11" t="s">
        <v>10342</v>
      </c>
      <c r="S1689" s="4" t="b">
        <f>ISNUMBER(MATCH(Q1689,T:T,0))</f>
        <v>1</v>
      </c>
      <c r="T1689" s="4" t="s">
        <v>11798</v>
      </c>
      <c r="U1689" s="4" t="str">
        <f t="shared" si="73"/>
        <v>沼</v>
      </c>
    </row>
    <row r="1690" spans="1:22">
      <c r="A1690" s="3">
        <v>1688</v>
      </c>
      <c r="B1690" s="3" t="s">
        <v>6993</v>
      </c>
      <c r="C1690" s="3" t="s">
        <v>6025</v>
      </c>
      <c r="D1690" s="3" t="s">
        <v>6001</v>
      </c>
      <c r="E1690" s="3" t="s">
        <v>5991</v>
      </c>
      <c r="F1690" s="3" t="s">
        <v>8276</v>
      </c>
      <c r="G1690" s="3" t="s">
        <v>8645</v>
      </c>
      <c r="H1690" s="3" t="s">
        <v>7023</v>
      </c>
      <c r="I1690" s="3" t="s">
        <v>8252</v>
      </c>
      <c r="J1690" s="5" t="s">
        <v>4861</v>
      </c>
      <c r="L1690" s="3" t="s">
        <v>6968</v>
      </c>
      <c r="M1690" s="3">
        <v>12</v>
      </c>
      <c r="N1690" s="4" t="s">
        <v>9644</v>
      </c>
      <c r="O1690" s="4">
        <v>87</v>
      </c>
      <c r="P1690" s="11" t="s">
        <v>9717</v>
      </c>
      <c r="Q1690" s="11" t="s">
        <v>10343</v>
      </c>
      <c r="S1690" s="4" t="b">
        <f>ISNUMBER(MATCH(Q1690,T:T,0))</f>
        <v>1</v>
      </c>
      <c r="T1690" s="4" t="s">
        <v>10345</v>
      </c>
      <c r="U1690" s="4" t="str">
        <f t="shared" si="73"/>
        <v>夭</v>
      </c>
    </row>
    <row r="1691" spans="1:22">
      <c r="A1691" s="3">
        <v>1689</v>
      </c>
      <c r="B1691" s="3" t="s">
        <v>6993</v>
      </c>
      <c r="C1691" s="3" t="s">
        <v>6049</v>
      </c>
      <c r="D1691" s="3" t="s">
        <v>6001</v>
      </c>
      <c r="E1691" s="3" t="s">
        <v>5991</v>
      </c>
      <c r="F1691" s="3" t="s">
        <v>8276</v>
      </c>
      <c r="G1691" s="3" t="s">
        <v>8645</v>
      </c>
      <c r="H1691" s="3" t="s">
        <v>7024</v>
      </c>
      <c r="I1691" s="3" t="s">
        <v>8252</v>
      </c>
      <c r="J1691" s="5" t="s">
        <v>7025</v>
      </c>
      <c r="L1691" s="3" t="s">
        <v>7026</v>
      </c>
      <c r="M1691" s="3">
        <v>4</v>
      </c>
      <c r="N1691" s="4" t="s">
        <v>9644</v>
      </c>
      <c r="O1691" s="4">
        <v>87</v>
      </c>
      <c r="P1691" s="11" t="s">
        <v>10344</v>
      </c>
      <c r="Q1691" s="11" t="s">
        <v>10345</v>
      </c>
      <c r="S1691" s="4" t="b">
        <f>ISNUMBER(MATCH(Q1691,T:T,0))</f>
        <v>1</v>
      </c>
      <c r="T1691" s="4" t="s">
        <v>10346</v>
      </c>
      <c r="U1691" s="4" t="str">
        <f t="shared" si="73"/>
        <v>矯</v>
      </c>
    </row>
    <row r="1692" spans="1:22">
      <c r="A1692" s="3">
        <v>1690</v>
      </c>
      <c r="B1692" s="3" t="s">
        <v>6993</v>
      </c>
      <c r="C1692" s="3" t="s">
        <v>6049</v>
      </c>
      <c r="D1692" s="3" t="s">
        <v>6001</v>
      </c>
      <c r="E1692" s="3" t="s">
        <v>5991</v>
      </c>
      <c r="F1692" s="3" t="s">
        <v>8274</v>
      </c>
      <c r="G1692" s="3" t="s">
        <v>8645</v>
      </c>
      <c r="H1692" s="3" t="s">
        <v>7027</v>
      </c>
      <c r="I1692" s="3" t="s">
        <v>8252</v>
      </c>
      <c r="J1692" s="5" t="s">
        <v>7028</v>
      </c>
      <c r="L1692" s="3" t="s">
        <v>7026</v>
      </c>
      <c r="M1692" s="3">
        <v>4</v>
      </c>
      <c r="N1692" s="4" t="s">
        <v>9644</v>
      </c>
      <c r="O1692" s="4">
        <v>87</v>
      </c>
      <c r="P1692" s="11" t="s">
        <v>9723</v>
      </c>
      <c r="Q1692" s="11" t="s">
        <v>9644</v>
      </c>
      <c r="S1692" s="4" t="b">
        <f>ISNUMBER(MATCH(Q1692,T:T,0))</f>
        <v>1</v>
      </c>
      <c r="T1692" s="4" t="s">
        <v>11799</v>
      </c>
      <c r="U1692" s="4" t="str">
        <f t="shared" si="73"/>
        <v>小</v>
      </c>
    </row>
    <row r="1693" spans="1:22">
      <c r="A1693" s="3">
        <v>1691</v>
      </c>
      <c r="B1693" s="3" t="s">
        <v>6993</v>
      </c>
      <c r="C1693" s="3" t="s">
        <v>6045</v>
      </c>
      <c r="D1693" s="3" t="s">
        <v>6001</v>
      </c>
      <c r="E1693" s="3" t="s">
        <v>5991</v>
      </c>
      <c r="F1693" s="3" t="s">
        <v>8276</v>
      </c>
      <c r="G1693" s="3" t="s">
        <v>8645</v>
      </c>
      <c r="H1693" s="3" t="s">
        <v>7029</v>
      </c>
      <c r="I1693" s="3" t="s">
        <v>8252</v>
      </c>
      <c r="J1693" s="5" t="s">
        <v>7030</v>
      </c>
      <c r="L1693" s="3" t="s">
        <v>7013</v>
      </c>
      <c r="M1693" s="3">
        <v>8</v>
      </c>
      <c r="N1693" s="4" t="s">
        <v>9644</v>
      </c>
      <c r="O1693" s="4">
        <v>87</v>
      </c>
      <c r="P1693" s="11" t="s">
        <v>5993</v>
      </c>
      <c r="Q1693" s="11" t="s">
        <v>10346</v>
      </c>
      <c r="S1693" s="4" t="b">
        <f>ISNUMBER(MATCH(Q1693,T:T,0))</f>
        <v>1</v>
      </c>
      <c r="T1693" s="4" t="s">
        <v>11800</v>
      </c>
      <c r="U1693" s="4" t="str">
        <f t="shared" si="73"/>
        <v>表</v>
      </c>
    </row>
    <row r="1694" spans="1:22">
      <c r="A1694" s="3">
        <v>1692</v>
      </c>
      <c r="B1694" s="3" t="s">
        <v>6993</v>
      </c>
      <c r="C1694" s="3" t="s">
        <v>6028</v>
      </c>
      <c r="D1694" s="3" t="s">
        <v>6001</v>
      </c>
      <c r="E1694" s="3" t="s">
        <v>5991</v>
      </c>
      <c r="F1694" s="3" t="s">
        <v>8274</v>
      </c>
      <c r="G1694" s="3" t="s">
        <v>8645</v>
      </c>
      <c r="H1694" s="3" t="s">
        <v>7031</v>
      </c>
      <c r="I1694" s="3" t="s">
        <v>8252</v>
      </c>
      <c r="J1694" s="5" t="s">
        <v>7032</v>
      </c>
      <c r="L1694" s="3" t="s">
        <v>6978</v>
      </c>
      <c r="M1694" s="3">
        <v>7</v>
      </c>
      <c r="N1694" s="4" t="s">
        <v>9644</v>
      </c>
      <c r="O1694" s="4">
        <v>87</v>
      </c>
      <c r="P1694" s="11" t="s">
        <v>6028</v>
      </c>
      <c r="Q1694" s="11" t="s">
        <v>10342</v>
      </c>
      <c r="S1694" s="4" t="b">
        <f>ISNUMBER(MATCH(Q1694,T:T,0))</f>
        <v>1</v>
      </c>
      <c r="T1694" s="4" t="s">
        <v>11801</v>
      </c>
      <c r="U1694" s="4" t="str">
        <f t="shared" si="73"/>
        <v>沼</v>
      </c>
    </row>
    <row r="1695" spans="1:22">
      <c r="A1695" s="3">
        <v>1693</v>
      </c>
      <c r="B1695" s="3" t="s">
        <v>6993</v>
      </c>
      <c r="C1695" s="3" t="s">
        <v>6076</v>
      </c>
      <c r="D1695" s="3" t="s">
        <v>6001</v>
      </c>
      <c r="E1695" s="3" t="s">
        <v>5991</v>
      </c>
      <c r="F1695" s="3" t="s">
        <v>8274</v>
      </c>
      <c r="G1695" s="3" t="s">
        <v>8645</v>
      </c>
      <c r="H1695" s="3" t="s">
        <v>7033</v>
      </c>
      <c r="I1695" s="3" t="s">
        <v>8252</v>
      </c>
      <c r="J1695" s="5" t="s">
        <v>4862</v>
      </c>
      <c r="L1695" s="3" t="s">
        <v>6990</v>
      </c>
      <c r="M1695" s="3">
        <v>3</v>
      </c>
      <c r="N1695" s="4" t="s">
        <v>9644</v>
      </c>
      <c r="O1695" s="4">
        <v>87</v>
      </c>
      <c r="P1695" s="11" t="s">
        <v>10347</v>
      </c>
      <c r="Q1695" s="11" t="s">
        <v>9644</v>
      </c>
      <c r="S1695" s="4" t="b">
        <f>ISNUMBER(MATCH(Q1695,T:T,0))</f>
        <v>1</v>
      </c>
      <c r="T1695" s="4" t="s">
        <v>11802</v>
      </c>
      <c r="U1695" s="4" t="str">
        <f t="shared" si="73"/>
        <v>小</v>
      </c>
    </row>
    <row r="1696" spans="1:22">
      <c r="A1696" s="3">
        <v>1694</v>
      </c>
      <c r="B1696" s="3" t="s">
        <v>6993</v>
      </c>
      <c r="C1696" s="3" t="s">
        <v>6083</v>
      </c>
      <c r="D1696" s="3" t="s">
        <v>6001</v>
      </c>
      <c r="E1696" s="3" t="s">
        <v>5991</v>
      </c>
      <c r="F1696" s="3" t="s">
        <v>8274</v>
      </c>
      <c r="G1696" s="3" t="s">
        <v>8645</v>
      </c>
      <c r="H1696" s="3" t="s">
        <v>7034</v>
      </c>
      <c r="I1696" s="3" t="s">
        <v>8252</v>
      </c>
      <c r="J1696" s="5" t="s">
        <v>7035</v>
      </c>
      <c r="L1696" s="3" t="s">
        <v>6968</v>
      </c>
      <c r="M1696" s="3">
        <v>8</v>
      </c>
      <c r="N1696" s="4" t="s">
        <v>9644</v>
      </c>
      <c r="O1696" s="4">
        <v>87</v>
      </c>
      <c r="P1696" s="11" t="s">
        <v>9737</v>
      </c>
      <c r="Q1696" s="11" t="s">
        <v>9644</v>
      </c>
      <c r="S1696" s="4" t="b">
        <f>ISNUMBER(MATCH(Q1696,T:T,0))</f>
        <v>1</v>
      </c>
      <c r="T1696" s="4" t="s">
        <v>11803</v>
      </c>
      <c r="U1696" s="4" t="str">
        <f t="shared" si="73"/>
        <v>小</v>
      </c>
    </row>
    <row r="1697" spans="1:22">
      <c r="A1697" s="3">
        <v>1695</v>
      </c>
      <c r="B1697" s="3" t="s">
        <v>6993</v>
      </c>
      <c r="C1697" s="3" t="s">
        <v>6041</v>
      </c>
      <c r="D1697" s="3" t="s">
        <v>6001</v>
      </c>
      <c r="E1697" s="3" t="s">
        <v>5991</v>
      </c>
      <c r="F1697" s="3" t="s">
        <v>8276</v>
      </c>
      <c r="G1697" s="3" t="s">
        <v>8645</v>
      </c>
      <c r="H1697" s="3" t="s">
        <v>7036</v>
      </c>
      <c r="I1697" s="3" t="s">
        <v>8252</v>
      </c>
      <c r="J1697" s="5" t="s">
        <v>7037</v>
      </c>
      <c r="L1697" s="3" t="s">
        <v>7038</v>
      </c>
      <c r="M1697" s="3">
        <v>1</v>
      </c>
      <c r="N1697" s="4" t="s">
        <v>9644</v>
      </c>
      <c r="O1697" s="4">
        <v>87</v>
      </c>
      <c r="P1697" s="11" t="s">
        <v>9789</v>
      </c>
      <c r="Q1697" s="11" t="s">
        <v>10343</v>
      </c>
      <c r="S1697" s="4" t="b">
        <f>ISNUMBER(MATCH(Q1697,T:T,0))</f>
        <v>1</v>
      </c>
      <c r="T1697" s="4" t="s">
        <v>7037</v>
      </c>
      <c r="U1697" s="4" t="str">
        <f t="shared" si="73"/>
        <v>夭</v>
      </c>
    </row>
    <row r="1698" spans="1:22">
      <c r="A1698" s="3">
        <v>1696</v>
      </c>
      <c r="B1698" s="3" t="s">
        <v>6993</v>
      </c>
      <c r="C1698" s="3" t="s">
        <v>6058</v>
      </c>
      <c r="D1698" s="3" t="s">
        <v>6001</v>
      </c>
      <c r="E1698" s="3" t="s">
        <v>5991</v>
      </c>
      <c r="F1698" s="3" t="s">
        <v>8274</v>
      </c>
      <c r="G1698" s="3" t="s">
        <v>8645</v>
      </c>
      <c r="H1698" s="3" t="s">
        <v>7039</v>
      </c>
      <c r="I1698" s="3" t="s">
        <v>8252</v>
      </c>
      <c r="J1698" s="5" t="s">
        <v>4863</v>
      </c>
      <c r="L1698" s="3" t="s">
        <v>6972</v>
      </c>
      <c r="M1698" s="3">
        <v>9</v>
      </c>
      <c r="N1698" s="4" t="s">
        <v>9644</v>
      </c>
      <c r="O1698" s="4">
        <v>87</v>
      </c>
      <c r="P1698" s="11" t="s">
        <v>9727</v>
      </c>
      <c r="Q1698" s="11" t="s">
        <v>9644</v>
      </c>
      <c r="S1698" s="4" t="b">
        <f>ISNUMBER(MATCH(Q1698,T:T,0))</f>
        <v>1</v>
      </c>
      <c r="T1698" s="4" t="s">
        <v>11804</v>
      </c>
      <c r="U1698" s="4" t="str">
        <f t="shared" si="73"/>
        <v>小</v>
      </c>
    </row>
    <row r="1699" spans="1:22">
      <c r="A1699" s="3">
        <v>1697</v>
      </c>
      <c r="B1699" s="3" t="s">
        <v>6993</v>
      </c>
      <c r="C1699" s="3" t="s">
        <v>6053</v>
      </c>
      <c r="D1699" s="3" t="s">
        <v>6001</v>
      </c>
      <c r="E1699" s="3" t="s">
        <v>5991</v>
      </c>
      <c r="F1699" s="3" t="s">
        <v>8276</v>
      </c>
      <c r="G1699" s="3" t="s">
        <v>8645</v>
      </c>
      <c r="H1699" s="3" t="s">
        <v>7040</v>
      </c>
      <c r="I1699" s="3" t="s">
        <v>8252</v>
      </c>
      <c r="J1699" s="5" t="s">
        <v>7041</v>
      </c>
      <c r="L1699" s="3" t="s">
        <v>7017</v>
      </c>
      <c r="M1699" s="3">
        <v>1</v>
      </c>
      <c r="N1699" s="4" t="s">
        <v>9644</v>
      </c>
      <c r="O1699" s="4">
        <v>87</v>
      </c>
      <c r="P1699" s="11" t="s">
        <v>6053</v>
      </c>
      <c r="Q1699" s="11" t="s">
        <v>10346</v>
      </c>
      <c r="S1699" s="4" t="b">
        <f>ISNUMBER(MATCH(Q1699,T:T,0))</f>
        <v>1</v>
      </c>
      <c r="T1699" s="4" t="s">
        <v>7041</v>
      </c>
      <c r="U1699" s="4" t="str">
        <f t="shared" si="73"/>
        <v>表</v>
      </c>
    </row>
    <row r="1700" spans="1:22">
      <c r="A1700" s="3">
        <v>1698</v>
      </c>
      <c r="B1700" s="3" t="s">
        <v>6993</v>
      </c>
      <c r="C1700" s="3" t="s">
        <v>6072</v>
      </c>
      <c r="D1700" s="3" t="s">
        <v>6001</v>
      </c>
      <c r="E1700" s="3" t="s">
        <v>5991</v>
      </c>
      <c r="F1700" s="3" t="s">
        <v>8274</v>
      </c>
      <c r="G1700" s="3" t="s">
        <v>8645</v>
      </c>
      <c r="H1700" s="3" t="s">
        <v>7042</v>
      </c>
      <c r="I1700" s="3" t="s">
        <v>8252</v>
      </c>
      <c r="J1700" s="8" t="s">
        <v>7043</v>
      </c>
      <c r="L1700" s="3" t="s">
        <v>6978</v>
      </c>
      <c r="M1700" s="3">
        <v>1</v>
      </c>
      <c r="N1700" s="4" t="s">
        <v>9644</v>
      </c>
      <c r="O1700" s="4">
        <v>87</v>
      </c>
      <c r="P1700" s="11" t="s">
        <v>9754</v>
      </c>
      <c r="Q1700" s="11" t="s">
        <v>9644</v>
      </c>
      <c r="S1700" s="4" t="b">
        <f>ISNUMBER(MATCH(Q1700,T:T,0))</f>
        <v>1</v>
      </c>
      <c r="T1700" s="4" t="s">
        <v>7043</v>
      </c>
      <c r="U1700" s="4" t="str">
        <f t="shared" si="73"/>
        <v>小</v>
      </c>
    </row>
    <row r="1701" spans="1:22">
      <c r="A1701" s="3">
        <v>1699</v>
      </c>
      <c r="B1701" s="3" t="s">
        <v>7044</v>
      </c>
      <c r="C1701" s="3" t="s">
        <v>6038</v>
      </c>
      <c r="D1701" s="3" t="s">
        <v>6157</v>
      </c>
      <c r="E1701" s="3" t="s">
        <v>5991</v>
      </c>
      <c r="F1701" s="3" t="s">
        <v>8329</v>
      </c>
      <c r="G1701" s="3" t="s">
        <v>8645</v>
      </c>
      <c r="H1701" s="3" t="s">
        <v>7045</v>
      </c>
      <c r="I1701" s="3" t="s">
        <v>8252</v>
      </c>
      <c r="J1701" s="5" t="s">
        <v>7046</v>
      </c>
      <c r="L1701" s="3" t="s">
        <v>6990</v>
      </c>
      <c r="M1701" s="3">
        <v>2</v>
      </c>
      <c r="N1701" s="4" t="s">
        <v>7047</v>
      </c>
      <c r="O1701" s="4">
        <v>88</v>
      </c>
      <c r="P1701" s="11" t="s">
        <v>9728</v>
      </c>
      <c r="Q1701" s="11" t="s">
        <v>10348</v>
      </c>
      <c r="R1701" s="4" t="s">
        <v>13096</v>
      </c>
      <c r="S1701" s="4" t="b">
        <f>ISNUMBER(MATCH(Q1701,T:T,0))</f>
        <v>0</v>
      </c>
      <c r="T1701" s="4" t="s">
        <v>7047</v>
      </c>
      <c r="U1701" s="4" t="str">
        <f t="shared" si="73"/>
        <v>搞</v>
      </c>
      <c r="V1701" s="4" t="b">
        <f>ISNUMBER(MATCH(R1701,T:T,0))</f>
        <v>1</v>
      </c>
    </row>
    <row r="1702" spans="1:22">
      <c r="A1702" s="3">
        <v>1700</v>
      </c>
      <c r="B1702" s="3" t="s">
        <v>7044</v>
      </c>
      <c r="C1702" s="3" t="s">
        <v>6067</v>
      </c>
      <c r="D1702" s="3" t="s">
        <v>6157</v>
      </c>
      <c r="E1702" s="3" t="s">
        <v>5991</v>
      </c>
      <c r="F1702" s="3" t="s">
        <v>8329</v>
      </c>
      <c r="G1702" s="3" t="s">
        <v>8645</v>
      </c>
      <c r="H1702" s="3" t="s">
        <v>7048</v>
      </c>
      <c r="I1702" s="3" t="s">
        <v>8252</v>
      </c>
      <c r="J1702" s="5" t="s">
        <v>7049</v>
      </c>
      <c r="L1702" s="3" t="s">
        <v>6984</v>
      </c>
      <c r="M1702" s="3">
        <v>6</v>
      </c>
      <c r="N1702" s="4" t="s">
        <v>7047</v>
      </c>
      <c r="O1702" s="4">
        <v>88</v>
      </c>
      <c r="P1702" s="11" t="s">
        <v>9771</v>
      </c>
      <c r="Q1702" s="11" t="s">
        <v>7047</v>
      </c>
      <c r="S1702" s="4" t="b">
        <f>ISNUMBER(MATCH(Q1702,T:T,0))</f>
        <v>1</v>
      </c>
      <c r="T1702" s="4" t="s">
        <v>11805</v>
      </c>
      <c r="U1702" s="4" t="str">
        <f t="shared" si="73"/>
        <v>巧</v>
      </c>
    </row>
    <row r="1703" spans="1:22">
      <c r="A1703" s="3">
        <v>1701</v>
      </c>
      <c r="B1703" s="3" t="s">
        <v>7044</v>
      </c>
      <c r="C1703" s="3" t="s">
        <v>6049</v>
      </c>
      <c r="D1703" s="3" t="s">
        <v>6157</v>
      </c>
      <c r="E1703" s="3" t="s">
        <v>5991</v>
      </c>
      <c r="F1703" s="3" t="s">
        <v>8329</v>
      </c>
      <c r="G1703" s="3" t="s">
        <v>8645</v>
      </c>
      <c r="H1703" s="3" t="s">
        <v>7050</v>
      </c>
      <c r="I1703" s="3" t="s">
        <v>8252</v>
      </c>
      <c r="J1703" s="5" t="s">
        <v>7051</v>
      </c>
      <c r="L1703" s="3" t="s">
        <v>7052</v>
      </c>
      <c r="M1703" s="3">
        <v>3</v>
      </c>
      <c r="N1703" s="4" t="s">
        <v>7047</v>
      </c>
      <c r="O1703" s="4">
        <v>88</v>
      </c>
      <c r="P1703" s="11" t="s">
        <v>9770</v>
      </c>
      <c r="Q1703" s="11" t="s">
        <v>7047</v>
      </c>
      <c r="S1703" s="4" t="b">
        <f>ISNUMBER(MATCH(Q1703,T:T,0))</f>
        <v>1</v>
      </c>
      <c r="T1703" s="4" t="s">
        <v>10349</v>
      </c>
      <c r="U1703" s="4" t="str">
        <f t="shared" si="73"/>
        <v>巧</v>
      </c>
    </row>
    <row r="1704" spans="1:22">
      <c r="A1704" s="3">
        <v>1702</v>
      </c>
      <c r="B1704" s="3" t="s">
        <v>7044</v>
      </c>
      <c r="C1704" s="3" t="s">
        <v>6137</v>
      </c>
      <c r="D1704" s="3" t="s">
        <v>6157</v>
      </c>
      <c r="E1704" s="3" t="s">
        <v>5991</v>
      </c>
      <c r="F1704" s="3" t="s">
        <v>8329</v>
      </c>
      <c r="G1704" s="3" t="s">
        <v>8645</v>
      </c>
      <c r="H1704" s="3" t="s">
        <v>7053</v>
      </c>
      <c r="I1704" s="3" t="s">
        <v>8252</v>
      </c>
      <c r="J1704" s="5" t="s">
        <v>7054</v>
      </c>
      <c r="L1704" s="3" t="s">
        <v>7055</v>
      </c>
      <c r="M1704" s="3">
        <v>3</v>
      </c>
      <c r="N1704" s="4" t="s">
        <v>7047</v>
      </c>
      <c r="O1704" s="4">
        <v>88</v>
      </c>
      <c r="P1704" s="11" t="s">
        <v>9744</v>
      </c>
      <c r="Q1704" s="11" t="s">
        <v>7047</v>
      </c>
      <c r="S1704" s="4" t="b">
        <f>ISNUMBER(MATCH(Q1704,T:T,0))</f>
        <v>1</v>
      </c>
      <c r="T1704" s="4" t="s">
        <v>11806</v>
      </c>
      <c r="U1704" s="4" t="str">
        <f t="shared" si="73"/>
        <v>巧</v>
      </c>
    </row>
    <row r="1705" spans="1:22">
      <c r="A1705" s="3">
        <v>1703</v>
      </c>
      <c r="B1705" s="3" t="s">
        <v>7044</v>
      </c>
      <c r="C1705" s="3" t="s">
        <v>6035</v>
      </c>
      <c r="D1705" s="3" t="s">
        <v>6157</v>
      </c>
      <c r="E1705" s="3" t="s">
        <v>5991</v>
      </c>
      <c r="F1705" s="3" t="s">
        <v>8329</v>
      </c>
      <c r="G1705" s="3" t="s">
        <v>8645</v>
      </c>
      <c r="H1705" s="3" t="s">
        <v>7056</v>
      </c>
      <c r="I1705" s="3" t="s">
        <v>8252</v>
      </c>
      <c r="J1705" s="5" t="s">
        <v>4864</v>
      </c>
      <c r="L1705" s="3" t="s">
        <v>7057</v>
      </c>
      <c r="M1705" s="3">
        <v>7</v>
      </c>
      <c r="N1705" s="4" t="s">
        <v>7047</v>
      </c>
      <c r="O1705" s="4">
        <v>88</v>
      </c>
      <c r="P1705" s="11" t="s">
        <v>9719</v>
      </c>
      <c r="Q1705" s="11" t="s">
        <v>10349</v>
      </c>
      <c r="S1705" s="4" t="b">
        <f>ISNUMBER(MATCH(Q1705,T:T,0))</f>
        <v>1</v>
      </c>
      <c r="T1705" s="4" t="s">
        <v>11807</v>
      </c>
      <c r="U1705" s="4" t="str">
        <f t="shared" si="73"/>
        <v>飽</v>
      </c>
    </row>
    <row r="1706" spans="1:22">
      <c r="A1706" s="3">
        <v>1704</v>
      </c>
      <c r="B1706" s="3" t="s">
        <v>7044</v>
      </c>
      <c r="C1706" s="3" t="s">
        <v>6025</v>
      </c>
      <c r="D1706" s="3" t="s">
        <v>6157</v>
      </c>
      <c r="E1706" s="3" t="s">
        <v>5991</v>
      </c>
      <c r="F1706" s="3" t="s">
        <v>8329</v>
      </c>
      <c r="G1706" s="3" t="s">
        <v>8645</v>
      </c>
      <c r="H1706" s="3" t="s">
        <v>7058</v>
      </c>
      <c r="I1706" s="3" t="s">
        <v>8252</v>
      </c>
      <c r="J1706" s="5" t="s">
        <v>4865</v>
      </c>
      <c r="L1706" s="3" t="s">
        <v>6968</v>
      </c>
      <c r="M1706" s="3">
        <v>15</v>
      </c>
      <c r="N1706" s="4" t="s">
        <v>7047</v>
      </c>
      <c r="O1706" s="4">
        <v>88</v>
      </c>
      <c r="P1706" s="11" t="s">
        <v>9729</v>
      </c>
      <c r="Q1706" s="11" t="s">
        <v>7047</v>
      </c>
      <c r="S1706" s="4" t="b">
        <f>ISNUMBER(MATCH(Q1706,T:T,0))</f>
        <v>1</v>
      </c>
      <c r="T1706" s="4" t="s">
        <v>11808</v>
      </c>
      <c r="U1706" s="4" t="str">
        <f t="shared" si="73"/>
        <v>巧</v>
      </c>
    </row>
    <row r="1707" spans="1:22">
      <c r="A1707" s="3">
        <v>1705</v>
      </c>
      <c r="B1707" s="3" t="s">
        <v>7044</v>
      </c>
      <c r="C1707" s="3" t="s">
        <v>6318</v>
      </c>
      <c r="D1707" s="3" t="s">
        <v>6157</v>
      </c>
      <c r="E1707" s="3" t="s">
        <v>5991</v>
      </c>
      <c r="F1707" s="3" t="s">
        <v>8329</v>
      </c>
      <c r="G1707" s="3" t="s">
        <v>8645</v>
      </c>
      <c r="H1707" s="3" t="s">
        <v>7059</v>
      </c>
      <c r="I1707" s="3" t="s">
        <v>8252</v>
      </c>
      <c r="J1707" s="5" t="s">
        <v>7060</v>
      </c>
      <c r="L1707" s="3" t="s">
        <v>7000</v>
      </c>
      <c r="M1707" s="3">
        <v>8</v>
      </c>
      <c r="N1707" s="4" t="s">
        <v>7047</v>
      </c>
      <c r="O1707" s="4">
        <v>88</v>
      </c>
      <c r="P1707" s="11" t="s">
        <v>9804</v>
      </c>
      <c r="Q1707" s="11" t="s">
        <v>10348</v>
      </c>
      <c r="R1707" s="4" t="s">
        <v>13096</v>
      </c>
      <c r="S1707" s="4" t="b">
        <f>ISNUMBER(MATCH(Q1707,T:T,0))</f>
        <v>0</v>
      </c>
      <c r="T1707" s="4" t="s">
        <v>11809</v>
      </c>
      <c r="U1707" s="4" t="str">
        <f t="shared" si="73"/>
        <v>搞</v>
      </c>
      <c r="V1707" s="4" t="b">
        <f t="shared" ref="V1707:V1708" si="74">ISNUMBER(MATCH(R1707,T:T,0))</f>
        <v>1</v>
      </c>
    </row>
    <row r="1708" spans="1:22">
      <c r="A1708" s="3">
        <v>1706</v>
      </c>
      <c r="B1708" s="3" t="s">
        <v>7044</v>
      </c>
      <c r="C1708" s="3" t="s">
        <v>6072</v>
      </c>
      <c r="D1708" s="3" t="s">
        <v>6157</v>
      </c>
      <c r="E1708" s="3" t="s">
        <v>5991</v>
      </c>
      <c r="F1708" s="3" t="s">
        <v>8329</v>
      </c>
      <c r="G1708" s="3" t="s">
        <v>8645</v>
      </c>
      <c r="H1708" s="3" t="s">
        <v>7061</v>
      </c>
      <c r="I1708" s="3" t="s">
        <v>8252</v>
      </c>
      <c r="J1708" s="5" t="s">
        <v>4866</v>
      </c>
      <c r="L1708" s="3" t="s">
        <v>6978</v>
      </c>
      <c r="M1708" s="3">
        <v>5</v>
      </c>
      <c r="N1708" s="4" t="s">
        <v>7047</v>
      </c>
      <c r="O1708" s="4">
        <v>88</v>
      </c>
      <c r="P1708" s="11" t="s">
        <v>9754</v>
      </c>
      <c r="Q1708" s="11" t="s">
        <v>10348</v>
      </c>
      <c r="R1708" s="4" t="s">
        <v>13096</v>
      </c>
      <c r="S1708" s="4" t="b">
        <f>ISNUMBER(MATCH(Q1708,T:T,0))</f>
        <v>0</v>
      </c>
      <c r="T1708" s="4" t="s">
        <v>11810</v>
      </c>
      <c r="U1708" s="4" t="str">
        <f t="shared" si="73"/>
        <v>搞</v>
      </c>
      <c r="V1708" s="4" t="b">
        <f t="shared" si="74"/>
        <v>1</v>
      </c>
    </row>
    <row r="1709" spans="1:22">
      <c r="A1709" s="3">
        <v>1707</v>
      </c>
      <c r="B1709" s="3" t="s">
        <v>7044</v>
      </c>
      <c r="C1709" s="3" t="s">
        <v>6045</v>
      </c>
      <c r="D1709" s="3" t="s">
        <v>6157</v>
      </c>
      <c r="E1709" s="3" t="s">
        <v>5991</v>
      </c>
      <c r="F1709" s="3" t="s">
        <v>8329</v>
      </c>
      <c r="G1709" s="3" t="s">
        <v>8645</v>
      </c>
      <c r="H1709" s="3" t="s">
        <v>7062</v>
      </c>
      <c r="I1709" s="3" t="s">
        <v>8252</v>
      </c>
      <c r="J1709" s="5" t="s">
        <v>4867</v>
      </c>
      <c r="L1709" s="3" t="s">
        <v>7063</v>
      </c>
      <c r="M1709" s="3">
        <v>4</v>
      </c>
      <c r="N1709" s="4" t="s">
        <v>7047</v>
      </c>
      <c r="O1709" s="4">
        <v>88</v>
      </c>
      <c r="P1709" s="11" t="s">
        <v>9738</v>
      </c>
      <c r="Q1709" s="11" t="s">
        <v>7047</v>
      </c>
      <c r="S1709" s="4" t="b">
        <f>ISNUMBER(MATCH(Q1709,T:T,0))</f>
        <v>1</v>
      </c>
      <c r="T1709" s="4" t="s">
        <v>11811</v>
      </c>
      <c r="U1709" s="4" t="str">
        <f t="shared" si="73"/>
        <v>巧</v>
      </c>
    </row>
    <row r="1710" spans="1:22">
      <c r="A1710" s="3">
        <v>1708</v>
      </c>
      <c r="B1710" s="3" t="s">
        <v>7044</v>
      </c>
      <c r="C1710" s="3" t="s">
        <v>6092</v>
      </c>
      <c r="D1710" s="3" t="s">
        <v>6157</v>
      </c>
      <c r="E1710" s="3" t="s">
        <v>5991</v>
      </c>
      <c r="F1710" s="3" t="s">
        <v>8329</v>
      </c>
      <c r="G1710" s="3" t="s">
        <v>8645</v>
      </c>
      <c r="H1710" s="3" t="s">
        <v>7064</v>
      </c>
      <c r="I1710" s="3" t="s">
        <v>8252</v>
      </c>
      <c r="J1710" s="8" t="s">
        <v>4868</v>
      </c>
      <c r="L1710" s="3" t="s">
        <v>6978</v>
      </c>
      <c r="M1710" s="3">
        <v>1</v>
      </c>
      <c r="N1710" s="4" t="s">
        <v>7047</v>
      </c>
      <c r="O1710" s="4">
        <v>88</v>
      </c>
      <c r="P1710" s="11" t="s">
        <v>9740</v>
      </c>
      <c r="Q1710" s="11" t="s">
        <v>7047</v>
      </c>
      <c r="S1710" s="4" t="b">
        <f>ISNUMBER(MATCH(Q1710,T:T,0))</f>
        <v>1</v>
      </c>
      <c r="T1710" s="4" t="s">
        <v>11812</v>
      </c>
      <c r="U1710" s="4" t="str">
        <f t="shared" si="73"/>
        <v>巧</v>
      </c>
    </row>
    <row r="1711" spans="1:22">
      <c r="A1711" s="3">
        <v>1709</v>
      </c>
      <c r="B1711" s="3" t="s">
        <v>7044</v>
      </c>
      <c r="C1711" s="3" t="s">
        <v>6015</v>
      </c>
      <c r="D1711" s="3" t="s">
        <v>6157</v>
      </c>
      <c r="E1711" s="3" t="s">
        <v>5991</v>
      </c>
      <c r="F1711" s="3" t="s">
        <v>8329</v>
      </c>
      <c r="G1711" s="3" t="s">
        <v>8645</v>
      </c>
      <c r="H1711" s="3" t="s">
        <v>7065</v>
      </c>
      <c r="I1711" s="3" t="s">
        <v>8252</v>
      </c>
      <c r="J1711" s="5" t="s">
        <v>7066</v>
      </c>
      <c r="L1711" s="3" t="s">
        <v>7022</v>
      </c>
      <c r="M1711" s="3">
        <v>2</v>
      </c>
      <c r="N1711" s="4" t="s">
        <v>7047</v>
      </c>
      <c r="O1711" s="4">
        <v>88</v>
      </c>
      <c r="P1711" s="11" t="s">
        <v>9777</v>
      </c>
      <c r="Q1711" s="11" t="s">
        <v>10348</v>
      </c>
      <c r="R1711" s="4" t="s">
        <v>13096</v>
      </c>
      <c r="S1711" s="4" t="b">
        <f>ISNUMBER(MATCH(Q1711,T:T,0))</f>
        <v>0</v>
      </c>
      <c r="T1711" s="4" t="s">
        <v>11813</v>
      </c>
      <c r="U1711" s="4" t="str">
        <f t="shared" si="73"/>
        <v>搞</v>
      </c>
      <c r="V1711" s="4" t="b">
        <f t="shared" ref="V1711:V1713" si="75">ISNUMBER(MATCH(R1711,T:T,0))</f>
        <v>1</v>
      </c>
    </row>
    <row r="1712" spans="1:22">
      <c r="A1712" s="3">
        <v>1710</v>
      </c>
      <c r="B1712" s="3" t="s">
        <v>7044</v>
      </c>
      <c r="C1712" s="3" t="s">
        <v>6167</v>
      </c>
      <c r="D1712" s="3" t="s">
        <v>6157</v>
      </c>
      <c r="E1712" s="3" t="s">
        <v>5991</v>
      </c>
      <c r="F1712" s="3" t="s">
        <v>8329</v>
      </c>
      <c r="G1712" s="3" t="s">
        <v>8645</v>
      </c>
      <c r="H1712" s="3" t="s">
        <v>7067</v>
      </c>
      <c r="I1712" s="3" t="s">
        <v>8252</v>
      </c>
      <c r="J1712" s="5" t="s">
        <v>4869</v>
      </c>
      <c r="L1712" s="3" t="s">
        <v>7004</v>
      </c>
      <c r="M1712" s="3">
        <v>7</v>
      </c>
      <c r="N1712" s="4" t="s">
        <v>7047</v>
      </c>
      <c r="O1712" s="4">
        <v>88</v>
      </c>
      <c r="P1712" s="11" t="s">
        <v>6167</v>
      </c>
      <c r="Q1712" s="11" t="s">
        <v>10350</v>
      </c>
      <c r="R1712" s="4" t="s">
        <v>13097</v>
      </c>
      <c r="S1712" s="4" t="b">
        <f>ISNUMBER(MATCH(Q1712,T:T,0))</f>
        <v>0</v>
      </c>
      <c r="T1712" s="4" t="s">
        <v>11814</v>
      </c>
      <c r="U1712" s="4" t="str">
        <f t="shared" si="73"/>
        <v>找</v>
      </c>
      <c r="V1712" s="4" t="b">
        <f t="shared" si="75"/>
        <v>1</v>
      </c>
    </row>
    <row r="1713" spans="1:22">
      <c r="A1713" s="3">
        <v>1711</v>
      </c>
      <c r="B1713" s="3" t="s">
        <v>7044</v>
      </c>
      <c r="C1713" s="3" t="s">
        <v>6000</v>
      </c>
      <c r="D1713" s="3" t="s">
        <v>6157</v>
      </c>
      <c r="E1713" s="3" t="s">
        <v>5991</v>
      </c>
      <c r="F1713" s="3" t="s">
        <v>8329</v>
      </c>
      <c r="G1713" s="3" t="s">
        <v>8645</v>
      </c>
      <c r="H1713" s="3" t="s">
        <v>7068</v>
      </c>
      <c r="I1713" s="3" t="s">
        <v>8252</v>
      </c>
      <c r="J1713" s="5" t="s">
        <v>7069</v>
      </c>
      <c r="L1713" s="3" t="s">
        <v>7000</v>
      </c>
      <c r="M1713" s="3">
        <v>2</v>
      </c>
      <c r="N1713" s="4" t="s">
        <v>7047</v>
      </c>
      <c r="O1713" s="4">
        <v>88</v>
      </c>
      <c r="P1713" s="11" t="s">
        <v>10007</v>
      </c>
      <c r="Q1713" s="11" t="s">
        <v>10348</v>
      </c>
      <c r="R1713" s="4" t="s">
        <v>13096</v>
      </c>
      <c r="S1713" s="4" t="b">
        <f>ISNUMBER(MATCH(Q1713,T:T,0))</f>
        <v>0</v>
      </c>
      <c r="T1713" s="4" t="s">
        <v>11815</v>
      </c>
      <c r="U1713" s="4" t="str">
        <f t="shared" si="73"/>
        <v>搞</v>
      </c>
      <c r="V1713" s="4" t="b">
        <f t="shared" si="75"/>
        <v>1</v>
      </c>
    </row>
    <row r="1714" spans="1:22">
      <c r="A1714" s="3">
        <v>1712</v>
      </c>
      <c r="B1714" s="3" t="s">
        <v>7044</v>
      </c>
      <c r="C1714" s="3" t="s">
        <v>6180</v>
      </c>
      <c r="D1714" s="3" t="s">
        <v>6157</v>
      </c>
      <c r="E1714" s="3" t="s">
        <v>5991</v>
      </c>
      <c r="F1714" s="3" t="s">
        <v>8329</v>
      </c>
      <c r="G1714" s="3" t="s">
        <v>8645</v>
      </c>
      <c r="H1714" s="3" t="s">
        <v>7070</v>
      </c>
      <c r="I1714" s="3" t="s">
        <v>8252</v>
      </c>
      <c r="J1714" s="5" t="s">
        <v>7071</v>
      </c>
      <c r="K1714" s="3" t="s">
        <v>7072</v>
      </c>
      <c r="L1714" s="3" t="s">
        <v>7007</v>
      </c>
      <c r="M1714" s="3">
        <v>16</v>
      </c>
      <c r="N1714" s="4" t="s">
        <v>7047</v>
      </c>
      <c r="O1714" s="4">
        <v>88</v>
      </c>
      <c r="P1714" s="11" t="s">
        <v>6836</v>
      </c>
      <c r="Q1714" s="11" t="s">
        <v>7047</v>
      </c>
      <c r="S1714" s="4" t="b">
        <f>ISNUMBER(MATCH(Q1714,T:T,0))</f>
        <v>1</v>
      </c>
      <c r="T1714" s="4" t="s">
        <v>11816</v>
      </c>
      <c r="U1714" s="4" t="str">
        <f t="shared" si="73"/>
        <v>巧</v>
      </c>
    </row>
    <row r="1715" spans="1:22" ht="28.5">
      <c r="A1715" s="3">
        <v>1713</v>
      </c>
      <c r="B1715" s="3" t="s">
        <v>769</v>
      </c>
      <c r="C1715" s="3" t="s">
        <v>6067</v>
      </c>
      <c r="D1715" s="3" t="s">
        <v>5990</v>
      </c>
      <c r="E1715" s="3" t="s">
        <v>5991</v>
      </c>
      <c r="F1715" s="3" t="s">
        <v>8367</v>
      </c>
      <c r="G1715" s="3" t="s">
        <v>8645</v>
      </c>
      <c r="H1715" s="3" t="s">
        <v>7073</v>
      </c>
      <c r="I1715" s="3" t="s">
        <v>8252</v>
      </c>
      <c r="J1715" s="8" t="s">
        <v>4870</v>
      </c>
      <c r="K1715" s="3" t="s">
        <v>7074</v>
      </c>
      <c r="L1715" s="3" t="s">
        <v>7075</v>
      </c>
      <c r="M1715" s="3">
        <v>16</v>
      </c>
      <c r="N1715" s="4" t="s">
        <v>7076</v>
      </c>
      <c r="O1715" s="4">
        <v>89</v>
      </c>
      <c r="P1715" s="11" t="s">
        <v>9870</v>
      </c>
      <c r="Q1715" s="11" t="s">
        <v>10351</v>
      </c>
      <c r="S1715" s="4" t="b">
        <f>ISNUMBER(MATCH(Q1715,T:T,0))</f>
        <v>1</v>
      </c>
      <c r="T1715" s="4" t="s">
        <v>7076</v>
      </c>
      <c r="U1715" s="4" t="str">
        <f t="shared" si="73"/>
        <v>老</v>
      </c>
    </row>
    <row r="1716" spans="1:22">
      <c r="A1716" s="3">
        <v>1714</v>
      </c>
      <c r="B1716" s="3" t="s">
        <v>769</v>
      </c>
      <c r="C1716" s="3" t="s">
        <v>6045</v>
      </c>
      <c r="D1716" s="3" t="s">
        <v>5990</v>
      </c>
      <c r="E1716" s="3" t="s">
        <v>5991</v>
      </c>
      <c r="F1716" s="3" t="s">
        <v>8367</v>
      </c>
      <c r="G1716" s="3" t="s">
        <v>8645</v>
      </c>
      <c r="H1716" s="3" t="s">
        <v>7077</v>
      </c>
      <c r="I1716" s="3" t="s">
        <v>8252</v>
      </c>
      <c r="J1716" s="5" t="s">
        <v>7078</v>
      </c>
      <c r="L1716" s="3" t="s">
        <v>7063</v>
      </c>
      <c r="M1716" s="3">
        <v>1</v>
      </c>
      <c r="N1716" s="4" t="s">
        <v>7076</v>
      </c>
      <c r="O1716" s="4">
        <v>89</v>
      </c>
      <c r="P1716" s="11" t="s">
        <v>9738</v>
      </c>
      <c r="Q1716" s="11" t="s">
        <v>10352</v>
      </c>
      <c r="R1716" s="4" t="s">
        <v>13098</v>
      </c>
      <c r="S1716" s="4" t="b">
        <f>ISNUMBER(MATCH(Q1716,T:T,0))</f>
        <v>0</v>
      </c>
      <c r="T1716" s="4" t="s">
        <v>7078</v>
      </c>
      <c r="U1716" s="4" t="str">
        <f t="shared" si="73"/>
        <v>晧</v>
      </c>
      <c r="V1716" s="4" t="b">
        <f>ISNUMBER(MATCH(R1716,T:T,0))</f>
        <v>1</v>
      </c>
    </row>
    <row r="1717" spans="1:22">
      <c r="A1717" s="3">
        <v>1715</v>
      </c>
      <c r="B1717" s="3" t="s">
        <v>769</v>
      </c>
      <c r="C1717" s="3" t="s">
        <v>6058</v>
      </c>
      <c r="D1717" s="3" t="s">
        <v>5990</v>
      </c>
      <c r="E1717" s="3" t="s">
        <v>5991</v>
      </c>
      <c r="F1717" s="3" t="s">
        <v>8367</v>
      </c>
      <c r="G1717" s="3" t="s">
        <v>8645</v>
      </c>
      <c r="H1717" s="3" t="s">
        <v>770</v>
      </c>
      <c r="I1717" s="3" t="s">
        <v>8252</v>
      </c>
      <c r="J1717" s="5" t="s">
        <v>7079</v>
      </c>
      <c r="L1717" s="3" t="s">
        <v>7080</v>
      </c>
      <c r="M1717" s="3">
        <v>14</v>
      </c>
      <c r="N1717" s="4" t="s">
        <v>7076</v>
      </c>
      <c r="O1717" s="4">
        <v>89</v>
      </c>
      <c r="P1717" s="11" t="s">
        <v>9730</v>
      </c>
      <c r="Q1717" s="11" t="s">
        <v>7076</v>
      </c>
      <c r="S1717" s="4" t="b">
        <f>ISNUMBER(MATCH(Q1717,T:T,0))</f>
        <v>1</v>
      </c>
      <c r="T1717" s="4" t="s">
        <v>10351</v>
      </c>
      <c r="U1717" s="4" t="str">
        <f t="shared" si="73"/>
        <v>晧</v>
      </c>
    </row>
    <row r="1718" spans="1:22">
      <c r="A1718" s="3">
        <v>1716</v>
      </c>
      <c r="B1718" s="3" t="s">
        <v>769</v>
      </c>
      <c r="C1718" s="3" t="s">
        <v>6079</v>
      </c>
      <c r="D1718" s="3" t="s">
        <v>5990</v>
      </c>
      <c r="E1718" s="3" t="s">
        <v>5991</v>
      </c>
      <c r="F1718" s="3" t="s">
        <v>8367</v>
      </c>
      <c r="G1718" s="3" t="s">
        <v>8645</v>
      </c>
      <c r="H1718" s="3" t="s">
        <v>7081</v>
      </c>
      <c r="I1718" s="3" t="s">
        <v>8252</v>
      </c>
      <c r="J1718" s="5" t="s">
        <v>7082</v>
      </c>
      <c r="L1718" s="3" t="s">
        <v>7083</v>
      </c>
      <c r="M1718" s="3">
        <v>3</v>
      </c>
      <c r="N1718" s="4" t="s">
        <v>7076</v>
      </c>
      <c r="O1718" s="4">
        <v>89</v>
      </c>
      <c r="P1718" s="11" t="s">
        <v>9736</v>
      </c>
      <c r="Q1718" s="11" t="s">
        <v>10352</v>
      </c>
      <c r="R1718" s="4" t="s">
        <v>13098</v>
      </c>
      <c r="S1718" s="4" t="b">
        <f>ISNUMBER(MATCH(Q1718,T:T,0))</f>
        <v>0</v>
      </c>
      <c r="T1718" s="4" t="s">
        <v>11817</v>
      </c>
      <c r="U1718" s="4" t="str">
        <f t="shared" si="73"/>
        <v>晧</v>
      </c>
      <c r="V1718" s="4" t="b">
        <f>ISNUMBER(MATCH(R1718,T:T,0))</f>
        <v>1</v>
      </c>
    </row>
    <row r="1719" spans="1:22">
      <c r="A1719" s="3">
        <v>1717</v>
      </c>
      <c r="B1719" s="3" t="s">
        <v>769</v>
      </c>
      <c r="C1719" s="3" t="s">
        <v>5997</v>
      </c>
      <c r="D1719" s="3" t="s">
        <v>5990</v>
      </c>
      <c r="E1719" s="3" t="s">
        <v>5991</v>
      </c>
      <c r="F1719" s="3" t="s">
        <v>8367</v>
      </c>
      <c r="G1719" s="3" t="s">
        <v>8645</v>
      </c>
      <c r="H1719" s="3" t="s">
        <v>771</v>
      </c>
      <c r="I1719" s="3" t="s">
        <v>8252</v>
      </c>
      <c r="J1719" s="5" t="s">
        <v>4871</v>
      </c>
      <c r="L1719" s="3" t="s">
        <v>7084</v>
      </c>
      <c r="M1719" s="3">
        <v>7</v>
      </c>
      <c r="N1719" s="4" t="s">
        <v>7076</v>
      </c>
      <c r="O1719" s="4">
        <v>89</v>
      </c>
      <c r="P1719" s="11" t="s">
        <v>9706</v>
      </c>
      <c r="Q1719" s="11" t="s">
        <v>7076</v>
      </c>
      <c r="S1719" s="4" t="b">
        <f>ISNUMBER(MATCH(Q1719,T:T,0))</f>
        <v>1</v>
      </c>
      <c r="T1719" s="4" t="s">
        <v>10354</v>
      </c>
      <c r="U1719" s="4" t="str">
        <f t="shared" si="73"/>
        <v>晧</v>
      </c>
    </row>
    <row r="1720" spans="1:22">
      <c r="A1720" s="3">
        <v>1718</v>
      </c>
      <c r="B1720" s="3" t="s">
        <v>769</v>
      </c>
      <c r="C1720" s="3" t="s">
        <v>6102</v>
      </c>
      <c r="D1720" s="3" t="s">
        <v>5990</v>
      </c>
      <c r="E1720" s="3" t="s">
        <v>5991</v>
      </c>
      <c r="F1720" s="3" t="s">
        <v>8367</v>
      </c>
      <c r="G1720" s="3" t="s">
        <v>8645</v>
      </c>
      <c r="H1720" s="3" t="s">
        <v>772</v>
      </c>
      <c r="I1720" s="3" t="s">
        <v>8252</v>
      </c>
      <c r="J1720" s="5" t="s">
        <v>4872</v>
      </c>
      <c r="L1720" s="3" t="s">
        <v>7055</v>
      </c>
      <c r="M1720" s="3">
        <v>9</v>
      </c>
      <c r="N1720" s="4" t="s">
        <v>7076</v>
      </c>
      <c r="O1720" s="4">
        <v>89</v>
      </c>
      <c r="P1720" s="11" t="s">
        <v>9744</v>
      </c>
      <c r="Q1720" s="11" t="s">
        <v>7076</v>
      </c>
      <c r="S1720" s="4" t="b">
        <f>ISNUMBER(MATCH(Q1720,T:T,0))</f>
        <v>1</v>
      </c>
      <c r="T1720" s="4" t="s">
        <v>11818</v>
      </c>
      <c r="U1720" s="4" t="str">
        <f t="shared" si="73"/>
        <v>晧</v>
      </c>
    </row>
    <row r="1721" spans="1:22">
      <c r="A1721" s="3">
        <v>1719</v>
      </c>
      <c r="B1721" s="3" t="s">
        <v>769</v>
      </c>
      <c r="C1721" s="3" t="s">
        <v>6017</v>
      </c>
      <c r="D1721" s="3" t="s">
        <v>5990</v>
      </c>
      <c r="E1721" s="3" t="s">
        <v>5991</v>
      </c>
      <c r="F1721" s="3" t="s">
        <v>8367</v>
      </c>
      <c r="G1721" s="3" t="s">
        <v>8645</v>
      </c>
      <c r="H1721" s="3" t="s">
        <v>7085</v>
      </c>
      <c r="I1721" s="3" t="s">
        <v>8252</v>
      </c>
      <c r="J1721" s="5" t="s">
        <v>7086</v>
      </c>
      <c r="K1721" s="3" t="s">
        <v>7087</v>
      </c>
      <c r="L1721" s="3" t="s">
        <v>7088</v>
      </c>
      <c r="M1721" s="3">
        <v>7</v>
      </c>
      <c r="N1721" s="4" t="s">
        <v>7076</v>
      </c>
      <c r="O1721" s="4">
        <v>89</v>
      </c>
      <c r="P1721" s="11" t="s">
        <v>9741</v>
      </c>
      <c r="Q1721" s="11" t="s">
        <v>10351</v>
      </c>
      <c r="S1721" s="4" t="b">
        <f>ISNUMBER(MATCH(Q1721,T:T,0))</f>
        <v>1</v>
      </c>
      <c r="T1721" s="4" t="s">
        <v>11819</v>
      </c>
      <c r="U1721" s="4" t="str">
        <f t="shared" si="73"/>
        <v>老</v>
      </c>
    </row>
    <row r="1722" spans="1:22">
      <c r="A1722" s="3">
        <v>1720</v>
      </c>
      <c r="B1722" s="3" t="s">
        <v>769</v>
      </c>
      <c r="C1722" s="3" t="s">
        <v>5989</v>
      </c>
      <c r="D1722" s="3" t="s">
        <v>5990</v>
      </c>
      <c r="E1722" s="3" t="s">
        <v>5991</v>
      </c>
      <c r="F1722" s="3" t="s">
        <v>8367</v>
      </c>
      <c r="G1722" s="3" t="s">
        <v>8645</v>
      </c>
      <c r="H1722" s="3" t="s">
        <v>773</v>
      </c>
      <c r="I1722" s="3" t="s">
        <v>8252</v>
      </c>
      <c r="J1722" s="5" t="s">
        <v>7089</v>
      </c>
      <c r="L1722" s="3" t="s">
        <v>7090</v>
      </c>
      <c r="M1722" s="3">
        <v>11</v>
      </c>
      <c r="N1722" s="4" t="s">
        <v>7076</v>
      </c>
      <c r="O1722" s="4">
        <v>89</v>
      </c>
      <c r="P1722" s="11" t="s">
        <v>9742</v>
      </c>
      <c r="Q1722" s="11" t="s">
        <v>7076</v>
      </c>
      <c r="S1722" s="4" t="b">
        <f>ISNUMBER(MATCH(Q1722,T:T,0))</f>
        <v>1</v>
      </c>
      <c r="T1722" s="4" t="s">
        <v>10652</v>
      </c>
      <c r="U1722" s="4" t="str">
        <f t="shared" si="73"/>
        <v>晧</v>
      </c>
    </row>
    <row r="1723" spans="1:22">
      <c r="A1723" s="3">
        <v>1721</v>
      </c>
      <c r="B1723" s="3" t="s">
        <v>769</v>
      </c>
      <c r="C1723" s="3" t="s">
        <v>6076</v>
      </c>
      <c r="D1723" s="3" t="s">
        <v>5990</v>
      </c>
      <c r="E1723" s="3" t="s">
        <v>5991</v>
      </c>
      <c r="F1723" s="3" t="s">
        <v>8367</v>
      </c>
      <c r="G1723" s="3" t="s">
        <v>8645</v>
      </c>
      <c r="H1723" s="3" t="s">
        <v>7091</v>
      </c>
      <c r="I1723" s="3" t="s">
        <v>8252</v>
      </c>
      <c r="J1723" s="5" t="s">
        <v>4873</v>
      </c>
      <c r="L1723" s="3" t="s">
        <v>7092</v>
      </c>
      <c r="M1723" s="3">
        <v>7</v>
      </c>
      <c r="N1723" s="4" t="s">
        <v>7076</v>
      </c>
      <c r="O1723" s="4">
        <v>89</v>
      </c>
      <c r="P1723" s="11" t="s">
        <v>10254</v>
      </c>
      <c r="Q1723" s="11" t="s">
        <v>10351</v>
      </c>
      <c r="S1723" s="4" t="b">
        <f>ISNUMBER(MATCH(Q1723,T:T,0))</f>
        <v>1</v>
      </c>
      <c r="T1723" s="4" t="s">
        <v>11820</v>
      </c>
      <c r="U1723" s="4" t="str">
        <f t="shared" si="73"/>
        <v>老</v>
      </c>
    </row>
    <row r="1724" spans="1:22">
      <c r="A1724" s="3">
        <v>1722</v>
      </c>
      <c r="B1724" s="3" t="s">
        <v>769</v>
      </c>
      <c r="C1724" s="3" t="s">
        <v>6083</v>
      </c>
      <c r="D1724" s="3" t="s">
        <v>5990</v>
      </c>
      <c r="E1724" s="3" t="s">
        <v>5991</v>
      </c>
      <c r="F1724" s="3" t="s">
        <v>8367</v>
      </c>
      <c r="G1724" s="3" t="s">
        <v>8645</v>
      </c>
      <c r="H1724" s="3" t="s">
        <v>774</v>
      </c>
      <c r="I1724" s="3" t="s">
        <v>8252</v>
      </c>
      <c r="J1724" s="5" t="s">
        <v>4874</v>
      </c>
      <c r="L1724" s="3" t="s">
        <v>7093</v>
      </c>
      <c r="M1724" s="3">
        <v>12</v>
      </c>
      <c r="N1724" s="4" t="s">
        <v>7076</v>
      </c>
      <c r="O1724" s="4">
        <v>89</v>
      </c>
      <c r="P1724" s="11" t="s">
        <v>9737</v>
      </c>
      <c r="Q1724" s="11" t="s">
        <v>7076</v>
      </c>
      <c r="S1724" s="4" t="b">
        <f>ISNUMBER(MATCH(Q1724,T:T,0))</f>
        <v>1</v>
      </c>
      <c r="T1724" s="4" t="s">
        <v>10353</v>
      </c>
      <c r="U1724" s="4" t="str">
        <f t="shared" si="73"/>
        <v>晧</v>
      </c>
    </row>
    <row r="1725" spans="1:22">
      <c r="A1725" s="3">
        <v>1723</v>
      </c>
      <c r="B1725" s="3" t="s">
        <v>769</v>
      </c>
      <c r="C1725" s="3" t="s">
        <v>6069</v>
      </c>
      <c r="D1725" s="3" t="s">
        <v>5990</v>
      </c>
      <c r="E1725" s="3" t="s">
        <v>5991</v>
      </c>
      <c r="F1725" s="3" t="s">
        <v>8367</v>
      </c>
      <c r="G1725" s="3" t="s">
        <v>8645</v>
      </c>
      <c r="H1725" s="3" t="s">
        <v>7094</v>
      </c>
      <c r="I1725" s="3" t="s">
        <v>8252</v>
      </c>
      <c r="J1725" s="5" t="s">
        <v>4875</v>
      </c>
      <c r="L1725" s="3" t="s">
        <v>7095</v>
      </c>
      <c r="M1725" s="3">
        <v>4</v>
      </c>
      <c r="N1725" s="4" t="s">
        <v>7076</v>
      </c>
      <c r="O1725" s="4">
        <v>89</v>
      </c>
      <c r="P1725" s="11" t="s">
        <v>9880</v>
      </c>
      <c r="Q1725" s="11" t="s">
        <v>10353</v>
      </c>
      <c r="S1725" s="4" t="b">
        <f>ISNUMBER(MATCH(Q1725,T:T,0))</f>
        <v>1</v>
      </c>
      <c r="T1725" s="4" t="s">
        <v>11821</v>
      </c>
      <c r="U1725" s="4" t="str">
        <f t="shared" si="73"/>
        <v>早</v>
      </c>
    </row>
    <row r="1726" spans="1:22">
      <c r="A1726" s="3">
        <v>1724</v>
      </c>
      <c r="B1726" s="3" t="s">
        <v>769</v>
      </c>
      <c r="C1726" s="3" t="s">
        <v>6025</v>
      </c>
      <c r="D1726" s="3" t="s">
        <v>5990</v>
      </c>
      <c r="E1726" s="3" t="s">
        <v>5991</v>
      </c>
      <c r="F1726" s="3" t="s">
        <v>8367</v>
      </c>
      <c r="G1726" s="3" t="s">
        <v>8645</v>
      </c>
      <c r="H1726" s="3" t="s">
        <v>7096</v>
      </c>
      <c r="I1726" s="3" t="s">
        <v>8252</v>
      </c>
      <c r="J1726" s="5" t="s">
        <v>4876</v>
      </c>
      <c r="L1726" s="3" t="s">
        <v>7097</v>
      </c>
      <c r="M1726" s="3">
        <v>11</v>
      </c>
      <c r="N1726" s="4" t="s">
        <v>7076</v>
      </c>
      <c r="O1726" s="4">
        <v>89</v>
      </c>
      <c r="P1726" s="11" t="s">
        <v>9729</v>
      </c>
      <c r="Q1726" s="11" t="s">
        <v>10351</v>
      </c>
      <c r="S1726" s="4" t="b">
        <f>ISNUMBER(MATCH(Q1726,T:T,0))</f>
        <v>1</v>
      </c>
      <c r="T1726" s="4" t="s">
        <v>11822</v>
      </c>
      <c r="U1726" s="4" t="str">
        <f t="shared" si="73"/>
        <v>老</v>
      </c>
    </row>
    <row r="1727" spans="1:22">
      <c r="A1727" s="3">
        <v>1725</v>
      </c>
      <c r="B1727" s="3" t="s">
        <v>769</v>
      </c>
      <c r="C1727" s="3" t="s">
        <v>6089</v>
      </c>
      <c r="D1727" s="3" t="s">
        <v>5990</v>
      </c>
      <c r="E1727" s="3" t="s">
        <v>5991</v>
      </c>
      <c r="F1727" s="3" t="s">
        <v>8367</v>
      </c>
      <c r="G1727" s="3" t="s">
        <v>8645</v>
      </c>
      <c r="H1727" s="3" t="s">
        <v>775</v>
      </c>
      <c r="I1727" s="3" t="s">
        <v>8252</v>
      </c>
      <c r="J1727" s="5" t="s">
        <v>7098</v>
      </c>
      <c r="L1727" s="3" t="s">
        <v>7099</v>
      </c>
      <c r="M1727" s="3">
        <v>2</v>
      </c>
      <c r="N1727" s="4" t="s">
        <v>7076</v>
      </c>
      <c r="O1727" s="4">
        <v>89</v>
      </c>
      <c r="P1727" s="11" t="s">
        <v>9739</v>
      </c>
      <c r="Q1727" s="11" t="s">
        <v>7076</v>
      </c>
      <c r="S1727" s="4" t="b">
        <f>ISNUMBER(MATCH(Q1727,T:T,0))</f>
        <v>1</v>
      </c>
      <c r="T1727" s="4" t="s">
        <v>11823</v>
      </c>
      <c r="U1727" s="4" t="str">
        <f t="shared" si="73"/>
        <v>晧</v>
      </c>
    </row>
    <row r="1728" spans="1:22">
      <c r="A1728" s="3">
        <v>1726</v>
      </c>
      <c r="B1728" s="3" t="s">
        <v>769</v>
      </c>
      <c r="C1728" s="3" t="s">
        <v>6035</v>
      </c>
      <c r="D1728" s="3" t="s">
        <v>5990</v>
      </c>
      <c r="E1728" s="3" t="s">
        <v>5991</v>
      </c>
      <c r="F1728" s="3" t="s">
        <v>8367</v>
      </c>
      <c r="G1728" s="3" t="s">
        <v>8645</v>
      </c>
      <c r="H1728" s="3" t="s">
        <v>7100</v>
      </c>
      <c r="I1728" s="3" t="s">
        <v>8252</v>
      </c>
      <c r="J1728" s="5" t="s">
        <v>4877</v>
      </c>
      <c r="L1728" s="3" t="s">
        <v>7057</v>
      </c>
      <c r="M1728" s="3">
        <v>4</v>
      </c>
      <c r="N1728" s="4" t="s">
        <v>7076</v>
      </c>
      <c r="O1728" s="4">
        <v>89</v>
      </c>
      <c r="P1728" s="11" t="s">
        <v>9794</v>
      </c>
      <c r="Q1728" s="11" t="s">
        <v>10354</v>
      </c>
      <c r="S1728" s="4" t="b">
        <f>ISNUMBER(MATCH(Q1728,T:T,0))</f>
        <v>1</v>
      </c>
      <c r="T1728" s="4" t="s">
        <v>11824</v>
      </c>
      <c r="U1728" s="4" t="str">
        <f t="shared" si="73"/>
        <v>道</v>
      </c>
    </row>
    <row r="1729" spans="1:22">
      <c r="A1729" s="3">
        <v>1727</v>
      </c>
      <c r="B1729" s="3" t="s">
        <v>769</v>
      </c>
      <c r="C1729" s="3" t="s">
        <v>6049</v>
      </c>
      <c r="D1729" s="3" t="s">
        <v>5990</v>
      </c>
      <c r="E1729" s="3" t="s">
        <v>5991</v>
      </c>
      <c r="F1729" s="3" t="s">
        <v>8367</v>
      </c>
      <c r="G1729" s="3" t="s">
        <v>8645</v>
      </c>
      <c r="H1729" s="3" t="s">
        <v>7101</v>
      </c>
      <c r="I1729" s="3" t="s">
        <v>8252</v>
      </c>
      <c r="J1729" s="5" t="s">
        <v>4878</v>
      </c>
      <c r="L1729" s="3" t="s">
        <v>7052</v>
      </c>
      <c r="M1729" s="3">
        <v>15</v>
      </c>
      <c r="N1729" s="4" t="s">
        <v>7076</v>
      </c>
      <c r="O1729" s="4">
        <v>89</v>
      </c>
      <c r="P1729" s="11" t="s">
        <v>9770</v>
      </c>
      <c r="Q1729" s="11" t="s">
        <v>7078</v>
      </c>
      <c r="S1729" s="4" t="b">
        <f>ISNUMBER(MATCH(Q1729,T:T,0))</f>
        <v>1</v>
      </c>
      <c r="T1729" s="4" t="s">
        <v>11825</v>
      </c>
      <c r="U1729" s="4" t="str">
        <f t="shared" si="73"/>
        <v>抱</v>
      </c>
    </row>
    <row r="1730" spans="1:22">
      <c r="A1730" s="3">
        <v>1728</v>
      </c>
      <c r="B1730" s="3" t="s">
        <v>769</v>
      </c>
      <c r="C1730" s="3" t="s">
        <v>6072</v>
      </c>
      <c r="D1730" s="3" t="s">
        <v>5990</v>
      </c>
      <c r="E1730" s="3" t="s">
        <v>5991</v>
      </c>
      <c r="F1730" s="3" t="s">
        <v>8367</v>
      </c>
      <c r="G1730" s="3" t="s">
        <v>8645</v>
      </c>
      <c r="H1730" s="3" t="s">
        <v>776</v>
      </c>
      <c r="I1730" s="3" t="s">
        <v>8252</v>
      </c>
      <c r="J1730" s="5" t="s">
        <v>4879</v>
      </c>
      <c r="L1730" s="3" t="s">
        <v>7102</v>
      </c>
      <c r="M1730" s="3">
        <v>14</v>
      </c>
      <c r="N1730" s="4" t="s">
        <v>7076</v>
      </c>
      <c r="O1730" s="4">
        <v>89</v>
      </c>
      <c r="P1730" s="11" t="s">
        <v>9734</v>
      </c>
      <c r="Q1730" s="11" t="s">
        <v>7076</v>
      </c>
      <c r="S1730" s="4" t="b">
        <f>ISNUMBER(MATCH(Q1730,T:T,0))</f>
        <v>1</v>
      </c>
      <c r="T1730" s="4" t="s">
        <v>11826</v>
      </c>
      <c r="U1730" s="4" t="str">
        <f t="shared" si="73"/>
        <v>晧</v>
      </c>
    </row>
    <row r="1731" spans="1:22" ht="39">
      <c r="A1731" s="3">
        <v>1729</v>
      </c>
      <c r="B1731" s="3" t="s">
        <v>769</v>
      </c>
      <c r="C1731" s="3" t="s">
        <v>6038</v>
      </c>
      <c r="D1731" s="3" t="s">
        <v>5990</v>
      </c>
      <c r="E1731" s="3" t="s">
        <v>5991</v>
      </c>
      <c r="F1731" s="3" t="s">
        <v>8367</v>
      </c>
      <c r="G1731" s="3" t="s">
        <v>8645</v>
      </c>
      <c r="H1731" s="3" t="s">
        <v>7103</v>
      </c>
      <c r="I1731" s="3" t="s">
        <v>8252</v>
      </c>
      <c r="J1731" s="5" t="s">
        <v>4880</v>
      </c>
      <c r="L1731" s="3" t="s">
        <v>7104</v>
      </c>
      <c r="M1731" s="3">
        <v>10</v>
      </c>
      <c r="N1731" s="4" t="s">
        <v>7076</v>
      </c>
      <c r="O1731" s="4">
        <v>89</v>
      </c>
      <c r="P1731" s="11" t="s">
        <v>9728</v>
      </c>
      <c r="Q1731" s="11" t="s">
        <v>10352</v>
      </c>
      <c r="R1731" s="4" t="s">
        <v>13098</v>
      </c>
      <c r="S1731" s="4" t="b">
        <f>ISNUMBER(MATCH(Q1731,T:T,0))</f>
        <v>0</v>
      </c>
      <c r="T1731" s="4" t="s">
        <v>11827</v>
      </c>
      <c r="U1731" s="4" t="str">
        <f t="shared" ref="U1731:U1794" si="76">IF(ISBLANK(R1731),Q1731,R1731)</f>
        <v>晧</v>
      </c>
      <c r="V1731" s="4" t="b">
        <f>ISNUMBER(MATCH(R1731,T:T,0))</f>
        <v>1</v>
      </c>
    </row>
    <row r="1732" spans="1:22">
      <c r="A1732" s="3">
        <v>1730</v>
      </c>
      <c r="B1732" s="3" t="s">
        <v>769</v>
      </c>
      <c r="C1732" s="3" t="s">
        <v>6092</v>
      </c>
      <c r="D1732" s="3" t="s">
        <v>5990</v>
      </c>
      <c r="E1732" s="3" t="s">
        <v>5991</v>
      </c>
      <c r="F1732" s="3" t="s">
        <v>8367</v>
      </c>
      <c r="G1732" s="3" t="s">
        <v>8645</v>
      </c>
      <c r="H1732" s="3" t="s">
        <v>7105</v>
      </c>
      <c r="I1732" s="3" t="s">
        <v>8252</v>
      </c>
      <c r="J1732" s="5" t="s">
        <v>7106</v>
      </c>
      <c r="L1732" s="3" t="s">
        <v>7102</v>
      </c>
      <c r="M1732" s="3">
        <v>2</v>
      </c>
      <c r="N1732" s="4" t="s">
        <v>7076</v>
      </c>
      <c r="O1732" s="4">
        <v>89</v>
      </c>
      <c r="P1732" s="11" t="s">
        <v>9740</v>
      </c>
      <c r="Q1732" s="11" t="s">
        <v>10351</v>
      </c>
      <c r="S1732" s="4" t="b">
        <f>ISNUMBER(MATCH(Q1732,T:T,0))</f>
        <v>1</v>
      </c>
      <c r="T1732" s="4" t="s">
        <v>11828</v>
      </c>
      <c r="U1732" s="4" t="str">
        <f t="shared" si="76"/>
        <v>老</v>
      </c>
    </row>
    <row r="1733" spans="1:22">
      <c r="A1733" s="3">
        <v>1731</v>
      </c>
      <c r="B1733" s="3" t="s">
        <v>7107</v>
      </c>
      <c r="C1733" s="3" t="s">
        <v>6025</v>
      </c>
      <c r="D1733" s="3" t="s">
        <v>5990</v>
      </c>
      <c r="E1733" s="3" t="s">
        <v>5991</v>
      </c>
      <c r="F1733" s="3" t="s">
        <v>4547</v>
      </c>
      <c r="G1733" s="3" t="s">
        <v>8645</v>
      </c>
      <c r="H1733" s="3" t="s">
        <v>7108</v>
      </c>
      <c r="I1733" s="3" t="s">
        <v>4549</v>
      </c>
      <c r="J1733" s="5" t="s">
        <v>7109</v>
      </c>
      <c r="L1733" s="3" t="s">
        <v>7110</v>
      </c>
      <c r="M1733" s="3">
        <v>4</v>
      </c>
      <c r="N1733" s="4" t="s">
        <v>7111</v>
      </c>
      <c r="O1733" s="4">
        <v>90</v>
      </c>
      <c r="P1733" s="11" t="s">
        <v>9729</v>
      </c>
      <c r="Q1733" s="11" t="s">
        <v>10355</v>
      </c>
      <c r="S1733" s="4" t="b">
        <f>ISNUMBER(MATCH(Q1733,T:T,0))</f>
        <v>1</v>
      </c>
      <c r="T1733" s="4" t="s">
        <v>7111</v>
      </c>
      <c r="U1733" s="4" t="str">
        <f t="shared" si="76"/>
        <v>我</v>
      </c>
    </row>
    <row r="1734" spans="1:22">
      <c r="A1734" s="3">
        <v>1732</v>
      </c>
      <c r="B1734" s="3" t="s">
        <v>7107</v>
      </c>
      <c r="C1734" s="3" t="s">
        <v>6076</v>
      </c>
      <c r="D1734" s="3" t="s">
        <v>5990</v>
      </c>
      <c r="E1734" s="3" t="s">
        <v>5991</v>
      </c>
      <c r="F1734" s="3" t="s">
        <v>4547</v>
      </c>
      <c r="G1734" s="3" t="s">
        <v>8645</v>
      </c>
      <c r="H1734" s="3" t="s">
        <v>7112</v>
      </c>
      <c r="I1734" s="3" t="s">
        <v>4549</v>
      </c>
      <c r="J1734" s="5" t="s">
        <v>7113</v>
      </c>
      <c r="L1734" s="3" t="s">
        <v>7114</v>
      </c>
      <c r="M1734" s="3">
        <v>3</v>
      </c>
      <c r="N1734" s="4" t="s">
        <v>7111</v>
      </c>
      <c r="O1734" s="4">
        <v>90</v>
      </c>
      <c r="P1734" s="11" t="s">
        <v>10150</v>
      </c>
      <c r="Q1734" s="11" t="s">
        <v>9987</v>
      </c>
      <c r="S1734" s="4" t="b">
        <f>ISNUMBER(MATCH(Q1734,T:T,0))</f>
        <v>1</v>
      </c>
      <c r="T1734" s="4" t="s">
        <v>11829</v>
      </c>
      <c r="U1734" s="4" t="str">
        <f t="shared" si="76"/>
        <v>可</v>
      </c>
    </row>
    <row r="1735" spans="1:22">
      <c r="A1735" s="3">
        <v>1733</v>
      </c>
      <c r="B1735" s="3" t="s">
        <v>7107</v>
      </c>
      <c r="C1735" s="3" t="s">
        <v>5989</v>
      </c>
      <c r="D1735" s="3" t="s">
        <v>5990</v>
      </c>
      <c r="E1735" s="3" t="s">
        <v>5991</v>
      </c>
      <c r="F1735" s="3" t="s">
        <v>4547</v>
      </c>
      <c r="G1735" s="3" t="s">
        <v>8645</v>
      </c>
      <c r="H1735" s="3" t="s">
        <v>7115</v>
      </c>
      <c r="I1735" s="3" t="s">
        <v>4549</v>
      </c>
      <c r="J1735" s="5" t="s">
        <v>7116</v>
      </c>
      <c r="K1735" s="3" t="s">
        <v>7117</v>
      </c>
      <c r="L1735" s="3" t="s">
        <v>7118</v>
      </c>
      <c r="M1735" s="3">
        <v>5</v>
      </c>
      <c r="N1735" s="4" t="s">
        <v>7111</v>
      </c>
      <c r="O1735" s="4">
        <v>90</v>
      </c>
      <c r="P1735" s="11" t="s">
        <v>9822</v>
      </c>
      <c r="Q1735" s="11" t="s">
        <v>9987</v>
      </c>
      <c r="S1735" s="4" t="b">
        <f>ISNUMBER(MATCH(Q1735,T:T,0))</f>
        <v>1</v>
      </c>
      <c r="T1735" s="4" t="s">
        <v>11830</v>
      </c>
      <c r="U1735" s="4" t="str">
        <f t="shared" si="76"/>
        <v>可</v>
      </c>
    </row>
    <row r="1736" spans="1:22">
      <c r="A1736" s="3">
        <v>1734</v>
      </c>
      <c r="B1736" s="3" t="s">
        <v>7107</v>
      </c>
      <c r="C1736" s="3" t="s">
        <v>6017</v>
      </c>
      <c r="D1736" s="3" t="s">
        <v>5990</v>
      </c>
      <c r="E1736" s="3" t="s">
        <v>5991</v>
      </c>
      <c r="F1736" s="3" t="s">
        <v>4547</v>
      </c>
      <c r="G1736" s="3" t="s">
        <v>8645</v>
      </c>
      <c r="H1736" s="3" t="s">
        <v>7119</v>
      </c>
      <c r="I1736" s="3" t="s">
        <v>4549</v>
      </c>
      <c r="J1736" s="5" t="s">
        <v>4881</v>
      </c>
      <c r="L1736" s="3" t="s">
        <v>7120</v>
      </c>
      <c r="M1736" s="3">
        <v>3</v>
      </c>
      <c r="N1736" s="4" t="s">
        <v>7111</v>
      </c>
      <c r="O1736" s="4">
        <v>90</v>
      </c>
      <c r="P1736" s="11" t="s">
        <v>9741</v>
      </c>
      <c r="Q1736" s="11" t="s">
        <v>9987</v>
      </c>
      <c r="S1736" s="4" t="b">
        <f>ISNUMBER(MATCH(Q1736,T:T,0))</f>
        <v>1</v>
      </c>
      <c r="T1736" s="4" t="s">
        <v>11831</v>
      </c>
      <c r="U1736" s="4" t="str">
        <f t="shared" si="76"/>
        <v>可</v>
      </c>
    </row>
    <row r="1737" spans="1:22">
      <c r="A1737" s="3">
        <v>1735</v>
      </c>
      <c r="B1737" s="3" t="s">
        <v>7107</v>
      </c>
      <c r="C1737" s="3" t="s">
        <v>5997</v>
      </c>
      <c r="D1737" s="3" t="s">
        <v>5990</v>
      </c>
      <c r="E1737" s="3" t="s">
        <v>5991</v>
      </c>
      <c r="F1737" s="3" t="s">
        <v>4547</v>
      </c>
      <c r="G1737" s="3" t="s">
        <v>8645</v>
      </c>
      <c r="H1737" s="3" t="s">
        <v>7121</v>
      </c>
      <c r="I1737" s="3" t="s">
        <v>4549</v>
      </c>
      <c r="J1737" s="5" t="s">
        <v>4882</v>
      </c>
      <c r="L1737" s="3" t="s">
        <v>7122</v>
      </c>
      <c r="M1737" s="3">
        <v>9</v>
      </c>
      <c r="N1737" s="4" t="s">
        <v>7111</v>
      </c>
      <c r="O1737" s="4">
        <v>90</v>
      </c>
      <c r="P1737" s="11" t="s">
        <v>9706</v>
      </c>
      <c r="Q1737" s="11" t="s">
        <v>9987</v>
      </c>
      <c r="S1737" s="4" t="b">
        <f>ISNUMBER(MATCH(Q1737,T:T,0))</f>
        <v>1</v>
      </c>
      <c r="T1737" s="4" t="s">
        <v>11832</v>
      </c>
      <c r="U1737" s="4" t="str">
        <f t="shared" si="76"/>
        <v>可</v>
      </c>
    </row>
    <row r="1738" spans="1:22">
      <c r="A1738" s="3">
        <v>1736</v>
      </c>
      <c r="B1738" s="3" t="s">
        <v>7107</v>
      </c>
      <c r="C1738" s="3" t="s">
        <v>6092</v>
      </c>
      <c r="D1738" s="3" t="s">
        <v>5990</v>
      </c>
      <c r="E1738" s="3" t="s">
        <v>5991</v>
      </c>
      <c r="F1738" s="3" t="s">
        <v>4547</v>
      </c>
      <c r="G1738" s="3" t="s">
        <v>8645</v>
      </c>
      <c r="H1738" s="3" t="s">
        <v>7123</v>
      </c>
      <c r="I1738" s="3" t="s">
        <v>4549</v>
      </c>
      <c r="J1738" s="5" t="s">
        <v>4883</v>
      </c>
      <c r="L1738" s="3" t="s">
        <v>7124</v>
      </c>
      <c r="M1738" s="3">
        <v>5</v>
      </c>
      <c r="N1738" s="4" t="s">
        <v>7111</v>
      </c>
      <c r="O1738" s="4">
        <v>90</v>
      </c>
      <c r="P1738" s="11" t="s">
        <v>9740</v>
      </c>
      <c r="Q1738" s="11" t="s">
        <v>9987</v>
      </c>
      <c r="S1738" s="4" t="b">
        <f>ISNUMBER(MATCH(Q1738,T:T,0))</f>
        <v>1</v>
      </c>
      <c r="T1738" s="4" t="s">
        <v>10355</v>
      </c>
      <c r="U1738" s="4" t="str">
        <f t="shared" si="76"/>
        <v>可</v>
      </c>
    </row>
    <row r="1739" spans="1:22">
      <c r="A1739" s="3">
        <v>1737</v>
      </c>
      <c r="B1739" s="3" t="s">
        <v>7107</v>
      </c>
      <c r="C1739" s="3" t="s">
        <v>6079</v>
      </c>
      <c r="D1739" s="3" t="s">
        <v>5990</v>
      </c>
      <c r="E1739" s="3" t="s">
        <v>5991</v>
      </c>
      <c r="F1739" s="3" t="s">
        <v>4547</v>
      </c>
      <c r="G1739" s="3" t="s">
        <v>8645</v>
      </c>
      <c r="H1739" s="3" t="s">
        <v>7125</v>
      </c>
      <c r="I1739" s="3" t="s">
        <v>4549</v>
      </c>
      <c r="J1739" s="5" t="s">
        <v>7126</v>
      </c>
      <c r="L1739" s="3" t="s">
        <v>7127</v>
      </c>
      <c r="M1739" s="3">
        <v>1</v>
      </c>
      <c r="N1739" s="4" t="s">
        <v>7111</v>
      </c>
      <c r="O1739" s="4">
        <v>90</v>
      </c>
      <c r="P1739" s="11" t="s">
        <v>9967</v>
      </c>
      <c r="Q1739" s="11" t="s">
        <v>9987</v>
      </c>
      <c r="S1739" s="4" t="b">
        <f>ISNUMBER(MATCH(Q1739,T:T,0))</f>
        <v>1</v>
      </c>
      <c r="T1739" s="4" t="s">
        <v>7126</v>
      </c>
      <c r="U1739" s="4" t="str">
        <f t="shared" si="76"/>
        <v>可</v>
      </c>
    </row>
    <row r="1740" spans="1:22">
      <c r="A1740" s="3">
        <v>1738</v>
      </c>
      <c r="B1740" s="3" t="s">
        <v>7107</v>
      </c>
      <c r="C1740" s="3" t="s">
        <v>6058</v>
      </c>
      <c r="D1740" s="3" t="s">
        <v>5990</v>
      </c>
      <c r="E1740" s="3" t="s">
        <v>5991</v>
      </c>
      <c r="F1740" s="3" t="s">
        <v>4547</v>
      </c>
      <c r="G1740" s="3" t="s">
        <v>8645</v>
      </c>
      <c r="H1740" s="3" t="s">
        <v>7128</v>
      </c>
      <c r="I1740" s="3" t="s">
        <v>4549</v>
      </c>
      <c r="J1740" s="5" t="s">
        <v>4884</v>
      </c>
      <c r="L1740" s="3" t="s">
        <v>7129</v>
      </c>
      <c r="M1740" s="3">
        <v>9</v>
      </c>
      <c r="N1740" s="4" t="s">
        <v>7111</v>
      </c>
      <c r="O1740" s="4">
        <v>90</v>
      </c>
      <c r="P1740" s="11" t="s">
        <v>6058</v>
      </c>
      <c r="Q1740" s="11" t="s">
        <v>9987</v>
      </c>
      <c r="S1740" s="4" t="b">
        <f>ISNUMBER(MATCH(Q1740,T:T,0))</f>
        <v>1</v>
      </c>
      <c r="T1740" s="4" t="s">
        <v>11833</v>
      </c>
      <c r="U1740" s="4" t="str">
        <f t="shared" si="76"/>
        <v>可</v>
      </c>
    </row>
    <row r="1741" spans="1:22">
      <c r="A1741" s="3">
        <v>1739</v>
      </c>
      <c r="B1741" s="3" t="s">
        <v>7107</v>
      </c>
      <c r="C1741" s="3" t="s">
        <v>6102</v>
      </c>
      <c r="D1741" s="3" t="s">
        <v>5990</v>
      </c>
      <c r="E1741" s="3" t="s">
        <v>5991</v>
      </c>
      <c r="F1741" s="3" t="s">
        <v>4547</v>
      </c>
      <c r="G1741" s="3" t="s">
        <v>8645</v>
      </c>
      <c r="H1741" s="3" t="s">
        <v>7130</v>
      </c>
      <c r="I1741" s="3" t="s">
        <v>4549</v>
      </c>
      <c r="J1741" s="5" t="s">
        <v>7131</v>
      </c>
      <c r="L1741" s="3" t="s">
        <v>7132</v>
      </c>
      <c r="M1741" s="3">
        <v>6</v>
      </c>
      <c r="N1741" s="4" t="s">
        <v>7111</v>
      </c>
      <c r="O1741" s="4">
        <v>90</v>
      </c>
      <c r="P1741" s="11" t="s">
        <v>9744</v>
      </c>
      <c r="Q1741" s="11" t="s">
        <v>9987</v>
      </c>
      <c r="S1741" s="4" t="b">
        <f>ISNUMBER(MATCH(Q1741,T:T,0))</f>
        <v>1</v>
      </c>
      <c r="T1741" s="4" t="s">
        <v>11834</v>
      </c>
      <c r="U1741" s="4" t="str">
        <f t="shared" si="76"/>
        <v>可</v>
      </c>
    </row>
    <row r="1742" spans="1:22">
      <c r="A1742" s="3">
        <v>1740</v>
      </c>
      <c r="B1742" s="3" t="s">
        <v>7107</v>
      </c>
      <c r="C1742" s="3" t="s">
        <v>6067</v>
      </c>
      <c r="D1742" s="3" t="s">
        <v>5990</v>
      </c>
      <c r="E1742" s="3" t="s">
        <v>5991</v>
      </c>
      <c r="F1742" s="3" t="s">
        <v>4547</v>
      </c>
      <c r="G1742" s="3" t="s">
        <v>8645</v>
      </c>
      <c r="H1742" s="3" t="s">
        <v>7133</v>
      </c>
      <c r="I1742" s="3" t="s">
        <v>4549</v>
      </c>
      <c r="J1742" s="5" t="s">
        <v>7134</v>
      </c>
      <c r="L1742" s="3" t="s">
        <v>7135</v>
      </c>
      <c r="M1742" s="3">
        <v>2</v>
      </c>
      <c r="N1742" s="4" t="s">
        <v>7111</v>
      </c>
      <c r="O1742" s="4">
        <v>90</v>
      </c>
      <c r="P1742" s="11" t="s">
        <v>9870</v>
      </c>
      <c r="Q1742" s="11" t="s">
        <v>9987</v>
      </c>
      <c r="S1742" s="4" t="b">
        <f>ISNUMBER(MATCH(Q1742,T:T,0))</f>
        <v>1</v>
      </c>
      <c r="T1742" s="4" t="s">
        <v>11835</v>
      </c>
      <c r="U1742" s="4" t="str">
        <f t="shared" si="76"/>
        <v>可</v>
      </c>
    </row>
    <row r="1743" spans="1:22">
      <c r="A1743" s="3">
        <v>1741</v>
      </c>
      <c r="B1743" s="3" t="s">
        <v>7107</v>
      </c>
      <c r="C1743" s="3" t="s">
        <v>6089</v>
      </c>
      <c r="D1743" s="3" t="s">
        <v>5990</v>
      </c>
      <c r="E1743" s="3" t="s">
        <v>5991</v>
      </c>
      <c r="F1743" s="3" t="s">
        <v>4547</v>
      </c>
      <c r="G1743" s="3" t="s">
        <v>8645</v>
      </c>
      <c r="H1743" s="7" t="s">
        <v>777</v>
      </c>
      <c r="I1743" s="3" t="s">
        <v>4549</v>
      </c>
      <c r="J1743" s="5" t="s">
        <v>7136</v>
      </c>
      <c r="L1743" s="3" t="s">
        <v>7137</v>
      </c>
      <c r="M1743" s="3">
        <v>5</v>
      </c>
      <c r="N1743" s="4" t="s">
        <v>7111</v>
      </c>
      <c r="O1743" s="4">
        <v>90</v>
      </c>
      <c r="P1743" s="11" t="s">
        <v>9958</v>
      </c>
      <c r="Q1743" s="11" t="s">
        <v>10355</v>
      </c>
      <c r="S1743" s="4" t="b">
        <f>ISNUMBER(MATCH(Q1743,T:T,0))</f>
        <v>1</v>
      </c>
      <c r="T1743" s="4" t="s">
        <v>11836</v>
      </c>
      <c r="U1743" s="4" t="str">
        <f t="shared" si="76"/>
        <v>我</v>
      </c>
    </row>
    <row r="1744" spans="1:22">
      <c r="A1744" s="3">
        <v>1742</v>
      </c>
      <c r="B1744" s="3" t="s">
        <v>7107</v>
      </c>
      <c r="C1744" s="3" t="s">
        <v>6038</v>
      </c>
      <c r="D1744" s="3" t="s">
        <v>5990</v>
      </c>
      <c r="E1744" s="3" t="s">
        <v>5991</v>
      </c>
      <c r="F1744" s="3" t="s">
        <v>4547</v>
      </c>
      <c r="G1744" s="3" t="s">
        <v>8645</v>
      </c>
      <c r="H1744" s="3" t="s">
        <v>7138</v>
      </c>
      <c r="I1744" s="3" t="s">
        <v>4549</v>
      </c>
      <c r="J1744" s="5" t="s">
        <v>7139</v>
      </c>
      <c r="L1744" s="3" t="s">
        <v>7140</v>
      </c>
      <c r="M1744" s="3">
        <v>4</v>
      </c>
      <c r="N1744" s="4" t="s">
        <v>7111</v>
      </c>
      <c r="O1744" s="4">
        <v>90</v>
      </c>
      <c r="P1744" s="11" t="s">
        <v>10356</v>
      </c>
      <c r="Q1744" s="11" t="s">
        <v>10355</v>
      </c>
      <c r="S1744" s="4" t="b">
        <f>ISNUMBER(MATCH(Q1744,T:T,0))</f>
        <v>1</v>
      </c>
      <c r="T1744" s="4" t="s">
        <v>9987</v>
      </c>
      <c r="U1744" s="4" t="str">
        <f t="shared" si="76"/>
        <v>我</v>
      </c>
    </row>
    <row r="1745" spans="1:21">
      <c r="A1745" s="3">
        <v>1743</v>
      </c>
      <c r="B1745" s="3" t="s">
        <v>7107</v>
      </c>
      <c r="C1745" s="3" t="s">
        <v>6072</v>
      </c>
      <c r="D1745" s="3" t="s">
        <v>5990</v>
      </c>
      <c r="E1745" s="3" t="s">
        <v>5991</v>
      </c>
      <c r="F1745" s="3" t="s">
        <v>4547</v>
      </c>
      <c r="G1745" s="3" t="s">
        <v>8645</v>
      </c>
      <c r="H1745" s="3" t="s">
        <v>7141</v>
      </c>
      <c r="I1745" s="3" t="s">
        <v>4549</v>
      </c>
      <c r="J1745" s="5" t="s">
        <v>4885</v>
      </c>
      <c r="L1745" s="3" t="s">
        <v>7124</v>
      </c>
      <c r="M1745" s="3">
        <v>7</v>
      </c>
      <c r="N1745" s="4" t="s">
        <v>7111</v>
      </c>
      <c r="O1745" s="4">
        <v>90</v>
      </c>
      <c r="P1745" s="11" t="s">
        <v>9734</v>
      </c>
      <c r="Q1745" s="11" t="s">
        <v>9987</v>
      </c>
      <c r="S1745" s="4" t="b">
        <f>ISNUMBER(MATCH(Q1745,T:T,0))</f>
        <v>1</v>
      </c>
      <c r="T1745" s="4" t="s">
        <v>11837</v>
      </c>
      <c r="U1745" s="4" t="str">
        <f t="shared" si="76"/>
        <v>可</v>
      </c>
    </row>
    <row r="1746" spans="1:21">
      <c r="A1746" s="3">
        <v>1744</v>
      </c>
      <c r="B1746" s="3" t="s">
        <v>7107</v>
      </c>
      <c r="C1746" s="3" t="s">
        <v>6083</v>
      </c>
      <c r="D1746" s="3" t="s">
        <v>5990</v>
      </c>
      <c r="E1746" s="3" t="s">
        <v>5991</v>
      </c>
      <c r="F1746" s="3" t="s">
        <v>4547</v>
      </c>
      <c r="G1746" s="3" t="s">
        <v>8645</v>
      </c>
      <c r="H1746" s="3" t="s">
        <v>7142</v>
      </c>
      <c r="I1746" s="3" t="s">
        <v>4549</v>
      </c>
      <c r="J1746" s="5" t="s">
        <v>7143</v>
      </c>
      <c r="L1746" s="3" t="s">
        <v>7144</v>
      </c>
      <c r="M1746" s="3">
        <v>3</v>
      </c>
      <c r="N1746" s="4" t="s">
        <v>7111</v>
      </c>
      <c r="O1746" s="4">
        <v>90</v>
      </c>
      <c r="P1746" s="11" t="s">
        <v>9922</v>
      </c>
      <c r="Q1746" s="11" t="s">
        <v>9987</v>
      </c>
      <c r="S1746" s="4" t="b">
        <f>ISNUMBER(MATCH(Q1746,T:T,0))</f>
        <v>1</v>
      </c>
      <c r="T1746" s="4" t="s">
        <v>11838</v>
      </c>
      <c r="U1746" s="4" t="str">
        <f t="shared" si="76"/>
        <v>可</v>
      </c>
    </row>
    <row r="1747" spans="1:21">
      <c r="A1747" s="3">
        <v>1745</v>
      </c>
      <c r="B1747" s="3" t="s">
        <v>7145</v>
      </c>
      <c r="C1747" s="3" t="s">
        <v>6025</v>
      </c>
      <c r="D1747" s="3" t="s">
        <v>5990</v>
      </c>
      <c r="E1747" s="3" t="s">
        <v>6212</v>
      </c>
      <c r="F1747" s="3" t="s">
        <v>4588</v>
      </c>
      <c r="G1747" s="3" t="s">
        <v>8645</v>
      </c>
      <c r="H1747" s="3" t="s">
        <v>7146</v>
      </c>
      <c r="I1747" s="3" t="s">
        <v>4549</v>
      </c>
      <c r="J1747" s="5" t="s">
        <v>4886</v>
      </c>
      <c r="L1747" s="3" t="s">
        <v>7147</v>
      </c>
      <c r="M1747" s="3">
        <v>11</v>
      </c>
      <c r="N1747" s="4" t="s">
        <v>4549</v>
      </c>
      <c r="O1747" s="4">
        <v>91</v>
      </c>
      <c r="P1747" s="11" t="s">
        <v>9729</v>
      </c>
      <c r="Q1747" s="11" t="s">
        <v>9904</v>
      </c>
      <c r="S1747" s="4" t="b">
        <f>ISNUMBER(MATCH(Q1747,T:T,0))</f>
        <v>1</v>
      </c>
      <c r="T1747" s="4" t="s">
        <v>4549</v>
      </c>
      <c r="U1747" s="4" t="str">
        <f t="shared" si="76"/>
        <v>火</v>
      </c>
    </row>
    <row r="1748" spans="1:21" ht="39">
      <c r="A1748" s="3">
        <v>1746</v>
      </c>
      <c r="B1748" s="3" t="s">
        <v>7145</v>
      </c>
      <c r="C1748" s="3" t="s">
        <v>5989</v>
      </c>
      <c r="D1748" s="3" t="s">
        <v>5990</v>
      </c>
      <c r="E1748" s="3" t="s">
        <v>6212</v>
      </c>
      <c r="F1748" s="3" t="s">
        <v>4588</v>
      </c>
      <c r="G1748" s="3" t="s">
        <v>8645</v>
      </c>
      <c r="H1748" s="3" t="s">
        <v>7148</v>
      </c>
      <c r="I1748" s="3" t="s">
        <v>4549</v>
      </c>
      <c r="J1748" s="5" t="s">
        <v>4887</v>
      </c>
      <c r="L1748" s="3" t="s">
        <v>7118</v>
      </c>
      <c r="M1748" s="3">
        <v>15</v>
      </c>
      <c r="N1748" s="4" t="s">
        <v>4549</v>
      </c>
      <c r="O1748" s="4">
        <v>91</v>
      </c>
      <c r="P1748" s="11" t="s">
        <v>9822</v>
      </c>
      <c r="Q1748" s="11" t="s">
        <v>4549</v>
      </c>
      <c r="S1748" s="4" t="b">
        <f>ISNUMBER(MATCH(Q1748,T:T,0))</f>
        <v>1</v>
      </c>
      <c r="T1748" s="4" t="s">
        <v>11839</v>
      </c>
      <c r="U1748" s="4" t="str">
        <f t="shared" si="76"/>
        <v>果</v>
      </c>
    </row>
    <row r="1749" spans="1:21">
      <c r="A1749" s="3">
        <v>1747</v>
      </c>
      <c r="B1749" s="3" t="s">
        <v>7145</v>
      </c>
      <c r="C1749" s="3" t="s">
        <v>6017</v>
      </c>
      <c r="D1749" s="3" t="s">
        <v>5990</v>
      </c>
      <c r="E1749" s="3" t="s">
        <v>6212</v>
      </c>
      <c r="F1749" s="3" t="s">
        <v>4588</v>
      </c>
      <c r="G1749" s="3" t="s">
        <v>8645</v>
      </c>
      <c r="H1749" s="3" t="s">
        <v>7149</v>
      </c>
      <c r="I1749" s="3" t="s">
        <v>4549</v>
      </c>
      <c r="J1749" s="5" t="s">
        <v>4888</v>
      </c>
      <c r="K1749" s="3" t="s">
        <v>610</v>
      </c>
      <c r="L1749" s="3" t="s">
        <v>7120</v>
      </c>
      <c r="M1749" s="3">
        <v>12</v>
      </c>
      <c r="N1749" s="4" t="s">
        <v>4549</v>
      </c>
      <c r="O1749" s="4">
        <v>91</v>
      </c>
      <c r="P1749" s="11" t="s">
        <v>9741</v>
      </c>
      <c r="Q1749" s="11" t="s">
        <v>4549</v>
      </c>
      <c r="S1749" s="4" t="b">
        <f>ISNUMBER(MATCH(Q1749,T:T,0))</f>
        <v>1</v>
      </c>
      <c r="T1749" s="4" t="s">
        <v>11840</v>
      </c>
      <c r="U1749" s="4" t="str">
        <f t="shared" si="76"/>
        <v>果</v>
      </c>
    </row>
    <row r="1750" spans="1:21">
      <c r="A1750" s="3">
        <v>1748</v>
      </c>
      <c r="B1750" s="3" t="s">
        <v>7145</v>
      </c>
      <c r="C1750" s="3" t="s">
        <v>5997</v>
      </c>
      <c r="D1750" s="3" t="s">
        <v>5990</v>
      </c>
      <c r="E1750" s="3" t="s">
        <v>6212</v>
      </c>
      <c r="F1750" s="3" t="s">
        <v>4588</v>
      </c>
      <c r="G1750" s="3" t="s">
        <v>8645</v>
      </c>
      <c r="H1750" s="3" t="s">
        <v>7150</v>
      </c>
      <c r="I1750" s="3" t="s">
        <v>4549</v>
      </c>
      <c r="J1750" s="5" t="s">
        <v>4889</v>
      </c>
      <c r="L1750" s="3" t="s">
        <v>7122</v>
      </c>
      <c r="M1750" s="3">
        <v>14</v>
      </c>
      <c r="N1750" s="4" t="s">
        <v>4549</v>
      </c>
      <c r="O1750" s="4">
        <v>91</v>
      </c>
      <c r="P1750" s="11" t="s">
        <v>9706</v>
      </c>
      <c r="Q1750" s="11" t="s">
        <v>4549</v>
      </c>
      <c r="S1750" s="4" t="b">
        <f>ISNUMBER(MATCH(Q1750,T:T,0))</f>
        <v>1</v>
      </c>
      <c r="T1750" s="4" t="s">
        <v>11841</v>
      </c>
      <c r="U1750" s="4" t="str">
        <f t="shared" si="76"/>
        <v>果</v>
      </c>
    </row>
    <row r="1751" spans="1:21">
      <c r="A1751" s="3">
        <v>1749</v>
      </c>
      <c r="B1751" s="3" t="s">
        <v>7145</v>
      </c>
      <c r="C1751" s="3" t="s">
        <v>6079</v>
      </c>
      <c r="D1751" s="3" t="s">
        <v>5990</v>
      </c>
      <c r="E1751" s="3" t="s">
        <v>6212</v>
      </c>
      <c r="F1751" s="3" t="s">
        <v>4588</v>
      </c>
      <c r="G1751" s="3" t="s">
        <v>8645</v>
      </c>
      <c r="H1751" s="3" t="s">
        <v>7151</v>
      </c>
      <c r="I1751" s="3" t="s">
        <v>4549</v>
      </c>
      <c r="J1751" s="5" t="s">
        <v>4890</v>
      </c>
      <c r="K1751" s="3" t="s">
        <v>7152</v>
      </c>
      <c r="L1751" s="3" t="s">
        <v>7127</v>
      </c>
      <c r="M1751" s="3">
        <v>9</v>
      </c>
      <c r="N1751" s="4" t="s">
        <v>4549</v>
      </c>
      <c r="O1751" s="4">
        <v>91</v>
      </c>
      <c r="P1751" s="11" t="s">
        <v>9736</v>
      </c>
      <c r="Q1751" s="11" t="s">
        <v>4549</v>
      </c>
      <c r="S1751" s="4" t="b">
        <f>ISNUMBER(MATCH(Q1751,T:T,0))</f>
        <v>1</v>
      </c>
      <c r="T1751" s="4" t="s">
        <v>11842</v>
      </c>
      <c r="U1751" s="4" t="str">
        <f t="shared" si="76"/>
        <v>果</v>
      </c>
    </row>
    <row r="1752" spans="1:21">
      <c r="A1752" s="3">
        <v>1750</v>
      </c>
      <c r="B1752" s="3" t="s">
        <v>7145</v>
      </c>
      <c r="C1752" s="3" t="s">
        <v>6035</v>
      </c>
      <c r="D1752" s="3" t="s">
        <v>5990</v>
      </c>
      <c r="E1752" s="3" t="s">
        <v>6212</v>
      </c>
      <c r="F1752" s="3" t="s">
        <v>4588</v>
      </c>
      <c r="G1752" s="3" t="s">
        <v>8645</v>
      </c>
      <c r="H1752" s="3" t="s">
        <v>7153</v>
      </c>
      <c r="I1752" s="3" t="s">
        <v>4549</v>
      </c>
      <c r="J1752" s="5" t="s">
        <v>4891</v>
      </c>
      <c r="L1752" s="3" t="s">
        <v>7154</v>
      </c>
      <c r="M1752" s="3">
        <v>3</v>
      </c>
      <c r="N1752" s="4" t="s">
        <v>4549</v>
      </c>
      <c r="O1752" s="4">
        <v>91</v>
      </c>
      <c r="P1752" s="11" t="s">
        <v>10151</v>
      </c>
      <c r="Q1752" s="11" t="s">
        <v>4549</v>
      </c>
      <c r="S1752" s="4" t="b">
        <f>ISNUMBER(MATCH(Q1752,T:T,0))</f>
        <v>1</v>
      </c>
      <c r="T1752" s="4" t="s">
        <v>11843</v>
      </c>
      <c r="U1752" s="4" t="str">
        <f t="shared" si="76"/>
        <v>果</v>
      </c>
    </row>
    <row r="1753" spans="1:21">
      <c r="A1753" s="3">
        <v>1751</v>
      </c>
      <c r="B1753" s="3" t="s">
        <v>7145</v>
      </c>
      <c r="C1753" s="3" t="s">
        <v>6069</v>
      </c>
      <c r="D1753" s="3" t="s">
        <v>5990</v>
      </c>
      <c r="E1753" s="3" t="s">
        <v>6212</v>
      </c>
      <c r="F1753" s="3" t="s">
        <v>4588</v>
      </c>
      <c r="G1753" s="3" t="s">
        <v>8645</v>
      </c>
      <c r="H1753" s="3" t="s">
        <v>7155</v>
      </c>
      <c r="I1753" s="3" t="s">
        <v>4549</v>
      </c>
      <c r="J1753" s="5" t="s">
        <v>7156</v>
      </c>
      <c r="L1753" s="3" t="s">
        <v>7157</v>
      </c>
      <c r="M1753" s="3">
        <v>2</v>
      </c>
      <c r="N1753" s="4" t="s">
        <v>4549</v>
      </c>
      <c r="O1753" s="4">
        <v>91</v>
      </c>
      <c r="P1753" s="11" t="s">
        <v>9733</v>
      </c>
      <c r="Q1753" s="11" t="s">
        <v>4549</v>
      </c>
      <c r="S1753" s="4" t="b">
        <f>ISNUMBER(MATCH(Q1753,T:T,0))</f>
        <v>1</v>
      </c>
      <c r="T1753" s="4" t="s">
        <v>11844</v>
      </c>
      <c r="U1753" s="4" t="str">
        <f t="shared" si="76"/>
        <v>果</v>
      </c>
    </row>
    <row r="1754" spans="1:21">
      <c r="A1754" s="3">
        <v>1752</v>
      </c>
      <c r="B1754" s="3" t="s">
        <v>7145</v>
      </c>
      <c r="C1754" s="3" t="s">
        <v>6092</v>
      </c>
      <c r="D1754" s="3" t="s">
        <v>5990</v>
      </c>
      <c r="E1754" s="3" t="s">
        <v>6212</v>
      </c>
      <c r="F1754" s="3" t="s">
        <v>4588</v>
      </c>
      <c r="G1754" s="3" t="s">
        <v>8645</v>
      </c>
      <c r="H1754" s="3" t="s">
        <v>7158</v>
      </c>
      <c r="I1754" s="3" t="s">
        <v>4549</v>
      </c>
      <c r="J1754" s="5" t="s">
        <v>7159</v>
      </c>
      <c r="L1754" s="3" t="s">
        <v>7160</v>
      </c>
      <c r="M1754" s="3">
        <v>2</v>
      </c>
      <c r="N1754" s="4" t="s">
        <v>4549</v>
      </c>
      <c r="O1754" s="4">
        <v>91</v>
      </c>
      <c r="P1754" s="11" t="s">
        <v>9740</v>
      </c>
      <c r="Q1754" s="11" t="s">
        <v>4549</v>
      </c>
      <c r="S1754" s="4" t="b">
        <f>ISNUMBER(MATCH(Q1754,T:T,0))</f>
        <v>1</v>
      </c>
      <c r="T1754" s="4" t="s">
        <v>11845</v>
      </c>
      <c r="U1754" s="4" t="str">
        <f t="shared" si="76"/>
        <v>果</v>
      </c>
    </row>
    <row r="1755" spans="1:21">
      <c r="A1755" s="3">
        <v>1753</v>
      </c>
      <c r="B1755" s="3" t="s">
        <v>7145</v>
      </c>
      <c r="C1755" s="3" t="s">
        <v>6058</v>
      </c>
      <c r="D1755" s="3" t="s">
        <v>5990</v>
      </c>
      <c r="E1755" s="3" t="s">
        <v>6212</v>
      </c>
      <c r="F1755" s="3" t="s">
        <v>4588</v>
      </c>
      <c r="G1755" s="3" t="s">
        <v>8645</v>
      </c>
      <c r="H1755" s="3" t="s">
        <v>7161</v>
      </c>
      <c r="I1755" s="3" t="s">
        <v>4549</v>
      </c>
      <c r="J1755" s="5" t="s">
        <v>4892</v>
      </c>
      <c r="L1755" s="3" t="s">
        <v>7129</v>
      </c>
      <c r="M1755" s="3">
        <v>9</v>
      </c>
      <c r="N1755" s="4" t="s">
        <v>4549</v>
      </c>
      <c r="O1755" s="4">
        <v>91</v>
      </c>
      <c r="P1755" s="11" t="s">
        <v>9886</v>
      </c>
      <c r="Q1755" s="11" t="s">
        <v>4549</v>
      </c>
      <c r="S1755" s="4" t="b">
        <f>ISNUMBER(MATCH(Q1755,T:T,0))</f>
        <v>1</v>
      </c>
      <c r="T1755" s="4" t="s">
        <v>11846</v>
      </c>
      <c r="U1755" s="4" t="str">
        <f t="shared" si="76"/>
        <v>果</v>
      </c>
    </row>
    <row r="1756" spans="1:21">
      <c r="A1756" s="3">
        <v>1754</v>
      </c>
      <c r="B1756" s="3" t="s">
        <v>7145</v>
      </c>
      <c r="C1756" s="3" t="s">
        <v>6072</v>
      </c>
      <c r="D1756" s="3" t="s">
        <v>5990</v>
      </c>
      <c r="E1756" s="3" t="s">
        <v>6212</v>
      </c>
      <c r="F1756" s="3" t="s">
        <v>4588</v>
      </c>
      <c r="G1756" s="3" t="s">
        <v>8645</v>
      </c>
      <c r="H1756" s="3" t="s">
        <v>7162</v>
      </c>
      <c r="I1756" s="3" t="s">
        <v>4549</v>
      </c>
      <c r="J1756" s="5" t="s">
        <v>7163</v>
      </c>
      <c r="L1756" s="3" t="s">
        <v>7160</v>
      </c>
      <c r="M1756" s="3">
        <v>3</v>
      </c>
      <c r="N1756" s="4" t="s">
        <v>4549</v>
      </c>
      <c r="O1756" s="4">
        <v>91</v>
      </c>
      <c r="P1756" s="11" t="s">
        <v>9734</v>
      </c>
      <c r="Q1756" s="11" t="s">
        <v>4549</v>
      </c>
      <c r="S1756" s="4" t="b">
        <f>ISNUMBER(MATCH(Q1756,T:T,0))</f>
        <v>1</v>
      </c>
      <c r="T1756" s="4" t="s">
        <v>11847</v>
      </c>
      <c r="U1756" s="4" t="str">
        <f t="shared" si="76"/>
        <v>果</v>
      </c>
    </row>
    <row r="1757" spans="1:21">
      <c r="A1757" s="3">
        <v>1755</v>
      </c>
      <c r="B1757" s="3" t="s">
        <v>7145</v>
      </c>
      <c r="C1757" s="3" t="s">
        <v>6102</v>
      </c>
      <c r="D1757" s="3" t="s">
        <v>5990</v>
      </c>
      <c r="E1757" s="3" t="s">
        <v>6212</v>
      </c>
      <c r="F1757" s="3" t="s">
        <v>4588</v>
      </c>
      <c r="G1757" s="3" t="s">
        <v>8645</v>
      </c>
      <c r="H1757" s="3" t="s">
        <v>7164</v>
      </c>
      <c r="I1757" s="3" t="s">
        <v>4549</v>
      </c>
      <c r="J1757" s="5" t="s">
        <v>7165</v>
      </c>
      <c r="L1757" s="3" t="s">
        <v>7132</v>
      </c>
      <c r="M1757" s="3">
        <v>2</v>
      </c>
      <c r="N1757" s="4" t="s">
        <v>4549</v>
      </c>
      <c r="O1757" s="4">
        <v>91</v>
      </c>
      <c r="P1757" s="11" t="s">
        <v>9744</v>
      </c>
      <c r="Q1757" s="11" t="s">
        <v>4549</v>
      </c>
      <c r="S1757" s="4" t="b">
        <f>ISNUMBER(MATCH(Q1757,T:T,0))</f>
        <v>1</v>
      </c>
      <c r="T1757" s="4" t="s">
        <v>11845</v>
      </c>
      <c r="U1757" s="4" t="str">
        <f t="shared" si="76"/>
        <v>果</v>
      </c>
    </row>
    <row r="1758" spans="1:21">
      <c r="A1758" s="3">
        <v>1756</v>
      </c>
      <c r="B1758" s="3" t="s">
        <v>7145</v>
      </c>
      <c r="C1758" s="3" t="s">
        <v>6049</v>
      </c>
      <c r="D1758" s="3" t="s">
        <v>5990</v>
      </c>
      <c r="E1758" s="3" t="s">
        <v>6212</v>
      </c>
      <c r="F1758" s="3" t="s">
        <v>4588</v>
      </c>
      <c r="G1758" s="3" t="s">
        <v>8645</v>
      </c>
      <c r="H1758" s="3" t="s">
        <v>7166</v>
      </c>
      <c r="I1758" s="3" t="s">
        <v>4549</v>
      </c>
      <c r="J1758" s="5" t="s">
        <v>4893</v>
      </c>
      <c r="L1758" s="3" t="s">
        <v>7167</v>
      </c>
      <c r="M1758" s="3">
        <v>4</v>
      </c>
      <c r="N1758" s="4" t="s">
        <v>4549</v>
      </c>
      <c r="O1758" s="4">
        <v>91</v>
      </c>
      <c r="P1758" s="11" t="s">
        <v>9921</v>
      </c>
      <c r="Q1758" s="11" t="s">
        <v>9904</v>
      </c>
      <c r="S1758" s="4" t="b">
        <f>ISNUMBER(MATCH(Q1758,T:T,0))</f>
        <v>1</v>
      </c>
      <c r="T1758" s="4" t="s">
        <v>11848</v>
      </c>
      <c r="U1758" s="4" t="str">
        <f t="shared" si="76"/>
        <v>火</v>
      </c>
    </row>
    <row r="1759" spans="1:21">
      <c r="A1759" s="3">
        <v>1757</v>
      </c>
      <c r="B1759" s="3" t="s">
        <v>7145</v>
      </c>
      <c r="C1759" s="3" t="s">
        <v>6053</v>
      </c>
      <c r="D1759" s="3" t="s">
        <v>5990</v>
      </c>
      <c r="E1759" s="3" t="s">
        <v>6212</v>
      </c>
      <c r="F1759" s="3" t="s">
        <v>4588</v>
      </c>
      <c r="G1759" s="3" t="s">
        <v>8645</v>
      </c>
      <c r="H1759" s="3" t="s">
        <v>7168</v>
      </c>
      <c r="I1759" s="3" t="s">
        <v>4549</v>
      </c>
      <c r="J1759" s="5" t="s">
        <v>4894</v>
      </c>
      <c r="L1759" s="3" t="s">
        <v>7169</v>
      </c>
      <c r="M1759" s="3">
        <v>4</v>
      </c>
      <c r="N1759" s="4" t="s">
        <v>4549</v>
      </c>
      <c r="O1759" s="4">
        <v>91</v>
      </c>
      <c r="P1759" s="11" t="s">
        <v>9884</v>
      </c>
      <c r="Q1759" s="11" t="s">
        <v>9904</v>
      </c>
      <c r="S1759" s="4" t="b">
        <f>ISNUMBER(MATCH(Q1759,T:T,0))</f>
        <v>1</v>
      </c>
      <c r="T1759" s="4" t="s">
        <v>11849</v>
      </c>
      <c r="U1759" s="4" t="str">
        <f t="shared" si="76"/>
        <v>火</v>
      </c>
    </row>
    <row r="1760" spans="1:21">
      <c r="A1760" s="3">
        <v>1758</v>
      </c>
      <c r="B1760" s="3" t="s">
        <v>7145</v>
      </c>
      <c r="C1760" s="3" t="s">
        <v>6067</v>
      </c>
      <c r="D1760" s="3" t="s">
        <v>5990</v>
      </c>
      <c r="E1760" s="3" t="s">
        <v>6212</v>
      </c>
      <c r="F1760" s="3" t="s">
        <v>4588</v>
      </c>
      <c r="G1760" s="3" t="s">
        <v>8645</v>
      </c>
      <c r="H1760" s="3" t="s">
        <v>7170</v>
      </c>
      <c r="I1760" s="3" t="s">
        <v>4549</v>
      </c>
      <c r="J1760" s="5" t="s">
        <v>7171</v>
      </c>
      <c r="L1760" s="3" t="s">
        <v>7172</v>
      </c>
      <c r="M1760" s="3">
        <v>7</v>
      </c>
      <c r="N1760" s="4" t="s">
        <v>4549</v>
      </c>
      <c r="O1760" s="4">
        <v>91</v>
      </c>
      <c r="P1760" s="11" t="s">
        <v>9870</v>
      </c>
      <c r="Q1760" s="11" t="s">
        <v>4549</v>
      </c>
      <c r="S1760" s="4" t="b">
        <f>ISNUMBER(MATCH(Q1760,T:T,0))</f>
        <v>1</v>
      </c>
      <c r="T1760" s="4" t="s">
        <v>11850</v>
      </c>
      <c r="U1760" s="4" t="str">
        <f t="shared" si="76"/>
        <v>果</v>
      </c>
    </row>
    <row r="1761" spans="1:22">
      <c r="A1761" s="3">
        <v>1759</v>
      </c>
      <c r="B1761" s="3" t="s">
        <v>7145</v>
      </c>
      <c r="C1761" s="3" t="s">
        <v>6089</v>
      </c>
      <c r="D1761" s="3" t="s">
        <v>5990</v>
      </c>
      <c r="E1761" s="3" t="s">
        <v>6212</v>
      </c>
      <c r="F1761" s="3" t="s">
        <v>4588</v>
      </c>
      <c r="G1761" s="3" t="s">
        <v>8645</v>
      </c>
      <c r="H1761" s="3" t="s">
        <v>7173</v>
      </c>
      <c r="I1761" s="3" t="s">
        <v>4549</v>
      </c>
      <c r="J1761" s="5" t="s">
        <v>4895</v>
      </c>
      <c r="L1761" s="3" t="s">
        <v>7174</v>
      </c>
      <c r="M1761" s="3">
        <v>2</v>
      </c>
      <c r="N1761" s="4" t="s">
        <v>4549</v>
      </c>
      <c r="O1761" s="4">
        <v>91</v>
      </c>
      <c r="P1761" s="11" t="s">
        <v>9739</v>
      </c>
      <c r="Q1761" s="11" t="s">
        <v>4549</v>
      </c>
      <c r="S1761" s="4" t="b">
        <f>ISNUMBER(MATCH(Q1761,T:T,0))</f>
        <v>1</v>
      </c>
      <c r="T1761" s="4" t="s">
        <v>9904</v>
      </c>
      <c r="U1761" s="4" t="str">
        <f t="shared" si="76"/>
        <v>果</v>
      </c>
    </row>
    <row r="1762" spans="1:22">
      <c r="A1762" s="3">
        <v>1760</v>
      </c>
      <c r="B1762" s="3" t="s">
        <v>7145</v>
      </c>
      <c r="C1762" s="3" t="s">
        <v>6038</v>
      </c>
      <c r="D1762" s="3" t="s">
        <v>5990</v>
      </c>
      <c r="E1762" s="3" t="s">
        <v>6212</v>
      </c>
      <c r="F1762" s="3" t="s">
        <v>4588</v>
      </c>
      <c r="G1762" s="3" t="s">
        <v>8645</v>
      </c>
      <c r="H1762" s="3" t="s">
        <v>7175</v>
      </c>
      <c r="I1762" s="3" t="s">
        <v>4549</v>
      </c>
      <c r="J1762" s="5" t="s">
        <v>7176</v>
      </c>
      <c r="L1762" s="3" t="s">
        <v>7177</v>
      </c>
      <c r="M1762" s="3">
        <v>3</v>
      </c>
      <c r="N1762" s="4" t="s">
        <v>4549</v>
      </c>
      <c r="O1762" s="4">
        <v>91</v>
      </c>
      <c r="P1762" s="11" t="s">
        <v>9728</v>
      </c>
      <c r="Q1762" s="11" t="s">
        <v>4549</v>
      </c>
      <c r="S1762" s="4" t="b">
        <f>ISNUMBER(MATCH(Q1762,T:T,0))</f>
        <v>1</v>
      </c>
      <c r="T1762" s="4" t="s">
        <v>11851</v>
      </c>
      <c r="U1762" s="4" t="str">
        <f t="shared" si="76"/>
        <v>果</v>
      </c>
    </row>
    <row r="1763" spans="1:22">
      <c r="A1763" s="3">
        <v>1761</v>
      </c>
      <c r="B1763" s="3" t="s">
        <v>7145</v>
      </c>
      <c r="C1763" s="3" t="s">
        <v>6045</v>
      </c>
      <c r="D1763" s="3" t="s">
        <v>5990</v>
      </c>
      <c r="E1763" s="3" t="s">
        <v>6212</v>
      </c>
      <c r="F1763" s="3" t="s">
        <v>4588</v>
      </c>
      <c r="G1763" s="3" t="s">
        <v>8645</v>
      </c>
      <c r="H1763" s="3" t="s">
        <v>7178</v>
      </c>
      <c r="I1763" s="3" t="s">
        <v>4549</v>
      </c>
      <c r="J1763" s="5" t="s">
        <v>7179</v>
      </c>
      <c r="L1763" s="3" t="s">
        <v>7180</v>
      </c>
      <c r="M1763" s="3">
        <v>1</v>
      </c>
      <c r="N1763" s="4" t="s">
        <v>4549</v>
      </c>
      <c r="O1763" s="4">
        <v>91</v>
      </c>
      <c r="P1763" s="11" t="s">
        <v>10357</v>
      </c>
      <c r="Q1763" s="11" t="s">
        <v>9987</v>
      </c>
      <c r="S1763" s="4" t="b">
        <f>ISNUMBER(MATCH(Q1763,T:T,0))</f>
        <v>1</v>
      </c>
      <c r="T1763" s="4" t="s">
        <v>7179</v>
      </c>
      <c r="U1763" s="4" t="str">
        <f t="shared" si="76"/>
        <v>可</v>
      </c>
    </row>
    <row r="1764" spans="1:22">
      <c r="A1764" s="3">
        <v>1762</v>
      </c>
      <c r="B1764" s="3" t="s">
        <v>7145</v>
      </c>
      <c r="C1764" s="3" t="s">
        <v>6076</v>
      </c>
      <c r="D1764" s="3" t="s">
        <v>5990</v>
      </c>
      <c r="E1764" s="3" t="s">
        <v>6212</v>
      </c>
      <c r="F1764" s="3" t="s">
        <v>4588</v>
      </c>
      <c r="G1764" s="3" t="s">
        <v>8645</v>
      </c>
      <c r="H1764" s="3" t="s">
        <v>7181</v>
      </c>
      <c r="I1764" s="3" t="s">
        <v>4549</v>
      </c>
      <c r="J1764" s="5" t="s">
        <v>7182</v>
      </c>
      <c r="L1764" s="3" t="s">
        <v>7114</v>
      </c>
      <c r="M1764" s="3">
        <v>2</v>
      </c>
      <c r="N1764" s="4" t="s">
        <v>4549</v>
      </c>
      <c r="O1764" s="4">
        <v>91</v>
      </c>
      <c r="P1764" s="11" t="s">
        <v>9735</v>
      </c>
      <c r="Q1764" s="11" t="s">
        <v>4549</v>
      </c>
      <c r="S1764" s="4" t="b">
        <f>ISNUMBER(MATCH(Q1764,T:T,0))</f>
        <v>1</v>
      </c>
      <c r="T1764" s="4" t="s">
        <v>11345</v>
      </c>
      <c r="U1764" s="4" t="str">
        <f t="shared" si="76"/>
        <v>果</v>
      </c>
    </row>
    <row r="1765" spans="1:22">
      <c r="A1765" s="3">
        <v>1763</v>
      </c>
      <c r="B1765" s="3" t="s">
        <v>7145</v>
      </c>
      <c r="C1765" s="3" t="s">
        <v>6083</v>
      </c>
      <c r="D1765" s="3" t="s">
        <v>5990</v>
      </c>
      <c r="E1765" s="3" t="s">
        <v>6212</v>
      </c>
      <c r="F1765" s="3" t="s">
        <v>4588</v>
      </c>
      <c r="G1765" s="3" t="s">
        <v>8645</v>
      </c>
      <c r="H1765" s="3" t="s">
        <v>7183</v>
      </c>
      <c r="I1765" s="3" t="s">
        <v>4549</v>
      </c>
      <c r="J1765" s="5" t="s">
        <v>7184</v>
      </c>
      <c r="L1765" s="3" t="s">
        <v>7144</v>
      </c>
      <c r="M1765" s="3">
        <v>1</v>
      </c>
      <c r="N1765" s="4" t="s">
        <v>4549</v>
      </c>
      <c r="O1765" s="4">
        <v>91</v>
      </c>
      <c r="P1765" s="11" t="s">
        <v>9745</v>
      </c>
      <c r="Q1765" s="11" t="s">
        <v>9987</v>
      </c>
      <c r="S1765" s="4" t="b">
        <f>ISNUMBER(MATCH(Q1765,T:T,0))</f>
        <v>1</v>
      </c>
      <c r="T1765" s="4" t="s">
        <v>7184</v>
      </c>
      <c r="U1765" s="4" t="str">
        <f t="shared" si="76"/>
        <v>可</v>
      </c>
    </row>
    <row r="1766" spans="1:22">
      <c r="A1766" s="3">
        <v>1774</v>
      </c>
      <c r="B1766" s="3" t="s">
        <v>7145</v>
      </c>
      <c r="C1766" s="3" t="s">
        <v>6083</v>
      </c>
      <c r="D1766" s="3" t="s">
        <v>6001</v>
      </c>
      <c r="E1766" s="3" t="s">
        <v>6212</v>
      </c>
      <c r="F1766" s="3" t="s">
        <v>4588</v>
      </c>
      <c r="G1766" s="3" t="s">
        <v>8645</v>
      </c>
      <c r="H1766" s="3" t="s">
        <v>7206</v>
      </c>
      <c r="I1766" s="3" t="s">
        <v>4549</v>
      </c>
      <c r="J1766" s="5" t="s">
        <v>7207</v>
      </c>
      <c r="L1766" s="3" t="s">
        <v>7208</v>
      </c>
      <c r="M1766" s="3">
        <v>1</v>
      </c>
      <c r="N1766" s="4" t="s">
        <v>4549</v>
      </c>
      <c r="O1766" s="4">
        <v>91</v>
      </c>
      <c r="P1766" s="11" t="s">
        <v>10366</v>
      </c>
      <c r="Q1766" s="11" t="s">
        <v>2503</v>
      </c>
      <c r="S1766" s="4" t="b">
        <f>ISNUMBER(MATCH(Q1766,T:T,0))</f>
        <v>1</v>
      </c>
      <c r="T1766" s="4" t="s">
        <v>7207</v>
      </c>
      <c r="U1766" s="4" t="str">
        <f t="shared" si="76"/>
        <v>瓦</v>
      </c>
    </row>
    <row r="1767" spans="1:22">
      <c r="A1767" s="3">
        <v>1764</v>
      </c>
      <c r="B1767" s="3" t="s">
        <v>7185</v>
      </c>
      <c r="C1767" s="3" t="s">
        <v>6035</v>
      </c>
      <c r="D1767" s="3" t="s">
        <v>6157</v>
      </c>
      <c r="E1767" s="3" t="s">
        <v>5991</v>
      </c>
      <c r="F1767" s="3" t="s">
        <v>4650</v>
      </c>
      <c r="G1767" s="3" t="s">
        <v>8645</v>
      </c>
      <c r="H1767" s="3" t="s">
        <v>7186</v>
      </c>
      <c r="I1767" s="3" t="s">
        <v>4652</v>
      </c>
      <c r="J1767" s="5" t="s">
        <v>4896</v>
      </c>
      <c r="L1767" s="3" t="s">
        <v>7187</v>
      </c>
      <c r="M1767" s="3">
        <v>7</v>
      </c>
      <c r="N1767" s="4" t="s">
        <v>7188</v>
      </c>
      <c r="O1767" s="4">
        <v>92</v>
      </c>
      <c r="P1767" s="11" t="s">
        <v>9719</v>
      </c>
      <c r="Q1767" s="11" t="s">
        <v>9771</v>
      </c>
      <c r="S1767" s="4" t="b">
        <f>ISNUMBER(MATCH(Q1767,T:T,0))</f>
        <v>1</v>
      </c>
      <c r="T1767" s="4" t="s">
        <v>7188</v>
      </c>
      <c r="U1767" s="4" t="str">
        <f t="shared" si="76"/>
        <v>下</v>
      </c>
    </row>
    <row r="1768" spans="1:22">
      <c r="A1768" s="3">
        <v>1765</v>
      </c>
      <c r="B1768" s="3" t="s">
        <v>7185</v>
      </c>
      <c r="C1768" s="3" t="s">
        <v>6009</v>
      </c>
      <c r="D1768" s="3" t="s">
        <v>6001</v>
      </c>
      <c r="E1768" s="3" t="s">
        <v>5991</v>
      </c>
      <c r="F1768" s="3" t="s">
        <v>4650</v>
      </c>
      <c r="G1768" s="3" t="s">
        <v>8645</v>
      </c>
      <c r="H1768" s="3" t="s">
        <v>7189</v>
      </c>
      <c r="I1768" s="3" t="s">
        <v>4652</v>
      </c>
      <c r="J1768" s="5" t="s">
        <v>7190</v>
      </c>
      <c r="L1768" s="3" t="s">
        <v>7191</v>
      </c>
      <c r="M1768" s="3">
        <v>3</v>
      </c>
      <c r="N1768" s="4" t="s">
        <v>7188</v>
      </c>
      <c r="O1768" s="4">
        <v>92</v>
      </c>
      <c r="P1768" s="11" t="s">
        <v>6009</v>
      </c>
      <c r="Q1768" s="11" t="s">
        <v>10358</v>
      </c>
      <c r="R1768" s="4" t="s">
        <v>13099</v>
      </c>
      <c r="S1768" s="4" t="b">
        <f>ISNUMBER(MATCH(Q1768,T:T,0))</f>
        <v>0</v>
      </c>
      <c r="T1768" s="4" t="s">
        <v>10359</v>
      </c>
      <c r="U1768" s="4" t="str">
        <f t="shared" si="76"/>
        <v>野</v>
      </c>
      <c r="V1768" s="4" t="b">
        <f>ISNUMBER(MATCH(R1768,T:T,0))</f>
        <v>1</v>
      </c>
    </row>
    <row r="1769" spans="1:22">
      <c r="A1769" s="3">
        <v>1766</v>
      </c>
      <c r="B1769" s="3" t="s">
        <v>7185</v>
      </c>
      <c r="C1769" s="3" t="s">
        <v>6028</v>
      </c>
      <c r="D1769" s="3" t="s">
        <v>6001</v>
      </c>
      <c r="E1769" s="3" t="s">
        <v>5991</v>
      </c>
      <c r="F1769" s="3" t="s">
        <v>4650</v>
      </c>
      <c r="G1769" s="3" t="s">
        <v>8645</v>
      </c>
      <c r="H1769" s="3" t="s">
        <v>7192</v>
      </c>
      <c r="I1769" s="3" t="s">
        <v>4652</v>
      </c>
      <c r="J1769" s="5" t="s">
        <v>4897</v>
      </c>
      <c r="L1769" s="3" t="s">
        <v>5851</v>
      </c>
      <c r="M1769" s="3">
        <v>5</v>
      </c>
      <c r="N1769" s="4" t="s">
        <v>7188</v>
      </c>
      <c r="O1769" s="4">
        <v>92</v>
      </c>
      <c r="P1769" s="11" t="s">
        <v>9863</v>
      </c>
      <c r="Q1769" s="11" t="s">
        <v>10359</v>
      </c>
      <c r="S1769" s="4" t="b">
        <f>ISNUMBER(MATCH(Q1769,T:T,0))</f>
        <v>1</v>
      </c>
      <c r="T1769" s="4" t="s">
        <v>10362</v>
      </c>
      <c r="U1769" s="4" t="str">
        <f t="shared" si="76"/>
        <v>者</v>
      </c>
    </row>
    <row r="1770" spans="1:22">
      <c r="A1770" s="3">
        <v>1767</v>
      </c>
      <c r="B1770" s="3" t="s">
        <v>7185</v>
      </c>
      <c r="C1770" s="3" t="s">
        <v>6092</v>
      </c>
      <c r="D1770" s="3" t="s">
        <v>6157</v>
      </c>
      <c r="E1770" s="3" t="s">
        <v>5991</v>
      </c>
      <c r="F1770" s="3" t="s">
        <v>4650</v>
      </c>
      <c r="G1770" s="3" t="s">
        <v>8645</v>
      </c>
      <c r="H1770" s="3" t="s">
        <v>7193</v>
      </c>
      <c r="I1770" s="3" t="s">
        <v>4652</v>
      </c>
      <c r="J1770" s="5" t="s">
        <v>7194</v>
      </c>
      <c r="L1770" s="3" t="s">
        <v>5821</v>
      </c>
      <c r="M1770" s="3">
        <v>5</v>
      </c>
      <c r="N1770" s="4" t="s">
        <v>7188</v>
      </c>
      <c r="O1770" s="4">
        <v>92</v>
      </c>
      <c r="P1770" s="11" t="s">
        <v>9740</v>
      </c>
      <c r="Q1770" s="11" t="s">
        <v>9771</v>
      </c>
      <c r="S1770" s="4" t="b">
        <f>ISNUMBER(MATCH(Q1770,T:T,0))</f>
        <v>1</v>
      </c>
      <c r="T1770" s="4" t="s">
        <v>10363</v>
      </c>
      <c r="U1770" s="4" t="str">
        <f t="shared" si="76"/>
        <v>下</v>
      </c>
    </row>
    <row r="1771" spans="1:22">
      <c r="A1771" s="3">
        <v>1768</v>
      </c>
      <c r="B1771" s="3" t="s">
        <v>7185</v>
      </c>
      <c r="C1771" s="3" t="s">
        <v>6025</v>
      </c>
      <c r="D1771" s="3" t="s">
        <v>6157</v>
      </c>
      <c r="E1771" s="3" t="s">
        <v>5991</v>
      </c>
      <c r="F1771" s="3" t="s">
        <v>4650</v>
      </c>
      <c r="G1771" s="3" t="s">
        <v>8645</v>
      </c>
      <c r="H1771" s="3" t="s">
        <v>7195</v>
      </c>
      <c r="I1771" s="3" t="s">
        <v>4652</v>
      </c>
      <c r="J1771" s="5" t="s">
        <v>4898</v>
      </c>
      <c r="L1771" s="3" t="s">
        <v>5826</v>
      </c>
      <c r="M1771" s="3">
        <v>10</v>
      </c>
      <c r="N1771" s="4" t="s">
        <v>7188</v>
      </c>
      <c r="O1771" s="4">
        <v>92</v>
      </c>
      <c r="P1771" s="11" t="s">
        <v>9729</v>
      </c>
      <c r="Q1771" s="11" t="s">
        <v>10360</v>
      </c>
      <c r="R1771" s="4" t="s">
        <v>13100</v>
      </c>
      <c r="S1771" s="4" t="b">
        <f>ISNUMBER(MATCH(Q1771,T:T,0))</f>
        <v>0</v>
      </c>
      <c r="T1771" s="4" t="s">
        <v>4652</v>
      </c>
      <c r="U1771" s="4" t="str">
        <f t="shared" si="76"/>
        <v>雅</v>
      </c>
      <c r="V1771" s="4" t="b">
        <f>ISNUMBER(MATCH(R1771,T:T,0))</f>
        <v>1</v>
      </c>
    </row>
    <row r="1772" spans="1:22">
      <c r="A1772" s="3">
        <v>1769</v>
      </c>
      <c r="B1772" s="3" t="s">
        <v>7185</v>
      </c>
      <c r="C1772" s="3" t="s">
        <v>6180</v>
      </c>
      <c r="D1772" s="3" t="s">
        <v>6157</v>
      </c>
      <c r="E1772" s="3" t="s">
        <v>5991</v>
      </c>
      <c r="F1772" s="3" t="s">
        <v>4650</v>
      </c>
      <c r="G1772" s="3" t="s">
        <v>8645</v>
      </c>
      <c r="H1772" s="3" t="s">
        <v>7196</v>
      </c>
      <c r="I1772" s="3" t="s">
        <v>4652</v>
      </c>
      <c r="J1772" s="5" t="s">
        <v>7197</v>
      </c>
      <c r="L1772" s="3" t="s">
        <v>7198</v>
      </c>
      <c r="M1772" s="3">
        <v>1</v>
      </c>
      <c r="N1772" s="4" t="s">
        <v>7188</v>
      </c>
      <c r="O1772" s="4">
        <v>92</v>
      </c>
      <c r="P1772" s="11" t="s">
        <v>10361</v>
      </c>
      <c r="Q1772" s="11" t="s">
        <v>9771</v>
      </c>
      <c r="S1772" s="4" t="b">
        <f>ISNUMBER(MATCH(Q1772,T:T,0))</f>
        <v>1</v>
      </c>
      <c r="T1772" s="4" t="s">
        <v>7197</v>
      </c>
      <c r="U1772" s="4" t="str">
        <f t="shared" si="76"/>
        <v>下</v>
      </c>
    </row>
    <row r="1773" spans="1:22">
      <c r="A1773" s="3">
        <v>1770</v>
      </c>
      <c r="B1773" s="3" t="s">
        <v>7185</v>
      </c>
      <c r="C1773" s="3" t="s">
        <v>6072</v>
      </c>
      <c r="D1773" s="3" t="s">
        <v>6157</v>
      </c>
      <c r="E1773" s="3" t="s">
        <v>5991</v>
      </c>
      <c r="F1773" s="3" t="s">
        <v>4650</v>
      </c>
      <c r="G1773" s="3" t="s">
        <v>8645</v>
      </c>
      <c r="H1773" s="3" t="s">
        <v>7199</v>
      </c>
      <c r="I1773" s="3" t="s">
        <v>4652</v>
      </c>
      <c r="J1773" s="5" t="s">
        <v>4899</v>
      </c>
      <c r="L1773" s="3" t="s">
        <v>5821</v>
      </c>
      <c r="M1773" s="3">
        <v>3</v>
      </c>
      <c r="N1773" s="4" t="s">
        <v>7188</v>
      </c>
      <c r="O1773" s="4">
        <v>92</v>
      </c>
      <c r="P1773" s="11" t="s">
        <v>9734</v>
      </c>
      <c r="Q1773" s="11" t="s">
        <v>9771</v>
      </c>
      <c r="S1773" s="4" t="b">
        <f>ISNUMBER(MATCH(Q1773,T:T,0))</f>
        <v>1</v>
      </c>
      <c r="T1773" s="4" t="s">
        <v>11852</v>
      </c>
      <c r="U1773" s="4" t="str">
        <f t="shared" si="76"/>
        <v>下</v>
      </c>
    </row>
    <row r="1774" spans="1:22">
      <c r="A1774" s="3">
        <v>1771</v>
      </c>
      <c r="B1774" s="3" t="s">
        <v>7185</v>
      </c>
      <c r="C1774" s="3" t="s">
        <v>6123</v>
      </c>
      <c r="D1774" s="3" t="s">
        <v>6001</v>
      </c>
      <c r="E1774" s="3" t="s">
        <v>5991</v>
      </c>
      <c r="F1774" s="3" t="s">
        <v>4650</v>
      </c>
      <c r="G1774" s="3" t="s">
        <v>8645</v>
      </c>
      <c r="H1774" s="3" t="s">
        <v>7200</v>
      </c>
      <c r="I1774" s="3" t="s">
        <v>4652</v>
      </c>
      <c r="J1774" s="5" t="s">
        <v>7201</v>
      </c>
      <c r="L1774" s="3" t="s">
        <v>5845</v>
      </c>
      <c r="M1774" s="3">
        <v>3</v>
      </c>
      <c r="N1774" s="4" t="s">
        <v>7188</v>
      </c>
      <c r="O1774" s="4">
        <v>92</v>
      </c>
      <c r="P1774" s="11" t="s">
        <v>10110</v>
      </c>
      <c r="Q1774" s="11" t="s">
        <v>10362</v>
      </c>
      <c r="S1774" s="4" t="b">
        <f>ISNUMBER(MATCH(Q1774,T:T,0))</f>
        <v>1</v>
      </c>
      <c r="T1774" s="4" t="s">
        <v>11853</v>
      </c>
      <c r="U1774" s="4" t="str">
        <f t="shared" si="76"/>
        <v>野</v>
      </c>
    </row>
    <row r="1775" spans="1:22">
      <c r="A1775" s="3">
        <v>1772</v>
      </c>
      <c r="B1775" s="3" t="s">
        <v>7185</v>
      </c>
      <c r="C1775" s="3" t="s">
        <v>6067</v>
      </c>
      <c r="D1775" s="3" t="s">
        <v>6157</v>
      </c>
      <c r="E1775" s="3" t="s">
        <v>5991</v>
      </c>
      <c r="F1775" s="3" t="s">
        <v>4650</v>
      </c>
      <c r="G1775" s="3" t="s">
        <v>8645</v>
      </c>
      <c r="H1775" s="3" t="s">
        <v>7202</v>
      </c>
      <c r="I1775" s="3" t="s">
        <v>4652</v>
      </c>
      <c r="J1775" s="5" t="s">
        <v>4900</v>
      </c>
      <c r="L1775" s="3" t="s">
        <v>5805</v>
      </c>
      <c r="M1775" s="3">
        <v>4</v>
      </c>
      <c r="N1775" s="4" t="s">
        <v>7188</v>
      </c>
      <c r="O1775" s="4">
        <v>92</v>
      </c>
      <c r="P1775" s="11" t="s">
        <v>9870</v>
      </c>
      <c r="Q1775" s="11" t="s">
        <v>10363</v>
      </c>
      <c r="S1775" s="4" t="b">
        <f>ISNUMBER(MATCH(Q1775,T:T,0))</f>
        <v>1</v>
      </c>
      <c r="T1775" s="4" t="s">
        <v>9771</v>
      </c>
      <c r="U1775" s="4" t="str">
        <f t="shared" si="76"/>
        <v>雅</v>
      </c>
    </row>
    <row r="1776" spans="1:22">
      <c r="A1776" s="3">
        <v>1773</v>
      </c>
      <c r="B1776" s="3" t="s">
        <v>7185</v>
      </c>
      <c r="C1776" s="3" t="s">
        <v>6017</v>
      </c>
      <c r="D1776" s="3" t="s">
        <v>6001</v>
      </c>
      <c r="E1776" s="3" t="s">
        <v>5991</v>
      </c>
      <c r="F1776" s="3" t="s">
        <v>4650</v>
      </c>
      <c r="G1776" s="3" t="s">
        <v>8645</v>
      </c>
      <c r="H1776" s="3" t="s">
        <v>7203</v>
      </c>
      <c r="I1776" s="3" t="s">
        <v>4652</v>
      </c>
      <c r="J1776" s="5" t="s">
        <v>7204</v>
      </c>
      <c r="L1776" s="3" t="s">
        <v>7205</v>
      </c>
      <c r="M1776" s="3">
        <v>4</v>
      </c>
      <c r="N1776" s="4" t="s">
        <v>7188</v>
      </c>
      <c r="O1776" s="4">
        <v>92</v>
      </c>
      <c r="P1776" s="11" t="s">
        <v>10364</v>
      </c>
      <c r="Q1776" s="11" t="s">
        <v>10365</v>
      </c>
      <c r="S1776" s="4" t="b">
        <f>ISNUMBER(MATCH(Q1776,T:T,0))</f>
        <v>1</v>
      </c>
      <c r="T1776" s="4" t="s">
        <v>10082</v>
      </c>
      <c r="U1776" s="4" t="str">
        <f t="shared" si="76"/>
        <v>姐</v>
      </c>
    </row>
    <row r="1777" spans="1:22">
      <c r="A1777" s="3">
        <v>1775</v>
      </c>
      <c r="B1777" s="3" t="s">
        <v>7185</v>
      </c>
      <c r="C1777" s="3" t="s">
        <v>6035</v>
      </c>
      <c r="D1777" s="3" t="s">
        <v>6001</v>
      </c>
      <c r="E1777" s="3" t="s">
        <v>5991</v>
      </c>
      <c r="F1777" s="3" t="s">
        <v>4650</v>
      </c>
      <c r="G1777" s="3" t="s">
        <v>8645</v>
      </c>
      <c r="H1777" s="3" t="s">
        <v>7209</v>
      </c>
      <c r="I1777" s="3" t="s">
        <v>4652</v>
      </c>
      <c r="J1777" s="5" t="s">
        <v>7210</v>
      </c>
      <c r="L1777" s="3" t="s">
        <v>7211</v>
      </c>
      <c r="M1777" s="3">
        <v>1</v>
      </c>
      <c r="N1777" s="4" t="s">
        <v>7188</v>
      </c>
      <c r="O1777" s="4">
        <v>92</v>
      </c>
      <c r="P1777" s="11" t="s">
        <v>9941</v>
      </c>
      <c r="Q1777" s="11" t="s">
        <v>10358</v>
      </c>
      <c r="R1777" s="4" t="s">
        <v>13099</v>
      </c>
      <c r="S1777" s="4" t="b">
        <f>ISNUMBER(MATCH(Q1777,T:T,0))</f>
        <v>0</v>
      </c>
      <c r="T1777" s="4" t="s">
        <v>7210</v>
      </c>
      <c r="U1777" s="4" t="str">
        <f t="shared" si="76"/>
        <v>野</v>
      </c>
      <c r="V1777" s="4" t="b">
        <f t="shared" ref="V1777:V1778" si="77">ISNUMBER(MATCH(R1777,T:T,0))</f>
        <v>1</v>
      </c>
    </row>
    <row r="1778" spans="1:22">
      <c r="A1778" s="3">
        <v>1776</v>
      </c>
      <c r="B1778" s="3" t="s">
        <v>7185</v>
      </c>
      <c r="C1778" s="3" t="s">
        <v>6076</v>
      </c>
      <c r="D1778" s="3" t="s">
        <v>6001</v>
      </c>
      <c r="E1778" s="3" t="s">
        <v>5991</v>
      </c>
      <c r="F1778" s="3" t="s">
        <v>4650</v>
      </c>
      <c r="G1778" s="3" t="s">
        <v>8645</v>
      </c>
      <c r="H1778" s="3" t="s">
        <v>7212</v>
      </c>
      <c r="I1778" s="3" t="s">
        <v>4652</v>
      </c>
      <c r="J1778" s="5" t="s">
        <v>7213</v>
      </c>
      <c r="L1778" s="3" t="s">
        <v>5848</v>
      </c>
      <c r="M1778" s="3">
        <v>1</v>
      </c>
      <c r="N1778" s="4" t="s">
        <v>7188</v>
      </c>
      <c r="O1778" s="4">
        <v>92</v>
      </c>
      <c r="P1778" s="11" t="s">
        <v>9766</v>
      </c>
      <c r="Q1778" s="11" t="s">
        <v>10358</v>
      </c>
      <c r="R1778" s="4" t="s">
        <v>13099</v>
      </c>
      <c r="S1778" s="4" t="b">
        <f>ISNUMBER(MATCH(Q1778,T:T,0))</f>
        <v>0</v>
      </c>
      <c r="T1778" s="4" t="s">
        <v>7213</v>
      </c>
      <c r="U1778" s="4" t="str">
        <f t="shared" si="76"/>
        <v>野</v>
      </c>
      <c r="V1778" s="4" t="b">
        <f t="shared" si="77"/>
        <v>1</v>
      </c>
    </row>
    <row r="1779" spans="1:22">
      <c r="A1779" s="3">
        <v>1777</v>
      </c>
      <c r="B1779" s="3" t="s">
        <v>7185</v>
      </c>
      <c r="C1779" s="3" t="s">
        <v>6089</v>
      </c>
      <c r="D1779" s="3" t="s">
        <v>6157</v>
      </c>
      <c r="E1779" s="3" t="s">
        <v>5991</v>
      </c>
      <c r="F1779" s="3" t="s">
        <v>4650</v>
      </c>
      <c r="G1779" s="3" t="s">
        <v>8645</v>
      </c>
      <c r="H1779" s="3" t="s">
        <v>7214</v>
      </c>
      <c r="I1779" s="3" t="s">
        <v>4652</v>
      </c>
      <c r="J1779" s="5" t="s">
        <v>7215</v>
      </c>
      <c r="L1779" s="3" t="s">
        <v>7216</v>
      </c>
      <c r="M1779" s="3">
        <v>3</v>
      </c>
      <c r="N1779" s="4" t="s">
        <v>7188</v>
      </c>
      <c r="O1779" s="4">
        <v>92</v>
      </c>
      <c r="P1779" s="11" t="s">
        <v>9753</v>
      </c>
      <c r="Q1779" s="11" t="s">
        <v>9771</v>
      </c>
      <c r="S1779" s="4" t="b">
        <f>ISNUMBER(MATCH(Q1779,T:T,0))</f>
        <v>1</v>
      </c>
      <c r="T1779" s="4" t="s">
        <v>11854</v>
      </c>
      <c r="U1779" s="4" t="str">
        <f t="shared" si="76"/>
        <v>下</v>
      </c>
    </row>
    <row r="1780" spans="1:22">
      <c r="A1780" s="3">
        <v>1778</v>
      </c>
      <c r="B1780" s="3" t="s">
        <v>7185</v>
      </c>
      <c r="C1780" s="3" t="s">
        <v>6148</v>
      </c>
      <c r="D1780" s="3" t="s">
        <v>6001</v>
      </c>
      <c r="E1780" s="3" t="s">
        <v>5991</v>
      </c>
      <c r="F1780" s="3" t="s">
        <v>4650</v>
      </c>
      <c r="G1780" s="3" t="s">
        <v>8645</v>
      </c>
      <c r="H1780" s="3" t="s">
        <v>7217</v>
      </c>
      <c r="I1780" s="3" t="s">
        <v>4652</v>
      </c>
      <c r="J1780" s="5" t="s">
        <v>7218</v>
      </c>
      <c r="L1780" s="3" t="s">
        <v>7219</v>
      </c>
      <c r="M1780" s="3">
        <v>3</v>
      </c>
      <c r="N1780" s="4" t="s">
        <v>7188</v>
      </c>
      <c r="O1780" s="4">
        <v>92</v>
      </c>
      <c r="P1780" s="11" t="s">
        <v>6148</v>
      </c>
      <c r="Q1780" s="11" t="s">
        <v>10359</v>
      </c>
      <c r="S1780" s="4" t="b">
        <f>ISNUMBER(MATCH(Q1780,T:T,0))</f>
        <v>1</v>
      </c>
      <c r="T1780" s="4" t="s">
        <v>11855</v>
      </c>
      <c r="U1780" s="4" t="str">
        <f t="shared" si="76"/>
        <v>者</v>
      </c>
    </row>
    <row r="1781" spans="1:22">
      <c r="A1781" s="3">
        <v>1779</v>
      </c>
      <c r="B1781" s="3" t="s">
        <v>7185</v>
      </c>
      <c r="C1781" s="3" t="s">
        <v>6038</v>
      </c>
      <c r="D1781" s="3" t="s">
        <v>6157</v>
      </c>
      <c r="E1781" s="3" t="s">
        <v>5991</v>
      </c>
      <c r="F1781" s="3" t="s">
        <v>4650</v>
      </c>
      <c r="G1781" s="3" t="s">
        <v>8645</v>
      </c>
      <c r="H1781" s="3" t="s">
        <v>7220</v>
      </c>
      <c r="I1781" s="3" t="s">
        <v>4652</v>
      </c>
      <c r="J1781" s="8" t="s">
        <v>7221</v>
      </c>
      <c r="L1781" s="3" t="s">
        <v>5810</v>
      </c>
      <c r="M1781" s="3">
        <v>1</v>
      </c>
      <c r="N1781" s="4" t="s">
        <v>7188</v>
      </c>
      <c r="O1781" s="4">
        <v>92</v>
      </c>
      <c r="P1781" s="11" t="s">
        <v>9728</v>
      </c>
      <c r="Q1781" s="11" t="s">
        <v>9771</v>
      </c>
      <c r="S1781" s="4" t="b">
        <f>ISNUMBER(MATCH(Q1781,T:T,0))</f>
        <v>1</v>
      </c>
      <c r="T1781" s="4" t="s">
        <v>7221</v>
      </c>
      <c r="U1781" s="4" t="str">
        <f t="shared" si="76"/>
        <v>下</v>
      </c>
    </row>
    <row r="1782" spans="1:22">
      <c r="A1782" s="3">
        <v>1780</v>
      </c>
      <c r="B1782" s="3" t="s">
        <v>7185</v>
      </c>
      <c r="C1782" s="3" t="s">
        <v>6045</v>
      </c>
      <c r="D1782" s="3" t="s">
        <v>6157</v>
      </c>
      <c r="E1782" s="3" t="s">
        <v>5991</v>
      </c>
      <c r="F1782" s="3" t="s">
        <v>4650</v>
      </c>
      <c r="G1782" s="3" t="s">
        <v>8645</v>
      </c>
      <c r="H1782" s="3" t="s">
        <v>7222</v>
      </c>
      <c r="I1782" s="3" t="s">
        <v>4652</v>
      </c>
      <c r="J1782" s="5" t="s">
        <v>7223</v>
      </c>
      <c r="L1782" s="3" t="s">
        <v>7224</v>
      </c>
      <c r="M1782" s="3">
        <v>3</v>
      </c>
      <c r="N1782" s="4" t="s">
        <v>7188</v>
      </c>
      <c r="O1782" s="4">
        <v>92</v>
      </c>
      <c r="P1782" s="11" t="s">
        <v>10259</v>
      </c>
      <c r="Q1782" s="11" t="s">
        <v>9771</v>
      </c>
      <c r="S1782" s="4" t="b">
        <f>ISNUMBER(MATCH(Q1782,T:T,0))</f>
        <v>1</v>
      </c>
      <c r="T1782" s="4" t="s">
        <v>11856</v>
      </c>
      <c r="U1782" s="4" t="str">
        <f t="shared" si="76"/>
        <v>下</v>
      </c>
    </row>
    <row r="1783" spans="1:22">
      <c r="A1783" s="3">
        <v>1781</v>
      </c>
      <c r="B1783" s="3" t="s">
        <v>7185</v>
      </c>
      <c r="C1783" s="3" t="s">
        <v>6120</v>
      </c>
      <c r="D1783" s="3" t="s">
        <v>6001</v>
      </c>
      <c r="E1783" s="3" t="s">
        <v>5991</v>
      </c>
      <c r="F1783" s="3" t="s">
        <v>4650</v>
      </c>
      <c r="G1783" s="3" t="s">
        <v>8645</v>
      </c>
      <c r="H1783" s="3" t="s">
        <v>7225</v>
      </c>
      <c r="I1783" s="3" t="s">
        <v>4652</v>
      </c>
      <c r="J1783" s="5" t="s">
        <v>7226</v>
      </c>
      <c r="L1783" s="3" t="s">
        <v>7227</v>
      </c>
      <c r="M1783" s="3">
        <v>5</v>
      </c>
      <c r="N1783" s="4" t="s">
        <v>7188</v>
      </c>
      <c r="O1783" s="4">
        <v>92</v>
      </c>
      <c r="P1783" s="11" t="s">
        <v>6120</v>
      </c>
      <c r="Q1783" s="11" t="s">
        <v>10367</v>
      </c>
      <c r="R1783" s="4" t="s">
        <v>13099</v>
      </c>
      <c r="S1783" s="4" t="b">
        <f>ISNUMBER(MATCH(Q1783,T:T,0))</f>
        <v>0</v>
      </c>
      <c r="T1783" s="4" t="s">
        <v>11857</v>
      </c>
      <c r="U1783" s="4" t="str">
        <f t="shared" si="76"/>
        <v>野</v>
      </c>
      <c r="V1783" s="4" t="b">
        <f>ISNUMBER(MATCH(R1783,T:T,0))</f>
        <v>1</v>
      </c>
    </row>
    <row r="1784" spans="1:22">
      <c r="A1784" s="3">
        <v>1782</v>
      </c>
      <c r="B1784" s="3" t="s">
        <v>7185</v>
      </c>
      <c r="C1784" s="3" t="s">
        <v>6083</v>
      </c>
      <c r="D1784" s="3" t="s">
        <v>6001</v>
      </c>
      <c r="E1784" s="3" t="s">
        <v>5991</v>
      </c>
      <c r="F1784" s="3" t="s">
        <v>4650</v>
      </c>
      <c r="G1784" s="3" t="s">
        <v>8645</v>
      </c>
      <c r="H1784" s="7" t="s">
        <v>778</v>
      </c>
      <c r="I1784" s="3" t="s">
        <v>4652</v>
      </c>
      <c r="J1784" s="5" t="s">
        <v>4901</v>
      </c>
      <c r="L1784" s="3" t="s">
        <v>7228</v>
      </c>
      <c r="M1784" s="3">
        <v>3</v>
      </c>
      <c r="N1784" s="4" t="s">
        <v>7188</v>
      </c>
      <c r="O1784" s="4">
        <v>92</v>
      </c>
      <c r="P1784" s="11" t="s">
        <v>9831</v>
      </c>
      <c r="Q1784" s="11" t="s">
        <v>10362</v>
      </c>
      <c r="S1784" s="4" t="b">
        <f>ISNUMBER(MATCH(Q1784,T:T,0))</f>
        <v>1</v>
      </c>
      <c r="T1784" s="4" t="s">
        <v>10365</v>
      </c>
      <c r="U1784" s="4" t="str">
        <f t="shared" si="76"/>
        <v>野</v>
      </c>
    </row>
    <row r="1785" spans="1:22">
      <c r="A1785" s="3">
        <v>1783</v>
      </c>
      <c r="B1785" s="3" t="s">
        <v>7185</v>
      </c>
      <c r="C1785" s="3" t="s">
        <v>6049</v>
      </c>
      <c r="D1785" s="3" t="s">
        <v>6157</v>
      </c>
      <c r="E1785" s="3" t="s">
        <v>5991</v>
      </c>
      <c r="F1785" s="3" t="s">
        <v>4650</v>
      </c>
      <c r="G1785" s="3" t="s">
        <v>8645</v>
      </c>
      <c r="H1785" s="7" t="s">
        <v>779</v>
      </c>
      <c r="I1785" s="3" t="s">
        <v>4652</v>
      </c>
      <c r="J1785" s="5" t="s">
        <v>7229</v>
      </c>
      <c r="L1785" s="3" t="s">
        <v>7230</v>
      </c>
      <c r="M1785" s="3">
        <v>1</v>
      </c>
      <c r="N1785" s="4" t="s">
        <v>7188</v>
      </c>
      <c r="O1785" s="4">
        <v>92</v>
      </c>
      <c r="P1785" s="11" t="s">
        <v>10368</v>
      </c>
      <c r="Q1785" s="11" t="s">
        <v>9771</v>
      </c>
      <c r="S1785" s="4" t="b">
        <f>ISNUMBER(MATCH(Q1785,T:T,0))</f>
        <v>1</v>
      </c>
      <c r="T1785" s="4" t="s">
        <v>7229</v>
      </c>
      <c r="U1785" s="4" t="str">
        <f t="shared" si="76"/>
        <v>下</v>
      </c>
    </row>
    <row r="1786" spans="1:22">
      <c r="A1786" s="3">
        <v>1784</v>
      </c>
      <c r="B1786" s="3" t="s">
        <v>7185</v>
      </c>
      <c r="C1786" s="3" t="s">
        <v>6067</v>
      </c>
      <c r="D1786" s="3" t="s">
        <v>6157</v>
      </c>
      <c r="E1786" s="3" t="s">
        <v>6212</v>
      </c>
      <c r="F1786" s="3" t="s">
        <v>4650</v>
      </c>
      <c r="G1786" s="3" t="s">
        <v>8645</v>
      </c>
      <c r="H1786" s="3" t="s">
        <v>7231</v>
      </c>
      <c r="I1786" s="3" t="s">
        <v>4652</v>
      </c>
      <c r="J1786" s="5" t="s">
        <v>4902</v>
      </c>
      <c r="L1786" s="3" t="s">
        <v>5837</v>
      </c>
      <c r="M1786" s="3">
        <v>11</v>
      </c>
      <c r="N1786" s="4" t="s">
        <v>7188</v>
      </c>
      <c r="O1786" s="4">
        <v>92</v>
      </c>
      <c r="P1786" s="11" t="s">
        <v>9870</v>
      </c>
      <c r="Q1786" s="11" t="s">
        <v>2503</v>
      </c>
      <c r="S1786" s="4" t="b">
        <f>ISNUMBER(MATCH(Q1786,T:T,0))</f>
        <v>1</v>
      </c>
      <c r="T1786" s="4" t="s">
        <v>11858</v>
      </c>
      <c r="U1786" s="4" t="str">
        <f t="shared" si="76"/>
        <v>瓦</v>
      </c>
    </row>
    <row r="1787" spans="1:22">
      <c r="A1787" s="3">
        <v>1785</v>
      </c>
      <c r="B1787" s="3" t="s">
        <v>7185</v>
      </c>
      <c r="C1787" s="3" t="s">
        <v>6025</v>
      </c>
      <c r="D1787" s="3" t="s">
        <v>6157</v>
      </c>
      <c r="E1787" s="3" t="s">
        <v>6212</v>
      </c>
      <c r="F1787" s="3" t="s">
        <v>4650</v>
      </c>
      <c r="G1787" s="3" t="s">
        <v>8645</v>
      </c>
      <c r="H1787" s="3" t="s">
        <v>7232</v>
      </c>
      <c r="I1787" s="3" t="s">
        <v>4652</v>
      </c>
      <c r="J1787" s="5" t="s">
        <v>4903</v>
      </c>
      <c r="L1787" s="3" t="s">
        <v>5831</v>
      </c>
      <c r="M1787" s="3">
        <v>8</v>
      </c>
      <c r="N1787" s="4" t="s">
        <v>7188</v>
      </c>
      <c r="O1787" s="4">
        <v>92</v>
      </c>
      <c r="P1787" s="11" t="s">
        <v>9729</v>
      </c>
      <c r="Q1787" s="11" t="s">
        <v>2503</v>
      </c>
      <c r="S1787" s="4" t="b">
        <f>ISNUMBER(MATCH(Q1787,T:T,0))</f>
        <v>1</v>
      </c>
      <c r="T1787" s="4" t="s">
        <v>10369</v>
      </c>
      <c r="U1787" s="4" t="str">
        <f t="shared" si="76"/>
        <v>瓦</v>
      </c>
    </row>
    <row r="1788" spans="1:22">
      <c r="A1788" s="3">
        <v>1786</v>
      </c>
      <c r="B1788" s="3" t="s">
        <v>7185</v>
      </c>
      <c r="C1788" s="3" t="s">
        <v>6092</v>
      </c>
      <c r="D1788" s="3" t="s">
        <v>6157</v>
      </c>
      <c r="E1788" s="3" t="s">
        <v>6212</v>
      </c>
      <c r="F1788" s="3" t="s">
        <v>4650</v>
      </c>
      <c r="G1788" s="3" t="s">
        <v>8645</v>
      </c>
      <c r="H1788" s="3" t="s">
        <v>7233</v>
      </c>
      <c r="I1788" s="3" t="s">
        <v>4652</v>
      </c>
      <c r="J1788" s="5" t="s">
        <v>4904</v>
      </c>
      <c r="L1788" s="3" t="s">
        <v>7234</v>
      </c>
      <c r="M1788" s="3">
        <v>2</v>
      </c>
      <c r="N1788" s="4" t="s">
        <v>7188</v>
      </c>
      <c r="O1788" s="4">
        <v>92</v>
      </c>
      <c r="P1788" s="11" t="s">
        <v>9740</v>
      </c>
      <c r="Q1788" s="11" t="s">
        <v>10369</v>
      </c>
      <c r="S1788" s="4" t="b">
        <f>ISNUMBER(MATCH(Q1788,T:T,0))</f>
        <v>1</v>
      </c>
      <c r="T1788" s="4" t="s">
        <v>2503</v>
      </c>
      <c r="U1788" s="4" t="str">
        <f t="shared" si="76"/>
        <v>寡</v>
      </c>
    </row>
    <row r="1789" spans="1:22">
      <c r="A1789" s="3">
        <v>1787</v>
      </c>
      <c r="B1789" s="3" t="s">
        <v>7185</v>
      </c>
      <c r="C1789" s="3" t="s">
        <v>6021</v>
      </c>
      <c r="D1789" s="3" t="s">
        <v>6001</v>
      </c>
      <c r="E1789" s="3" t="s">
        <v>5991</v>
      </c>
      <c r="F1789" s="3" t="s">
        <v>4650</v>
      </c>
      <c r="G1789" s="3" t="s">
        <v>8645</v>
      </c>
      <c r="H1789" s="3" t="s">
        <v>7235</v>
      </c>
      <c r="I1789" s="3" t="s">
        <v>4652</v>
      </c>
      <c r="J1789" s="5" t="s">
        <v>7236</v>
      </c>
      <c r="L1789" s="3" t="s">
        <v>7237</v>
      </c>
      <c r="M1789" s="3">
        <v>3</v>
      </c>
      <c r="N1789" s="4" t="s">
        <v>7188</v>
      </c>
      <c r="O1789" s="4">
        <v>92</v>
      </c>
      <c r="P1789" s="11" t="s">
        <v>9798</v>
      </c>
      <c r="Q1789" s="11" t="s">
        <v>10359</v>
      </c>
      <c r="S1789" s="4" t="b">
        <f>ISNUMBER(MATCH(Q1789,T:T,0))</f>
        <v>1</v>
      </c>
      <c r="T1789" s="4" t="s">
        <v>10828</v>
      </c>
      <c r="U1789" s="4" t="str">
        <f t="shared" si="76"/>
        <v>者</v>
      </c>
    </row>
    <row r="1790" spans="1:22">
      <c r="A1790" s="3">
        <v>1788</v>
      </c>
      <c r="B1790" s="3" t="s">
        <v>7185</v>
      </c>
      <c r="C1790" s="3" t="s">
        <v>6318</v>
      </c>
      <c r="D1790" s="3" t="s">
        <v>6157</v>
      </c>
      <c r="E1790" s="3" t="s">
        <v>5991</v>
      </c>
      <c r="F1790" s="3" t="s">
        <v>4650</v>
      </c>
      <c r="G1790" s="3" t="s">
        <v>8645</v>
      </c>
      <c r="H1790" s="3" t="s">
        <v>7238</v>
      </c>
      <c r="I1790" s="3" t="s">
        <v>4652</v>
      </c>
      <c r="J1790" s="5" t="s">
        <v>7239</v>
      </c>
      <c r="L1790" s="3" t="s">
        <v>7240</v>
      </c>
      <c r="M1790" s="3">
        <v>5</v>
      </c>
      <c r="N1790" s="4" t="s">
        <v>7188</v>
      </c>
      <c r="O1790" s="4">
        <v>92</v>
      </c>
      <c r="P1790" s="11" t="s">
        <v>9804</v>
      </c>
      <c r="Q1790" s="11" t="s">
        <v>9771</v>
      </c>
      <c r="S1790" s="4" t="b">
        <f>ISNUMBER(MATCH(Q1790,T:T,0))</f>
        <v>1</v>
      </c>
      <c r="T1790" s="4" t="s">
        <v>11859</v>
      </c>
      <c r="U1790" s="4" t="str">
        <f t="shared" si="76"/>
        <v>下</v>
      </c>
    </row>
    <row r="1791" spans="1:22">
      <c r="A1791" s="3">
        <v>1789</v>
      </c>
      <c r="B1791" s="3" t="s">
        <v>7185</v>
      </c>
      <c r="C1791" s="3" t="s">
        <v>6000</v>
      </c>
      <c r="D1791" s="3" t="s">
        <v>6157</v>
      </c>
      <c r="E1791" s="3" t="s">
        <v>5991</v>
      </c>
      <c r="F1791" s="3" t="s">
        <v>4650</v>
      </c>
      <c r="G1791" s="3" t="s">
        <v>8645</v>
      </c>
      <c r="H1791" s="3" t="s">
        <v>7241</v>
      </c>
      <c r="I1791" s="3" t="s">
        <v>4652</v>
      </c>
      <c r="J1791" s="5" t="s">
        <v>7242</v>
      </c>
      <c r="L1791" s="3" t="s">
        <v>7240</v>
      </c>
      <c r="M1791" s="3">
        <v>1</v>
      </c>
      <c r="N1791" s="4" t="s">
        <v>7188</v>
      </c>
      <c r="O1791" s="4">
        <v>92</v>
      </c>
      <c r="P1791" s="11" t="s">
        <v>9742</v>
      </c>
      <c r="Q1791" s="11" t="s">
        <v>10370</v>
      </c>
      <c r="R1791" s="4" t="s">
        <v>13101</v>
      </c>
      <c r="S1791" s="4" t="b">
        <f>ISNUMBER(MATCH(Q1791,T:T,0))</f>
        <v>0</v>
      </c>
      <c r="T1791" s="4" t="s">
        <v>7242</v>
      </c>
      <c r="U1791" s="4" t="str">
        <f t="shared" si="76"/>
        <v>假</v>
      </c>
      <c r="V1791" s="4" t="b">
        <f>ISNUMBER(MATCH(R1791,T:T,0))</f>
        <v>1</v>
      </c>
    </row>
    <row r="1792" spans="1:22">
      <c r="A1792" s="3">
        <v>1790</v>
      </c>
      <c r="B1792" s="3" t="s">
        <v>7185</v>
      </c>
      <c r="C1792" s="3" t="s">
        <v>6015</v>
      </c>
      <c r="D1792" s="3" t="s">
        <v>6157</v>
      </c>
      <c r="E1792" s="3" t="s">
        <v>5991</v>
      </c>
      <c r="F1792" s="3" t="s">
        <v>4650</v>
      </c>
      <c r="G1792" s="3" t="s">
        <v>8645</v>
      </c>
      <c r="H1792" s="3" t="s">
        <v>7243</v>
      </c>
      <c r="I1792" s="3" t="s">
        <v>4652</v>
      </c>
      <c r="J1792" s="5" t="s">
        <v>7244</v>
      </c>
      <c r="L1792" s="3" t="s">
        <v>7245</v>
      </c>
      <c r="M1792" s="3">
        <v>2</v>
      </c>
      <c r="N1792" s="4" t="s">
        <v>7188</v>
      </c>
      <c r="O1792" s="4">
        <v>92</v>
      </c>
      <c r="P1792" s="11" t="s">
        <v>9777</v>
      </c>
      <c r="Q1792" s="11" t="s">
        <v>9771</v>
      </c>
      <c r="S1792" s="4" t="b">
        <f>ISNUMBER(MATCH(Q1792,T:T,0))</f>
        <v>1</v>
      </c>
      <c r="T1792" s="4" t="s">
        <v>11860</v>
      </c>
      <c r="U1792" s="4" t="str">
        <f t="shared" si="76"/>
        <v>下</v>
      </c>
    </row>
    <row r="1793" spans="1:22">
      <c r="A1793" s="3">
        <v>1791</v>
      </c>
      <c r="B1793" s="3" t="s">
        <v>7185</v>
      </c>
      <c r="C1793" s="3" t="s">
        <v>6055</v>
      </c>
      <c r="D1793" s="3" t="s">
        <v>6001</v>
      </c>
      <c r="E1793" s="3" t="s">
        <v>5991</v>
      </c>
      <c r="F1793" s="3" t="s">
        <v>4650</v>
      </c>
      <c r="G1793" s="3" t="s">
        <v>8645</v>
      </c>
      <c r="H1793" s="3" t="s">
        <v>7246</v>
      </c>
      <c r="I1793" s="3" t="s">
        <v>4652</v>
      </c>
      <c r="J1793" s="5" t="s">
        <v>7247</v>
      </c>
      <c r="L1793" s="3" t="s">
        <v>7248</v>
      </c>
      <c r="M1793" s="3">
        <v>5</v>
      </c>
      <c r="N1793" s="4" t="s">
        <v>7188</v>
      </c>
      <c r="O1793" s="4">
        <v>92</v>
      </c>
      <c r="P1793" s="11" t="s">
        <v>6055</v>
      </c>
      <c r="Q1793" s="11" t="s">
        <v>10359</v>
      </c>
      <c r="S1793" s="4" t="b">
        <f>ISNUMBER(MATCH(Q1793,T:T,0))</f>
        <v>1</v>
      </c>
      <c r="T1793" s="4" t="s">
        <v>11861</v>
      </c>
      <c r="U1793" s="4" t="str">
        <f t="shared" si="76"/>
        <v>者</v>
      </c>
    </row>
    <row r="1794" spans="1:22">
      <c r="A1794" s="3">
        <v>1792</v>
      </c>
      <c r="B1794" s="3" t="s">
        <v>7185</v>
      </c>
      <c r="C1794" s="3" t="s">
        <v>6000</v>
      </c>
      <c r="D1794" s="3" t="s">
        <v>6157</v>
      </c>
      <c r="E1794" s="3" t="s">
        <v>5991</v>
      </c>
      <c r="F1794" s="3" t="s">
        <v>4650</v>
      </c>
      <c r="G1794" s="3" t="s">
        <v>8645</v>
      </c>
      <c r="H1794" s="3" t="s">
        <v>7249</v>
      </c>
      <c r="I1794" s="3" t="s">
        <v>4652</v>
      </c>
      <c r="J1794" s="5" t="s">
        <v>7250</v>
      </c>
      <c r="L1794" s="3" t="s">
        <v>7240</v>
      </c>
      <c r="M1794" s="3">
        <v>1</v>
      </c>
      <c r="N1794" s="4" t="s">
        <v>7188</v>
      </c>
      <c r="O1794" s="4">
        <v>92</v>
      </c>
      <c r="P1794" s="11" t="s">
        <v>9803</v>
      </c>
      <c r="Q1794" s="11" t="s">
        <v>9771</v>
      </c>
      <c r="S1794" s="4" t="b">
        <f>ISNUMBER(MATCH(Q1794,T:T,0))</f>
        <v>1</v>
      </c>
      <c r="T1794" s="4" t="s">
        <v>7250</v>
      </c>
      <c r="U1794" s="4" t="str">
        <f t="shared" si="76"/>
        <v>下</v>
      </c>
    </row>
    <row r="1795" spans="1:22">
      <c r="A1795" s="3">
        <v>1793</v>
      </c>
      <c r="B1795" s="3" t="s">
        <v>7185</v>
      </c>
      <c r="C1795" s="3" t="s">
        <v>6137</v>
      </c>
      <c r="D1795" s="3" t="s">
        <v>6157</v>
      </c>
      <c r="E1795" s="3" t="s">
        <v>5991</v>
      </c>
      <c r="F1795" s="3" t="s">
        <v>4650</v>
      </c>
      <c r="G1795" s="3" t="s">
        <v>8645</v>
      </c>
      <c r="H1795" s="3" t="s">
        <v>7251</v>
      </c>
      <c r="I1795" s="3" t="s">
        <v>4652</v>
      </c>
      <c r="J1795" s="5" t="s">
        <v>7252</v>
      </c>
      <c r="L1795" s="3" t="s">
        <v>7253</v>
      </c>
      <c r="M1795" s="3">
        <v>1</v>
      </c>
      <c r="N1795" s="4" t="s">
        <v>7188</v>
      </c>
      <c r="O1795" s="4">
        <v>92</v>
      </c>
      <c r="P1795" s="11" t="s">
        <v>9744</v>
      </c>
      <c r="Q1795" s="11" t="s">
        <v>9771</v>
      </c>
      <c r="S1795" s="4" t="b">
        <f>ISNUMBER(MATCH(Q1795,T:T,0))</f>
        <v>1</v>
      </c>
      <c r="T1795" s="4" t="s">
        <v>7252</v>
      </c>
      <c r="U1795" s="4" t="str">
        <f t="shared" ref="U1795:U1858" si="78">IF(ISBLANK(R1795),Q1795,R1795)</f>
        <v>下</v>
      </c>
    </row>
    <row r="1796" spans="1:22">
      <c r="A1796" s="3">
        <v>1794</v>
      </c>
      <c r="B1796" s="3" t="s">
        <v>7185</v>
      </c>
      <c r="C1796" s="3" t="s">
        <v>6038</v>
      </c>
      <c r="D1796" s="3" t="s">
        <v>6157</v>
      </c>
      <c r="E1796" s="3" t="s">
        <v>6212</v>
      </c>
      <c r="F1796" s="3" t="s">
        <v>4650</v>
      </c>
      <c r="G1796" s="3" t="s">
        <v>8645</v>
      </c>
      <c r="H1796" s="3" t="s">
        <v>7254</v>
      </c>
      <c r="I1796" s="3" t="s">
        <v>4652</v>
      </c>
      <c r="J1796" s="5" t="s">
        <v>7255</v>
      </c>
      <c r="L1796" s="3" t="s">
        <v>7256</v>
      </c>
      <c r="M1796" s="3">
        <v>7</v>
      </c>
      <c r="N1796" s="4" t="s">
        <v>7188</v>
      </c>
      <c r="O1796" s="4">
        <v>92</v>
      </c>
      <c r="P1796" s="11" t="s">
        <v>9728</v>
      </c>
      <c r="Q1796" s="11" t="s">
        <v>2503</v>
      </c>
      <c r="S1796" s="4" t="b">
        <f>ISNUMBER(MATCH(Q1796,T:T,0))</f>
        <v>1</v>
      </c>
      <c r="T1796" s="4" t="s">
        <v>11862</v>
      </c>
      <c r="U1796" s="4" t="str">
        <f t="shared" si="78"/>
        <v>瓦</v>
      </c>
    </row>
    <row r="1797" spans="1:22">
      <c r="A1797" s="3">
        <v>1795</v>
      </c>
      <c r="B1797" s="3" t="s">
        <v>7185</v>
      </c>
      <c r="C1797" s="3" t="s">
        <v>6167</v>
      </c>
      <c r="D1797" s="3" t="s">
        <v>6157</v>
      </c>
      <c r="E1797" s="3" t="s">
        <v>6212</v>
      </c>
      <c r="F1797" s="3" t="s">
        <v>4650</v>
      </c>
      <c r="G1797" s="3" t="s">
        <v>8645</v>
      </c>
      <c r="H1797" s="3" t="s">
        <v>7257</v>
      </c>
      <c r="I1797" s="3" t="s">
        <v>4652</v>
      </c>
      <c r="J1797" s="5" t="s">
        <v>7258</v>
      </c>
      <c r="L1797" s="3" t="s">
        <v>7259</v>
      </c>
      <c r="M1797" s="3">
        <v>1</v>
      </c>
      <c r="N1797" s="4" t="s">
        <v>7188</v>
      </c>
      <c r="O1797" s="4">
        <v>92</v>
      </c>
      <c r="P1797" s="11" t="s">
        <v>9821</v>
      </c>
      <c r="Q1797" s="11" t="s">
        <v>2503</v>
      </c>
      <c r="S1797" s="4" t="b">
        <f>ISNUMBER(MATCH(Q1797,T:T,0))</f>
        <v>1</v>
      </c>
      <c r="T1797" s="4" t="s">
        <v>7258</v>
      </c>
      <c r="U1797" s="4" t="str">
        <f t="shared" si="78"/>
        <v>瓦</v>
      </c>
    </row>
    <row r="1798" spans="1:22">
      <c r="A1798" s="3">
        <v>1796</v>
      </c>
      <c r="B1798" s="3" t="s">
        <v>7185</v>
      </c>
      <c r="C1798" s="3" t="s">
        <v>6011</v>
      </c>
      <c r="D1798" s="3" t="s">
        <v>6157</v>
      </c>
      <c r="E1798" s="3" t="s">
        <v>6212</v>
      </c>
      <c r="F1798" s="3" t="s">
        <v>4650</v>
      </c>
      <c r="G1798" s="3" t="s">
        <v>8645</v>
      </c>
      <c r="H1798" s="3" t="s">
        <v>7260</v>
      </c>
      <c r="I1798" s="3" t="s">
        <v>4652</v>
      </c>
      <c r="J1798" s="5" t="s">
        <v>7261</v>
      </c>
      <c r="L1798" s="3" t="s">
        <v>7259</v>
      </c>
      <c r="M1798" s="3">
        <v>1</v>
      </c>
      <c r="N1798" s="4" t="s">
        <v>7188</v>
      </c>
      <c r="O1798" s="4">
        <v>92</v>
      </c>
      <c r="P1798" s="11" t="s">
        <v>9757</v>
      </c>
      <c r="Q1798" s="11" t="s">
        <v>10369</v>
      </c>
      <c r="S1798" s="4" t="b">
        <f>ISNUMBER(MATCH(Q1798,T:T,0))</f>
        <v>1</v>
      </c>
      <c r="T1798" s="4" t="s">
        <v>11863</v>
      </c>
      <c r="U1798" s="4" t="str">
        <f t="shared" si="78"/>
        <v>寡</v>
      </c>
    </row>
    <row r="1799" spans="1:22">
      <c r="A1799" s="3">
        <v>1797</v>
      </c>
      <c r="B1799" s="3" t="s">
        <v>7185</v>
      </c>
      <c r="C1799" s="3" t="s">
        <v>6180</v>
      </c>
      <c r="D1799" s="3" t="s">
        <v>6157</v>
      </c>
      <c r="E1799" s="3" t="s">
        <v>6212</v>
      </c>
      <c r="F1799" s="3" t="s">
        <v>4650</v>
      </c>
      <c r="G1799" s="3" t="s">
        <v>8645</v>
      </c>
      <c r="H1799" s="3" t="s">
        <v>7262</v>
      </c>
      <c r="I1799" s="3" t="s">
        <v>4652</v>
      </c>
      <c r="J1799" s="5" t="s">
        <v>7263</v>
      </c>
      <c r="L1799" s="3" t="s">
        <v>7264</v>
      </c>
      <c r="M1799" s="3">
        <v>3</v>
      </c>
      <c r="N1799" s="4" t="s">
        <v>7188</v>
      </c>
      <c r="O1799" s="4">
        <v>92</v>
      </c>
      <c r="P1799" s="11" t="s">
        <v>10371</v>
      </c>
      <c r="Q1799" s="11" t="s">
        <v>2503</v>
      </c>
      <c r="S1799" s="4" t="b">
        <f>ISNUMBER(MATCH(Q1799,T:T,0))</f>
        <v>1</v>
      </c>
      <c r="T1799" s="4" t="s">
        <v>11864</v>
      </c>
      <c r="U1799" s="4" t="str">
        <f t="shared" si="78"/>
        <v>瓦</v>
      </c>
    </row>
    <row r="1800" spans="1:22">
      <c r="A1800" s="3">
        <v>1798</v>
      </c>
      <c r="B1800" s="3" t="s">
        <v>7185</v>
      </c>
      <c r="C1800" s="3" t="s">
        <v>6011</v>
      </c>
      <c r="D1800" s="3" t="s">
        <v>6157</v>
      </c>
      <c r="E1800" s="3" t="s">
        <v>5991</v>
      </c>
      <c r="F1800" s="3" t="s">
        <v>4650</v>
      </c>
      <c r="G1800" s="3" t="s">
        <v>8645</v>
      </c>
      <c r="H1800" s="3" t="s">
        <v>7265</v>
      </c>
      <c r="I1800" s="3" t="s">
        <v>4652</v>
      </c>
      <c r="J1800" s="5" t="s">
        <v>4905</v>
      </c>
      <c r="L1800" s="3" t="s">
        <v>7266</v>
      </c>
      <c r="M1800" s="3">
        <v>1</v>
      </c>
      <c r="N1800" s="4" t="s">
        <v>7188</v>
      </c>
      <c r="O1800" s="4">
        <v>92</v>
      </c>
      <c r="P1800" s="11" t="s">
        <v>9757</v>
      </c>
      <c r="Q1800" s="11" t="s">
        <v>9771</v>
      </c>
      <c r="S1800" s="4" t="b">
        <f>ISNUMBER(MATCH(Q1800,T:T,0))</f>
        <v>1</v>
      </c>
      <c r="T1800" s="4" t="s">
        <v>11865</v>
      </c>
      <c r="U1800" s="4" t="str">
        <f t="shared" si="78"/>
        <v>下</v>
      </c>
    </row>
    <row r="1801" spans="1:22">
      <c r="A1801" s="3">
        <v>1799</v>
      </c>
      <c r="B1801" s="3" t="s">
        <v>7185</v>
      </c>
      <c r="C1801" s="3" t="s">
        <v>6058</v>
      </c>
      <c r="D1801" s="3" t="s">
        <v>6157</v>
      </c>
      <c r="E1801" s="3" t="s">
        <v>5991</v>
      </c>
      <c r="F1801" s="3" t="s">
        <v>4650</v>
      </c>
      <c r="G1801" s="3" t="s">
        <v>8645</v>
      </c>
      <c r="H1801" s="3" t="s">
        <v>7267</v>
      </c>
      <c r="I1801" s="3" t="s">
        <v>4652</v>
      </c>
      <c r="J1801" s="5" t="s">
        <v>7268</v>
      </c>
      <c r="L1801" s="3" t="s">
        <v>7269</v>
      </c>
      <c r="M1801" s="3">
        <v>1</v>
      </c>
      <c r="N1801" s="4" t="s">
        <v>7188</v>
      </c>
      <c r="O1801" s="4">
        <v>92</v>
      </c>
      <c r="P1801" s="11" t="s">
        <v>9730</v>
      </c>
      <c r="Q1801" s="11" t="s">
        <v>9771</v>
      </c>
      <c r="S1801" s="4" t="b">
        <f>ISNUMBER(MATCH(Q1801,T:T,0))</f>
        <v>1</v>
      </c>
      <c r="T1801" s="4" t="s">
        <v>7268</v>
      </c>
      <c r="U1801" s="4" t="str">
        <f t="shared" si="78"/>
        <v>下</v>
      </c>
    </row>
    <row r="1802" spans="1:22">
      <c r="A1802" s="3">
        <v>1800</v>
      </c>
      <c r="B1802" s="3" t="s">
        <v>7270</v>
      </c>
      <c r="C1802" s="3" t="s">
        <v>6028</v>
      </c>
      <c r="D1802" s="3" t="s">
        <v>6001</v>
      </c>
      <c r="E1802" s="3" t="s">
        <v>5991</v>
      </c>
      <c r="F1802" s="3" t="s">
        <v>972</v>
      </c>
      <c r="G1802" s="3" t="s">
        <v>8645</v>
      </c>
      <c r="H1802" s="3" t="s">
        <v>7271</v>
      </c>
      <c r="I1802" s="3" t="s">
        <v>974</v>
      </c>
      <c r="J1802" s="5" t="s">
        <v>4906</v>
      </c>
      <c r="L1802" s="3" t="s">
        <v>8740</v>
      </c>
      <c r="M1802" s="3">
        <v>7</v>
      </c>
      <c r="N1802" s="4" t="s">
        <v>7272</v>
      </c>
      <c r="O1802" s="4">
        <v>93</v>
      </c>
      <c r="P1802" s="11" t="s">
        <v>9750</v>
      </c>
      <c r="Q1802" s="11" t="s">
        <v>10372</v>
      </c>
      <c r="S1802" s="4" t="b">
        <f>ISNUMBER(MATCH(Q1802,T:T,0))</f>
        <v>1</v>
      </c>
      <c r="T1802" s="4" t="s">
        <v>7272</v>
      </c>
      <c r="U1802" s="4" t="str">
        <f t="shared" si="78"/>
        <v>兩</v>
      </c>
    </row>
    <row r="1803" spans="1:22" ht="28.5">
      <c r="A1803" s="3">
        <v>1801</v>
      </c>
      <c r="B1803" s="3" t="s">
        <v>7270</v>
      </c>
      <c r="C1803" s="3" t="s">
        <v>6123</v>
      </c>
      <c r="D1803" s="3" t="s">
        <v>6001</v>
      </c>
      <c r="E1803" s="3" t="s">
        <v>5991</v>
      </c>
      <c r="F1803" s="3" t="s">
        <v>972</v>
      </c>
      <c r="G1803" s="3" t="s">
        <v>8645</v>
      </c>
      <c r="H1803" s="3" t="s">
        <v>7273</v>
      </c>
      <c r="I1803" s="3" t="s">
        <v>974</v>
      </c>
      <c r="J1803" s="5" t="s">
        <v>4907</v>
      </c>
      <c r="L1803" s="3" t="s">
        <v>8746</v>
      </c>
      <c r="M1803" s="3">
        <v>11</v>
      </c>
      <c r="N1803" s="4" t="s">
        <v>7272</v>
      </c>
      <c r="O1803" s="4">
        <v>93</v>
      </c>
      <c r="P1803" s="11" t="s">
        <v>10110</v>
      </c>
      <c r="Q1803" s="11" t="s">
        <v>10372</v>
      </c>
      <c r="S1803" s="4" t="b">
        <f>ISNUMBER(MATCH(Q1803,T:T,0))</f>
        <v>1</v>
      </c>
      <c r="T1803" s="4" t="s">
        <v>11866</v>
      </c>
      <c r="U1803" s="4" t="str">
        <f t="shared" si="78"/>
        <v>兩</v>
      </c>
    </row>
    <row r="1804" spans="1:22" ht="28.5">
      <c r="A1804" s="3">
        <v>1802</v>
      </c>
      <c r="B1804" s="3" t="s">
        <v>7270</v>
      </c>
      <c r="C1804" s="3" t="s">
        <v>6083</v>
      </c>
      <c r="D1804" s="3" t="s">
        <v>6001</v>
      </c>
      <c r="E1804" s="3" t="s">
        <v>5991</v>
      </c>
      <c r="F1804" s="3" t="s">
        <v>972</v>
      </c>
      <c r="G1804" s="3" t="s">
        <v>8645</v>
      </c>
      <c r="H1804" s="3" t="s">
        <v>7274</v>
      </c>
      <c r="I1804" s="3" t="s">
        <v>974</v>
      </c>
      <c r="J1804" s="5" t="s">
        <v>7275</v>
      </c>
      <c r="L1804" s="3" t="s">
        <v>8734</v>
      </c>
      <c r="M1804" s="3">
        <v>6</v>
      </c>
      <c r="N1804" s="4" t="s">
        <v>7272</v>
      </c>
      <c r="O1804" s="4">
        <v>93</v>
      </c>
      <c r="P1804" s="11" t="s">
        <v>9760</v>
      </c>
      <c r="Q1804" s="11" t="s">
        <v>10372</v>
      </c>
      <c r="S1804" s="4" t="b">
        <f>ISNUMBER(MATCH(Q1804,T:T,0))</f>
        <v>1</v>
      </c>
      <c r="T1804" s="4" t="s">
        <v>11867</v>
      </c>
      <c r="U1804" s="4" t="str">
        <f t="shared" si="78"/>
        <v>兩</v>
      </c>
    </row>
    <row r="1805" spans="1:22" ht="28.5">
      <c r="A1805" s="3">
        <v>1803</v>
      </c>
      <c r="B1805" s="3" t="s">
        <v>7270</v>
      </c>
      <c r="C1805" s="3" t="s">
        <v>6058</v>
      </c>
      <c r="D1805" s="3" t="s">
        <v>6001</v>
      </c>
      <c r="E1805" s="3" t="s">
        <v>5991</v>
      </c>
      <c r="F1805" s="3" t="s">
        <v>972</v>
      </c>
      <c r="G1805" s="3" t="s">
        <v>8645</v>
      </c>
      <c r="H1805" s="3" t="s">
        <v>7276</v>
      </c>
      <c r="I1805" s="3" t="s">
        <v>974</v>
      </c>
      <c r="J1805" s="5" t="s">
        <v>4908</v>
      </c>
      <c r="L1805" s="3" t="s">
        <v>7277</v>
      </c>
      <c r="M1805" s="3">
        <v>8</v>
      </c>
      <c r="N1805" s="4" t="s">
        <v>7272</v>
      </c>
      <c r="O1805" s="4">
        <v>93</v>
      </c>
      <c r="P1805" s="11" t="s">
        <v>10084</v>
      </c>
      <c r="Q1805" s="11" t="s">
        <v>10373</v>
      </c>
      <c r="R1805" s="4" t="s">
        <v>13102</v>
      </c>
      <c r="S1805" s="4" t="b">
        <f>ISNUMBER(MATCH(Q1805,T:T,0))</f>
        <v>0</v>
      </c>
      <c r="T1805" s="4" t="s">
        <v>10372</v>
      </c>
      <c r="U1805" s="4" t="str">
        <f t="shared" si="78"/>
        <v>獎</v>
      </c>
      <c r="V1805" s="4" t="b">
        <f>ISNUMBER(MATCH(R1805,T:T,0))</f>
        <v>1</v>
      </c>
    </row>
    <row r="1806" spans="1:22">
      <c r="A1806" s="3">
        <v>1804</v>
      </c>
      <c r="B1806" s="3" t="s">
        <v>7270</v>
      </c>
      <c r="C1806" s="3" t="s">
        <v>6072</v>
      </c>
      <c r="D1806" s="3" t="s">
        <v>6001</v>
      </c>
      <c r="E1806" s="3" t="s">
        <v>5991</v>
      </c>
      <c r="F1806" s="3" t="s">
        <v>972</v>
      </c>
      <c r="G1806" s="3" t="s">
        <v>8645</v>
      </c>
      <c r="H1806" s="3" t="s">
        <v>7278</v>
      </c>
      <c r="I1806" s="3" t="s">
        <v>974</v>
      </c>
      <c r="J1806" s="5" t="s">
        <v>4909</v>
      </c>
      <c r="L1806" s="3" t="s">
        <v>8740</v>
      </c>
      <c r="M1806" s="3">
        <v>11</v>
      </c>
      <c r="N1806" s="4" t="s">
        <v>7272</v>
      </c>
      <c r="O1806" s="4">
        <v>93</v>
      </c>
      <c r="P1806" s="11" t="s">
        <v>9754</v>
      </c>
      <c r="Q1806" s="11" t="s">
        <v>10372</v>
      </c>
      <c r="S1806" s="4" t="b">
        <f>ISNUMBER(MATCH(Q1806,T:T,0))</f>
        <v>1</v>
      </c>
      <c r="T1806" s="4" t="s">
        <v>11868</v>
      </c>
      <c r="U1806" s="4" t="str">
        <f t="shared" si="78"/>
        <v>兩</v>
      </c>
    </row>
    <row r="1807" spans="1:22" ht="28.5">
      <c r="A1807" s="3">
        <v>1805</v>
      </c>
      <c r="B1807" s="3" t="s">
        <v>7270</v>
      </c>
      <c r="C1807" s="3" t="s">
        <v>6041</v>
      </c>
      <c r="D1807" s="3" t="s">
        <v>6001</v>
      </c>
      <c r="E1807" s="3" t="s">
        <v>5991</v>
      </c>
      <c r="F1807" s="3" t="s">
        <v>972</v>
      </c>
      <c r="G1807" s="3" t="s">
        <v>8645</v>
      </c>
      <c r="H1807" s="3" t="s">
        <v>7279</v>
      </c>
      <c r="I1807" s="3" t="s">
        <v>974</v>
      </c>
      <c r="J1807" s="8" t="s">
        <v>4910</v>
      </c>
      <c r="L1807" s="3" t="s">
        <v>7280</v>
      </c>
      <c r="M1807" s="3">
        <v>5</v>
      </c>
      <c r="N1807" s="4" t="s">
        <v>7272</v>
      </c>
      <c r="O1807" s="4">
        <v>93</v>
      </c>
      <c r="P1807" s="11" t="s">
        <v>9830</v>
      </c>
      <c r="Q1807" s="11" t="s">
        <v>10372</v>
      </c>
      <c r="S1807" s="4" t="b">
        <f>ISNUMBER(MATCH(Q1807,T:T,0))</f>
        <v>1</v>
      </c>
      <c r="T1807" s="4" t="s">
        <v>11869</v>
      </c>
      <c r="U1807" s="4" t="str">
        <f t="shared" si="78"/>
        <v>兩</v>
      </c>
    </row>
    <row r="1808" spans="1:22">
      <c r="A1808" s="3">
        <v>1806</v>
      </c>
      <c r="B1808" s="3" t="s">
        <v>7270</v>
      </c>
      <c r="C1808" s="3" t="s">
        <v>6092</v>
      </c>
      <c r="D1808" s="3" t="s">
        <v>6001</v>
      </c>
      <c r="E1808" s="3" t="s">
        <v>5991</v>
      </c>
      <c r="F1808" s="3" t="s">
        <v>972</v>
      </c>
      <c r="G1808" s="3" t="s">
        <v>8645</v>
      </c>
      <c r="H1808" s="3" t="s">
        <v>7281</v>
      </c>
      <c r="I1808" s="3" t="s">
        <v>974</v>
      </c>
      <c r="J1808" s="5" t="s">
        <v>7282</v>
      </c>
      <c r="L1808" s="3" t="s">
        <v>8740</v>
      </c>
      <c r="M1808" s="3">
        <v>3</v>
      </c>
      <c r="N1808" s="4" t="s">
        <v>7272</v>
      </c>
      <c r="O1808" s="4">
        <v>93</v>
      </c>
      <c r="P1808" s="11" t="s">
        <v>6462</v>
      </c>
      <c r="Q1808" s="11" t="s">
        <v>10372</v>
      </c>
      <c r="S1808" s="4" t="b">
        <f>ISNUMBER(MATCH(Q1808,T:T,0))</f>
        <v>1</v>
      </c>
      <c r="T1808" s="4" t="s">
        <v>11870</v>
      </c>
      <c r="U1808" s="4" t="str">
        <f t="shared" si="78"/>
        <v>兩</v>
      </c>
    </row>
    <row r="1809" spans="1:21" ht="28.5">
      <c r="A1809" s="3">
        <v>1807</v>
      </c>
      <c r="B1809" s="3" t="s">
        <v>7270</v>
      </c>
      <c r="C1809" s="3" t="s">
        <v>6167</v>
      </c>
      <c r="D1809" s="3" t="s">
        <v>6001</v>
      </c>
      <c r="E1809" s="3" t="s">
        <v>5991</v>
      </c>
      <c r="F1809" s="3" t="s">
        <v>972</v>
      </c>
      <c r="G1809" s="3" t="s">
        <v>8645</v>
      </c>
      <c r="H1809" s="3" t="s">
        <v>7283</v>
      </c>
      <c r="I1809" s="3" t="s">
        <v>974</v>
      </c>
      <c r="J1809" s="5" t="s">
        <v>7284</v>
      </c>
      <c r="L1809" s="3" t="s">
        <v>7285</v>
      </c>
      <c r="M1809" s="3">
        <v>6</v>
      </c>
      <c r="N1809" s="4" t="s">
        <v>7272</v>
      </c>
      <c r="O1809" s="4">
        <v>93</v>
      </c>
      <c r="P1809" s="11" t="s">
        <v>6167</v>
      </c>
      <c r="Q1809" s="11" t="s">
        <v>10372</v>
      </c>
      <c r="S1809" s="4" t="b">
        <f>ISNUMBER(MATCH(Q1809,T:T,0))</f>
        <v>1</v>
      </c>
      <c r="T1809" s="4" t="s">
        <v>11871</v>
      </c>
      <c r="U1809" s="4" t="str">
        <f t="shared" si="78"/>
        <v>兩</v>
      </c>
    </row>
    <row r="1810" spans="1:21" ht="28.5">
      <c r="A1810" s="3">
        <v>1808</v>
      </c>
      <c r="B1810" s="3" t="s">
        <v>7270</v>
      </c>
      <c r="C1810" s="3" t="s">
        <v>6017</v>
      </c>
      <c r="D1810" s="3" t="s">
        <v>6001</v>
      </c>
      <c r="E1810" s="3" t="s">
        <v>5991</v>
      </c>
      <c r="F1810" s="3" t="s">
        <v>972</v>
      </c>
      <c r="G1810" s="3" t="s">
        <v>8645</v>
      </c>
      <c r="H1810" s="3" t="s">
        <v>7286</v>
      </c>
      <c r="I1810" s="3" t="s">
        <v>974</v>
      </c>
      <c r="J1810" s="5" t="s">
        <v>7287</v>
      </c>
      <c r="L1810" s="3" t="s">
        <v>8752</v>
      </c>
      <c r="M1810" s="3">
        <v>2</v>
      </c>
      <c r="N1810" s="4" t="s">
        <v>7272</v>
      </c>
      <c r="O1810" s="4">
        <v>93</v>
      </c>
      <c r="P1810" s="11" t="s">
        <v>9714</v>
      </c>
      <c r="Q1810" s="11" t="s">
        <v>10372</v>
      </c>
      <c r="S1810" s="4" t="b">
        <f>ISNUMBER(MATCH(Q1810,T:T,0))</f>
        <v>1</v>
      </c>
      <c r="T1810" s="4" t="s">
        <v>11872</v>
      </c>
      <c r="U1810" s="4" t="str">
        <f t="shared" si="78"/>
        <v>兩</v>
      </c>
    </row>
    <row r="1811" spans="1:21" ht="28.5">
      <c r="A1811" s="3">
        <v>1809</v>
      </c>
      <c r="B1811" s="3" t="s">
        <v>7270</v>
      </c>
      <c r="C1811" s="3" t="s">
        <v>6009</v>
      </c>
      <c r="D1811" s="3" t="s">
        <v>6001</v>
      </c>
      <c r="E1811" s="3" t="s">
        <v>5991</v>
      </c>
      <c r="F1811" s="3" t="s">
        <v>972</v>
      </c>
      <c r="G1811" s="3" t="s">
        <v>8645</v>
      </c>
      <c r="H1811" s="3" t="s">
        <v>7288</v>
      </c>
      <c r="I1811" s="3" t="s">
        <v>974</v>
      </c>
      <c r="J1811" s="5" t="s">
        <v>7289</v>
      </c>
      <c r="K1811" s="3" t="s">
        <v>7290</v>
      </c>
      <c r="L1811" s="3" t="s">
        <v>7291</v>
      </c>
      <c r="M1811" s="3">
        <v>3</v>
      </c>
      <c r="N1811" s="4" t="s">
        <v>7272</v>
      </c>
      <c r="O1811" s="4">
        <v>93</v>
      </c>
      <c r="P1811" s="11" t="s">
        <v>9849</v>
      </c>
      <c r="Q1811" s="11" t="s">
        <v>10372</v>
      </c>
      <c r="S1811" s="4" t="b">
        <f>ISNUMBER(MATCH(Q1811,T:T,0))</f>
        <v>1</v>
      </c>
      <c r="T1811" s="4" t="s">
        <v>10379</v>
      </c>
      <c r="U1811" s="4" t="str">
        <f t="shared" si="78"/>
        <v>兩</v>
      </c>
    </row>
    <row r="1812" spans="1:21" ht="28.5">
      <c r="A1812" s="3">
        <v>1810</v>
      </c>
      <c r="B1812" s="3" t="s">
        <v>7270</v>
      </c>
      <c r="C1812" s="3" t="s">
        <v>6180</v>
      </c>
      <c r="D1812" s="3" t="s">
        <v>6001</v>
      </c>
      <c r="E1812" s="3" t="s">
        <v>5991</v>
      </c>
      <c r="F1812" s="3" t="s">
        <v>972</v>
      </c>
      <c r="G1812" s="3" t="s">
        <v>8645</v>
      </c>
      <c r="H1812" s="7" t="s">
        <v>780</v>
      </c>
      <c r="I1812" s="3" t="s">
        <v>974</v>
      </c>
      <c r="J1812" s="5" t="s">
        <v>7292</v>
      </c>
      <c r="L1812" s="3" t="s">
        <v>7293</v>
      </c>
      <c r="M1812" s="3">
        <v>9</v>
      </c>
      <c r="N1812" s="4" t="s">
        <v>7272</v>
      </c>
      <c r="O1812" s="4">
        <v>93</v>
      </c>
      <c r="P1812" s="11" t="s">
        <v>10230</v>
      </c>
      <c r="Q1812" s="11" t="s">
        <v>10372</v>
      </c>
      <c r="S1812" s="4" t="b">
        <f>ISNUMBER(MATCH(Q1812,T:T,0))</f>
        <v>1</v>
      </c>
      <c r="T1812" s="4" t="s">
        <v>11873</v>
      </c>
      <c r="U1812" s="4" t="str">
        <f t="shared" si="78"/>
        <v>兩</v>
      </c>
    </row>
    <row r="1813" spans="1:21" ht="28.5">
      <c r="A1813" s="3">
        <v>1811</v>
      </c>
      <c r="B1813" s="3" t="s">
        <v>7270</v>
      </c>
      <c r="C1813" s="3" t="s">
        <v>6089</v>
      </c>
      <c r="D1813" s="3" t="s">
        <v>6001</v>
      </c>
      <c r="E1813" s="3" t="s">
        <v>5991</v>
      </c>
      <c r="F1813" s="3" t="s">
        <v>972</v>
      </c>
      <c r="G1813" s="3" t="s">
        <v>8645</v>
      </c>
      <c r="H1813" s="3" t="s">
        <v>7294</v>
      </c>
      <c r="I1813" s="3" t="s">
        <v>974</v>
      </c>
      <c r="J1813" s="5" t="s">
        <v>4911</v>
      </c>
      <c r="L1813" s="3" t="s">
        <v>8752</v>
      </c>
      <c r="M1813" s="3">
        <v>8</v>
      </c>
      <c r="N1813" s="4" t="s">
        <v>7272</v>
      </c>
      <c r="O1813" s="4">
        <v>93</v>
      </c>
      <c r="P1813" s="11" t="s">
        <v>9753</v>
      </c>
      <c r="Q1813" s="11" t="s">
        <v>10372</v>
      </c>
      <c r="S1813" s="4" t="b">
        <f>ISNUMBER(MATCH(Q1813,T:T,0))</f>
        <v>1</v>
      </c>
      <c r="T1813" s="4" t="s">
        <v>11874</v>
      </c>
      <c r="U1813" s="4" t="str">
        <f t="shared" si="78"/>
        <v>兩</v>
      </c>
    </row>
    <row r="1814" spans="1:21" ht="28.5">
      <c r="A1814" s="3">
        <v>1812</v>
      </c>
      <c r="B1814" s="3" t="s">
        <v>7270</v>
      </c>
      <c r="C1814" s="3" t="s">
        <v>6055</v>
      </c>
      <c r="D1814" s="3" t="s">
        <v>6001</v>
      </c>
      <c r="E1814" s="3" t="s">
        <v>5991</v>
      </c>
      <c r="F1814" s="3" t="s">
        <v>972</v>
      </c>
      <c r="G1814" s="3" t="s">
        <v>8645</v>
      </c>
      <c r="H1814" s="3" t="s">
        <v>7295</v>
      </c>
      <c r="I1814" s="3" t="s">
        <v>974</v>
      </c>
      <c r="J1814" s="5" t="s">
        <v>4912</v>
      </c>
      <c r="L1814" s="3" t="s">
        <v>7296</v>
      </c>
      <c r="M1814" s="3">
        <v>7</v>
      </c>
      <c r="N1814" s="4" t="s">
        <v>7272</v>
      </c>
      <c r="O1814" s="4">
        <v>93</v>
      </c>
      <c r="P1814" s="11" t="s">
        <v>6055</v>
      </c>
      <c r="Q1814" s="11" t="s">
        <v>10372</v>
      </c>
      <c r="S1814" s="4" t="b">
        <f>ISNUMBER(MATCH(Q1814,T:T,0))</f>
        <v>1</v>
      </c>
      <c r="T1814" s="4" t="s">
        <v>11875</v>
      </c>
      <c r="U1814" s="4" t="str">
        <f t="shared" si="78"/>
        <v>兩</v>
      </c>
    </row>
    <row r="1815" spans="1:21" ht="28.5">
      <c r="A1815" s="3">
        <v>1813</v>
      </c>
      <c r="B1815" s="3" t="s">
        <v>7270</v>
      </c>
      <c r="C1815" s="3" t="s">
        <v>6025</v>
      </c>
      <c r="D1815" s="3" t="s">
        <v>6001</v>
      </c>
      <c r="E1815" s="3" t="s">
        <v>5991</v>
      </c>
      <c r="F1815" s="3" t="s">
        <v>972</v>
      </c>
      <c r="G1815" s="3" t="s">
        <v>8645</v>
      </c>
      <c r="H1815" s="3" t="s">
        <v>7297</v>
      </c>
      <c r="I1815" s="3" t="s">
        <v>974</v>
      </c>
      <c r="J1815" s="8" t="s">
        <v>4913</v>
      </c>
      <c r="L1815" s="3" t="s">
        <v>8734</v>
      </c>
      <c r="M1815" s="3">
        <v>5</v>
      </c>
      <c r="N1815" s="4" t="s">
        <v>7272</v>
      </c>
      <c r="O1815" s="4">
        <v>93</v>
      </c>
      <c r="P1815" s="11" t="s">
        <v>9717</v>
      </c>
      <c r="Q1815" s="11" t="s">
        <v>10372</v>
      </c>
      <c r="S1815" s="4" t="b">
        <f>ISNUMBER(MATCH(Q1815,T:T,0))</f>
        <v>1</v>
      </c>
      <c r="T1815" s="4" t="s">
        <v>11876</v>
      </c>
      <c r="U1815" s="4" t="str">
        <f t="shared" si="78"/>
        <v>兩</v>
      </c>
    </row>
    <row r="1816" spans="1:21" ht="28.5">
      <c r="A1816" s="3">
        <v>1814</v>
      </c>
      <c r="B1816" s="3" t="s">
        <v>7270</v>
      </c>
      <c r="C1816" s="3" t="s">
        <v>6005</v>
      </c>
      <c r="D1816" s="3" t="s">
        <v>6001</v>
      </c>
      <c r="E1816" s="3" t="s">
        <v>5991</v>
      </c>
      <c r="F1816" s="3" t="s">
        <v>972</v>
      </c>
      <c r="G1816" s="3" t="s">
        <v>8645</v>
      </c>
      <c r="H1816" s="3" t="s">
        <v>7298</v>
      </c>
      <c r="I1816" s="3" t="s">
        <v>974</v>
      </c>
      <c r="J1816" s="5" t="s">
        <v>7299</v>
      </c>
      <c r="L1816" s="3" t="s">
        <v>7300</v>
      </c>
      <c r="M1816" s="3">
        <v>4</v>
      </c>
      <c r="N1816" s="4" t="s">
        <v>7272</v>
      </c>
      <c r="O1816" s="4">
        <v>93</v>
      </c>
      <c r="P1816" s="11" t="s">
        <v>9709</v>
      </c>
      <c r="Q1816" s="11" t="s">
        <v>10372</v>
      </c>
      <c r="S1816" s="4" t="b">
        <f>ISNUMBER(MATCH(Q1816,T:T,0))</f>
        <v>1</v>
      </c>
      <c r="T1816" s="4" t="s">
        <v>10263</v>
      </c>
      <c r="U1816" s="4" t="str">
        <f t="shared" si="78"/>
        <v>兩</v>
      </c>
    </row>
    <row r="1817" spans="1:21" ht="28.5">
      <c r="A1817" s="3">
        <v>1815</v>
      </c>
      <c r="B1817" s="3" t="s">
        <v>7270</v>
      </c>
      <c r="C1817" s="3" t="s">
        <v>6011</v>
      </c>
      <c r="D1817" s="3" t="s">
        <v>6001</v>
      </c>
      <c r="E1817" s="3" t="s">
        <v>5991</v>
      </c>
      <c r="F1817" s="3" t="s">
        <v>972</v>
      </c>
      <c r="G1817" s="3" t="s">
        <v>8645</v>
      </c>
      <c r="H1817" s="3" t="s">
        <v>7301</v>
      </c>
      <c r="I1817" s="3" t="s">
        <v>974</v>
      </c>
      <c r="J1817" s="5" t="s">
        <v>7302</v>
      </c>
      <c r="L1817" s="3" t="s">
        <v>7296</v>
      </c>
      <c r="M1817" s="3">
        <v>2</v>
      </c>
      <c r="N1817" s="4" t="s">
        <v>7272</v>
      </c>
      <c r="O1817" s="4">
        <v>93</v>
      </c>
      <c r="P1817" s="11" t="s">
        <v>9757</v>
      </c>
      <c r="Q1817" s="11" t="s">
        <v>10372</v>
      </c>
      <c r="S1817" s="4" t="b">
        <f>ISNUMBER(MATCH(Q1817,T:T,0))</f>
        <v>1</v>
      </c>
      <c r="T1817" s="4" t="s">
        <v>11877</v>
      </c>
      <c r="U1817" s="4" t="str">
        <f t="shared" si="78"/>
        <v>兩</v>
      </c>
    </row>
    <row r="1818" spans="1:21" ht="28.5">
      <c r="A1818" s="3">
        <v>1816</v>
      </c>
      <c r="B1818" s="3" t="s">
        <v>7270</v>
      </c>
      <c r="C1818" s="3" t="s">
        <v>6025</v>
      </c>
      <c r="D1818" s="3" t="s">
        <v>6001</v>
      </c>
      <c r="E1818" s="3" t="s">
        <v>6212</v>
      </c>
      <c r="F1818" s="3" t="s">
        <v>972</v>
      </c>
      <c r="G1818" s="3" t="s">
        <v>8645</v>
      </c>
      <c r="H1818" s="3" t="s">
        <v>7303</v>
      </c>
      <c r="I1818" s="3" t="s">
        <v>974</v>
      </c>
      <c r="J1818" s="5" t="s">
        <v>7304</v>
      </c>
      <c r="L1818" s="3" t="s">
        <v>7305</v>
      </c>
      <c r="M1818" s="3">
        <v>1</v>
      </c>
      <c r="N1818" s="4" t="s">
        <v>7272</v>
      </c>
      <c r="O1818" s="4">
        <v>93</v>
      </c>
      <c r="P1818" s="11" t="s">
        <v>9717</v>
      </c>
      <c r="Q1818" s="11" t="s">
        <v>10374</v>
      </c>
      <c r="S1818" s="4" t="b">
        <f>ISNUMBER(MATCH(Q1818,T:T,0))</f>
        <v>1</v>
      </c>
      <c r="T1818" s="4" t="s">
        <v>7304</v>
      </c>
      <c r="U1818" s="4" t="str">
        <f t="shared" si="78"/>
        <v>往</v>
      </c>
    </row>
    <row r="1819" spans="1:21">
      <c r="A1819" s="3">
        <v>1817</v>
      </c>
      <c r="B1819" s="3" t="s">
        <v>7270</v>
      </c>
      <c r="C1819" s="3" t="s">
        <v>6021</v>
      </c>
      <c r="D1819" s="3" t="s">
        <v>6001</v>
      </c>
      <c r="E1819" s="3" t="s">
        <v>5991</v>
      </c>
      <c r="F1819" s="3" t="s">
        <v>972</v>
      </c>
      <c r="G1819" s="3" t="s">
        <v>8645</v>
      </c>
      <c r="H1819" s="3" t="s">
        <v>7306</v>
      </c>
      <c r="I1819" s="3" t="s">
        <v>974</v>
      </c>
      <c r="J1819" s="5" t="s">
        <v>7307</v>
      </c>
      <c r="L1819" s="3" t="s">
        <v>7308</v>
      </c>
      <c r="M1819" s="3">
        <v>8</v>
      </c>
      <c r="N1819" s="4" t="s">
        <v>7272</v>
      </c>
      <c r="O1819" s="4">
        <v>93</v>
      </c>
      <c r="P1819" s="11" t="s">
        <v>9715</v>
      </c>
      <c r="Q1819" s="11" t="s">
        <v>10372</v>
      </c>
      <c r="S1819" s="4" t="b">
        <f>ISNUMBER(MATCH(Q1819,T:T,0))</f>
        <v>1</v>
      </c>
      <c r="T1819" s="4" t="s">
        <v>11878</v>
      </c>
      <c r="U1819" s="4" t="str">
        <f t="shared" si="78"/>
        <v>兩</v>
      </c>
    </row>
    <row r="1820" spans="1:21" ht="28.5">
      <c r="A1820" s="3">
        <v>1818</v>
      </c>
      <c r="B1820" s="3" t="s">
        <v>7270</v>
      </c>
      <c r="C1820" s="3" t="s">
        <v>6120</v>
      </c>
      <c r="D1820" s="3" t="s">
        <v>6001</v>
      </c>
      <c r="E1820" s="3" t="s">
        <v>5991</v>
      </c>
      <c r="F1820" s="3" t="s">
        <v>972</v>
      </c>
      <c r="G1820" s="3" t="s">
        <v>8645</v>
      </c>
      <c r="H1820" s="3" t="s">
        <v>7309</v>
      </c>
      <c r="I1820" s="3" t="s">
        <v>974</v>
      </c>
      <c r="J1820" s="5" t="s">
        <v>7310</v>
      </c>
      <c r="L1820" s="3" t="s">
        <v>7311</v>
      </c>
      <c r="M1820" s="3">
        <v>5</v>
      </c>
      <c r="N1820" s="4" t="s">
        <v>7272</v>
      </c>
      <c r="O1820" s="4">
        <v>93</v>
      </c>
      <c r="P1820" s="11" t="s">
        <v>6120</v>
      </c>
      <c r="Q1820" s="11" t="s">
        <v>10372</v>
      </c>
      <c r="S1820" s="4" t="b">
        <f>ISNUMBER(MATCH(Q1820,T:T,0))</f>
        <v>1</v>
      </c>
      <c r="T1820" s="4" t="s">
        <v>10433</v>
      </c>
      <c r="U1820" s="4" t="str">
        <f t="shared" si="78"/>
        <v>兩</v>
      </c>
    </row>
    <row r="1821" spans="1:21">
      <c r="A1821" s="3">
        <v>1819</v>
      </c>
      <c r="B1821" s="3" t="s">
        <v>7270</v>
      </c>
      <c r="C1821" s="3" t="s">
        <v>6053</v>
      </c>
      <c r="D1821" s="3" t="s">
        <v>6001</v>
      </c>
      <c r="E1821" s="3" t="s">
        <v>6212</v>
      </c>
      <c r="F1821" s="3" t="s">
        <v>972</v>
      </c>
      <c r="G1821" s="3" t="s">
        <v>8645</v>
      </c>
      <c r="H1821" s="3" t="s">
        <v>7312</v>
      </c>
      <c r="I1821" s="3" t="s">
        <v>974</v>
      </c>
      <c r="J1821" s="5" t="s">
        <v>7313</v>
      </c>
      <c r="L1821" s="3" t="s">
        <v>7314</v>
      </c>
      <c r="M1821" s="3">
        <v>6</v>
      </c>
      <c r="N1821" s="4" t="s">
        <v>7272</v>
      </c>
      <c r="O1821" s="4">
        <v>93</v>
      </c>
      <c r="P1821" s="11" t="s">
        <v>10375</v>
      </c>
      <c r="Q1821" s="11" t="s">
        <v>10372</v>
      </c>
      <c r="S1821" s="4" t="b">
        <f>ISNUMBER(MATCH(Q1821,T:T,0))</f>
        <v>1</v>
      </c>
      <c r="T1821" s="4" t="s">
        <v>11879</v>
      </c>
      <c r="U1821" s="4" t="str">
        <f t="shared" si="78"/>
        <v>兩</v>
      </c>
    </row>
    <row r="1822" spans="1:21">
      <c r="A1822" s="3">
        <v>1820</v>
      </c>
      <c r="B1822" s="3" t="s">
        <v>7270</v>
      </c>
      <c r="C1822" s="3" t="s">
        <v>6035</v>
      </c>
      <c r="D1822" s="3" t="s">
        <v>6001</v>
      </c>
      <c r="E1822" s="3" t="s">
        <v>6212</v>
      </c>
      <c r="F1822" s="3" t="s">
        <v>972</v>
      </c>
      <c r="G1822" s="3" t="s">
        <v>8645</v>
      </c>
      <c r="H1822" s="3" t="s">
        <v>7315</v>
      </c>
      <c r="I1822" s="3" t="s">
        <v>974</v>
      </c>
      <c r="J1822" s="5" t="s">
        <v>4914</v>
      </c>
      <c r="L1822" s="3" t="s">
        <v>7316</v>
      </c>
      <c r="M1822" s="3">
        <v>12</v>
      </c>
      <c r="N1822" s="4" t="s">
        <v>7272</v>
      </c>
      <c r="O1822" s="4">
        <v>93</v>
      </c>
      <c r="P1822" s="11" t="s">
        <v>6809</v>
      </c>
      <c r="Q1822" s="11" t="s">
        <v>10372</v>
      </c>
      <c r="S1822" s="4" t="b">
        <f>ISNUMBER(MATCH(Q1822,T:T,0))</f>
        <v>1</v>
      </c>
      <c r="T1822" s="4" t="s">
        <v>10376</v>
      </c>
      <c r="U1822" s="4" t="str">
        <f t="shared" si="78"/>
        <v>兩</v>
      </c>
    </row>
    <row r="1823" spans="1:21">
      <c r="A1823" s="3">
        <v>1821</v>
      </c>
      <c r="B1823" s="3" t="s">
        <v>7270</v>
      </c>
      <c r="C1823" s="3" t="s">
        <v>6049</v>
      </c>
      <c r="D1823" s="3" t="s">
        <v>6001</v>
      </c>
      <c r="E1823" s="3" t="s">
        <v>6212</v>
      </c>
      <c r="F1823" s="3" t="s">
        <v>972</v>
      </c>
      <c r="G1823" s="3" t="s">
        <v>8645</v>
      </c>
      <c r="H1823" s="3" t="s">
        <v>7317</v>
      </c>
      <c r="I1823" s="3" t="s">
        <v>974</v>
      </c>
      <c r="J1823" s="5" t="s">
        <v>7318</v>
      </c>
      <c r="L1823" s="3" t="s">
        <v>7314</v>
      </c>
      <c r="M1823" s="3">
        <v>4</v>
      </c>
      <c r="N1823" s="4" t="s">
        <v>7272</v>
      </c>
      <c r="O1823" s="4">
        <v>93</v>
      </c>
      <c r="P1823" s="11" t="s">
        <v>9948</v>
      </c>
      <c r="Q1823" s="11" t="s">
        <v>10376</v>
      </c>
      <c r="S1823" s="4" t="b">
        <f>ISNUMBER(MATCH(Q1823,T:T,0))</f>
        <v>1</v>
      </c>
      <c r="T1823" s="4" t="s">
        <v>10378</v>
      </c>
      <c r="U1823" s="4" t="str">
        <f t="shared" si="78"/>
        <v>网</v>
      </c>
    </row>
    <row r="1824" spans="1:21">
      <c r="A1824" s="3">
        <v>1822</v>
      </c>
      <c r="B1824" s="3" t="s">
        <v>7270</v>
      </c>
      <c r="C1824" s="3" t="s">
        <v>6072</v>
      </c>
      <c r="D1824" s="3" t="s">
        <v>6001</v>
      </c>
      <c r="E1824" s="3" t="s">
        <v>6212</v>
      </c>
      <c r="F1824" s="3" t="s">
        <v>972</v>
      </c>
      <c r="G1824" s="3" t="s">
        <v>8645</v>
      </c>
      <c r="H1824" s="3" t="s">
        <v>7319</v>
      </c>
      <c r="I1824" s="3" t="s">
        <v>974</v>
      </c>
      <c r="J1824" s="5" t="s">
        <v>7320</v>
      </c>
      <c r="L1824" s="3" t="s">
        <v>7316</v>
      </c>
      <c r="M1824" s="3">
        <v>4</v>
      </c>
      <c r="N1824" s="4" t="s">
        <v>7272</v>
      </c>
      <c r="O1824" s="4">
        <v>93</v>
      </c>
      <c r="P1824" s="11" t="s">
        <v>10377</v>
      </c>
      <c r="Q1824" s="11" t="s">
        <v>10374</v>
      </c>
      <c r="S1824" s="4" t="b">
        <f>ISNUMBER(MATCH(Q1824,T:T,0))</f>
        <v>1</v>
      </c>
      <c r="T1824" s="4" t="s">
        <v>11880</v>
      </c>
      <c r="U1824" s="4" t="str">
        <f t="shared" si="78"/>
        <v>往</v>
      </c>
    </row>
    <row r="1825" spans="1:21">
      <c r="A1825" s="3">
        <v>1823</v>
      </c>
      <c r="B1825" s="3" t="s">
        <v>7270</v>
      </c>
      <c r="C1825" s="3" t="s">
        <v>6032</v>
      </c>
      <c r="D1825" s="3" t="s">
        <v>6001</v>
      </c>
      <c r="E1825" s="3" t="s">
        <v>6212</v>
      </c>
      <c r="F1825" s="3" t="s">
        <v>972</v>
      </c>
      <c r="G1825" s="3" t="s">
        <v>8645</v>
      </c>
      <c r="H1825" s="3" t="s">
        <v>7321</v>
      </c>
      <c r="I1825" s="3" t="s">
        <v>974</v>
      </c>
      <c r="J1825" s="5" t="s">
        <v>7322</v>
      </c>
      <c r="L1825" s="3" t="s">
        <v>7316</v>
      </c>
      <c r="M1825" s="3">
        <v>2</v>
      </c>
      <c r="N1825" s="4" t="s">
        <v>7272</v>
      </c>
      <c r="O1825" s="4">
        <v>93</v>
      </c>
      <c r="P1825" s="11" t="s">
        <v>9859</v>
      </c>
      <c r="Q1825" s="11" t="s">
        <v>10372</v>
      </c>
      <c r="S1825" s="4" t="b">
        <f>ISNUMBER(MATCH(Q1825,T:T,0))</f>
        <v>1</v>
      </c>
      <c r="T1825" s="4" t="s">
        <v>10374</v>
      </c>
      <c r="U1825" s="4" t="str">
        <f t="shared" si="78"/>
        <v>兩</v>
      </c>
    </row>
    <row r="1826" spans="1:21" ht="28.5">
      <c r="A1826" s="3">
        <v>1824</v>
      </c>
      <c r="B1826" s="3" t="s">
        <v>7270</v>
      </c>
      <c r="C1826" s="3" t="s">
        <v>6089</v>
      </c>
      <c r="D1826" s="3" t="s">
        <v>6001</v>
      </c>
      <c r="E1826" s="3" t="s">
        <v>6212</v>
      </c>
      <c r="F1826" s="3" t="s">
        <v>972</v>
      </c>
      <c r="G1826" s="3" t="s">
        <v>8645</v>
      </c>
      <c r="H1826" s="3" t="s">
        <v>7323</v>
      </c>
      <c r="I1826" s="3" t="s">
        <v>974</v>
      </c>
      <c r="J1826" s="5" t="s">
        <v>4915</v>
      </c>
      <c r="L1826" s="3" t="s">
        <v>7324</v>
      </c>
      <c r="M1826" s="3">
        <v>2</v>
      </c>
      <c r="N1826" s="4" t="s">
        <v>7272</v>
      </c>
      <c r="O1826" s="4">
        <v>93</v>
      </c>
      <c r="P1826" s="11" t="s">
        <v>9753</v>
      </c>
      <c r="Q1826" s="11" t="s">
        <v>10378</v>
      </c>
      <c r="S1826" s="4" t="b">
        <f>ISNUMBER(MATCH(Q1826,T:T,0))</f>
        <v>1</v>
      </c>
      <c r="T1826" s="4" t="s">
        <v>11881</v>
      </c>
      <c r="U1826" s="4" t="str">
        <f t="shared" si="78"/>
        <v>昉</v>
      </c>
    </row>
    <row r="1827" spans="1:21" ht="28.5">
      <c r="A1827" s="3">
        <v>1825</v>
      </c>
      <c r="B1827" s="3" t="s">
        <v>7270</v>
      </c>
      <c r="C1827" s="3" t="s">
        <v>6076</v>
      </c>
      <c r="D1827" s="3" t="s">
        <v>6001</v>
      </c>
      <c r="E1827" s="3" t="s">
        <v>5991</v>
      </c>
      <c r="F1827" s="3" t="s">
        <v>972</v>
      </c>
      <c r="G1827" s="3" t="s">
        <v>8645</v>
      </c>
      <c r="H1827" s="3" t="s">
        <v>7325</v>
      </c>
      <c r="I1827" s="3" t="s">
        <v>974</v>
      </c>
      <c r="J1827" s="5" t="s">
        <v>4916</v>
      </c>
      <c r="L1827" s="3" t="s">
        <v>7326</v>
      </c>
      <c r="M1827" s="3">
        <v>2</v>
      </c>
      <c r="N1827" s="4" t="s">
        <v>7272</v>
      </c>
      <c r="O1827" s="4">
        <v>93</v>
      </c>
      <c r="P1827" s="11" t="s">
        <v>9766</v>
      </c>
      <c r="Q1827" s="11" t="s">
        <v>10372</v>
      </c>
      <c r="S1827" s="4" t="b">
        <f>ISNUMBER(MATCH(Q1827,T:T,0))</f>
        <v>1</v>
      </c>
      <c r="T1827" s="4" t="s">
        <v>11882</v>
      </c>
      <c r="U1827" s="4" t="str">
        <f t="shared" si="78"/>
        <v>兩</v>
      </c>
    </row>
    <row r="1828" spans="1:21" ht="28.5">
      <c r="A1828" s="3">
        <v>1826</v>
      </c>
      <c r="B1828" s="3" t="s">
        <v>7270</v>
      </c>
      <c r="C1828" s="3" t="s">
        <v>6000</v>
      </c>
      <c r="D1828" s="3" t="s">
        <v>6001</v>
      </c>
      <c r="E1828" s="3" t="s">
        <v>5991</v>
      </c>
      <c r="F1828" s="3" t="s">
        <v>972</v>
      </c>
      <c r="G1828" s="3" t="s">
        <v>8645</v>
      </c>
      <c r="H1828" s="3" t="s">
        <v>7327</v>
      </c>
      <c r="I1828" s="3" t="s">
        <v>974</v>
      </c>
      <c r="J1828" s="5" t="s">
        <v>7328</v>
      </c>
      <c r="L1828" s="3" t="s">
        <v>7291</v>
      </c>
      <c r="M1828" s="3">
        <v>1</v>
      </c>
      <c r="N1828" s="4" t="s">
        <v>7272</v>
      </c>
      <c r="O1828" s="4">
        <v>93</v>
      </c>
      <c r="P1828" s="11" t="s">
        <v>6000</v>
      </c>
      <c r="Q1828" s="11" t="s">
        <v>10263</v>
      </c>
      <c r="S1828" s="4" t="b">
        <f>ISNUMBER(MATCH(Q1828,T:T,0))</f>
        <v>1</v>
      </c>
      <c r="T1828" s="4" t="s">
        <v>7328</v>
      </c>
      <c r="U1828" s="4" t="str">
        <f t="shared" si="78"/>
        <v>丈</v>
      </c>
    </row>
    <row r="1829" spans="1:21" ht="28.5">
      <c r="A1829" s="3">
        <v>1827</v>
      </c>
      <c r="B1829" s="3" t="s">
        <v>7270</v>
      </c>
      <c r="C1829" s="3" t="s">
        <v>6148</v>
      </c>
      <c r="D1829" s="3" t="s">
        <v>6001</v>
      </c>
      <c r="E1829" s="3" t="s">
        <v>5991</v>
      </c>
      <c r="F1829" s="3" t="s">
        <v>972</v>
      </c>
      <c r="G1829" s="3" t="s">
        <v>8645</v>
      </c>
      <c r="H1829" s="3" t="s">
        <v>7329</v>
      </c>
      <c r="I1829" s="3" t="s">
        <v>974</v>
      </c>
      <c r="J1829" s="5" t="s">
        <v>4917</v>
      </c>
      <c r="L1829" s="3" t="s">
        <v>7330</v>
      </c>
      <c r="M1829" s="3">
        <v>2</v>
      </c>
      <c r="N1829" s="4" t="s">
        <v>7272</v>
      </c>
      <c r="O1829" s="4">
        <v>93</v>
      </c>
      <c r="P1829" s="11" t="s">
        <v>10190</v>
      </c>
      <c r="Q1829" s="11" t="s">
        <v>10379</v>
      </c>
      <c r="S1829" s="4" t="b">
        <f>ISNUMBER(MATCH(Q1829,T:T,0))</f>
        <v>1</v>
      </c>
      <c r="T1829" s="4" t="s">
        <v>8645</v>
      </c>
      <c r="U1829" s="4" t="str">
        <f t="shared" si="78"/>
        <v>掌</v>
      </c>
    </row>
    <row r="1830" spans="1:21" ht="28.5">
      <c r="A1830" s="3">
        <v>1828</v>
      </c>
      <c r="B1830" s="3" t="s">
        <v>7270</v>
      </c>
      <c r="C1830" s="3" t="s">
        <v>6041</v>
      </c>
      <c r="D1830" s="3" t="s">
        <v>6001</v>
      </c>
      <c r="E1830" s="3" t="s">
        <v>6212</v>
      </c>
      <c r="F1830" s="3" t="s">
        <v>972</v>
      </c>
      <c r="G1830" s="3" t="s">
        <v>8645</v>
      </c>
      <c r="H1830" s="3" t="s">
        <v>7331</v>
      </c>
      <c r="I1830" s="3" t="s">
        <v>974</v>
      </c>
      <c r="J1830" s="5" t="s">
        <v>7332</v>
      </c>
      <c r="L1830" s="3" t="s">
        <v>7333</v>
      </c>
      <c r="M1830" s="3">
        <v>1</v>
      </c>
      <c r="N1830" s="4" t="s">
        <v>7272</v>
      </c>
      <c r="O1830" s="4">
        <v>93</v>
      </c>
      <c r="P1830" s="11" t="s">
        <v>10062</v>
      </c>
      <c r="Q1830" s="11" t="s">
        <v>10374</v>
      </c>
      <c r="S1830" s="4" t="b">
        <f>ISNUMBER(MATCH(Q1830,T:T,0))</f>
        <v>1</v>
      </c>
      <c r="T1830" s="4" t="s">
        <v>7332</v>
      </c>
      <c r="U1830" s="4" t="str">
        <f t="shared" si="78"/>
        <v>往</v>
      </c>
    </row>
    <row r="1831" spans="1:21" ht="28.5">
      <c r="A1831" s="3">
        <v>1829</v>
      </c>
      <c r="B1831" s="3" t="s">
        <v>7270</v>
      </c>
      <c r="C1831" s="3" t="s">
        <v>6025</v>
      </c>
      <c r="D1831" s="3" t="s">
        <v>6001</v>
      </c>
      <c r="E1831" s="3" t="s">
        <v>6212</v>
      </c>
      <c r="F1831" s="3" t="s">
        <v>972</v>
      </c>
      <c r="G1831" s="3" t="s">
        <v>8645</v>
      </c>
      <c r="H1831" s="3" t="s">
        <v>7334</v>
      </c>
      <c r="I1831" s="3" t="s">
        <v>974</v>
      </c>
      <c r="J1831" s="5" t="s">
        <v>7335</v>
      </c>
      <c r="L1831" s="3" t="s">
        <v>7305</v>
      </c>
      <c r="M1831" s="3">
        <v>4</v>
      </c>
      <c r="N1831" s="4" t="s">
        <v>7272</v>
      </c>
      <c r="O1831" s="4">
        <v>93</v>
      </c>
      <c r="P1831" s="11" t="s">
        <v>9854</v>
      </c>
      <c r="Q1831" s="11" t="s">
        <v>10374</v>
      </c>
      <c r="S1831" s="4" t="b">
        <f>ISNUMBER(MATCH(Q1831,T:T,0))</f>
        <v>1</v>
      </c>
      <c r="T1831" s="4" t="s">
        <v>11883</v>
      </c>
      <c r="U1831" s="4" t="str">
        <f t="shared" si="78"/>
        <v>往</v>
      </c>
    </row>
    <row r="1832" spans="1:21">
      <c r="A1832" s="3">
        <v>1830</v>
      </c>
      <c r="B1832" s="3" t="s">
        <v>7270</v>
      </c>
      <c r="C1832" s="3" t="s">
        <v>6045</v>
      </c>
      <c r="D1832" s="3" t="s">
        <v>6001</v>
      </c>
      <c r="E1832" s="3" t="s">
        <v>6212</v>
      </c>
      <c r="F1832" s="3" t="s">
        <v>972</v>
      </c>
      <c r="G1832" s="3" t="s">
        <v>8645</v>
      </c>
      <c r="H1832" s="3" t="s">
        <v>7336</v>
      </c>
      <c r="I1832" s="3" t="s">
        <v>974</v>
      </c>
      <c r="J1832" s="5" t="s">
        <v>7337</v>
      </c>
      <c r="L1832" s="3" t="s">
        <v>7338</v>
      </c>
      <c r="M1832" s="3">
        <v>1</v>
      </c>
      <c r="N1832" s="4" t="s">
        <v>7272</v>
      </c>
      <c r="O1832" s="4">
        <v>93</v>
      </c>
      <c r="P1832" s="11" t="s">
        <v>10275</v>
      </c>
      <c r="Q1832" s="11" t="s">
        <v>7272</v>
      </c>
      <c r="S1832" s="4" t="b">
        <f>ISNUMBER(MATCH(Q1832,T:T,0))</f>
        <v>1</v>
      </c>
      <c r="T1832" s="4" t="s">
        <v>7337</v>
      </c>
      <c r="U1832" s="4" t="str">
        <f t="shared" si="78"/>
        <v>養</v>
      </c>
    </row>
    <row r="1833" spans="1:21" ht="28.5">
      <c r="A1833" s="3">
        <v>1831</v>
      </c>
      <c r="B1833" s="3" t="s">
        <v>7270</v>
      </c>
      <c r="C1833" s="3" t="s">
        <v>6167</v>
      </c>
      <c r="D1833" s="3" t="s">
        <v>6001</v>
      </c>
      <c r="E1833" s="3" t="s">
        <v>5991</v>
      </c>
      <c r="F1833" s="3" t="s">
        <v>972</v>
      </c>
      <c r="G1833" s="3" t="s">
        <v>8645</v>
      </c>
      <c r="H1833" s="3" t="s">
        <v>7339</v>
      </c>
      <c r="I1833" s="3" t="s">
        <v>974</v>
      </c>
      <c r="J1833" s="5" t="s">
        <v>7340</v>
      </c>
      <c r="L1833" s="3" t="s">
        <v>7285</v>
      </c>
      <c r="M1833" s="3">
        <v>2</v>
      </c>
      <c r="N1833" s="4" t="s">
        <v>7272</v>
      </c>
      <c r="O1833" s="4">
        <v>93</v>
      </c>
      <c r="P1833" s="11" t="s">
        <v>6167</v>
      </c>
      <c r="Q1833" s="11" t="s">
        <v>10263</v>
      </c>
      <c r="S1833" s="4" t="b">
        <f>ISNUMBER(MATCH(Q1833,T:T,0))</f>
        <v>1</v>
      </c>
      <c r="T1833" s="4" t="s">
        <v>11884</v>
      </c>
      <c r="U1833" s="4" t="str">
        <f t="shared" si="78"/>
        <v>丈</v>
      </c>
    </row>
    <row r="1834" spans="1:21">
      <c r="A1834" s="3">
        <v>1832</v>
      </c>
      <c r="B1834" s="3" t="s">
        <v>7341</v>
      </c>
      <c r="C1834" s="3" t="s">
        <v>5997</v>
      </c>
      <c r="D1834" s="3" t="s">
        <v>5990</v>
      </c>
      <c r="E1834" s="3" t="s">
        <v>5991</v>
      </c>
      <c r="F1834" s="3" t="s">
        <v>1032</v>
      </c>
      <c r="G1834" s="3" t="s">
        <v>8645</v>
      </c>
      <c r="H1834" s="3" t="s">
        <v>7342</v>
      </c>
      <c r="I1834" s="3" t="s">
        <v>974</v>
      </c>
      <c r="J1834" s="5" t="s">
        <v>7343</v>
      </c>
      <c r="K1834" s="3" t="s">
        <v>7344</v>
      </c>
      <c r="L1834" s="3" t="s">
        <v>7345</v>
      </c>
      <c r="M1834" s="3">
        <v>12</v>
      </c>
      <c r="N1834" s="4" t="s">
        <v>9645</v>
      </c>
      <c r="O1834" s="4">
        <v>94</v>
      </c>
      <c r="P1834" s="11" t="s">
        <v>9706</v>
      </c>
      <c r="Q1834" s="11" t="s">
        <v>10380</v>
      </c>
      <c r="S1834" s="4" t="b">
        <f>ISNUMBER(MATCH(Q1834,T:T,0))</f>
        <v>1</v>
      </c>
      <c r="T1834" s="4" t="s">
        <v>9645</v>
      </c>
      <c r="U1834" s="4" t="str">
        <f t="shared" si="78"/>
        <v>朗</v>
      </c>
    </row>
    <row r="1835" spans="1:21">
      <c r="A1835" s="3">
        <v>1833</v>
      </c>
      <c r="B1835" s="3" t="s">
        <v>7341</v>
      </c>
      <c r="C1835" s="3" t="s">
        <v>6017</v>
      </c>
      <c r="D1835" s="3" t="s">
        <v>5990</v>
      </c>
      <c r="E1835" s="3" t="s">
        <v>5991</v>
      </c>
      <c r="F1835" s="3" t="s">
        <v>1032</v>
      </c>
      <c r="G1835" s="3" t="s">
        <v>8645</v>
      </c>
      <c r="H1835" s="3" t="s">
        <v>7346</v>
      </c>
      <c r="I1835" s="3" t="s">
        <v>974</v>
      </c>
      <c r="J1835" s="5" t="s">
        <v>7347</v>
      </c>
      <c r="L1835" s="3" t="s">
        <v>7348</v>
      </c>
      <c r="M1835" s="3">
        <v>4</v>
      </c>
      <c r="N1835" s="4" t="s">
        <v>9645</v>
      </c>
      <c r="O1835" s="4">
        <v>94</v>
      </c>
      <c r="P1835" s="11" t="s">
        <v>9741</v>
      </c>
      <c r="Q1835" s="11" t="s">
        <v>10380</v>
      </c>
      <c r="S1835" s="4" t="b">
        <f>ISNUMBER(MATCH(Q1835,T:T,0))</f>
        <v>1</v>
      </c>
      <c r="T1835" s="4" t="s">
        <v>11885</v>
      </c>
      <c r="U1835" s="4" t="str">
        <f t="shared" si="78"/>
        <v>朗</v>
      </c>
    </row>
    <row r="1836" spans="1:21" ht="28.5">
      <c r="A1836" s="3">
        <v>1834</v>
      </c>
      <c r="B1836" s="3" t="s">
        <v>7341</v>
      </c>
      <c r="C1836" s="3" t="s">
        <v>6025</v>
      </c>
      <c r="D1836" s="3" t="s">
        <v>5990</v>
      </c>
      <c r="E1836" s="3" t="s">
        <v>6212</v>
      </c>
      <c r="F1836" s="3" t="s">
        <v>1032</v>
      </c>
      <c r="G1836" s="3" t="s">
        <v>8645</v>
      </c>
      <c r="H1836" s="3" t="s">
        <v>7349</v>
      </c>
      <c r="I1836" s="3" t="s">
        <v>974</v>
      </c>
      <c r="J1836" s="5" t="s">
        <v>7350</v>
      </c>
      <c r="L1836" s="3" t="s">
        <v>7305</v>
      </c>
      <c r="M1836" s="3">
        <v>2</v>
      </c>
      <c r="N1836" s="4" t="s">
        <v>9645</v>
      </c>
      <c r="O1836" s="4">
        <v>94</v>
      </c>
      <c r="P1836" s="11" t="s">
        <v>9729</v>
      </c>
      <c r="Q1836" s="11" t="s">
        <v>10381</v>
      </c>
      <c r="S1836" s="4" t="b">
        <f>ISNUMBER(MATCH(Q1836,T:T,0))</f>
        <v>1</v>
      </c>
      <c r="T1836" s="4" t="s">
        <v>10383</v>
      </c>
      <c r="U1836" s="4" t="str">
        <f t="shared" si="78"/>
        <v>晃</v>
      </c>
    </row>
    <row r="1837" spans="1:21">
      <c r="A1837" s="3">
        <v>1835</v>
      </c>
      <c r="B1837" s="3" t="s">
        <v>7341</v>
      </c>
      <c r="C1837" s="3" t="s">
        <v>6049</v>
      </c>
      <c r="D1837" s="3" t="s">
        <v>5990</v>
      </c>
      <c r="E1837" s="3" t="s">
        <v>5991</v>
      </c>
      <c r="F1837" s="3" t="s">
        <v>1032</v>
      </c>
      <c r="G1837" s="3" t="s">
        <v>8645</v>
      </c>
      <c r="H1837" s="3" t="s">
        <v>7351</v>
      </c>
      <c r="I1837" s="3" t="s">
        <v>974</v>
      </c>
      <c r="J1837" s="5" t="s">
        <v>7352</v>
      </c>
      <c r="L1837" s="3" t="s">
        <v>8749</v>
      </c>
      <c r="M1837" s="3">
        <v>6</v>
      </c>
      <c r="N1837" s="4" t="s">
        <v>9645</v>
      </c>
      <c r="O1837" s="4">
        <v>94</v>
      </c>
      <c r="P1837" s="11" t="s">
        <v>9979</v>
      </c>
      <c r="Q1837" s="11" t="s">
        <v>10380</v>
      </c>
      <c r="S1837" s="4" t="b">
        <f>ISNUMBER(MATCH(Q1837,T:T,0))</f>
        <v>1</v>
      </c>
      <c r="T1837" s="4" t="s">
        <v>11886</v>
      </c>
      <c r="U1837" s="4" t="str">
        <f t="shared" si="78"/>
        <v>朗</v>
      </c>
    </row>
    <row r="1838" spans="1:21">
      <c r="A1838" s="3">
        <v>1836</v>
      </c>
      <c r="B1838" s="3" t="s">
        <v>7341</v>
      </c>
      <c r="C1838" s="3" t="s">
        <v>6083</v>
      </c>
      <c r="D1838" s="3" t="s">
        <v>5990</v>
      </c>
      <c r="E1838" s="3" t="s">
        <v>5991</v>
      </c>
      <c r="F1838" s="3" t="s">
        <v>1032</v>
      </c>
      <c r="G1838" s="3" t="s">
        <v>8645</v>
      </c>
      <c r="H1838" s="3" t="s">
        <v>7353</v>
      </c>
      <c r="I1838" s="3" t="s">
        <v>974</v>
      </c>
      <c r="J1838" s="5" t="s">
        <v>4918</v>
      </c>
      <c r="L1838" s="3" t="s">
        <v>7354</v>
      </c>
      <c r="M1838" s="3">
        <v>3</v>
      </c>
      <c r="N1838" s="4" t="s">
        <v>9645</v>
      </c>
      <c r="O1838" s="4">
        <v>94</v>
      </c>
      <c r="P1838" s="11" t="s">
        <v>9737</v>
      </c>
      <c r="Q1838" s="11" t="s">
        <v>10380</v>
      </c>
      <c r="S1838" s="4" t="b">
        <f>ISNUMBER(MATCH(Q1838,T:T,0))</f>
        <v>1</v>
      </c>
      <c r="T1838" s="4" t="s">
        <v>11887</v>
      </c>
      <c r="U1838" s="4" t="str">
        <f t="shared" si="78"/>
        <v>朗</v>
      </c>
    </row>
    <row r="1839" spans="1:21">
      <c r="A1839" s="3">
        <v>1837</v>
      </c>
      <c r="B1839" s="3" t="s">
        <v>7341</v>
      </c>
      <c r="C1839" s="3" t="s">
        <v>6102</v>
      </c>
      <c r="D1839" s="3" t="s">
        <v>5990</v>
      </c>
      <c r="E1839" s="3" t="s">
        <v>5991</v>
      </c>
      <c r="F1839" s="3" t="s">
        <v>1032</v>
      </c>
      <c r="G1839" s="3" t="s">
        <v>8645</v>
      </c>
      <c r="H1839" s="3" t="s">
        <v>7355</v>
      </c>
      <c r="I1839" s="3" t="s">
        <v>974</v>
      </c>
      <c r="J1839" s="5" t="s">
        <v>7356</v>
      </c>
      <c r="L1839" s="3" t="s">
        <v>7357</v>
      </c>
      <c r="M1839" s="3">
        <v>2</v>
      </c>
      <c r="N1839" s="4" t="s">
        <v>9645</v>
      </c>
      <c r="O1839" s="4">
        <v>94</v>
      </c>
      <c r="P1839" s="11" t="s">
        <v>9744</v>
      </c>
      <c r="Q1839" s="11" t="s">
        <v>10380</v>
      </c>
      <c r="S1839" s="4" t="b">
        <f>ISNUMBER(MATCH(Q1839,T:T,0))</f>
        <v>1</v>
      </c>
      <c r="T1839" s="4" t="s">
        <v>11888</v>
      </c>
      <c r="U1839" s="4" t="str">
        <f t="shared" si="78"/>
        <v>朗</v>
      </c>
    </row>
    <row r="1840" spans="1:21">
      <c r="A1840" s="3">
        <v>1838</v>
      </c>
      <c r="B1840" s="3" t="s">
        <v>7341</v>
      </c>
      <c r="C1840" s="3" t="s">
        <v>6067</v>
      </c>
      <c r="D1840" s="3" t="s">
        <v>5990</v>
      </c>
      <c r="E1840" s="3" t="s">
        <v>5991</v>
      </c>
      <c r="F1840" s="3" t="s">
        <v>1032</v>
      </c>
      <c r="G1840" s="3" t="s">
        <v>8645</v>
      </c>
      <c r="H1840" s="3" t="s">
        <v>7358</v>
      </c>
      <c r="I1840" s="3" t="s">
        <v>974</v>
      </c>
      <c r="J1840" s="5" t="s">
        <v>7359</v>
      </c>
      <c r="L1840" s="3" t="s">
        <v>7360</v>
      </c>
      <c r="M1840" s="3">
        <v>6</v>
      </c>
      <c r="N1840" s="4" t="s">
        <v>9645</v>
      </c>
      <c r="O1840" s="4">
        <v>94</v>
      </c>
      <c r="P1840" s="11" t="s">
        <v>9870</v>
      </c>
      <c r="Q1840" s="11" t="s">
        <v>10380</v>
      </c>
      <c r="S1840" s="4" t="b">
        <f>ISNUMBER(MATCH(Q1840,T:T,0))</f>
        <v>1</v>
      </c>
      <c r="T1840" s="4" t="s">
        <v>11889</v>
      </c>
      <c r="U1840" s="4" t="str">
        <f t="shared" si="78"/>
        <v>朗</v>
      </c>
    </row>
    <row r="1841" spans="1:21" ht="39">
      <c r="A1841" s="3">
        <v>1839</v>
      </c>
      <c r="B1841" s="3" t="s">
        <v>7341</v>
      </c>
      <c r="C1841" s="3" t="s">
        <v>6079</v>
      </c>
      <c r="D1841" s="3" t="s">
        <v>5990</v>
      </c>
      <c r="E1841" s="3" t="s">
        <v>5991</v>
      </c>
      <c r="F1841" s="3" t="s">
        <v>1032</v>
      </c>
      <c r="G1841" s="3" t="s">
        <v>8645</v>
      </c>
      <c r="H1841" s="3" t="s">
        <v>7361</v>
      </c>
      <c r="I1841" s="3" t="s">
        <v>974</v>
      </c>
      <c r="J1841" s="5" t="s">
        <v>4919</v>
      </c>
      <c r="L1841" s="3" t="s">
        <v>7362</v>
      </c>
      <c r="M1841" s="3">
        <v>12</v>
      </c>
      <c r="N1841" s="4" t="s">
        <v>9645</v>
      </c>
      <c r="O1841" s="4">
        <v>94</v>
      </c>
      <c r="P1841" s="11" t="s">
        <v>9736</v>
      </c>
      <c r="Q1841" s="11" t="s">
        <v>10380</v>
      </c>
      <c r="S1841" s="4" t="b">
        <f>ISNUMBER(MATCH(Q1841,T:T,0))</f>
        <v>1</v>
      </c>
      <c r="T1841" s="4" t="s">
        <v>11890</v>
      </c>
      <c r="U1841" s="4" t="str">
        <f t="shared" si="78"/>
        <v>朗</v>
      </c>
    </row>
    <row r="1842" spans="1:21">
      <c r="A1842" s="3">
        <v>1840</v>
      </c>
      <c r="B1842" s="3" t="s">
        <v>7341</v>
      </c>
      <c r="C1842" s="3" t="s">
        <v>6035</v>
      </c>
      <c r="D1842" s="3" t="s">
        <v>5990</v>
      </c>
      <c r="E1842" s="3" t="s">
        <v>5991</v>
      </c>
      <c r="F1842" s="3" t="s">
        <v>1032</v>
      </c>
      <c r="G1842" s="3" t="s">
        <v>8645</v>
      </c>
      <c r="H1842" s="3" t="s">
        <v>7363</v>
      </c>
      <c r="I1842" s="3" t="s">
        <v>974</v>
      </c>
      <c r="J1842" s="5" t="s">
        <v>4920</v>
      </c>
      <c r="L1842" s="3" t="s">
        <v>8743</v>
      </c>
      <c r="M1842" s="3">
        <v>10</v>
      </c>
      <c r="N1842" s="4" t="s">
        <v>9645</v>
      </c>
      <c r="O1842" s="4">
        <v>94</v>
      </c>
      <c r="P1842" s="11" t="s">
        <v>2788</v>
      </c>
      <c r="Q1842" s="11" t="s">
        <v>10380</v>
      </c>
      <c r="S1842" s="4" t="b">
        <f>ISNUMBER(MATCH(Q1842,T:T,0))</f>
        <v>1</v>
      </c>
      <c r="T1842" s="4" t="s">
        <v>11891</v>
      </c>
      <c r="U1842" s="4" t="str">
        <f t="shared" si="78"/>
        <v>朗</v>
      </c>
    </row>
    <row r="1843" spans="1:21">
      <c r="A1843" s="3">
        <v>1841</v>
      </c>
      <c r="B1843" s="3" t="s">
        <v>7341</v>
      </c>
      <c r="C1843" s="3" t="s">
        <v>5989</v>
      </c>
      <c r="D1843" s="3" t="s">
        <v>5990</v>
      </c>
      <c r="E1843" s="3" t="s">
        <v>5991</v>
      </c>
      <c r="F1843" s="3" t="s">
        <v>1032</v>
      </c>
      <c r="G1843" s="3" t="s">
        <v>8645</v>
      </c>
      <c r="H1843" s="3" t="s">
        <v>7364</v>
      </c>
      <c r="I1843" s="3" t="s">
        <v>974</v>
      </c>
      <c r="J1843" s="5" t="s">
        <v>4921</v>
      </c>
      <c r="L1843" s="3" t="s">
        <v>7365</v>
      </c>
      <c r="M1843" s="3">
        <v>5</v>
      </c>
      <c r="N1843" s="4" t="s">
        <v>9645</v>
      </c>
      <c r="O1843" s="4">
        <v>94</v>
      </c>
      <c r="P1843" s="11" t="s">
        <v>9975</v>
      </c>
      <c r="Q1843" s="11" t="s">
        <v>10380</v>
      </c>
      <c r="S1843" s="4" t="b">
        <f>ISNUMBER(MATCH(Q1843,T:T,0))</f>
        <v>1</v>
      </c>
      <c r="T1843" s="4" t="s">
        <v>10382</v>
      </c>
      <c r="U1843" s="4" t="str">
        <f t="shared" si="78"/>
        <v>朗</v>
      </c>
    </row>
    <row r="1844" spans="1:21">
      <c r="A1844" s="3">
        <v>1842</v>
      </c>
      <c r="B1844" s="3" t="s">
        <v>7341</v>
      </c>
      <c r="C1844" s="3" t="s">
        <v>6058</v>
      </c>
      <c r="D1844" s="3" t="s">
        <v>5990</v>
      </c>
      <c r="E1844" s="3" t="s">
        <v>5991</v>
      </c>
      <c r="F1844" s="3" t="s">
        <v>1032</v>
      </c>
      <c r="G1844" s="3" t="s">
        <v>8645</v>
      </c>
      <c r="H1844" s="3" t="s">
        <v>7366</v>
      </c>
      <c r="I1844" s="3" t="s">
        <v>974</v>
      </c>
      <c r="J1844" s="5" t="s">
        <v>4922</v>
      </c>
      <c r="L1844" s="3" t="s">
        <v>7367</v>
      </c>
      <c r="M1844" s="3">
        <v>7</v>
      </c>
      <c r="N1844" s="4" t="s">
        <v>9645</v>
      </c>
      <c r="O1844" s="4">
        <v>94</v>
      </c>
      <c r="P1844" s="11" t="s">
        <v>9730</v>
      </c>
      <c r="Q1844" s="11" t="s">
        <v>10382</v>
      </c>
      <c r="S1844" s="4" t="b">
        <f>ISNUMBER(MATCH(Q1844,T:T,0))</f>
        <v>1</v>
      </c>
      <c r="T1844" s="4" t="s">
        <v>10380</v>
      </c>
      <c r="U1844" s="4" t="str">
        <f t="shared" si="78"/>
        <v>黨</v>
      </c>
    </row>
    <row r="1845" spans="1:21">
      <c r="A1845" s="3">
        <v>1843</v>
      </c>
      <c r="B1845" s="3" t="s">
        <v>7341</v>
      </c>
      <c r="C1845" s="3" t="s">
        <v>6072</v>
      </c>
      <c r="D1845" s="3" t="s">
        <v>5990</v>
      </c>
      <c r="E1845" s="3" t="s">
        <v>5991</v>
      </c>
      <c r="F1845" s="3" t="s">
        <v>1032</v>
      </c>
      <c r="G1845" s="3" t="s">
        <v>8645</v>
      </c>
      <c r="H1845" s="3" t="s">
        <v>7368</v>
      </c>
      <c r="I1845" s="3" t="s">
        <v>974</v>
      </c>
      <c r="J1845" s="5" t="s">
        <v>4923</v>
      </c>
      <c r="L1845" s="3" t="s">
        <v>7369</v>
      </c>
      <c r="M1845" s="3">
        <v>10</v>
      </c>
      <c r="N1845" s="4" t="s">
        <v>9645</v>
      </c>
      <c r="O1845" s="4">
        <v>94</v>
      </c>
      <c r="P1845" s="11" t="s">
        <v>9734</v>
      </c>
      <c r="Q1845" s="11" t="s">
        <v>10380</v>
      </c>
      <c r="S1845" s="4" t="b">
        <f>ISNUMBER(MATCH(Q1845,T:T,0))</f>
        <v>1</v>
      </c>
      <c r="T1845" s="4" t="s">
        <v>11892</v>
      </c>
      <c r="U1845" s="4" t="str">
        <f t="shared" si="78"/>
        <v>朗</v>
      </c>
    </row>
    <row r="1846" spans="1:21">
      <c r="A1846" s="3">
        <v>1844</v>
      </c>
      <c r="B1846" s="3" t="s">
        <v>7341</v>
      </c>
      <c r="C1846" s="3" t="s">
        <v>6038</v>
      </c>
      <c r="D1846" s="3" t="s">
        <v>5990</v>
      </c>
      <c r="E1846" s="3" t="s">
        <v>5991</v>
      </c>
      <c r="F1846" s="3" t="s">
        <v>1032</v>
      </c>
      <c r="G1846" s="3" t="s">
        <v>8645</v>
      </c>
      <c r="H1846" s="3" t="s">
        <v>7370</v>
      </c>
      <c r="I1846" s="3" t="s">
        <v>974</v>
      </c>
      <c r="J1846" s="5" t="s">
        <v>4924</v>
      </c>
      <c r="K1846" s="3" t="s">
        <v>7371</v>
      </c>
      <c r="L1846" s="3" t="s">
        <v>7372</v>
      </c>
      <c r="M1846" s="3">
        <v>7</v>
      </c>
      <c r="N1846" s="4" t="s">
        <v>9645</v>
      </c>
      <c r="O1846" s="4">
        <v>94</v>
      </c>
      <c r="P1846" s="11" t="s">
        <v>9728</v>
      </c>
      <c r="Q1846" s="11" t="s">
        <v>10380</v>
      </c>
      <c r="S1846" s="4" t="b">
        <f>ISNUMBER(MATCH(Q1846,T:T,0))</f>
        <v>1</v>
      </c>
      <c r="T1846" s="4" t="s">
        <v>11893</v>
      </c>
      <c r="U1846" s="4" t="str">
        <f t="shared" si="78"/>
        <v>朗</v>
      </c>
    </row>
    <row r="1847" spans="1:21">
      <c r="A1847" s="3">
        <v>1845</v>
      </c>
      <c r="B1847" s="3" t="s">
        <v>7341</v>
      </c>
      <c r="C1847" s="3" t="s">
        <v>6072</v>
      </c>
      <c r="D1847" s="3" t="s">
        <v>5990</v>
      </c>
      <c r="E1847" s="3" t="s">
        <v>6212</v>
      </c>
      <c r="F1847" s="3" t="s">
        <v>1032</v>
      </c>
      <c r="G1847" s="3" t="s">
        <v>8645</v>
      </c>
      <c r="H1847" s="3" t="s">
        <v>7373</v>
      </c>
      <c r="I1847" s="3" t="s">
        <v>974</v>
      </c>
      <c r="J1847" s="5" t="s">
        <v>7374</v>
      </c>
      <c r="L1847" s="3" t="s">
        <v>7316</v>
      </c>
      <c r="M1847" s="3">
        <v>2</v>
      </c>
      <c r="N1847" s="4" t="s">
        <v>9645</v>
      </c>
      <c r="O1847" s="4">
        <v>94</v>
      </c>
      <c r="P1847" s="11" t="s">
        <v>9734</v>
      </c>
      <c r="Q1847" s="11" t="s">
        <v>10381</v>
      </c>
      <c r="S1847" s="4" t="b">
        <f>ISNUMBER(MATCH(Q1847,T:T,0))</f>
        <v>1</v>
      </c>
      <c r="T1847" s="4" t="s">
        <v>11894</v>
      </c>
      <c r="U1847" s="4" t="str">
        <f t="shared" si="78"/>
        <v>晃</v>
      </c>
    </row>
    <row r="1848" spans="1:21" ht="28.5">
      <c r="A1848" s="3">
        <v>1846</v>
      </c>
      <c r="B1848" s="3" t="s">
        <v>7341</v>
      </c>
      <c r="C1848" s="3" t="s">
        <v>6067</v>
      </c>
      <c r="D1848" s="3" t="s">
        <v>5990</v>
      </c>
      <c r="E1848" s="3" t="s">
        <v>6212</v>
      </c>
      <c r="F1848" s="3" t="s">
        <v>1032</v>
      </c>
      <c r="G1848" s="3" t="s">
        <v>8645</v>
      </c>
      <c r="H1848" s="3" t="s">
        <v>7375</v>
      </c>
      <c r="I1848" s="3" t="s">
        <v>974</v>
      </c>
      <c r="J1848" s="5" t="s">
        <v>4925</v>
      </c>
      <c r="L1848" s="3" t="s">
        <v>7376</v>
      </c>
      <c r="M1848" s="3">
        <v>7</v>
      </c>
      <c r="N1848" s="4" t="s">
        <v>9645</v>
      </c>
      <c r="O1848" s="4">
        <v>94</v>
      </c>
      <c r="P1848" s="11" t="s">
        <v>9870</v>
      </c>
      <c r="Q1848" s="11" t="s">
        <v>10383</v>
      </c>
      <c r="S1848" s="4" t="b">
        <f>ISNUMBER(MATCH(Q1848,T:T,0))</f>
        <v>1</v>
      </c>
      <c r="T1848" s="4" t="s">
        <v>10381</v>
      </c>
      <c r="U1848" s="4" t="str">
        <f t="shared" si="78"/>
        <v>廣</v>
      </c>
    </row>
    <row r="1849" spans="1:21">
      <c r="A1849" s="3">
        <v>1847</v>
      </c>
      <c r="B1849" s="3" t="s">
        <v>7341</v>
      </c>
      <c r="C1849" s="3" t="s">
        <v>6053</v>
      </c>
      <c r="D1849" s="3" t="s">
        <v>5990</v>
      </c>
      <c r="E1849" s="3" t="s">
        <v>5991</v>
      </c>
      <c r="F1849" s="3" t="s">
        <v>1032</v>
      </c>
      <c r="G1849" s="3" t="s">
        <v>8645</v>
      </c>
      <c r="H1849" s="3" t="s">
        <v>7377</v>
      </c>
      <c r="I1849" s="3" t="s">
        <v>974</v>
      </c>
      <c r="J1849" s="8" t="s">
        <v>4926</v>
      </c>
      <c r="L1849" s="3" t="s">
        <v>7378</v>
      </c>
      <c r="M1849" s="3">
        <v>2</v>
      </c>
      <c r="N1849" s="4" t="s">
        <v>9645</v>
      </c>
      <c r="O1849" s="4">
        <v>94</v>
      </c>
      <c r="P1849" s="11" t="s">
        <v>9772</v>
      </c>
      <c r="Q1849" s="11" t="s">
        <v>10380</v>
      </c>
      <c r="S1849" s="4" t="b">
        <f>ISNUMBER(MATCH(Q1849,T:T,0))</f>
        <v>1</v>
      </c>
      <c r="T1849" s="4" t="s">
        <v>11895</v>
      </c>
      <c r="U1849" s="4" t="str">
        <f t="shared" si="78"/>
        <v>朗</v>
      </c>
    </row>
    <row r="1850" spans="1:21" ht="28.5">
      <c r="A1850" s="3">
        <v>1848</v>
      </c>
      <c r="B1850" s="3" t="s">
        <v>7341</v>
      </c>
      <c r="C1850" s="3" t="s">
        <v>6089</v>
      </c>
      <c r="D1850" s="3" t="s">
        <v>5990</v>
      </c>
      <c r="E1850" s="3" t="s">
        <v>6212</v>
      </c>
      <c r="F1850" s="3" t="s">
        <v>1032</v>
      </c>
      <c r="G1850" s="3" t="s">
        <v>8645</v>
      </c>
      <c r="H1850" s="3" t="s">
        <v>7379</v>
      </c>
      <c r="I1850" s="3" t="s">
        <v>974</v>
      </c>
      <c r="J1850" s="5" t="s">
        <v>4927</v>
      </c>
      <c r="L1850" s="3" t="s">
        <v>7324</v>
      </c>
      <c r="M1850" s="3">
        <v>7</v>
      </c>
      <c r="N1850" s="4" t="s">
        <v>9645</v>
      </c>
      <c r="O1850" s="4">
        <v>94</v>
      </c>
      <c r="P1850" s="11" t="s">
        <v>9739</v>
      </c>
      <c r="Q1850" s="11" t="s">
        <v>10381</v>
      </c>
      <c r="S1850" s="4" t="b">
        <f>ISNUMBER(MATCH(Q1850,T:T,0))</f>
        <v>1</v>
      </c>
      <c r="T1850" s="4" t="s">
        <v>11896</v>
      </c>
      <c r="U1850" s="4" t="str">
        <f t="shared" si="78"/>
        <v>晃</v>
      </c>
    </row>
    <row r="1851" spans="1:21">
      <c r="A1851" s="3">
        <v>1849</v>
      </c>
      <c r="B1851" s="3" t="s">
        <v>7341</v>
      </c>
      <c r="C1851" s="3" t="s">
        <v>6025</v>
      </c>
      <c r="D1851" s="3" t="s">
        <v>5990</v>
      </c>
      <c r="E1851" s="3" t="s">
        <v>5991</v>
      </c>
      <c r="F1851" s="3" t="s">
        <v>1032</v>
      </c>
      <c r="G1851" s="3" t="s">
        <v>8645</v>
      </c>
      <c r="H1851" s="3" t="s">
        <v>7380</v>
      </c>
      <c r="I1851" s="3" t="s">
        <v>974</v>
      </c>
      <c r="J1851" s="5" t="s">
        <v>7381</v>
      </c>
      <c r="L1851" s="3" t="s">
        <v>7382</v>
      </c>
      <c r="M1851" s="3">
        <v>4</v>
      </c>
      <c r="N1851" s="4" t="s">
        <v>9645</v>
      </c>
      <c r="O1851" s="4">
        <v>94</v>
      </c>
      <c r="P1851" s="11" t="s">
        <v>10384</v>
      </c>
      <c r="Q1851" s="11" t="s">
        <v>10380</v>
      </c>
      <c r="S1851" s="4" t="b">
        <f>ISNUMBER(MATCH(Q1851,T:T,0))</f>
        <v>1</v>
      </c>
      <c r="T1851" s="4" t="s">
        <v>11897</v>
      </c>
      <c r="U1851" s="4" t="str">
        <f t="shared" si="78"/>
        <v>朗</v>
      </c>
    </row>
    <row r="1852" spans="1:21">
      <c r="A1852" s="3">
        <v>1850</v>
      </c>
      <c r="B1852" s="3" t="s">
        <v>7341</v>
      </c>
      <c r="C1852" s="3" t="s">
        <v>6092</v>
      </c>
      <c r="D1852" s="3" t="s">
        <v>5990</v>
      </c>
      <c r="E1852" s="3" t="s">
        <v>5991</v>
      </c>
      <c r="F1852" s="3" t="s">
        <v>1032</v>
      </c>
      <c r="G1852" s="3" t="s">
        <v>8645</v>
      </c>
      <c r="H1852" s="3" t="s">
        <v>7383</v>
      </c>
      <c r="I1852" s="3" t="s">
        <v>974</v>
      </c>
      <c r="J1852" s="5" t="s">
        <v>7384</v>
      </c>
      <c r="L1852" s="3" t="s">
        <v>7369</v>
      </c>
      <c r="M1852" s="3">
        <v>1</v>
      </c>
      <c r="N1852" s="4" t="s">
        <v>9645</v>
      </c>
      <c r="O1852" s="4">
        <v>94</v>
      </c>
      <c r="P1852" s="11" t="s">
        <v>9740</v>
      </c>
      <c r="Q1852" s="11" t="s">
        <v>10380</v>
      </c>
      <c r="S1852" s="4" t="b">
        <f>ISNUMBER(MATCH(Q1852,T:T,0))</f>
        <v>1</v>
      </c>
      <c r="T1852" s="4" t="s">
        <v>7384</v>
      </c>
      <c r="U1852" s="4" t="str">
        <f t="shared" si="78"/>
        <v>朗</v>
      </c>
    </row>
    <row r="1853" spans="1:21">
      <c r="A1853" s="3">
        <v>1851</v>
      </c>
      <c r="B1853" s="3" t="s">
        <v>7341</v>
      </c>
      <c r="C1853" s="3" t="s">
        <v>6069</v>
      </c>
      <c r="D1853" s="3" t="s">
        <v>5990</v>
      </c>
      <c r="E1853" s="3" t="s">
        <v>5991</v>
      </c>
      <c r="F1853" s="3" t="s">
        <v>1032</v>
      </c>
      <c r="G1853" s="3" t="s">
        <v>8645</v>
      </c>
      <c r="H1853" s="3" t="s">
        <v>7385</v>
      </c>
      <c r="I1853" s="3" t="s">
        <v>974</v>
      </c>
      <c r="J1853" s="5" t="s">
        <v>7386</v>
      </c>
      <c r="L1853" s="3" t="s">
        <v>7387</v>
      </c>
      <c r="M1853" s="3">
        <v>1</v>
      </c>
      <c r="N1853" s="4" t="s">
        <v>9645</v>
      </c>
      <c r="O1853" s="4">
        <v>94</v>
      </c>
      <c r="P1853" s="11" t="s">
        <v>9733</v>
      </c>
      <c r="Q1853" s="11" t="s">
        <v>10380</v>
      </c>
      <c r="S1853" s="4" t="b">
        <f>ISNUMBER(MATCH(Q1853,T:T,0))</f>
        <v>1</v>
      </c>
      <c r="T1853" s="4" t="s">
        <v>7386</v>
      </c>
      <c r="U1853" s="4" t="str">
        <f t="shared" si="78"/>
        <v>朗</v>
      </c>
    </row>
    <row r="1854" spans="1:21">
      <c r="A1854" s="3">
        <v>1852</v>
      </c>
      <c r="B1854" s="3" t="s">
        <v>7341</v>
      </c>
      <c r="C1854" s="3" t="s">
        <v>6076</v>
      </c>
      <c r="D1854" s="3" t="s">
        <v>5990</v>
      </c>
      <c r="E1854" s="3" t="s">
        <v>5991</v>
      </c>
      <c r="F1854" s="3" t="s">
        <v>1032</v>
      </c>
      <c r="G1854" s="3" t="s">
        <v>8645</v>
      </c>
      <c r="H1854" s="7" t="s">
        <v>781</v>
      </c>
      <c r="I1854" s="3" t="s">
        <v>974</v>
      </c>
      <c r="J1854" s="5" t="s">
        <v>7388</v>
      </c>
      <c r="L1854" s="3" t="s">
        <v>7389</v>
      </c>
      <c r="M1854" s="3">
        <v>1</v>
      </c>
      <c r="N1854" s="4" t="s">
        <v>9645</v>
      </c>
      <c r="O1854" s="4">
        <v>94</v>
      </c>
      <c r="P1854" s="11" t="s">
        <v>10385</v>
      </c>
      <c r="Q1854" s="11" t="s">
        <v>10380</v>
      </c>
      <c r="S1854" s="4" t="b">
        <f>ISNUMBER(MATCH(Q1854,T:T,0))</f>
        <v>1</v>
      </c>
      <c r="T1854" s="4" t="s">
        <v>7388</v>
      </c>
      <c r="U1854" s="4" t="str">
        <f t="shared" si="78"/>
        <v>朗</v>
      </c>
    </row>
    <row r="1855" spans="1:21">
      <c r="A1855" s="3">
        <v>1853</v>
      </c>
      <c r="B1855" s="3" t="s">
        <v>7341</v>
      </c>
      <c r="C1855" s="3" t="s">
        <v>6089</v>
      </c>
      <c r="D1855" s="3" t="s">
        <v>5990</v>
      </c>
      <c r="E1855" s="3" t="s">
        <v>5991</v>
      </c>
      <c r="F1855" s="3" t="s">
        <v>1032</v>
      </c>
      <c r="G1855" s="3" t="s">
        <v>8645</v>
      </c>
      <c r="H1855" s="3" t="s">
        <v>7390</v>
      </c>
      <c r="I1855" s="3" t="s">
        <v>974</v>
      </c>
      <c r="J1855" s="5" t="s">
        <v>7391</v>
      </c>
      <c r="L1855" s="3" t="s">
        <v>7392</v>
      </c>
      <c r="M1855" s="3">
        <v>3</v>
      </c>
      <c r="N1855" s="4" t="s">
        <v>9645</v>
      </c>
      <c r="O1855" s="4">
        <v>94</v>
      </c>
      <c r="P1855" s="11" t="s">
        <v>9739</v>
      </c>
      <c r="Q1855" s="11" t="s">
        <v>10380</v>
      </c>
      <c r="S1855" s="4" t="b">
        <f>ISNUMBER(MATCH(Q1855,T:T,0))</f>
        <v>1</v>
      </c>
      <c r="T1855" s="4" t="s">
        <v>11898</v>
      </c>
      <c r="U1855" s="4" t="str">
        <f t="shared" si="78"/>
        <v>朗</v>
      </c>
    </row>
    <row r="1856" spans="1:21" ht="28.5">
      <c r="A1856" s="3">
        <v>1854</v>
      </c>
      <c r="B1856" s="3" t="s">
        <v>7341</v>
      </c>
      <c r="C1856" s="3" t="s">
        <v>6038</v>
      </c>
      <c r="D1856" s="3" t="s">
        <v>5990</v>
      </c>
      <c r="E1856" s="3" t="s">
        <v>6212</v>
      </c>
      <c r="F1856" s="3" t="s">
        <v>1032</v>
      </c>
      <c r="G1856" s="3" t="s">
        <v>8645</v>
      </c>
      <c r="H1856" s="3" t="s">
        <v>7393</v>
      </c>
      <c r="I1856" s="3" t="s">
        <v>974</v>
      </c>
      <c r="J1856" s="8" t="s">
        <v>4928</v>
      </c>
      <c r="L1856" s="3" t="s">
        <v>7394</v>
      </c>
      <c r="M1856" s="3">
        <v>3</v>
      </c>
      <c r="N1856" s="4" t="s">
        <v>9645</v>
      </c>
      <c r="O1856" s="4">
        <v>94</v>
      </c>
      <c r="P1856" s="11" t="s">
        <v>9825</v>
      </c>
      <c r="Q1856" s="11" t="s">
        <v>10381</v>
      </c>
      <c r="S1856" s="4" t="b">
        <f>ISNUMBER(MATCH(Q1856,T:T,0))</f>
        <v>1</v>
      </c>
      <c r="T1856" s="4" t="s">
        <v>11899</v>
      </c>
      <c r="U1856" s="4" t="str">
        <f t="shared" si="78"/>
        <v>晃</v>
      </c>
    </row>
    <row r="1857" spans="1:22">
      <c r="A1857" s="3">
        <v>1855</v>
      </c>
      <c r="B1857" s="3" t="s">
        <v>7395</v>
      </c>
      <c r="C1857" s="3" t="s">
        <v>6025</v>
      </c>
      <c r="D1857" s="3" t="s">
        <v>6157</v>
      </c>
      <c r="E1857" s="3" t="s">
        <v>5991</v>
      </c>
      <c r="F1857" s="3" t="s">
        <v>1084</v>
      </c>
      <c r="G1857" s="3" t="s">
        <v>8645</v>
      </c>
      <c r="H1857" s="3" t="s">
        <v>7396</v>
      </c>
      <c r="I1857" s="3" t="s">
        <v>1086</v>
      </c>
      <c r="J1857" s="5" t="s">
        <v>7397</v>
      </c>
      <c r="L1857" s="3" t="s">
        <v>7398</v>
      </c>
      <c r="M1857" s="3">
        <v>9</v>
      </c>
      <c r="N1857" s="4" t="s">
        <v>1086</v>
      </c>
      <c r="O1857" s="4">
        <v>95</v>
      </c>
      <c r="P1857" s="11" t="s">
        <v>9729</v>
      </c>
      <c r="Q1857" s="11" t="s">
        <v>10386</v>
      </c>
      <c r="S1857" s="4" t="b">
        <f>ISNUMBER(MATCH(Q1857,T:T,0))</f>
        <v>1</v>
      </c>
      <c r="T1857" s="4" t="s">
        <v>1086</v>
      </c>
      <c r="U1857" s="4" t="str">
        <f t="shared" si="78"/>
        <v>杏</v>
      </c>
    </row>
    <row r="1858" spans="1:22">
      <c r="A1858" s="3">
        <v>1856</v>
      </c>
      <c r="B1858" s="3" t="s">
        <v>7395</v>
      </c>
      <c r="C1858" s="3" t="s">
        <v>6049</v>
      </c>
      <c r="D1858" s="3" t="s">
        <v>6001</v>
      </c>
      <c r="E1858" s="3" t="s">
        <v>5991</v>
      </c>
      <c r="F1858" s="3" t="s">
        <v>1084</v>
      </c>
      <c r="G1858" s="3" t="s">
        <v>8645</v>
      </c>
      <c r="H1858" s="3" t="s">
        <v>7399</v>
      </c>
      <c r="I1858" s="3" t="s">
        <v>1086</v>
      </c>
      <c r="J1858" s="5" t="s">
        <v>4929</v>
      </c>
      <c r="L1858" s="3" t="s">
        <v>7400</v>
      </c>
      <c r="M1858" s="3">
        <v>9</v>
      </c>
      <c r="N1858" s="4" t="s">
        <v>1086</v>
      </c>
      <c r="O1858" s="4">
        <v>95</v>
      </c>
      <c r="P1858" s="11" t="s">
        <v>1126</v>
      </c>
      <c r="Q1858" s="11" t="s">
        <v>10097</v>
      </c>
      <c r="S1858" s="4" t="b">
        <f>ISNUMBER(MATCH(Q1858,T:T,0))</f>
        <v>1</v>
      </c>
      <c r="T1858" s="4" t="s">
        <v>10387</v>
      </c>
      <c r="U1858" s="4" t="str">
        <f t="shared" si="78"/>
        <v>永</v>
      </c>
    </row>
    <row r="1859" spans="1:22">
      <c r="A1859" s="3">
        <v>1857</v>
      </c>
      <c r="B1859" s="3" t="s">
        <v>7395</v>
      </c>
      <c r="C1859" s="3" t="s">
        <v>6025</v>
      </c>
      <c r="D1859" s="3" t="s">
        <v>6001</v>
      </c>
      <c r="E1859" s="3" t="s">
        <v>5991</v>
      </c>
      <c r="F1859" s="3" t="s">
        <v>1084</v>
      </c>
      <c r="G1859" s="3" t="s">
        <v>8645</v>
      </c>
      <c r="H1859" s="3" t="s">
        <v>7401</v>
      </c>
      <c r="I1859" s="3" t="s">
        <v>1086</v>
      </c>
      <c r="J1859" s="5" t="s">
        <v>7402</v>
      </c>
      <c r="L1859" s="3" t="s">
        <v>7403</v>
      </c>
      <c r="M1859" s="3">
        <v>8</v>
      </c>
      <c r="N1859" s="4" t="s">
        <v>1086</v>
      </c>
      <c r="O1859" s="4">
        <v>95</v>
      </c>
      <c r="P1859" s="11" t="s">
        <v>9717</v>
      </c>
      <c r="Q1859" s="11" t="s">
        <v>6072</v>
      </c>
      <c r="S1859" s="4" t="b">
        <f>ISNUMBER(MATCH(Q1859,T:T,0))</f>
        <v>1</v>
      </c>
      <c r="T1859" s="4" t="s">
        <v>11900</v>
      </c>
      <c r="U1859" s="4" t="str">
        <f t="shared" ref="U1859:U1922" si="79">IF(ISBLANK(R1859),Q1859,R1859)</f>
        <v>影</v>
      </c>
    </row>
    <row r="1860" spans="1:22">
      <c r="A1860" s="3">
        <v>1858</v>
      </c>
      <c r="B1860" s="3" t="s">
        <v>7395</v>
      </c>
      <c r="C1860" s="3" t="s">
        <v>6072</v>
      </c>
      <c r="D1860" s="3" t="s">
        <v>6001</v>
      </c>
      <c r="E1860" s="3" t="s">
        <v>5991</v>
      </c>
      <c r="F1860" s="3" t="s">
        <v>1084</v>
      </c>
      <c r="G1860" s="3" t="s">
        <v>8645</v>
      </c>
      <c r="H1860" s="3" t="s">
        <v>7404</v>
      </c>
      <c r="I1860" s="3" t="s">
        <v>1086</v>
      </c>
      <c r="J1860" s="5" t="s">
        <v>4930</v>
      </c>
      <c r="L1860" s="3" t="s">
        <v>7405</v>
      </c>
      <c r="M1860" s="3">
        <v>8</v>
      </c>
      <c r="N1860" s="4" t="s">
        <v>1086</v>
      </c>
      <c r="O1860" s="4">
        <v>95</v>
      </c>
      <c r="P1860" s="11" t="s">
        <v>9754</v>
      </c>
      <c r="Q1860" s="11" t="s">
        <v>10387</v>
      </c>
      <c r="S1860" s="4" t="b">
        <f>ISNUMBER(MATCH(Q1860,T:T,0))</f>
        <v>1</v>
      </c>
      <c r="T1860" s="4" t="s">
        <v>6072</v>
      </c>
      <c r="U1860" s="4" t="str">
        <f t="shared" si="79"/>
        <v>丙</v>
      </c>
    </row>
    <row r="1861" spans="1:22" ht="28.5">
      <c r="A1861" s="3">
        <v>1859</v>
      </c>
      <c r="B1861" s="3" t="s">
        <v>7395</v>
      </c>
      <c r="C1861" s="3" t="s">
        <v>6180</v>
      </c>
      <c r="D1861" s="3" t="s">
        <v>6001</v>
      </c>
      <c r="E1861" s="3" t="s">
        <v>5991</v>
      </c>
      <c r="F1861" s="3" t="s">
        <v>1084</v>
      </c>
      <c r="G1861" s="3" t="s">
        <v>8645</v>
      </c>
      <c r="H1861" s="3" t="s">
        <v>7406</v>
      </c>
      <c r="I1861" s="3" t="s">
        <v>1086</v>
      </c>
      <c r="J1861" s="5" t="s">
        <v>7407</v>
      </c>
      <c r="L1861" s="3" t="s">
        <v>7408</v>
      </c>
      <c r="M1861" s="3">
        <v>9</v>
      </c>
      <c r="N1861" s="4" t="s">
        <v>1086</v>
      </c>
      <c r="O1861" s="4">
        <v>95</v>
      </c>
      <c r="P1861" s="11" t="s">
        <v>9774</v>
      </c>
      <c r="Q1861" s="11" t="s">
        <v>10388</v>
      </c>
      <c r="R1861" s="4" t="s">
        <v>13103</v>
      </c>
      <c r="S1861" s="4" t="b">
        <f>ISNUMBER(MATCH(Q1861,T:T,0))</f>
        <v>0</v>
      </c>
      <c r="T1861" s="4" t="s">
        <v>11901</v>
      </c>
      <c r="U1861" s="4" t="str">
        <f t="shared" si="79"/>
        <v>警</v>
      </c>
      <c r="V1861" s="4" t="b">
        <f>ISNUMBER(MATCH(R1861,T:T,0))</f>
        <v>1</v>
      </c>
    </row>
    <row r="1862" spans="1:22">
      <c r="A1862" s="3">
        <v>1860</v>
      </c>
      <c r="B1862" s="3" t="s">
        <v>7395</v>
      </c>
      <c r="C1862" s="3" t="s">
        <v>6032</v>
      </c>
      <c r="D1862" s="3" t="s">
        <v>6001</v>
      </c>
      <c r="E1862" s="3" t="s">
        <v>6212</v>
      </c>
      <c r="F1862" s="3" t="s">
        <v>1084</v>
      </c>
      <c r="G1862" s="3" t="s">
        <v>8645</v>
      </c>
      <c r="H1862" s="3" t="s">
        <v>7409</v>
      </c>
      <c r="I1862" s="3" t="s">
        <v>1086</v>
      </c>
      <c r="J1862" s="5" t="s">
        <v>4931</v>
      </c>
      <c r="L1862" s="3" t="s">
        <v>8692</v>
      </c>
      <c r="M1862" s="3">
        <v>2</v>
      </c>
      <c r="N1862" s="4" t="s">
        <v>1086</v>
      </c>
      <c r="O1862" s="4">
        <v>95</v>
      </c>
      <c r="P1862" s="11" t="s">
        <v>9859</v>
      </c>
      <c r="Q1862" s="11" t="s">
        <v>10389</v>
      </c>
      <c r="S1862" s="4" t="b">
        <f>ISNUMBER(MATCH(Q1862,T:T,0))</f>
        <v>1</v>
      </c>
      <c r="T1862" s="4" t="s">
        <v>10097</v>
      </c>
      <c r="U1862" s="4" t="str">
        <f t="shared" si="79"/>
        <v>憬</v>
      </c>
    </row>
    <row r="1863" spans="1:22" ht="28.5">
      <c r="A1863" s="3">
        <v>1861</v>
      </c>
      <c r="B1863" s="3" t="s">
        <v>7395</v>
      </c>
      <c r="C1863" s="3" t="s">
        <v>6089</v>
      </c>
      <c r="D1863" s="3" t="s">
        <v>6001</v>
      </c>
      <c r="E1863" s="3" t="s">
        <v>6212</v>
      </c>
      <c r="F1863" s="3" t="s">
        <v>1084</v>
      </c>
      <c r="G1863" s="3" t="s">
        <v>8645</v>
      </c>
      <c r="H1863" s="3" t="s">
        <v>7410</v>
      </c>
      <c r="I1863" s="3" t="s">
        <v>1086</v>
      </c>
      <c r="J1863" s="5" t="s">
        <v>7411</v>
      </c>
      <c r="L1863" s="3" t="s">
        <v>8715</v>
      </c>
      <c r="M1863" s="3">
        <v>1</v>
      </c>
      <c r="N1863" s="4" t="s">
        <v>1086</v>
      </c>
      <c r="O1863" s="4">
        <v>95</v>
      </c>
      <c r="P1863" s="11" t="s">
        <v>9753</v>
      </c>
      <c r="Q1863" s="11" t="s">
        <v>10097</v>
      </c>
      <c r="S1863" s="4" t="b">
        <f>ISNUMBER(MATCH(Q1863,T:T,0))</f>
        <v>1</v>
      </c>
      <c r="T1863" s="4" t="s">
        <v>7411</v>
      </c>
      <c r="U1863" s="4" t="str">
        <f t="shared" si="79"/>
        <v>永</v>
      </c>
    </row>
    <row r="1864" spans="1:22">
      <c r="A1864" s="3">
        <v>1862</v>
      </c>
      <c r="B1864" s="3" t="s">
        <v>7395</v>
      </c>
      <c r="C1864" s="3" t="s">
        <v>6035</v>
      </c>
      <c r="D1864" s="3" t="s">
        <v>6001</v>
      </c>
      <c r="E1864" s="3" t="s">
        <v>5991</v>
      </c>
      <c r="F1864" s="3" t="s">
        <v>1084</v>
      </c>
      <c r="G1864" s="3" t="s">
        <v>8645</v>
      </c>
      <c r="H1864" s="3" t="s">
        <v>7412</v>
      </c>
      <c r="I1864" s="3" t="s">
        <v>1086</v>
      </c>
      <c r="J1864" s="5" t="s">
        <v>7413</v>
      </c>
      <c r="L1864" s="3" t="s">
        <v>7414</v>
      </c>
      <c r="M1864" s="3">
        <v>3</v>
      </c>
      <c r="N1864" s="4" t="s">
        <v>1086</v>
      </c>
      <c r="O1864" s="4">
        <v>95</v>
      </c>
      <c r="P1864" s="11" t="s">
        <v>9794</v>
      </c>
      <c r="Q1864" s="11" t="s">
        <v>10097</v>
      </c>
      <c r="S1864" s="4" t="b">
        <f>ISNUMBER(MATCH(Q1864,T:T,0))</f>
        <v>1</v>
      </c>
      <c r="T1864" s="4" t="s">
        <v>11902</v>
      </c>
      <c r="U1864" s="4" t="str">
        <f t="shared" si="79"/>
        <v>永</v>
      </c>
    </row>
    <row r="1865" spans="1:22" ht="28.5">
      <c r="A1865" s="3">
        <v>1863</v>
      </c>
      <c r="B1865" s="3" t="s">
        <v>7395</v>
      </c>
      <c r="C1865" s="3" t="s">
        <v>6025</v>
      </c>
      <c r="D1865" s="3" t="s">
        <v>6001</v>
      </c>
      <c r="E1865" s="3" t="s">
        <v>6212</v>
      </c>
      <c r="F1865" s="3" t="s">
        <v>1084</v>
      </c>
      <c r="G1865" s="3" t="s">
        <v>8645</v>
      </c>
      <c r="H1865" s="3" t="s">
        <v>7415</v>
      </c>
      <c r="I1865" s="3" t="s">
        <v>1086</v>
      </c>
      <c r="J1865" s="5" t="s">
        <v>7416</v>
      </c>
      <c r="L1865" s="3" t="s">
        <v>8712</v>
      </c>
      <c r="M1865" s="3">
        <v>6</v>
      </c>
      <c r="N1865" s="4" t="s">
        <v>1086</v>
      </c>
      <c r="O1865" s="4">
        <v>95</v>
      </c>
      <c r="P1865" s="11" t="s">
        <v>9854</v>
      </c>
      <c r="Q1865" s="11" t="s">
        <v>10097</v>
      </c>
      <c r="S1865" s="4" t="b">
        <f>ISNUMBER(MATCH(Q1865,T:T,0))</f>
        <v>1</v>
      </c>
      <c r="T1865" s="4" t="s">
        <v>10389</v>
      </c>
      <c r="U1865" s="4" t="str">
        <f t="shared" si="79"/>
        <v>永</v>
      </c>
    </row>
    <row r="1866" spans="1:22">
      <c r="A1866" s="3">
        <v>1864</v>
      </c>
      <c r="B1866" s="3" t="s">
        <v>7395</v>
      </c>
      <c r="C1866" s="3" t="s">
        <v>6067</v>
      </c>
      <c r="D1866" s="3" t="s">
        <v>6157</v>
      </c>
      <c r="E1866" s="3" t="s">
        <v>5991</v>
      </c>
      <c r="F1866" s="3" t="s">
        <v>1084</v>
      </c>
      <c r="G1866" s="3" t="s">
        <v>8645</v>
      </c>
      <c r="H1866" s="3" t="s">
        <v>7417</v>
      </c>
      <c r="I1866" s="3" t="s">
        <v>1086</v>
      </c>
      <c r="J1866" s="5" t="s">
        <v>7418</v>
      </c>
      <c r="L1866" s="3" t="s">
        <v>7419</v>
      </c>
      <c r="M1866" s="3">
        <v>3</v>
      </c>
      <c r="N1866" s="4" t="s">
        <v>1086</v>
      </c>
      <c r="O1866" s="4">
        <v>95</v>
      </c>
      <c r="P1866" s="11" t="s">
        <v>10051</v>
      </c>
      <c r="Q1866" s="11" t="s">
        <v>1086</v>
      </c>
      <c r="S1866" s="4" t="b">
        <f>ISNUMBER(MATCH(Q1866,T:T,0))</f>
        <v>1</v>
      </c>
      <c r="T1866" s="4" t="s">
        <v>10386</v>
      </c>
      <c r="U1866" s="4" t="str">
        <f t="shared" si="79"/>
        <v>梗</v>
      </c>
    </row>
    <row r="1867" spans="1:22">
      <c r="A1867" s="3">
        <v>1865</v>
      </c>
      <c r="B1867" s="3" t="s">
        <v>7395</v>
      </c>
      <c r="C1867" s="3" t="s">
        <v>6035</v>
      </c>
      <c r="D1867" s="3" t="s">
        <v>6157</v>
      </c>
      <c r="E1867" s="3" t="s">
        <v>5991</v>
      </c>
      <c r="F1867" s="3" t="s">
        <v>1084</v>
      </c>
      <c r="G1867" s="3" t="s">
        <v>8645</v>
      </c>
      <c r="H1867" s="3" t="s">
        <v>7420</v>
      </c>
      <c r="I1867" s="3" t="s">
        <v>1086</v>
      </c>
      <c r="J1867" s="5" t="s">
        <v>7421</v>
      </c>
      <c r="L1867" s="3" t="s">
        <v>8651</v>
      </c>
      <c r="M1867" s="3">
        <v>6</v>
      </c>
      <c r="N1867" s="4" t="s">
        <v>1086</v>
      </c>
      <c r="O1867" s="4">
        <v>95</v>
      </c>
      <c r="P1867" s="11" t="s">
        <v>9719</v>
      </c>
      <c r="Q1867" s="11" t="s">
        <v>10390</v>
      </c>
      <c r="S1867" s="4" t="b">
        <f>ISNUMBER(MATCH(Q1867,T:T,0))</f>
        <v>1</v>
      </c>
      <c r="T1867" s="4" t="s">
        <v>10391</v>
      </c>
      <c r="U1867" s="4" t="str">
        <f t="shared" si="79"/>
        <v>幸</v>
      </c>
    </row>
    <row r="1868" spans="1:22">
      <c r="A1868" s="3">
        <v>1866</v>
      </c>
      <c r="B1868" s="3" t="s">
        <v>7395</v>
      </c>
      <c r="C1868" s="3" t="s">
        <v>6025</v>
      </c>
      <c r="D1868" s="3" t="s">
        <v>6157</v>
      </c>
      <c r="E1868" s="3" t="s">
        <v>6212</v>
      </c>
      <c r="F1868" s="3" t="s">
        <v>1084</v>
      </c>
      <c r="G1868" s="3" t="s">
        <v>8645</v>
      </c>
      <c r="H1868" s="3" t="s">
        <v>7422</v>
      </c>
      <c r="I1868" s="3" t="s">
        <v>1086</v>
      </c>
      <c r="J1868" s="5" t="s">
        <v>4932</v>
      </c>
      <c r="L1868" s="3" t="s">
        <v>7423</v>
      </c>
      <c r="M1868" s="3">
        <v>7</v>
      </c>
      <c r="N1868" s="4" t="s">
        <v>1086</v>
      </c>
      <c r="O1868" s="4">
        <v>95</v>
      </c>
      <c r="P1868" s="11" t="s">
        <v>9729</v>
      </c>
      <c r="Q1868" s="11" t="s">
        <v>10391</v>
      </c>
      <c r="S1868" s="4" t="b">
        <f>ISNUMBER(MATCH(Q1868,T:T,0))</f>
        <v>1</v>
      </c>
      <c r="T1868" s="4" t="s">
        <v>10393</v>
      </c>
      <c r="U1868" s="4" t="str">
        <f t="shared" si="79"/>
        <v>猛</v>
      </c>
    </row>
    <row r="1869" spans="1:22">
      <c r="A1869" s="3">
        <v>1867</v>
      </c>
      <c r="B1869" s="3" t="s">
        <v>7395</v>
      </c>
      <c r="C1869" s="3" t="s">
        <v>6049</v>
      </c>
      <c r="D1869" s="3" t="s">
        <v>6157</v>
      </c>
      <c r="E1869" s="3" t="s">
        <v>5991</v>
      </c>
      <c r="F1869" s="3" t="s">
        <v>1084</v>
      </c>
      <c r="G1869" s="3" t="s">
        <v>8645</v>
      </c>
      <c r="H1869" s="3" t="s">
        <v>7424</v>
      </c>
      <c r="I1869" s="3" t="s">
        <v>1086</v>
      </c>
      <c r="J1869" s="8" t="s">
        <v>4933</v>
      </c>
      <c r="L1869" s="3" t="s">
        <v>8673</v>
      </c>
      <c r="M1869" s="3">
        <v>3</v>
      </c>
      <c r="N1869" s="4" t="s">
        <v>1086</v>
      </c>
      <c r="O1869" s="4">
        <v>95</v>
      </c>
      <c r="P1869" s="11" t="s">
        <v>9921</v>
      </c>
      <c r="Q1869" s="11" t="s">
        <v>1086</v>
      </c>
      <c r="S1869" s="4" t="b">
        <f>ISNUMBER(MATCH(Q1869,T:T,0))</f>
        <v>1</v>
      </c>
      <c r="T1869" s="4" t="s">
        <v>11403</v>
      </c>
      <c r="U1869" s="4" t="str">
        <f t="shared" si="79"/>
        <v>梗</v>
      </c>
    </row>
    <row r="1870" spans="1:22" ht="28.5">
      <c r="A1870" s="3">
        <v>1868</v>
      </c>
      <c r="B1870" s="3" t="s">
        <v>7395</v>
      </c>
      <c r="C1870" s="3" t="s">
        <v>6000</v>
      </c>
      <c r="D1870" s="3" t="s">
        <v>6157</v>
      </c>
      <c r="E1870" s="3" t="s">
        <v>5991</v>
      </c>
      <c r="F1870" s="3" t="s">
        <v>1084</v>
      </c>
      <c r="G1870" s="3" t="s">
        <v>8645</v>
      </c>
      <c r="H1870" s="3" t="s">
        <v>7425</v>
      </c>
      <c r="I1870" s="3" t="s">
        <v>1086</v>
      </c>
      <c r="J1870" s="5" t="s">
        <v>7426</v>
      </c>
      <c r="L1870" s="3" t="s">
        <v>7427</v>
      </c>
      <c r="M1870" s="3">
        <v>1</v>
      </c>
      <c r="N1870" s="4" t="s">
        <v>1086</v>
      </c>
      <c r="O1870" s="4">
        <v>95</v>
      </c>
      <c r="P1870" s="11" t="s">
        <v>10007</v>
      </c>
      <c r="Q1870" s="11" t="s">
        <v>1086</v>
      </c>
      <c r="S1870" s="4" t="b">
        <f>ISNUMBER(MATCH(Q1870,T:T,0))</f>
        <v>1</v>
      </c>
      <c r="T1870" s="4" t="s">
        <v>7426</v>
      </c>
      <c r="U1870" s="4" t="str">
        <f t="shared" si="79"/>
        <v>梗</v>
      </c>
    </row>
    <row r="1871" spans="1:22" ht="28.5">
      <c r="A1871" s="3">
        <v>1869</v>
      </c>
      <c r="B1871" s="3" t="s">
        <v>7395</v>
      </c>
      <c r="C1871" s="3" t="s">
        <v>6005</v>
      </c>
      <c r="D1871" s="3" t="s">
        <v>6157</v>
      </c>
      <c r="E1871" s="3" t="s">
        <v>5991</v>
      </c>
      <c r="F1871" s="3" t="s">
        <v>1084</v>
      </c>
      <c r="G1871" s="3" t="s">
        <v>8645</v>
      </c>
      <c r="H1871" s="3" t="s">
        <v>7428</v>
      </c>
      <c r="I1871" s="3" t="s">
        <v>1086</v>
      </c>
      <c r="J1871" s="5" t="s">
        <v>7429</v>
      </c>
      <c r="L1871" s="3" t="s">
        <v>7430</v>
      </c>
      <c r="M1871" s="3">
        <v>1</v>
      </c>
      <c r="N1871" s="4" t="s">
        <v>1086</v>
      </c>
      <c r="O1871" s="4">
        <v>95</v>
      </c>
      <c r="P1871" s="11" t="s">
        <v>9706</v>
      </c>
      <c r="Q1871" s="11" t="s">
        <v>10386</v>
      </c>
      <c r="S1871" s="4" t="b">
        <f>ISNUMBER(MATCH(Q1871,T:T,0))</f>
        <v>1</v>
      </c>
      <c r="T1871" s="4" t="s">
        <v>7429</v>
      </c>
      <c r="U1871" s="4" t="str">
        <f t="shared" si="79"/>
        <v>杏</v>
      </c>
    </row>
    <row r="1872" spans="1:22">
      <c r="A1872" s="3">
        <v>1870</v>
      </c>
      <c r="B1872" s="3" t="s">
        <v>7395</v>
      </c>
      <c r="C1872" s="3" t="s">
        <v>6072</v>
      </c>
      <c r="D1872" s="3" t="s">
        <v>6157</v>
      </c>
      <c r="E1872" s="3" t="s">
        <v>6212</v>
      </c>
      <c r="F1872" s="3" t="s">
        <v>1084</v>
      </c>
      <c r="G1872" s="3" t="s">
        <v>8645</v>
      </c>
      <c r="H1872" s="3" t="s">
        <v>7431</v>
      </c>
      <c r="I1872" s="3" t="s">
        <v>1086</v>
      </c>
      <c r="J1872" s="5" t="s">
        <v>4934</v>
      </c>
      <c r="L1872" s="3" t="s">
        <v>8667</v>
      </c>
      <c r="M1872" s="3">
        <v>3</v>
      </c>
      <c r="N1872" s="4" t="s">
        <v>1086</v>
      </c>
      <c r="O1872" s="4">
        <v>95</v>
      </c>
      <c r="P1872" s="11" t="s">
        <v>9734</v>
      </c>
      <c r="Q1872" s="11" t="s">
        <v>10391</v>
      </c>
      <c r="S1872" s="4" t="b">
        <f>ISNUMBER(MATCH(Q1872,T:T,0))</f>
        <v>1</v>
      </c>
      <c r="T1872" s="4" t="s">
        <v>10392</v>
      </c>
      <c r="U1872" s="4" t="str">
        <f t="shared" si="79"/>
        <v>猛</v>
      </c>
    </row>
    <row r="1873" spans="1:21">
      <c r="A1873" s="3">
        <v>1871</v>
      </c>
      <c r="B1873" s="3" t="s">
        <v>7395</v>
      </c>
      <c r="C1873" s="3" t="s">
        <v>5989</v>
      </c>
      <c r="D1873" s="3" t="s">
        <v>6157</v>
      </c>
      <c r="E1873" s="3" t="s">
        <v>5991</v>
      </c>
      <c r="F1873" s="3" t="s">
        <v>1084</v>
      </c>
      <c r="G1873" s="3" t="s">
        <v>8645</v>
      </c>
      <c r="H1873" s="3" t="s">
        <v>7432</v>
      </c>
      <c r="I1873" s="3" t="s">
        <v>1086</v>
      </c>
      <c r="J1873" s="5" t="s">
        <v>7433</v>
      </c>
      <c r="M1873" s="3">
        <v>1</v>
      </c>
      <c r="N1873" s="4" t="s">
        <v>1086</v>
      </c>
      <c r="O1873" s="4">
        <v>95</v>
      </c>
      <c r="P1873" s="11" t="s">
        <v>9691</v>
      </c>
      <c r="Q1873" s="11" t="s">
        <v>7435</v>
      </c>
      <c r="S1873" s="4" t="b">
        <f>ISNUMBER(MATCH(Q1873,T:T,0))</f>
        <v>1</v>
      </c>
      <c r="T1873" s="4" t="s">
        <v>7433</v>
      </c>
      <c r="U1873" s="4" t="str">
        <f t="shared" si="79"/>
        <v>冷</v>
      </c>
    </row>
    <row r="1874" spans="1:21">
      <c r="A1874" s="3">
        <v>1872</v>
      </c>
      <c r="B1874" s="3" t="s">
        <v>7395</v>
      </c>
      <c r="C1874" s="3" t="s">
        <v>6058</v>
      </c>
      <c r="D1874" s="3" t="s">
        <v>6157</v>
      </c>
      <c r="E1874" s="3" t="s">
        <v>5991</v>
      </c>
      <c r="F1874" s="3" t="s">
        <v>1084</v>
      </c>
      <c r="G1874" s="3" t="s">
        <v>8645</v>
      </c>
      <c r="H1874" s="3" t="s">
        <v>7434</v>
      </c>
      <c r="I1874" s="3" t="s">
        <v>1086</v>
      </c>
      <c r="J1874" s="5" t="s">
        <v>7435</v>
      </c>
      <c r="L1874" s="3" t="s">
        <v>7436</v>
      </c>
      <c r="M1874" s="3">
        <v>1</v>
      </c>
      <c r="N1874" s="4" t="s">
        <v>1086</v>
      </c>
      <c r="O1874" s="4">
        <v>95</v>
      </c>
      <c r="P1874" s="11" t="s">
        <v>9920</v>
      </c>
      <c r="Q1874" s="11" t="s">
        <v>7433</v>
      </c>
      <c r="S1874" s="4" t="b">
        <f>ISNUMBER(MATCH(Q1874,T:T,0))</f>
        <v>1</v>
      </c>
      <c r="T1874" s="4" t="s">
        <v>7435</v>
      </c>
      <c r="U1874" s="4" t="str">
        <f t="shared" si="79"/>
        <v>打</v>
      </c>
    </row>
    <row r="1875" spans="1:21">
      <c r="A1875" s="3">
        <v>1873</v>
      </c>
      <c r="B1875" s="3" t="s">
        <v>7395</v>
      </c>
      <c r="C1875" s="3" t="s">
        <v>6067</v>
      </c>
      <c r="D1875" s="3" t="s">
        <v>6157</v>
      </c>
      <c r="E1875" s="3" t="s">
        <v>6212</v>
      </c>
      <c r="F1875" s="3" t="s">
        <v>1084</v>
      </c>
      <c r="G1875" s="3" t="s">
        <v>8645</v>
      </c>
      <c r="H1875" s="3" t="s">
        <v>7437</v>
      </c>
      <c r="I1875" s="3" t="s">
        <v>1086</v>
      </c>
      <c r="J1875" s="8" t="s">
        <v>4935</v>
      </c>
      <c r="L1875" s="3" t="s">
        <v>8665</v>
      </c>
      <c r="M1875" s="3">
        <v>2</v>
      </c>
      <c r="N1875" s="4" t="s">
        <v>1086</v>
      </c>
      <c r="O1875" s="4">
        <v>95</v>
      </c>
      <c r="P1875" s="11" t="s">
        <v>9874</v>
      </c>
      <c r="Q1875" s="11" t="s">
        <v>10392</v>
      </c>
      <c r="S1875" s="4" t="b">
        <f>ISNUMBER(MATCH(Q1875,T:T,0))</f>
        <v>1</v>
      </c>
      <c r="T1875" s="4" t="s">
        <v>11903</v>
      </c>
      <c r="U1875" s="4" t="str">
        <f t="shared" si="79"/>
        <v>䁝</v>
      </c>
    </row>
    <row r="1876" spans="1:21">
      <c r="A1876" s="3">
        <v>1874</v>
      </c>
      <c r="B1876" s="3" t="s">
        <v>7395</v>
      </c>
      <c r="C1876" s="3" t="s">
        <v>6045</v>
      </c>
      <c r="D1876" s="3" t="s">
        <v>6157</v>
      </c>
      <c r="E1876" s="3" t="s">
        <v>5991</v>
      </c>
      <c r="F1876" s="3" t="s">
        <v>1084</v>
      </c>
      <c r="G1876" s="3" t="s">
        <v>8645</v>
      </c>
      <c r="H1876" s="3" t="s">
        <v>7438</v>
      </c>
      <c r="I1876" s="3" t="s">
        <v>1086</v>
      </c>
      <c r="J1876" s="8" t="s">
        <v>7439</v>
      </c>
      <c r="L1876" s="3" t="s">
        <v>8682</v>
      </c>
      <c r="M1876" s="3">
        <v>1</v>
      </c>
      <c r="N1876" s="4" t="s">
        <v>1086</v>
      </c>
      <c r="O1876" s="4">
        <v>95</v>
      </c>
      <c r="P1876" s="11" t="s">
        <v>9965</v>
      </c>
      <c r="Q1876" s="11" t="s">
        <v>10391</v>
      </c>
      <c r="S1876" s="4" t="b">
        <f>ISNUMBER(MATCH(Q1876,T:T,0))</f>
        <v>1</v>
      </c>
      <c r="T1876" s="4" t="s">
        <v>7439</v>
      </c>
      <c r="U1876" s="4" t="str">
        <f t="shared" si="79"/>
        <v>猛</v>
      </c>
    </row>
    <row r="1877" spans="1:21">
      <c r="A1877" s="3">
        <v>1875</v>
      </c>
      <c r="B1877" s="3" t="s">
        <v>7395</v>
      </c>
      <c r="C1877" s="3" t="s">
        <v>6038</v>
      </c>
      <c r="D1877" s="3" t="s">
        <v>6157</v>
      </c>
      <c r="E1877" s="3" t="s">
        <v>6212</v>
      </c>
      <c r="F1877" s="3" t="s">
        <v>1084</v>
      </c>
      <c r="G1877" s="3" t="s">
        <v>8645</v>
      </c>
      <c r="H1877" s="3" t="s">
        <v>7440</v>
      </c>
      <c r="I1877" s="3" t="s">
        <v>1086</v>
      </c>
      <c r="J1877" s="5" t="s">
        <v>7441</v>
      </c>
      <c r="L1877" s="3" t="s">
        <v>8654</v>
      </c>
      <c r="M1877" s="3">
        <v>1</v>
      </c>
      <c r="N1877" s="4" t="s">
        <v>1086</v>
      </c>
      <c r="O1877" s="4">
        <v>95</v>
      </c>
      <c r="P1877" s="11" t="s">
        <v>9728</v>
      </c>
      <c r="Q1877" s="11" t="s">
        <v>10393</v>
      </c>
      <c r="S1877" s="4" t="b">
        <f>ISNUMBER(MATCH(Q1877,T:T,0))</f>
        <v>1</v>
      </c>
      <c r="T1877" s="4" t="s">
        <v>7441</v>
      </c>
      <c r="U1877" s="4" t="str">
        <f t="shared" si="79"/>
        <v>礦</v>
      </c>
    </row>
    <row r="1878" spans="1:21">
      <c r="A1878" s="3">
        <v>1876</v>
      </c>
      <c r="B1878" s="3" t="s">
        <v>7395</v>
      </c>
      <c r="C1878" s="3" t="s">
        <v>6137</v>
      </c>
      <c r="D1878" s="3" t="s">
        <v>6157</v>
      </c>
      <c r="E1878" s="3" t="s">
        <v>5991</v>
      </c>
      <c r="F1878" s="3" t="s">
        <v>1084</v>
      </c>
      <c r="G1878" s="3" t="s">
        <v>8645</v>
      </c>
      <c r="H1878" s="3" t="s">
        <v>7442</v>
      </c>
      <c r="I1878" s="3" t="s">
        <v>1086</v>
      </c>
      <c r="J1878" s="5" t="s">
        <v>7443</v>
      </c>
      <c r="L1878" s="3" t="s">
        <v>7444</v>
      </c>
      <c r="M1878" s="3">
        <v>1</v>
      </c>
      <c r="N1878" s="4" t="s">
        <v>1086</v>
      </c>
      <c r="O1878" s="4">
        <v>95</v>
      </c>
      <c r="P1878" s="11" t="s">
        <v>10394</v>
      </c>
      <c r="Q1878" s="11" t="s">
        <v>1086</v>
      </c>
      <c r="S1878" s="4" t="b">
        <f>ISNUMBER(MATCH(Q1878,T:T,0))</f>
        <v>1</v>
      </c>
      <c r="T1878" s="4" t="s">
        <v>7443</v>
      </c>
      <c r="U1878" s="4" t="str">
        <f t="shared" si="79"/>
        <v>梗</v>
      </c>
    </row>
    <row r="1879" spans="1:21">
      <c r="A1879" s="3">
        <v>1877</v>
      </c>
      <c r="B1879" s="3" t="s">
        <v>7445</v>
      </c>
      <c r="C1879" s="3" t="s">
        <v>6025</v>
      </c>
      <c r="D1879" s="3" t="s">
        <v>6157</v>
      </c>
      <c r="E1879" s="3" t="s">
        <v>5991</v>
      </c>
      <c r="F1879" s="3" t="s">
        <v>1145</v>
      </c>
      <c r="G1879" s="3" t="s">
        <v>8645</v>
      </c>
      <c r="H1879" s="3" t="s">
        <v>7446</v>
      </c>
      <c r="I1879" s="3" t="s">
        <v>1086</v>
      </c>
      <c r="J1879" s="5" t="s">
        <v>7447</v>
      </c>
      <c r="L1879" s="3" t="s">
        <v>7398</v>
      </c>
      <c r="M1879" s="3">
        <v>3</v>
      </c>
      <c r="N1879" s="4" t="s">
        <v>9646</v>
      </c>
      <c r="O1879" s="4">
        <v>96</v>
      </c>
      <c r="P1879" s="11" t="s">
        <v>9729</v>
      </c>
      <c r="Q1879" s="11" t="s">
        <v>10390</v>
      </c>
      <c r="S1879" s="4" t="b">
        <f>ISNUMBER(MATCH(Q1879,T:T,0))</f>
        <v>1</v>
      </c>
      <c r="T1879" s="4" t="s">
        <v>9646</v>
      </c>
      <c r="U1879" s="4" t="str">
        <f t="shared" si="79"/>
        <v>幸</v>
      </c>
    </row>
    <row r="1880" spans="1:21">
      <c r="A1880" s="3">
        <v>1878</v>
      </c>
      <c r="B1880" s="3" t="s">
        <v>7445</v>
      </c>
      <c r="C1880" s="3" t="s">
        <v>6035</v>
      </c>
      <c r="D1880" s="3" t="s">
        <v>6157</v>
      </c>
      <c r="E1880" s="3" t="s">
        <v>5991</v>
      </c>
      <c r="F1880" s="3" t="s">
        <v>1145</v>
      </c>
      <c r="G1880" s="3" t="s">
        <v>8645</v>
      </c>
      <c r="H1880" s="3" t="s">
        <v>7448</v>
      </c>
      <c r="I1880" s="3" t="s">
        <v>1086</v>
      </c>
      <c r="J1880" s="5" t="s">
        <v>7449</v>
      </c>
      <c r="L1880" s="3" t="s">
        <v>8651</v>
      </c>
      <c r="M1880" s="3">
        <v>3</v>
      </c>
      <c r="N1880" s="4" t="s">
        <v>9646</v>
      </c>
      <c r="O1880" s="4">
        <v>96</v>
      </c>
      <c r="P1880" s="11" t="s">
        <v>9794</v>
      </c>
      <c r="Q1880" s="11" t="s">
        <v>10390</v>
      </c>
      <c r="S1880" s="4" t="b">
        <f>ISNUMBER(MATCH(Q1880,T:T,0))</f>
        <v>1</v>
      </c>
      <c r="T1880" s="4" t="s">
        <v>11904</v>
      </c>
      <c r="U1880" s="4" t="str">
        <f t="shared" si="79"/>
        <v>幸</v>
      </c>
    </row>
    <row r="1881" spans="1:21">
      <c r="A1881" s="3">
        <v>1879</v>
      </c>
      <c r="B1881" s="3" t="s">
        <v>7445</v>
      </c>
      <c r="C1881" s="3" t="s">
        <v>6067</v>
      </c>
      <c r="D1881" s="3" t="s">
        <v>6157</v>
      </c>
      <c r="E1881" s="3" t="s">
        <v>5991</v>
      </c>
      <c r="F1881" s="3" t="s">
        <v>1145</v>
      </c>
      <c r="G1881" s="3" t="s">
        <v>8645</v>
      </c>
      <c r="H1881" s="3" t="s">
        <v>7450</v>
      </c>
      <c r="I1881" s="3" t="s">
        <v>1086</v>
      </c>
      <c r="J1881" s="5" t="s">
        <v>7451</v>
      </c>
      <c r="L1881" s="3" t="s">
        <v>7419</v>
      </c>
      <c r="M1881" s="3">
        <v>4</v>
      </c>
      <c r="N1881" s="4" t="s">
        <v>9646</v>
      </c>
      <c r="O1881" s="4">
        <v>96</v>
      </c>
      <c r="P1881" s="11" t="s">
        <v>9870</v>
      </c>
      <c r="Q1881" s="11" t="s">
        <v>9646</v>
      </c>
      <c r="S1881" s="4" t="b">
        <f>ISNUMBER(MATCH(Q1881,T:T,0))</f>
        <v>1</v>
      </c>
      <c r="T1881" s="4" t="s">
        <v>10390</v>
      </c>
      <c r="U1881" s="4" t="str">
        <f t="shared" si="79"/>
        <v>耿</v>
      </c>
    </row>
    <row r="1882" spans="1:21">
      <c r="A1882" s="3">
        <v>1880</v>
      </c>
      <c r="B1882" s="3" t="s">
        <v>7445</v>
      </c>
      <c r="C1882" s="3" t="s">
        <v>6045</v>
      </c>
      <c r="D1882" s="3" t="s">
        <v>6157</v>
      </c>
      <c r="E1882" s="3" t="s">
        <v>5991</v>
      </c>
      <c r="F1882" s="3" t="s">
        <v>1145</v>
      </c>
      <c r="G1882" s="3" t="s">
        <v>8645</v>
      </c>
      <c r="H1882" s="3" t="s">
        <v>7452</v>
      </c>
      <c r="I1882" s="3" t="s">
        <v>1086</v>
      </c>
      <c r="J1882" s="5" t="s">
        <v>4936</v>
      </c>
      <c r="L1882" s="3" t="s">
        <v>8682</v>
      </c>
      <c r="M1882" s="3">
        <v>4</v>
      </c>
      <c r="N1882" s="4" t="s">
        <v>9646</v>
      </c>
      <c r="O1882" s="4">
        <v>96</v>
      </c>
      <c r="P1882" s="11" t="s">
        <v>9965</v>
      </c>
      <c r="Q1882" s="11" t="s">
        <v>10390</v>
      </c>
      <c r="S1882" s="4" t="b">
        <f>ISNUMBER(MATCH(Q1882,T:T,0))</f>
        <v>1</v>
      </c>
      <c r="T1882" s="4" t="s">
        <v>2663</v>
      </c>
      <c r="U1882" s="4" t="str">
        <f t="shared" si="79"/>
        <v>幸</v>
      </c>
    </row>
    <row r="1883" spans="1:21">
      <c r="A1883" s="3">
        <v>1881</v>
      </c>
      <c r="B1883" s="3" t="s">
        <v>7445</v>
      </c>
      <c r="C1883" s="3" t="s">
        <v>6053</v>
      </c>
      <c r="D1883" s="3" t="s">
        <v>6157</v>
      </c>
      <c r="E1883" s="3" t="s">
        <v>5991</v>
      </c>
      <c r="F1883" s="3" t="s">
        <v>1145</v>
      </c>
      <c r="G1883" s="3" t="s">
        <v>8645</v>
      </c>
      <c r="H1883" s="3" t="s">
        <v>7453</v>
      </c>
      <c r="I1883" s="3" t="s">
        <v>1086</v>
      </c>
      <c r="J1883" s="5" t="s">
        <v>7454</v>
      </c>
      <c r="L1883" s="3" t="s">
        <v>7455</v>
      </c>
      <c r="M1883" s="3">
        <v>1</v>
      </c>
      <c r="N1883" s="4" t="s">
        <v>9646</v>
      </c>
      <c r="O1883" s="4">
        <v>96</v>
      </c>
      <c r="P1883" s="11" t="s">
        <v>9884</v>
      </c>
      <c r="Q1883" s="11" t="s">
        <v>10390</v>
      </c>
      <c r="S1883" s="4" t="b">
        <f>ISNUMBER(MATCH(Q1883,T:T,0))</f>
        <v>1</v>
      </c>
      <c r="T1883" s="4" t="s">
        <v>7454</v>
      </c>
      <c r="U1883" s="4" t="str">
        <f t="shared" si="79"/>
        <v>幸</v>
      </c>
    </row>
    <row r="1884" spans="1:21">
      <c r="A1884" s="3">
        <v>1882</v>
      </c>
      <c r="B1884" s="3" t="s">
        <v>7456</v>
      </c>
      <c r="C1884" s="3" t="s">
        <v>6069</v>
      </c>
      <c r="D1884" s="3" t="s">
        <v>6001</v>
      </c>
      <c r="E1884" s="3" t="s">
        <v>5991</v>
      </c>
      <c r="F1884" s="3" t="s">
        <v>6076</v>
      </c>
      <c r="G1884" s="3" t="s">
        <v>8645</v>
      </c>
      <c r="H1884" s="3" t="s">
        <v>7457</v>
      </c>
      <c r="I1884" s="3" t="s">
        <v>1086</v>
      </c>
      <c r="J1884" s="5" t="s">
        <v>4937</v>
      </c>
      <c r="L1884" s="3" t="s">
        <v>7458</v>
      </c>
      <c r="M1884" s="3">
        <v>10</v>
      </c>
      <c r="N1884" s="4" t="s">
        <v>9647</v>
      </c>
      <c r="O1884" s="4">
        <v>97</v>
      </c>
      <c r="P1884" s="11" t="s">
        <v>9756</v>
      </c>
      <c r="Q1884" s="11" t="s">
        <v>10395</v>
      </c>
      <c r="S1884" s="4" t="b">
        <f>ISNUMBER(MATCH(Q1884,T:T,0))</f>
        <v>1</v>
      </c>
      <c r="T1884" s="4" t="s">
        <v>9647</v>
      </c>
      <c r="U1884" s="4" t="str">
        <f t="shared" si="79"/>
        <v>郢</v>
      </c>
    </row>
    <row r="1885" spans="1:21" ht="28.5">
      <c r="A1885" s="3">
        <v>1883</v>
      </c>
      <c r="B1885" s="3" t="s">
        <v>7456</v>
      </c>
      <c r="C1885" s="3" t="s">
        <v>6009</v>
      </c>
      <c r="D1885" s="3" t="s">
        <v>6001</v>
      </c>
      <c r="E1885" s="3" t="s">
        <v>5991</v>
      </c>
      <c r="F1885" s="3" t="s">
        <v>6076</v>
      </c>
      <c r="G1885" s="3" t="s">
        <v>8645</v>
      </c>
      <c r="H1885" s="3" t="s">
        <v>7459</v>
      </c>
      <c r="I1885" s="3" t="s">
        <v>1086</v>
      </c>
      <c r="J1885" s="5" t="s">
        <v>7460</v>
      </c>
      <c r="K1885" s="3" t="s">
        <v>611</v>
      </c>
      <c r="L1885" s="3" t="s">
        <v>7427</v>
      </c>
      <c r="M1885" s="3">
        <v>2</v>
      </c>
      <c r="N1885" s="4" t="s">
        <v>9647</v>
      </c>
      <c r="O1885" s="4">
        <v>97</v>
      </c>
      <c r="P1885" s="11" t="s">
        <v>6396</v>
      </c>
      <c r="Q1885" s="11" t="s">
        <v>10395</v>
      </c>
      <c r="S1885" s="4" t="b">
        <f>ISNUMBER(MATCH(Q1885,T:T,0))</f>
        <v>1</v>
      </c>
      <c r="T1885" s="4" t="s">
        <v>10396</v>
      </c>
      <c r="U1885" s="4" t="str">
        <f t="shared" si="79"/>
        <v>郢</v>
      </c>
    </row>
    <row r="1886" spans="1:21" ht="28.5">
      <c r="A1886" s="3">
        <v>1884</v>
      </c>
      <c r="B1886" s="3" t="s">
        <v>7456</v>
      </c>
      <c r="C1886" s="3" t="s">
        <v>6011</v>
      </c>
      <c r="D1886" s="3" t="s">
        <v>6001</v>
      </c>
      <c r="E1886" s="3" t="s">
        <v>5991</v>
      </c>
      <c r="F1886" s="3" t="s">
        <v>6076</v>
      </c>
      <c r="G1886" s="3" t="s">
        <v>8645</v>
      </c>
      <c r="H1886" s="3" t="s">
        <v>7461</v>
      </c>
      <c r="I1886" s="3" t="s">
        <v>1086</v>
      </c>
      <c r="J1886" s="5" t="s">
        <v>4938</v>
      </c>
      <c r="K1886" s="3" t="s">
        <v>7462</v>
      </c>
      <c r="L1886" s="3" t="s">
        <v>7463</v>
      </c>
      <c r="M1886" s="3">
        <v>6</v>
      </c>
      <c r="N1886" s="4" t="s">
        <v>9647</v>
      </c>
      <c r="O1886" s="4">
        <v>97</v>
      </c>
      <c r="P1886" s="11" t="s">
        <v>9757</v>
      </c>
      <c r="Q1886" s="11" t="s">
        <v>10395</v>
      </c>
      <c r="S1886" s="4" t="b">
        <f>ISNUMBER(MATCH(Q1886,T:T,0))</f>
        <v>1</v>
      </c>
      <c r="T1886" s="4" t="s">
        <v>11905</v>
      </c>
      <c r="U1886" s="4" t="str">
        <f t="shared" si="79"/>
        <v>郢</v>
      </c>
    </row>
    <row r="1887" spans="1:21">
      <c r="A1887" s="3">
        <v>1885</v>
      </c>
      <c r="B1887" s="3" t="s">
        <v>7456</v>
      </c>
      <c r="C1887" s="3" t="s">
        <v>6028</v>
      </c>
      <c r="D1887" s="3" t="s">
        <v>6001</v>
      </c>
      <c r="E1887" s="3" t="s">
        <v>5991</v>
      </c>
      <c r="F1887" s="3" t="s">
        <v>6076</v>
      </c>
      <c r="G1887" s="3" t="s">
        <v>8645</v>
      </c>
      <c r="H1887" s="3" t="s">
        <v>7464</v>
      </c>
      <c r="I1887" s="3" t="s">
        <v>1086</v>
      </c>
      <c r="J1887" s="5" t="s">
        <v>7465</v>
      </c>
      <c r="L1887" s="3" t="s">
        <v>7405</v>
      </c>
      <c r="M1887" s="3">
        <v>3</v>
      </c>
      <c r="N1887" s="4" t="s">
        <v>9647</v>
      </c>
      <c r="O1887" s="4">
        <v>97</v>
      </c>
      <c r="P1887" s="11" t="s">
        <v>6028</v>
      </c>
      <c r="Q1887" s="11" t="s">
        <v>10396</v>
      </c>
      <c r="S1887" s="4" t="b">
        <f>ISNUMBER(MATCH(Q1887,T:T,0))</f>
        <v>1</v>
      </c>
      <c r="T1887" s="4" t="s">
        <v>10395</v>
      </c>
      <c r="U1887" s="4" t="str">
        <f t="shared" si="79"/>
        <v>整</v>
      </c>
    </row>
    <row r="1888" spans="1:21">
      <c r="A1888" s="3">
        <v>1886</v>
      </c>
      <c r="B1888" s="3" t="s">
        <v>7456</v>
      </c>
      <c r="C1888" s="3" t="s">
        <v>6041</v>
      </c>
      <c r="D1888" s="3" t="s">
        <v>6001</v>
      </c>
      <c r="E1888" s="3" t="s">
        <v>5991</v>
      </c>
      <c r="F1888" s="3" t="s">
        <v>6076</v>
      </c>
      <c r="G1888" s="3" t="s">
        <v>8645</v>
      </c>
      <c r="H1888" s="3" t="s">
        <v>7466</v>
      </c>
      <c r="I1888" s="3" t="s">
        <v>1086</v>
      </c>
      <c r="J1888" s="5" t="s">
        <v>7467</v>
      </c>
      <c r="L1888" s="3" t="s">
        <v>7458</v>
      </c>
      <c r="M1888" s="3">
        <v>2</v>
      </c>
      <c r="N1888" s="4" t="s">
        <v>9647</v>
      </c>
      <c r="O1888" s="4">
        <v>97</v>
      </c>
      <c r="P1888" s="11" t="s">
        <v>9789</v>
      </c>
      <c r="Q1888" s="11" t="s">
        <v>10395</v>
      </c>
      <c r="S1888" s="4" t="b">
        <f>ISNUMBER(MATCH(Q1888,T:T,0))</f>
        <v>1</v>
      </c>
      <c r="T1888" s="4" t="s">
        <v>11906</v>
      </c>
      <c r="U1888" s="4" t="str">
        <f t="shared" si="79"/>
        <v>郢</v>
      </c>
    </row>
    <row r="1889" spans="1:22">
      <c r="A1889" s="3">
        <v>1887</v>
      </c>
      <c r="B1889" s="3" t="s">
        <v>7456</v>
      </c>
      <c r="C1889" s="3" t="s">
        <v>6028</v>
      </c>
      <c r="D1889" s="3" t="s">
        <v>6001</v>
      </c>
      <c r="E1889" s="3" t="s">
        <v>6212</v>
      </c>
      <c r="F1889" s="3" t="s">
        <v>6076</v>
      </c>
      <c r="G1889" s="3" t="s">
        <v>8645</v>
      </c>
      <c r="H1889" s="3" t="s">
        <v>7468</v>
      </c>
      <c r="I1889" s="3" t="s">
        <v>1086</v>
      </c>
      <c r="J1889" s="5" t="s">
        <v>7469</v>
      </c>
      <c r="L1889" s="3" t="s">
        <v>8692</v>
      </c>
      <c r="M1889" s="3">
        <v>2</v>
      </c>
      <c r="N1889" s="4" t="s">
        <v>9647</v>
      </c>
      <c r="O1889" s="4">
        <v>97</v>
      </c>
      <c r="P1889" s="11" t="s">
        <v>9750</v>
      </c>
      <c r="Q1889" s="11" t="s">
        <v>10397</v>
      </c>
      <c r="S1889" s="4" t="b">
        <f>ISNUMBER(MATCH(Q1889,T:T,0))</f>
        <v>1</v>
      </c>
      <c r="T1889" s="4" t="s">
        <v>11907</v>
      </c>
      <c r="U1889" s="4" t="str">
        <f t="shared" si="79"/>
        <v>頃</v>
      </c>
    </row>
    <row r="1890" spans="1:22">
      <c r="A1890" s="3">
        <v>1888</v>
      </c>
      <c r="B1890" s="3" t="s">
        <v>7456</v>
      </c>
      <c r="C1890" s="3" t="s">
        <v>6058</v>
      </c>
      <c r="D1890" s="3" t="s">
        <v>6001</v>
      </c>
      <c r="E1890" s="3" t="s">
        <v>5991</v>
      </c>
      <c r="F1890" s="3" t="s">
        <v>6076</v>
      </c>
      <c r="G1890" s="3" t="s">
        <v>8645</v>
      </c>
      <c r="H1890" s="3" t="s">
        <v>7470</v>
      </c>
      <c r="I1890" s="3" t="s">
        <v>1086</v>
      </c>
      <c r="J1890" s="5" t="s">
        <v>4939</v>
      </c>
      <c r="L1890" s="3" t="s">
        <v>7471</v>
      </c>
      <c r="M1890" s="3">
        <v>6</v>
      </c>
      <c r="N1890" s="4" t="s">
        <v>9647</v>
      </c>
      <c r="O1890" s="4">
        <v>97</v>
      </c>
      <c r="P1890" s="11" t="s">
        <v>10084</v>
      </c>
      <c r="Q1890" s="11" t="s">
        <v>10395</v>
      </c>
      <c r="S1890" s="4" t="b">
        <f>ISNUMBER(MATCH(Q1890,T:T,0))</f>
        <v>1</v>
      </c>
      <c r="T1890" s="4" t="s">
        <v>11908</v>
      </c>
      <c r="U1890" s="4" t="str">
        <f t="shared" si="79"/>
        <v>郢</v>
      </c>
    </row>
    <row r="1891" spans="1:22">
      <c r="A1891" s="3">
        <v>1889</v>
      </c>
      <c r="B1891" s="3" t="s">
        <v>7456</v>
      </c>
      <c r="C1891" s="3" t="s">
        <v>6025</v>
      </c>
      <c r="D1891" s="3" t="s">
        <v>6001</v>
      </c>
      <c r="E1891" s="3" t="s">
        <v>5991</v>
      </c>
      <c r="F1891" s="3" t="s">
        <v>6076</v>
      </c>
      <c r="G1891" s="3" t="s">
        <v>8645</v>
      </c>
      <c r="H1891" s="3" t="s">
        <v>7472</v>
      </c>
      <c r="I1891" s="3" t="s">
        <v>1086</v>
      </c>
      <c r="J1891" s="5" t="s">
        <v>7473</v>
      </c>
      <c r="L1891" s="3" t="s">
        <v>7403</v>
      </c>
      <c r="M1891" s="3">
        <v>1</v>
      </c>
      <c r="N1891" s="4" t="s">
        <v>9647</v>
      </c>
      <c r="O1891" s="4">
        <v>97</v>
      </c>
      <c r="P1891" s="11" t="s">
        <v>9717</v>
      </c>
      <c r="Q1891" s="11" t="s">
        <v>10395</v>
      </c>
      <c r="S1891" s="4" t="b">
        <f>ISNUMBER(MATCH(Q1891,T:T,0))</f>
        <v>1</v>
      </c>
      <c r="T1891" s="4" t="s">
        <v>7473</v>
      </c>
      <c r="U1891" s="4" t="str">
        <f t="shared" si="79"/>
        <v>郢</v>
      </c>
    </row>
    <row r="1892" spans="1:22">
      <c r="A1892" s="3">
        <v>1890</v>
      </c>
      <c r="B1892" s="3" t="s">
        <v>7456</v>
      </c>
      <c r="C1892" s="3" t="s">
        <v>6049</v>
      </c>
      <c r="D1892" s="3" t="s">
        <v>6001</v>
      </c>
      <c r="E1892" s="3" t="s">
        <v>5991</v>
      </c>
      <c r="F1892" s="3" t="s">
        <v>6076</v>
      </c>
      <c r="G1892" s="3" t="s">
        <v>8645</v>
      </c>
      <c r="H1892" s="3" t="s">
        <v>7474</v>
      </c>
      <c r="I1892" s="3" t="s">
        <v>1086</v>
      </c>
      <c r="J1892" s="5" t="s">
        <v>7475</v>
      </c>
      <c r="L1892" s="3" t="s">
        <v>7400</v>
      </c>
      <c r="M1892" s="3">
        <v>5</v>
      </c>
      <c r="N1892" s="4" t="s">
        <v>9647</v>
      </c>
      <c r="O1892" s="4">
        <v>97</v>
      </c>
      <c r="P1892" s="11" t="s">
        <v>9932</v>
      </c>
      <c r="Q1892" s="11" t="s">
        <v>10395</v>
      </c>
      <c r="S1892" s="4" t="b">
        <f>ISNUMBER(MATCH(Q1892,T:T,0))</f>
        <v>1</v>
      </c>
      <c r="T1892" s="4" t="s">
        <v>11909</v>
      </c>
      <c r="U1892" s="4" t="str">
        <f t="shared" si="79"/>
        <v>郢</v>
      </c>
    </row>
    <row r="1893" spans="1:22" ht="28.5">
      <c r="A1893" s="3">
        <v>1891</v>
      </c>
      <c r="B1893" s="3" t="s">
        <v>7456</v>
      </c>
      <c r="C1893" s="3" t="s">
        <v>6038</v>
      </c>
      <c r="D1893" s="3" t="s">
        <v>6001</v>
      </c>
      <c r="E1893" s="3" t="s">
        <v>6212</v>
      </c>
      <c r="F1893" s="3" t="s">
        <v>6076</v>
      </c>
      <c r="G1893" s="3" t="s">
        <v>8645</v>
      </c>
      <c r="H1893" s="3" t="s">
        <v>7476</v>
      </c>
      <c r="I1893" s="3" t="s">
        <v>1086</v>
      </c>
      <c r="J1893" s="5" t="s">
        <v>9028</v>
      </c>
      <c r="K1893" s="3" t="s">
        <v>7477</v>
      </c>
      <c r="L1893" s="3" t="s">
        <v>8709</v>
      </c>
      <c r="M1893" s="3">
        <v>6</v>
      </c>
      <c r="N1893" s="4" t="s">
        <v>9647</v>
      </c>
      <c r="O1893" s="4">
        <v>97</v>
      </c>
      <c r="P1893" s="11" t="s">
        <v>4210</v>
      </c>
      <c r="Q1893" s="11" t="s">
        <v>10398</v>
      </c>
      <c r="R1893" s="4" t="s">
        <v>13104</v>
      </c>
      <c r="S1893" s="4" t="b">
        <f>ISNUMBER(MATCH(Q1893,T:T,0))</f>
        <v>0</v>
      </c>
      <c r="T1893" s="4" t="s">
        <v>10397</v>
      </c>
      <c r="U1893" s="4" t="str">
        <f t="shared" si="79"/>
        <v>穎</v>
      </c>
      <c r="V1893" s="4" t="b">
        <f>ISNUMBER(MATCH(R1893,T:T,0))</f>
        <v>1</v>
      </c>
    </row>
    <row r="1894" spans="1:22">
      <c r="A1894" s="3">
        <v>1892</v>
      </c>
      <c r="B1894" s="3" t="s">
        <v>7456</v>
      </c>
      <c r="C1894" s="3" t="s">
        <v>6083</v>
      </c>
      <c r="D1894" s="3" t="s">
        <v>6001</v>
      </c>
      <c r="E1894" s="3" t="s">
        <v>5991</v>
      </c>
      <c r="F1894" s="3" t="s">
        <v>6076</v>
      </c>
      <c r="G1894" s="3" t="s">
        <v>8645</v>
      </c>
      <c r="H1894" s="3" t="s">
        <v>7478</v>
      </c>
      <c r="I1894" s="3" t="s">
        <v>1086</v>
      </c>
      <c r="J1894" s="5" t="s">
        <v>7479</v>
      </c>
      <c r="L1894" s="3" t="s">
        <v>7403</v>
      </c>
      <c r="M1894" s="3">
        <v>2</v>
      </c>
      <c r="N1894" s="4" t="s">
        <v>9647</v>
      </c>
      <c r="O1894" s="4">
        <v>97</v>
      </c>
      <c r="P1894" s="11" t="s">
        <v>9737</v>
      </c>
      <c r="Q1894" s="11" t="s">
        <v>10395</v>
      </c>
      <c r="S1894" s="4" t="b">
        <f>ISNUMBER(MATCH(Q1894,T:T,0))</f>
        <v>1</v>
      </c>
      <c r="T1894" s="4" t="s">
        <v>10399</v>
      </c>
      <c r="U1894" s="4" t="str">
        <f t="shared" si="79"/>
        <v>郢</v>
      </c>
    </row>
    <row r="1895" spans="1:22">
      <c r="A1895" s="3">
        <v>1893</v>
      </c>
      <c r="B1895" s="3" t="s">
        <v>7456</v>
      </c>
      <c r="C1895" s="3" t="s">
        <v>6072</v>
      </c>
      <c r="D1895" s="3" t="s">
        <v>6001</v>
      </c>
      <c r="E1895" s="3" t="s">
        <v>5991</v>
      </c>
      <c r="F1895" s="3" t="s">
        <v>6076</v>
      </c>
      <c r="G1895" s="3" t="s">
        <v>8645</v>
      </c>
      <c r="H1895" s="3" t="s">
        <v>7480</v>
      </c>
      <c r="I1895" s="3" t="s">
        <v>1086</v>
      </c>
      <c r="J1895" s="5" t="s">
        <v>7481</v>
      </c>
      <c r="L1895" s="3" t="s">
        <v>7405</v>
      </c>
      <c r="M1895" s="3">
        <v>5</v>
      </c>
      <c r="N1895" s="4" t="s">
        <v>9647</v>
      </c>
      <c r="O1895" s="4">
        <v>97</v>
      </c>
      <c r="P1895" s="11" t="s">
        <v>9754</v>
      </c>
      <c r="Q1895" s="11" t="s">
        <v>10395</v>
      </c>
      <c r="S1895" s="4" t="b">
        <f>ISNUMBER(MATCH(Q1895,T:T,0))</f>
        <v>1</v>
      </c>
      <c r="T1895" s="4" t="s">
        <v>11910</v>
      </c>
      <c r="U1895" s="4" t="str">
        <f t="shared" si="79"/>
        <v>郢</v>
      </c>
    </row>
    <row r="1896" spans="1:22">
      <c r="A1896" s="3">
        <v>1894</v>
      </c>
      <c r="B1896" s="3" t="s">
        <v>7456</v>
      </c>
      <c r="C1896" s="3" t="s">
        <v>6076</v>
      </c>
      <c r="D1896" s="3" t="s">
        <v>6001</v>
      </c>
      <c r="E1896" s="3" t="s">
        <v>5991</v>
      </c>
      <c r="F1896" s="3" t="s">
        <v>6076</v>
      </c>
      <c r="G1896" s="3" t="s">
        <v>8645</v>
      </c>
      <c r="H1896" s="3" t="s">
        <v>7482</v>
      </c>
      <c r="I1896" s="3" t="s">
        <v>1086</v>
      </c>
      <c r="J1896" s="5" t="s">
        <v>7483</v>
      </c>
      <c r="L1896" s="3" t="s">
        <v>7484</v>
      </c>
      <c r="M1896" s="3">
        <v>2</v>
      </c>
      <c r="N1896" s="4" t="s">
        <v>9647</v>
      </c>
      <c r="O1896" s="4">
        <v>97</v>
      </c>
      <c r="P1896" s="11" t="s">
        <v>9766</v>
      </c>
      <c r="Q1896" s="11" t="s">
        <v>9647</v>
      </c>
      <c r="S1896" s="4" t="b">
        <f>ISNUMBER(MATCH(Q1896,T:T,0))</f>
        <v>1</v>
      </c>
      <c r="T1896" s="4" t="s">
        <v>11911</v>
      </c>
      <c r="U1896" s="4" t="str">
        <f t="shared" si="79"/>
        <v>靜</v>
      </c>
    </row>
    <row r="1897" spans="1:22">
      <c r="A1897" s="3">
        <v>1895</v>
      </c>
      <c r="B1897" s="3" t="s">
        <v>7456</v>
      </c>
      <c r="C1897" s="3" t="s">
        <v>6017</v>
      </c>
      <c r="D1897" s="3" t="s">
        <v>6001</v>
      </c>
      <c r="E1897" s="3" t="s">
        <v>5991</v>
      </c>
      <c r="F1897" s="3" t="s">
        <v>6076</v>
      </c>
      <c r="G1897" s="3" t="s">
        <v>8645</v>
      </c>
      <c r="H1897" s="3" t="s">
        <v>7485</v>
      </c>
      <c r="I1897" s="3" t="s">
        <v>1086</v>
      </c>
      <c r="J1897" s="5" t="s">
        <v>9029</v>
      </c>
      <c r="L1897" s="3" t="s">
        <v>7486</v>
      </c>
      <c r="M1897" s="3">
        <v>6</v>
      </c>
      <c r="N1897" s="4" t="s">
        <v>9647</v>
      </c>
      <c r="O1897" s="4">
        <v>97</v>
      </c>
      <c r="P1897" s="11" t="s">
        <v>9714</v>
      </c>
      <c r="Q1897" s="11" t="s">
        <v>10399</v>
      </c>
      <c r="S1897" s="4" t="b">
        <f>ISNUMBER(MATCH(Q1897,T:T,0))</f>
        <v>1</v>
      </c>
      <c r="T1897" s="4" t="s">
        <v>11901</v>
      </c>
      <c r="U1897" s="4" t="str">
        <f t="shared" si="79"/>
        <v>井</v>
      </c>
    </row>
    <row r="1898" spans="1:22">
      <c r="A1898" s="3">
        <v>1896</v>
      </c>
      <c r="B1898" s="3" t="s">
        <v>7456</v>
      </c>
      <c r="C1898" s="3" t="s">
        <v>6035</v>
      </c>
      <c r="D1898" s="3" t="s">
        <v>6001</v>
      </c>
      <c r="E1898" s="3" t="s">
        <v>5991</v>
      </c>
      <c r="F1898" s="3" t="s">
        <v>6076</v>
      </c>
      <c r="G1898" s="3" t="s">
        <v>8645</v>
      </c>
      <c r="H1898" s="3" t="s">
        <v>7487</v>
      </c>
      <c r="I1898" s="3" t="s">
        <v>1086</v>
      </c>
      <c r="J1898" s="5" t="s">
        <v>7488</v>
      </c>
      <c r="L1898" s="3" t="s">
        <v>7414</v>
      </c>
      <c r="M1898" s="3">
        <v>2</v>
      </c>
      <c r="N1898" s="4" t="s">
        <v>9647</v>
      </c>
      <c r="O1898" s="4">
        <v>97</v>
      </c>
      <c r="P1898" s="11" t="s">
        <v>10151</v>
      </c>
      <c r="Q1898" s="11" t="s">
        <v>10399</v>
      </c>
      <c r="S1898" s="4" t="b">
        <f>ISNUMBER(MATCH(Q1898,T:T,0))</f>
        <v>1</v>
      </c>
      <c r="T1898" s="4" t="s">
        <v>11912</v>
      </c>
      <c r="U1898" s="4" t="str">
        <f t="shared" si="79"/>
        <v>井</v>
      </c>
    </row>
    <row r="1899" spans="1:22" ht="28.5">
      <c r="A1899" s="3">
        <v>1897</v>
      </c>
      <c r="B1899" s="3" t="s">
        <v>7456</v>
      </c>
      <c r="C1899" s="3" t="s">
        <v>6005</v>
      </c>
      <c r="D1899" s="3" t="s">
        <v>6001</v>
      </c>
      <c r="E1899" s="3" t="s">
        <v>5991</v>
      </c>
      <c r="F1899" s="3" t="s">
        <v>6076</v>
      </c>
      <c r="G1899" s="3" t="s">
        <v>8645</v>
      </c>
      <c r="H1899" s="3" t="s">
        <v>7489</v>
      </c>
      <c r="I1899" s="3" t="s">
        <v>1086</v>
      </c>
      <c r="J1899" s="8" t="s">
        <v>9030</v>
      </c>
      <c r="L1899" s="3" t="s">
        <v>7427</v>
      </c>
      <c r="M1899" s="3">
        <v>2</v>
      </c>
      <c r="N1899" s="4" t="s">
        <v>9647</v>
      </c>
      <c r="O1899" s="4">
        <v>97</v>
      </c>
      <c r="P1899" s="11" t="s">
        <v>10263</v>
      </c>
      <c r="Q1899" s="11" t="s">
        <v>10399</v>
      </c>
      <c r="S1899" s="4" t="b">
        <f>ISNUMBER(MATCH(Q1899,T:T,0))</f>
        <v>1</v>
      </c>
      <c r="T1899" s="4" t="s">
        <v>11913</v>
      </c>
      <c r="U1899" s="4" t="str">
        <f t="shared" si="79"/>
        <v>井</v>
      </c>
    </row>
    <row r="1900" spans="1:22" ht="28.5">
      <c r="A1900" s="3">
        <v>1898</v>
      </c>
      <c r="B1900" s="3" t="s">
        <v>7490</v>
      </c>
      <c r="C1900" s="3" t="s">
        <v>6067</v>
      </c>
      <c r="D1900" s="3" t="s">
        <v>2843</v>
      </c>
      <c r="E1900" s="3" t="s">
        <v>6212</v>
      </c>
      <c r="F1900" s="3" t="s">
        <v>1221</v>
      </c>
      <c r="G1900" s="3" t="s">
        <v>8645</v>
      </c>
      <c r="H1900" s="7" t="s">
        <v>782</v>
      </c>
      <c r="I1900" s="3" t="s">
        <v>1086</v>
      </c>
      <c r="J1900" s="5" t="s">
        <v>9031</v>
      </c>
      <c r="L1900" s="3" t="s">
        <v>7491</v>
      </c>
      <c r="M1900" s="3">
        <v>5</v>
      </c>
      <c r="N1900" s="4" t="s">
        <v>7492</v>
      </c>
      <c r="O1900" s="4">
        <v>98</v>
      </c>
      <c r="P1900" s="11" t="s">
        <v>9731</v>
      </c>
      <c r="Q1900" s="11" t="s">
        <v>10400</v>
      </c>
      <c r="S1900" s="4" t="b">
        <f>ISNUMBER(MATCH(Q1900,T:T,0))</f>
        <v>1</v>
      </c>
      <c r="T1900" s="4" t="s">
        <v>7492</v>
      </c>
      <c r="U1900" s="4" t="str">
        <f t="shared" si="79"/>
        <v>頂</v>
      </c>
    </row>
    <row r="1901" spans="1:22" ht="28.5">
      <c r="A1901" s="3">
        <v>1899</v>
      </c>
      <c r="B1901" s="3" t="s">
        <v>7490</v>
      </c>
      <c r="C1901" s="3" t="s">
        <v>6025</v>
      </c>
      <c r="D1901" s="3" t="s">
        <v>2843</v>
      </c>
      <c r="E1901" s="3" t="s">
        <v>6212</v>
      </c>
      <c r="F1901" s="3" t="s">
        <v>1221</v>
      </c>
      <c r="G1901" s="3" t="s">
        <v>8645</v>
      </c>
      <c r="H1901" s="3" t="s">
        <v>7493</v>
      </c>
      <c r="I1901" s="3" t="s">
        <v>1086</v>
      </c>
      <c r="J1901" s="5" t="s">
        <v>9032</v>
      </c>
      <c r="L1901" s="3" t="s">
        <v>8712</v>
      </c>
      <c r="M1901" s="3">
        <v>8</v>
      </c>
      <c r="N1901" s="4" t="s">
        <v>7492</v>
      </c>
      <c r="O1901" s="4">
        <v>98</v>
      </c>
      <c r="P1901" s="11" t="s">
        <v>9729</v>
      </c>
      <c r="Q1901" s="11" t="s">
        <v>7492</v>
      </c>
      <c r="S1901" s="4" t="b">
        <f>ISNUMBER(MATCH(Q1901,T:T,0))</f>
        <v>1</v>
      </c>
      <c r="T1901" s="4" t="s">
        <v>11914</v>
      </c>
      <c r="U1901" s="4" t="str">
        <f t="shared" si="79"/>
        <v>迥</v>
      </c>
    </row>
    <row r="1902" spans="1:22">
      <c r="A1902" s="3">
        <v>1900</v>
      </c>
      <c r="B1902" s="3" t="s">
        <v>7490</v>
      </c>
      <c r="C1902" s="3" t="s">
        <v>6035</v>
      </c>
      <c r="D1902" s="3" t="s">
        <v>2843</v>
      </c>
      <c r="E1902" s="3" t="s">
        <v>5991</v>
      </c>
      <c r="F1902" s="3" t="s">
        <v>1221</v>
      </c>
      <c r="G1902" s="3" t="s">
        <v>8645</v>
      </c>
      <c r="H1902" s="3" t="s">
        <v>7494</v>
      </c>
      <c r="I1902" s="3" t="s">
        <v>1086</v>
      </c>
      <c r="J1902" s="5" t="s">
        <v>7495</v>
      </c>
      <c r="L1902" s="3" t="s">
        <v>7414</v>
      </c>
      <c r="M1902" s="3">
        <v>7</v>
      </c>
      <c r="N1902" s="4" t="s">
        <v>7492</v>
      </c>
      <c r="O1902" s="4">
        <v>98</v>
      </c>
      <c r="P1902" s="11" t="s">
        <v>9719</v>
      </c>
      <c r="Q1902" s="11" t="s">
        <v>7492</v>
      </c>
      <c r="S1902" s="4" t="b">
        <f>ISNUMBER(MATCH(Q1902,T:T,0))</f>
        <v>1</v>
      </c>
      <c r="T1902" s="4" t="s">
        <v>11915</v>
      </c>
      <c r="U1902" s="4" t="str">
        <f t="shared" si="79"/>
        <v>迥</v>
      </c>
    </row>
    <row r="1903" spans="1:22">
      <c r="A1903" s="3">
        <v>1901</v>
      </c>
      <c r="B1903" s="3" t="s">
        <v>7490</v>
      </c>
      <c r="C1903" s="3" t="s">
        <v>5989</v>
      </c>
      <c r="D1903" s="3" t="s">
        <v>2843</v>
      </c>
      <c r="E1903" s="3" t="s">
        <v>5991</v>
      </c>
      <c r="F1903" s="3" t="s">
        <v>1221</v>
      </c>
      <c r="G1903" s="3" t="s">
        <v>8645</v>
      </c>
      <c r="H1903" s="3" t="s">
        <v>7496</v>
      </c>
      <c r="I1903" s="3" t="s">
        <v>1086</v>
      </c>
      <c r="J1903" s="5" t="s">
        <v>9033</v>
      </c>
      <c r="L1903" s="3" t="s">
        <v>7497</v>
      </c>
      <c r="M1903" s="3">
        <v>13</v>
      </c>
      <c r="N1903" s="4" t="s">
        <v>7492</v>
      </c>
      <c r="O1903" s="4">
        <v>98</v>
      </c>
      <c r="P1903" s="11" t="s">
        <v>9742</v>
      </c>
      <c r="Q1903" s="11" t="s">
        <v>10401</v>
      </c>
      <c r="S1903" s="4" t="b">
        <f>ISNUMBER(MATCH(Q1903,T:T,0))</f>
        <v>1</v>
      </c>
      <c r="T1903" s="4" t="s">
        <v>10400</v>
      </c>
      <c r="U1903" s="4" t="str">
        <f t="shared" si="79"/>
        <v>挺</v>
      </c>
    </row>
    <row r="1904" spans="1:22">
      <c r="A1904" s="3">
        <v>1902</v>
      </c>
      <c r="B1904" s="3" t="s">
        <v>7490</v>
      </c>
      <c r="C1904" s="3" t="s">
        <v>5997</v>
      </c>
      <c r="D1904" s="3" t="s">
        <v>2843</v>
      </c>
      <c r="E1904" s="3" t="s">
        <v>5991</v>
      </c>
      <c r="F1904" s="3" t="s">
        <v>1221</v>
      </c>
      <c r="G1904" s="3" t="s">
        <v>8645</v>
      </c>
      <c r="H1904" s="3" t="s">
        <v>7498</v>
      </c>
      <c r="I1904" s="3" t="s">
        <v>1086</v>
      </c>
      <c r="J1904" s="5" t="s">
        <v>9034</v>
      </c>
      <c r="L1904" s="3" t="s">
        <v>7499</v>
      </c>
      <c r="M1904" s="3">
        <v>12</v>
      </c>
      <c r="N1904" s="4" t="s">
        <v>7492</v>
      </c>
      <c r="O1904" s="4">
        <v>98</v>
      </c>
      <c r="P1904" s="11" t="s">
        <v>9706</v>
      </c>
      <c r="Q1904" s="11" t="s">
        <v>10402</v>
      </c>
      <c r="R1904" s="4" t="s">
        <v>13105</v>
      </c>
      <c r="S1904" s="4" t="b">
        <f>ISNUMBER(MATCH(Q1904,T:T,0))</f>
        <v>0</v>
      </c>
      <c r="T1904" s="4" t="s">
        <v>10401</v>
      </c>
      <c r="U1904" s="4" t="str">
        <f t="shared" si="79"/>
        <v>頂</v>
      </c>
      <c r="V1904" s="4" t="b">
        <f t="shared" ref="V1904:V1905" si="80">ISNUMBER(MATCH(R1904,T:T,0))</f>
        <v>1</v>
      </c>
    </row>
    <row r="1905" spans="1:22">
      <c r="A1905" s="3">
        <v>1903</v>
      </c>
      <c r="B1905" s="3" t="s">
        <v>7490</v>
      </c>
      <c r="C1905" s="3" t="s">
        <v>6079</v>
      </c>
      <c r="D1905" s="3" t="s">
        <v>2843</v>
      </c>
      <c r="E1905" s="3" t="s">
        <v>5991</v>
      </c>
      <c r="F1905" s="3" t="s">
        <v>1221</v>
      </c>
      <c r="G1905" s="3" t="s">
        <v>8645</v>
      </c>
      <c r="H1905" s="3" t="s">
        <v>7500</v>
      </c>
      <c r="I1905" s="3" t="s">
        <v>1086</v>
      </c>
      <c r="J1905" s="5" t="s">
        <v>9035</v>
      </c>
      <c r="L1905" s="3" t="s">
        <v>7501</v>
      </c>
      <c r="M1905" s="3">
        <v>12</v>
      </c>
      <c r="N1905" s="4" t="s">
        <v>7492</v>
      </c>
      <c r="O1905" s="4">
        <v>98</v>
      </c>
      <c r="P1905" s="11" t="s">
        <v>9736</v>
      </c>
      <c r="Q1905" s="11" t="s">
        <v>10402</v>
      </c>
      <c r="R1905" s="4" t="s">
        <v>13105</v>
      </c>
      <c r="S1905" s="4" t="b">
        <f>ISNUMBER(MATCH(Q1905,T:T,0))</f>
        <v>0</v>
      </c>
      <c r="T1905" s="4" t="s">
        <v>11916</v>
      </c>
      <c r="U1905" s="4" t="str">
        <f t="shared" si="79"/>
        <v>頂</v>
      </c>
      <c r="V1905" s="4" t="b">
        <f t="shared" si="80"/>
        <v>1</v>
      </c>
    </row>
    <row r="1906" spans="1:22">
      <c r="A1906" s="3">
        <v>1904</v>
      </c>
      <c r="B1906" s="3" t="s">
        <v>7490</v>
      </c>
      <c r="C1906" s="3" t="s">
        <v>6069</v>
      </c>
      <c r="D1906" s="3" t="s">
        <v>2843</v>
      </c>
      <c r="E1906" s="3" t="s">
        <v>5991</v>
      </c>
      <c r="F1906" s="3" t="s">
        <v>1221</v>
      </c>
      <c r="G1906" s="3" t="s">
        <v>8645</v>
      </c>
      <c r="H1906" s="3" t="s">
        <v>7502</v>
      </c>
      <c r="I1906" s="3" t="s">
        <v>1086</v>
      </c>
      <c r="J1906" s="5" t="s">
        <v>7503</v>
      </c>
      <c r="L1906" s="3" t="s">
        <v>7458</v>
      </c>
      <c r="M1906" s="3">
        <v>1</v>
      </c>
      <c r="N1906" s="4" t="s">
        <v>7492</v>
      </c>
      <c r="O1906" s="4">
        <v>98</v>
      </c>
      <c r="P1906" s="11" t="s">
        <v>9733</v>
      </c>
      <c r="Q1906" s="11" t="s">
        <v>10403</v>
      </c>
      <c r="S1906" s="4" t="b">
        <f>ISNUMBER(MATCH(Q1906,T:T,0))</f>
        <v>1</v>
      </c>
      <c r="T1906" s="4" t="s">
        <v>7503</v>
      </c>
      <c r="U1906" s="4" t="str">
        <f t="shared" si="79"/>
        <v>醒</v>
      </c>
    </row>
    <row r="1907" spans="1:22">
      <c r="A1907" s="3">
        <v>1905</v>
      </c>
      <c r="B1907" s="3" t="s">
        <v>7490</v>
      </c>
      <c r="C1907" s="3" t="s">
        <v>6072</v>
      </c>
      <c r="D1907" s="3" t="s">
        <v>2843</v>
      </c>
      <c r="E1907" s="3" t="s">
        <v>6212</v>
      </c>
      <c r="F1907" s="3" t="s">
        <v>1221</v>
      </c>
      <c r="G1907" s="3" t="s">
        <v>8645</v>
      </c>
      <c r="H1907" s="3" t="s">
        <v>7504</v>
      </c>
      <c r="I1907" s="3" t="s">
        <v>1086</v>
      </c>
      <c r="J1907" s="8" t="s">
        <v>7505</v>
      </c>
      <c r="L1907" s="3" t="s">
        <v>8692</v>
      </c>
      <c r="M1907" s="3">
        <v>1</v>
      </c>
      <c r="N1907" s="4" t="s">
        <v>7492</v>
      </c>
      <c r="O1907" s="4">
        <v>98</v>
      </c>
      <c r="P1907" s="11" t="s">
        <v>9734</v>
      </c>
      <c r="Q1907" s="11" t="s">
        <v>7492</v>
      </c>
      <c r="S1907" s="4" t="b">
        <f>ISNUMBER(MATCH(Q1907,T:T,0))</f>
        <v>1</v>
      </c>
      <c r="T1907" s="4" t="s">
        <v>7505</v>
      </c>
      <c r="U1907" s="4" t="str">
        <f t="shared" si="79"/>
        <v>迥</v>
      </c>
    </row>
    <row r="1908" spans="1:22">
      <c r="A1908" s="3">
        <v>1906</v>
      </c>
      <c r="B1908" s="3" t="s">
        <v>7490</v>
      </c>
      <c r="C1908" s="3" t="s">
        <v>6038</v>
      </c>
      <c r="D1908" s="3" t="s">
        <v>2843</v>
      </c>
      <c r="E1908" s="3" t="s">
        <v>5991</v>
      </c>
      <c r="F1908" s="3" t="s">
        <v>1221</v>
      </c>
      <c r="G1908" s="3" t="s">
        <v>8645</v>
      </c>
      <c r="H1908" s="3" t="s">
        <v>7506</v>
      </c>
      <c r="I1908" s="3" t="s">
        <v>1086</v>
      </c>
      <c r="J1908" s="5" t="s">
        <v>7507</v>
      </c>
      <c r="L1908" s="3" t="s">
        <v>7484</v>
      </c>
      <c r="M1908" s="3">
        <v>1</v>
      </c>
      <c r="N1908" s="4" t="s">
        <v>7492</v>
      </c>
      <c r="O1908" s="4">
        <v>98</v>
      </c>
      <c r="P1908" s="11" t="s">
        <v>4210</v>
      </c>
      <c r="Q1908" s="11" t="s">
        <v>10401</v>
      </c>
      <c r="S1908" s="4" t="b">
        <f>ISNUMBER(MATCH(Q1908,T:T,0))</f>
        <v>1</v>
      </c>
      <c r="T1908" s="4" t="s">
        <v>7507</v>
      </c>
      <c r="U1908" s="4" t="str">
        <f t="shared" si="79"/>
        <v>挺</v>
      </c>
    </row>
    <row r="1909" spans="1:22">
      <c r="A1909" s="3">
        <v>1907</v>
      </c>
      <c r="B1909" s="3" t="s">
        <v>7490</v>
      </c>
      <c r="C1909" s="3" t="s">
        <v>6102</v>
      </c>
      <c r="D1909" s="3" t="s">
        <v>2843</v>
      </c>
      <c r="E1909" s="3" t="s">
        <v>5991</v>
      </c>
      <c r="F1909" s="3" t="s">
        <v>1221</v>
      </c>
      <c r="G1909" s="3" t="s">
        <v>8645</v>
      </c>
      <c r="H1909" s="3" t="s">
        <v>7508</v>
      </c>
      <c r="I1909" s="3" t="s">
        <v>1086</v>
      </c>
      <c r="J1909" s="5" t="s">
        <v>7509</v>
      </c>
      <c r="L1909" s="3" t="s">
        <v>3848</v>
      </c>
      <c r="M1909" s="3">
        <v>5</v>
      </c>
      <c r="N1909" s="4" t="s">
        <v>7492</v>
      </c>
      <c r="O1909" s="4">
        <v>98</v>
      </c>
      <c r="P1909" s="11" t="s">
        <v>9873</v>
      </c>
      <c r="Q1909" s="11" t="s">
        <v>10401</v>
      </c>
      <c r="S1909" s="4" t="b">
        <f>ISNUMBER(MATCH(Q1909,T:T,0))</f>
        <v>1</v>
      </c>
      <c r="T1909" s="4" t="s">
        <v>11917</v>
      </c>
      <c r="U1909" s="4" t="str">
        <f t="shared" si="79"/>
        <v>挺</v>
      </c>
    </row>
    <row r="1910" spans="1:22">
      <c r="A1910" s="3">
        <v>1908</v>
      </c>
      <c r="B1910" s="3" t="s">
        <v>7490</v>
      </c>
      <c r="C1910" s="3" t="s">
        <v>6067</v>
      </c>
      <c r="D1910" s="3" t="s">
        <v>2843</v>
      </c>
      <c r="E1910" s="3" t="s">
        <v>5991</v>
      </c>
      <c r="F1910" s="3" t="s">
        <v>1221</v>
      </c>
      <c r="G1910" s="3" t="s">
        <v>8645</v>
      </c>
      <c r="H1910" s="3" t="s">
        <v>3849</v>
      </c>
      <c r="I1910" s="3" t="s">
        <v>1086</v>
      </c>
      <c r="J1910" s="5" t="s">
        <v>9036</v>
      </c>
      <c r="L1910" s="3" t="s">
        <v>3850</v>
      </c>
      <c r="M1910" s="3">
        <v>7</v>
      </c>
      <c r="N1910" s="4" t="s">
        <v>7492</v>
      </c>
      <c r="O1910" s="4">
        <v>98</v>
      </c>
      <c r="P1910" s="11" t="s">
        <v>9870</v>
      </c>
      <c r="Q1910" s="11" t="s">
        <v>10400</v>
      </c>
      <c r="S1910" s="4" t="b">
        <f>ISNUMBER(MATCH(Q1910,T:T,0))</f>
        <v>1</v>
      </c>
      <c r="T1910" s="4" t="s">
        <v>11918</v>
      </c>
      <c r="U1910" s="4" t="str">
        <f t="shared" si="79"/>
        <v>頂</v>
      </c>
    </row>
    <row r="1911" spans="1:22">
      <c r="A1911" s="3">
        <v>1909</v>
      </c>
      <c r="B1911" s="3" t="s">
        <v>7490</v>
      </c>
      <c r="C1911" s="3" t="s">
        <v>6017</v>
      </c>
      <c r="D1911" s="3" t="s">
        <v>2843</v>
      </c>
      <c r="E1911" s="3" t="s">
        <v>5991</v>
      </c>
      <c r="F1911" s="3" t="s">
        <v>1221</v>
      </c>
      <c r="G1911" s="3" t="s">
        <v>8645</v>
      </c>
      <c r="H1911" s="3" t="s">
        <v>3851</v>
      </c>
      <c r="I1911" s="3" t="s">
        <v>1086</v>
      </c>
      <c r="J1911" s="5" t="s">
        <v>3852</v>
      </c>
      <c r="L1911" s="3" t="s">
        <v>7486</v>
      </c>
      <c r="M1911" s="3">
        <v>2</v>
      </c>
      <c r="N1911" s="4" t="s">
        <v>7492</v>
      </c>
      <c r="O1911" s="4">
        <v>98</v>
      </c>
      <c r="P1911" s="11" t="s">
        <v>9741</v>
      </c>
      <c r="Q1911" s="11" t="s">
        <v>10401</v>
      </c>
      <c r="S1911" s="4" t="b">
        <f>ISNUMBER(MATCH(Q1911,T:T,0))</f>
        <v>1</v>
      </c>
      <c r="T1911" s="4" t="s">
        <v>10403</v>
      </c>
      <c r="U1911" s="4" t="str">
        <f t="shared" si="79"/>
        <v>挺</v>
      </c>
    </row>
    <row r="1912" spans="1:22">
      <c r="A1912" s="3">
        <v>1910</v>
      </c>
      <c r="B1912" s="3" t="s">
        <v>7490</v>
      </c>
      <c r="C1912" s="3" t="s">
        <v>6049</v>
      </c>
      <c r="D1912" s="3" t="s">
        <v>2843</v>
      </c>
      <c r="E1912" s="3" t="s">
        <v>5991</v>
      </c>
      <c r="F1912" s="3" t="s">
        <v>1221</v>
      </c>
      <c r="G1912" s="3" t="s">
        <v>8645</v>
      </c>
      <c r="H1912" s="3" t="s">
        <v>3853</v>
      </c>
      <c r="I1912" s="3" t="s">
        <v>1086</v>
      </c>
      <c r="J1912" s="5" t="s">
        <v>3854</v>
      </c>
      <c r="L1912" s="3" t="s">
        <v>7400</v>
      </c>
      <c r="M1912" s="3">
        <v>1</v>
      </c>
      <c r="N1912" s="4" t="s">
        <v>7492</v>
      </c>
      <c r="O1912" s="4">
        <v>98</v>
      </c>
      <c r="P1912" s="11" t="s">
        <v>10253</v>
      </c>
      <c r="Q1912" s="11" t="s">
        <v>10402</v>
      </c>
      <c r="R1912" s="4" t="s">
        <v>13105</v>
      </c>
      <c r="S1912" s="4" t="b">
        <f>ISNUMBER(MATCH(Q1912,T:T,0))</f>
        <v>0</v>
      </c>
      <c r="T1912" s="4" t="s">
        <v>3854</v>
      </c>
      <c r="U1912" s="4" t="str">
        <f t="shared" si="79"/>
        <v>頂</v>
      </c>
      <c r="V1912" s="4" t="b">
        <f>ISNUMBER(MATCH(R1912,T:T,0))</f>
        <v>1</v>
      </c>
    </row>
    <row r="1913" spans="1:22" ht="28.5">
      <c r="A1913" s="3">
        <v>1911</v>
      </c>
      <c r="B1913" s="3" t="s">
        <v>7490</v>
      </c>
      <c r="C1913" s="3" t="s">
        <v>6038</v>
      </c>
      <c r="D1913" s="3" t="s">
        <v>2843</v>
      </c>
      <c r="E1913" s="3" t="s">
        <v>6212</v>
      </c>
      <c r="F1913" s="3" t="s">
        <v>1221</v>
      </c>
      <c r="G1913" s="3" t="s">
        <v>8645</v>
      </c>
      <c r="H1913" s="3" t="s">
        <v>3855</v>
      </c>
      <c r="I1913" s="3" t="s">
        <v>1086</v>
      </c>
      <c r="J1913" s="5" t="s">
        <v>9037</v>
      </c>
      <c r="L1913" s="3" t="s">
        <v>8709</v>
      </c>
      <c r="M1913" s="3">
        <v>6</v>
      </c>
      <c r="N1913" s="4" t="s">
        <v>7492</v>
      </c>
      <c r="O1913" s="4">
        <v>98</v>
      </c>
      <c r="P1913" s="11" t="s">
        <v>9915</v>
      </c>
      <c r="Q1913" s="11" t="s">
        <v>7492</v>
      </c>
      <c r="S1913" s="4" t="b">
        <f>ISNUMBER(MATCH(Q1913,T:T,0))</f>
        <v>1</v>
      </c>
      <c r="T1913" s="4" t="s">
        <v>11919</v>
      </c>
      <c r="U1913" s="4" t="str">
        <f t="shared" si="79"/>
        <v>迥</v>
      </c>
    </row>
    <row r="1914" spans="1:22">
      <c r="A1914" s="3">
        <v>1912</v>
      </c>
      <c r="B1914" s="3" t="s">
        <v>7490</v>
      </c>
      <c r="C1914" s="3" t="s">
        <v>6025</v>
      </c>
      <c r="D1914" s="3" t="s">
        <v>2843</v>
      </c>
      <c r="E1914" s="3" t="s">
        <v>5991</v>
      </c>
      <c r="F1914" s="3" t="s">
        <v>1221</v>
      </c>
      <c r="G1914" s="3" t="s">
        <v>8645</v>
      </c>
      <c r="H1914" s="3" t="s">
        <v>3856</v>
      </c>
      <c r="I1914" s="3" t="s">
        <v>1086</v>
      </c>
      <c r="J1914" s="5" t="s">
        <v>3857</v>
      </c>
      <c r="L1914" s="3" t="s">
        <v>7403</v>
      </c>
      <c r="M1914" s="3">
        <v>2</v>
      </c>
      <c r="N1914" s="4" t="s">
        <v>7492</v>
      </c>
      <c r="O1914" s="4">
        <v>98</v>
      </c>
      <c r="P1914" s="11" t="s">
        <v>9729</v>
      </c>
      <c r="Q1914" s="11" t="s">
        <v>10401</v>
      </c>
      <c r="S1914" s="4" t="b">
        <f>ISNUMBER(MATCH(Q1914,T:T,0))</f>
        <v>1</v>
      </c>
      <c r="T1914" s="4" t="s">
        <v>10406</v>
      </c>
      <c r="U1914" s="4" t="str">
        <f t="shared" si="79"/>
        <v>挺</v>
      </c>
    </row>
    <row r="1915" spans="1:22">
      <c r="A1915" s="3">
        <v>1913</v>
      </c>
      <c r="B1915" s="3" t="s">
        <v>7490</v>
      </c>
      <c r="C1915" s="3" t="s">
        <v>6053</v>
      </c>
      <c r="D1915" s="3" t="s">
        <v>2843</v>
      </c>
      <c r="E1915" s="3" t="s">
        <v>5991</v>
      </c>
      <c r="F1915" s="3" t="s">
        <v>1221</v>
      </c>
      <c r="G1915" s="3" t="s">
        <v>8645</v>
      </c>
      <c r="H1915" s="3" t="s">
        <v>3858</v>
      </c>
      <c r="I1915" s="3" t="s">
        <v>1086</v>
      </c>
      <c r="J1915" s="5" t="s">
        <v>3859</v>
      </c>
      <c r="L1915" s="3" t="s">
        <v>3860</v>
      </c>
      <c r="M1915" s="3">
        <v>1</v>
      </c>
      <c r="N1915" s="4" t="s">
        <v>7492</v>
      </c>
      <c r="O1915" s="4">
        <v>98</v>
      </c>
      <c r="P1915" s="11" t="s">
        <v>9772</v>
      </c>
      <c r="Q1915" s="11" t="s">
        <v>7492</v>
      </c>
      <c r="S1915" s="4" t="b">
        <f>ISNUMBER(MATCH(Q1915,T:T,0))</f>
        <v>1</v>
      </c>
      <c r="T1915" s="4" t="s">
        <v>3859</v>
      </c>
      <c r="U1915" s="4" t="str">
        <f t="shared" si="79"/>
        <v>迥</v>
      </c>
    </row>
    <row r="1916" spans="1:22">
      <c r="A1916" s="3">
        <v>1914</v>
      </c>
      <c r="B1916" s="3" t="s">
        <v>7490</v>
      </c>
      <c r="C1916" s="3" t="s">
        <v>6072</v>
      </c>
      <c r="D1916" s="3" t="s">
        <v>2843</v>
      </c>
      <c r="E1916" s="3" t="s">
        <v>5991</v>
      </c>
      <c r="F1916" s="3" t="s">
        <v>1221</v>
      </c>
      <c r="G1916" s="3" t="s">
        <v>8645</v>
      </c>
      <c r="H1916" s="7" t="s">
        <v>783</v>
      </c>
      <c r="I1916" s="3" t="s">
        <v>1086</v>
      </c>
      <c r="J1916" s="8" t="s">
        <v>9038</v>
      </c>
      <c r="L1916" s="3" t="s">
        <v>7405</v>
      </c>
      <c r="M1916" s="3">
        <v>3</v>
      </c>
      <c r="N1916" s="4" t="s">
        <v>7492</v>
      </c>
      <c r="O1916" s="4">
        <v>98</v>
      </c>
      <c r="P1916" s="11" t="s">
        <v>10404</v>
      </c>
      <c r="Q1916" s="11" t="s">
        <v>10405</v>
      </c>
      <c r="R1916" s="4" t="s">
        <v>13106</v>
      </c>
      <c r="S1916" s="4" t="b">
        <f>ISNUMBER(MATCH(Q1916,T:T,0))</f>
        <v>0</v>
      </c>
      <c r="T1916" s="4" t="s">
        <v>11920</v>
      </c>
      <c r="U1916" s="4" t="str">
        <f t="shared" si="79"/>
        <v>婞</v>
      </c>
      <c r="V1916" s="4" t="b">
        <f t="shared" ref="V1916:V1917" si="81">ISNUMBER(MATCH(R1916,T:T,0))</f>
        <v>1</v>
      </c>
    </row>
    <row r="1917" spans="1:22">
      <c r="A1917" s="3">
        <v>1915</v>
      </c>
      <c r="B1917" s="3" t="s">
        <v>7490</v>
      </c>
      <c r="C1917" s="3" t="s">
        <v>6058</v>
      </c>
      <c r="D1917" s="3" t="s">
        <v>2843</v>
      </c>
      <c r="E1917" s="3" t="s">
        <v>5991</v>
      </c>
      <c r="F1917" s="3" t="s">
        <v>1221</v>
      </c>
      <c r="G1917" s="3" t="s">
        <v>8645</v>
      </c>
      <c r="H1917" s="3" t="s">
        <v>3861</v>
      </c>
      <c r="I1917" s="3" t="s">
        <v>1086</v>
      </c>
      <c r="J1917" s="5" t="s">
        <v>3862</v>
      </c>
      <c r="L1917" s="3" t="s">
        <v>7471</v>
      </c>
      <c r="M1917" s="3">
        <v>3</v>
      </c>
      <c r="N1917" s="4" t="s">
        <v>7492</v>
      </c>
      <c r="O1917" s="4">
        <v>98</v>
      </c>
      <c r="P1917" s="11" t="s">
        <v>9727</v>
      </c>
      <c r="Q1917" s="11" t="s">
        <v>10402</v>
      </c>
      <c r="R1917" s="4" t="s">
        <v>13105</v>
      </c>
      <c r="S1917" s="4" t="b">
        <f>ISNUMBER(MATCH(Q1917,T:T,0))</f>
        <v>0</v>
      </c>
      <c r="T1917" s="4" t="s">
        <v>11921</v>
      </c>
      <c r="U1917" s="4" t="str">
        <f t="shared" si="79"/>
        <v>頂</v>
      </c>
      <c r="V1917" s="4" t="b">
        <f t="shared" si="81"/>
        <v>1</v>
      </c>
    </row>
    <row r="1918" spans="1:22">
      <c r="A1918" s="3">
        <v>1916</v>
      </c>
      <c r="B1918" s="3" t="s">
        <v>7490</v>
      </c>
      <c r="C1918" s="3" t="s">
        <v>6045</v>
      </c>
      <c r="D1918" s="3" t="s">
        <v>2843</v>
      </c>
      <c r="E1918" s="3" t="s">
        <v>5991</v>
      </c>
      <c r="F1918" s="3" t="s">
        <v>1221</v>
      </c>
      <c r="G1918" s="3" t="s">
        <v>8645</v>
      </c>
      <c r="H1918" s="3" t="s">
        <v>3863</v>
      </c>
      <c r="I1918" s="3" t="s">
        <v>1086</v>
      </c>
      <c r="J1918" s="8" t="s">
        <v>9039</v>
      </c>
      <c r="L1918" s="3" t="s">
        <v>3864</v>
      </c>
      <c r="M1918" s="3">
        <v>4</v>
      </c>
      <c r="N1918" s="4" t="s">
        <v>7492</v>
      </c>
      <c r="O1918" s="4">
        <v>98</v>
      </c>
      <c r="P1918" s="11" t="s">
        <v>9965</v>
      </c>
      <c r="Q1918" s="11" t="s">
        <v>7492</v>
      </c>
      <c r="S1918" s="4" t="b">
        <f>ISNUMBER(MATCH(Q1918,T:T,0))</f>
        <v>1</v>
      </c>
      <c r="T1918" s="4" t="s">
        <v>11922</v>
      </c>
      <c r="U1918" s="4" t="str">
        <f t="shared" si="79"/>
        <v>迥</v>
      </c>
    </row>
    <row r="1919" spans="1:22" ht="28.5">
      <c r="A1919" s="3">
        <v>1917</v>
      </c>
      <c r="B1919" s="3" t="s">
        <v>7490</v>
      </c>
      <c r="C1919" s="3" t="s">
        <v>6089</v>
      </c>
      <c r="D1919" s="3" t="s">
        <v>2843</v>
      </c>
      <c r="E1919" s="3" t="s">
        <v>6212</v>
      </c>
      <c r="F1919" s="3" t="s">
        <v>1221</v>
      </c>
      <c r="G1919" s="3" t="s">
        <v>8645</v>
      </c>
      <c r="H1919" s="3" t="s">
        <v>3865</v>
      </c>
      <c r="I1919" s="3" t="s">
        <v>1086</v>
      </c>
      <c r="J1919" s="5" t="s">
        <v>3866</v>
      </c>
      <c r="L1919" s="3" t="s">
        <v>8715</v>
      </c>
      <c r="M1919" s="3">
        <v>1</v>
      </c>
      <c r="N1919" s="4" t="s">
        <v>7492</v>
      </c>
      <c r="O1919" s="4">
        <v>98</v>
      </c>
      <c r="P1919" s="11" t="s">
        <v>9904</v>
      </c>
      <c r="Q1919" s="11" t="s">
        <v>7492</v>
      </c>
      <c r="S1919" s="4" t="b">
        <f>ISNUMBER(MATCH(Q1919,T:T,0))</f>
        <v>1</v>
      </c>
      <c r="T1919" s="4" t="s">
        <v>3866</v>
      </c>
      <c r="U1919" s="4" t="str">
        <f t="shared" si="79"/>
        <v>迥</v>
      </c>
    </row>
    <row r="1920" spans="1:22">
      <c r="A1920" s="3">
        <v>1918</v>
      </c>
      <c r="B1920" s="3" t="s">
        <v>7490</v>
      </c>
      <c r="C1920" s="3" t="s">
        <v>6092</v>
      </c>
      <c r="D1920" s="3" t="s">
        <v>2843</v>
      </c>
      <c r="E1920" s="3" t="s">
        <v>5991</v>
      </c>
      <c r="F1920" s="3" t="s">
        <v>1221</v>
      </c>
      <c r="G1920" s="3" t="s">
        <v>8645</v>
      </c>
      <c r="H1920" s="3" t="s">
        <v>3867</v>
      </c>
      <c r="I1920" s="3" t="s">
        <v>1086</v>
      </c>
      <c r="J1920" s="5" t="s">
        <v>3868</v>
      </c>
      <c r="L1920" s="3" t="s">
        <v>7405</v>
      </c>
      <c r="M1920" s="3">
        <v>2</v>
      </c>
      <c r="N1920" s="4" t="s">
        <v>7492</v>
      </c>
      <c r="O1920" s="4">
        <v>98</v>
      </c>
      <c r="P1920" s="11" t="s">
        <v>9740</v>
      </c>
      <c r="Q1920" s="11" t="s">
        <v>10406</v>
      </c>
      <c r="S1920" s="4" t="b">
        <f>ISNUMBER(MATCH(Q1920,T:T,0))</f>
        <v>1</v>
      </c>
      <c r="T1920" s="4" t="s">
        <v>1275</v>
      </c>
      <c r="U1920" s="4" t="str">
        <f t="shared" si="79"/>
        <v>剄</v>
      </c>
    </row>
    <row r="1921" spans="1:22" ht="28.5">
      <c r="A1921" s="3">
        <v>1919</v>
      </c>
      <c r="B1921" s="3" t="s">
        <v>3869</v>
      </c>
      <c r="C1921" s="3" t="s">
        <v>6009</v>
      </c>
      <c r="D1921" s="3" t="s">
        <v>6001</v>
      </c>
      <c r="E1921" s="3" t="s">
        <v>5991</v>
      </c>
      <c r="F1921" s="3" t="s">
        <v>1250</v>
      </c>
      <c r="G1921" s="3" t="s">
        <v>8645</v>
      </c>
      <c r="I1921" s="3" t="s">
        <v>1251</v>
      </c>
      <c r="J1921" s="5" t="s">
        <v>9040</v>
      </c>
      <c r="L1921" s="3" t="s">
        <v>7427</v>
      </c>
      <c r="M1921" s="3">
        <v>5</v>
      </c>
      <c r="N1921" s="4" t="s">
        <v>9648</v>
      </c>
      <c r="O1921" s="4">
        <v>99</v>
      </c>
      <c r="T1921" s="4" t="s">
        <v>9648</v>
      </c>
      <c r="U1921" s="4">
        <f t="shared" si="79"/>
        <v>0</v>
      </c>
    </row>
    <row r="1922" spans="1:22" ht="28.5">
      <c r="A1922" s="3">
        <v>1920</v>
      </c>
      <c r="B1922" s="3" t="s">
        <v>3869</v>
      </c>
      <c r="C1922" s="3" t="s">
        <v>6011</v>
      </c>
      <c r="D1922" s="3" t="s">
        <v>6001</v>
      </c>
      <c r="E1922" s="3" t="s">
        <v>5991</v>
      </c>
      <c r="F1922" s="3" t="s">
        <v>1250</v>
      </c>
      <c r="G1922" s="3" t="s">
        <v>8645</v>
      </c>
      <c r="H1922" s="3" t="s">
        <v>3870</v>
      </c>
      <c r="I1922" s="3" t="s">
        <v>1251</v>
      </c>
      <c r="J1922" s="5" t="s">
        <v>3871</v>
      </c>
      <c r="L1922" s="3" t="s">
        <v>7463</v>
      </c>
      <c r="M1922" s="3">
        <v>1</v>
      </c>
      <c r="N1922" s="4" t="s">
        <v>9648</v>
      </c>
      <c r="O1922" s="4">
        <v>99</v>
      </c>
      <c r="P1922" s="11" t="s">
        <v>9757</v>
      </c>
      <c r="Q1922" s="11" t="s">
        <v>9648</v>
      </c>
      <c r="S1922" s="4" t="b">
        <f>ISNUMBER(MATCH(Q1922,T:T,0))</f>
        <v>1</v>
      </c>
      <c r="T1922" s="4" t="s">
        <v>3871</v>
      </c>
      <c r="U1922" s="4" t="str">
        <f t="shared" si="79"/>
        <v>拯</v>
      </c>
    </row>
    <row r="1923" spans="1:22">
      <c r="A1923" s="3">
        <v>1921</v>
      </c>
      <c r="B1923" s="3" t="s">
        <v>3869</v>
      </c>
      <c r="C1923" s="3" t="s">
        <v>6041</v>
      </c>
      <c r="D1923" s="3" t="s">
        <v>6001</v>
      </c>
      <c r="E1923" s="3" t="s">
        <v>5991</v>
      </c>
      <c r="F1923" s="3" t="s">
        <v>1250</v>
      </c>
      <c r="G1923" s="3" t="s">
        <v>8645</v>
      </c>
      <c r="H1923" s="3" t="s">
        <v>3872</v>
      </c>
      <c r="I1923" s="3" t="s">
        <v>1251</v>
      </c>
      <c r="J1923" s="5" t="s">
        <v>3873</v>
      </c>
      <c r="L1923" s="3" t="s">
        <v>7458</v>
      </c>
      <c r="M1923" s="3">
        <v>1</v>
      </c>
      <c r="N1923" s="4" t="s">
        <v>9648</v>
      </c>
      <c r="O1923" s="4">
        <v>99</v>
      </c>
      <c r="P1923" s="11" t="s">
        <v>9830</v>
      </c>
      <c r="Q1923" s="11" t="s">
        <v>9648</v>
      </c>
      <c r="S1923" s="4" t="b">
        <f>ISNUMBER(MATCH(Q1923,T:T,0))</f>
        <v>1</v>
      </c>
      <c r="T1923" s="4" t="s">
        <v>3873</v>
      </c>
      <c r="U1923" s="4" t="str">
        <f t="shared" ref="U1923:U1986" si="82">IF(ISBLANK(R1923),Q1923,R1923)</f>
        <v>拯</v>
      </c>
    </row>
    <row r="1924" spans="1:22" ht="28.5">
      <c r="A1924" s="3">
        <v>1922</v>
      </c>
      <c r="B1924" s="3" t="s">
        <v>3869</v>
      </c>
      <c r="C1924" s="3" t="s">
        <v>6180</v>
      </c>
      <c r="D1924" s="3" t="s">
        <v>6001</v>
      </c>
      <c r="E1924" s="3" t="s">
        <v>5991</v>
      </c>
      <c r="F1924" s="3" t="s">
        <v>1250</v>
      </c>
      <c r="G1924" s="3" t="s">
        <v>8645</v>
      </c>
      <c r="H1924" s="3" t="s">
        <v>3874</v>
      </c>
      <c r="I1924" s="3" t="s">
        <v>1251</v>
      </c>
      <c r="J1924" s="5" t="s">
        <v>4948</v>
      </c>
      <c r="L1924" s="3" t="s">
        <v>7408</v>
      </c>
      <c r="M1924" s="3">
        <v>1</v>
      </c>
      <c r="N1924" s="4" t="s">
        <v>9648</v>
      </c>
      <c r="O1924" s="4">
        <v>99</v>
      </c>
      <c r="P1924" s="11" t="s">
        <v>10085</v>
      </c>
      <c r="Q1924" s="11" t="s">
        <v>3871</v>
      </c>
      <c r="S1924" s="4" t="b">
        <f>ISNUMBER(MATCH(Q1924,T:T,0))</f>
        <v>1</v>
      </c>
      <c r="T1924" s="4" t="s">
        <v>4948</v>
      </c>
      <c r="U1924" s="4" t="str">
        <f t="shared" si="82"/>
        <v>庱</v>
      </c>
    </row>
    <row r="1925" spans="1:22">
      <c r="A1925" s="3">
        <v>1923</v>
      </c>
      <c r="B1925" s="3" t="s">
        <v>3875</v>
      </c>
      <c r="C1925" s="3" t="s">
        <v>5989</v>
      </c>
      <c r="D1925" s="3" t="s">
        <v>5990</v>
      </c>
      <c r="E1925" s="3" t="s">
        <v>5991</v>
      </c>
      <c r="F1925" s="3" t="s">
        <v>4957</v>
      </c>
      <c r="G1925" s="3" t="s">
        <v>8645</v>
      </c>
      <c r="H1925" s="3" t="s">
        <v>3876</v>
      </c>
      <c r="I1925" s="3" t="s">
        <v>1251</v>
      </c>
      <c r="J1925" s="5" t="s">
        <v>3877</v>
      </c>
      <c r="L1925" s="3" t="s">
        <v>3878</v>
      </c>
      <c r="M1925" s="3">
        <v>1</v>
      </c>
      <c r="N1925" s="4" t="s">
        <v>9649</v>
      </c>
      <c r="O1925" s="4">
        <v>100</v>
      </c>
      <c r="P1925" s="11" t="s">
        <v>9975</v>
      </c>
      <c r="Q1925" s="11" t="s">
        <v>10407</v>
      </c>
      <c r="S1925" s="4" t="b">
        <f>ISNUMBER(MATCH(Q1925,T:T,0))</f>
        <v>1</v>
      </c>
      <c r="T1925" s="4" t="s">
        <v>9649</v>
      </c>
      <c r="U1925" s="4" t="str">
        <f t="shared" si="82"/>
        <v>肯</v>
      </c>
    </row>
    <row r="1926" spans="1:22">
      <c r="A1926" s="3">
        <v>1924</v>
      </c>
      <c r="B1926" s="3" t="s">
        <v>3875</v>
      </c>
      <c r="C1926" s="3" t="s">
        <v>6053</v>
      </c>
      <c r="D1926" s="3" t="s">
        <v>5990</v>
      </c>
      <c r="E1926" s="3" t="s">
        <v>5991</v>
      </c>
      <c r="F1926" s="3" t="s">
        <v>4957</v>
      </c>
      <c r="G1926" s="3" t="s">
        <v>8645</v>
      </c>
      <c r="H1926" s="3" t="s">
        <v>3879</v>
      </c>
      <c r="I1926" s="3" t="s">
        <v>1251</v>
      </c>
      <c r="J1926" s="5" t="s">
        <v>3880</v>
      </c>
      <c r="L1926" s="3" t="s">
        <v>7455</v>
      </c>
      <c r="M1926" s="3">
        <v>2</v>
      </c>
      <c r="N1926" s="4" t="s">
        <v>9649</v>
      </c>
      <c r="O1926" s="4">
        <v>100</v>
      </c>
      <c r="P1926" s="11" t="s">
        <v>9884</v>
      </c>
      <c r="Q1926" s="11" t="s">
        <v>9649</v>
      </c>
      <c r="S1926" s="4" t="b">
        <f>ISNUMBER(MATCH(Q1926,T:T,0))</f>
        <v>1</v>
      </c>
      <c r="T1926" s="4" t="s">
        <v>27</v>
      </c>
      <c r="U1926" s="4" t="str">
        <f t="shared" si="82"/>
        <v>等</v>
      </c>
    </row>
    <row r="1927" spans="1:22">
      <c r="A1927" s="3">
        <v>1925</v>
      </c>
      <c r="B1927" s="3" t="s">
        <v>3875</v>
      </c>
      <c r="C1927" s="3" t="s">
        <v>6038</v>
      </c>
      <c r="D1927" s="3" t="s">
        <v>5990</v>
      </c>
      <c r="E1927" s="3" t="s">
        <v>5991</v>
      </c>
      <c r="F1927" s="3" t="s">
        <v>4957</v>
      </c>
      <c r="G1927" s="3" t="s">
        <v>8645</v>
      </c>
      <c r="H1927" s="3" t="s">
        <v>3881</v>
      </c>
      <c r="I1927" s="3" t="s">
        <v>1251</v>
      </c>
      <c r="J1927" s="5" t="s">
        <v>9041</v>
      </c>
      <c r="L1927" s="3" t="s">
        <v>3882</v>
      </c>
      <c r="M1927" s="3">
        <v>2</v>
      </c>
      <c r="N1927" s="4" t="s">
        <v>9649</v>
      </c>
      <c r="O1927" s="4">
        <v>100</v>
      </c>
      <c r="P1927" s="11" t="s">
        <v>9728</v>
      </c>
      <c r="Q1927" s="11" t="s">
        <v>9649</v>
      </c>
      <c r="S1927" s="4" t="b">
        <f>ISNUMBER(MATCH(Q1927,T:T,0))</f>
        <v>1</v>
      </c>
      <c r="T1927" s="4" t="s">
        <v>10407</v>
      </c>
      <c r="U1927" s="4" t="str">
        <f t="shared" si="82"/>
        <v>等</v>
      </c>
    </row>
    <row r="1928" spans="1:22">
      <c r="A1928" s="3">
        <v>1926</v>
      </c>
      <c r="B1928" s="3" t="s">
        <v>3875</v>
      </c>
      <c r="C1928" s="3" t="s">
        <v>6102</v>
      </c>
      <c r="D1928" s="3" t="s">
        <v>5990</v>
      </c>
      <c r="E1928" s="3" t="s">
        <v>5991</v>
      </c>
      <c r="F1928" s="3" t="s">
        <v>4957</v>
      </c>
      <c r="G1928" s="3" t="s">
        <v>8645</v>
      </c>
      <c r="H1928" s="3" t="s">
        <v>3883</v>
      </c>
      <c r="I1928" s="3" t="s">
        <v>1251</v>
      </c>
      <c r="J1928" s="5" t="s">
        <v>4984</v>
      </c>
      <c r="L1928" s="3" t="s">
        <v>7444</v>
      </c>
      <c r="M1928" s="3">
        <v>1</v>
      </c>
      <c r="N1928" s="4" t="s">
        <v>9649</v>
      </c>
      <c r="O1928" s="4">
        <v>100</v>
      </c>
      <c r="P1928" s="11" t="s">
        <v>9744</v>
      </c>
      <c r="Q1928" s="11" t="s">
        <v>9649</v>
      </c>
      <c r="S1928" s="4" t="b">
        <f>ISNUMBER(MATCH(Q1928,T:T,0))</f>
        <v>1</v>
      </c>
      <c r="T1928" s="4" t="s">
        <v>4984</v>
      </c>
      <c r="U1928" s="4" t="str">
        <f t="shared" si="82"/>
        <v>等</v>
      </c>
    </row>
    <row r="1929" spans="1:22">
      <c r="A1929" s="3">
        <v>1927</v>
      </c>
      <c r="B1929" s="3" t="s">
        <v>3884</v>
      </c>
      <c r="C1929" s="3" t="s">
        <v>6032</v>
      </c>
      <c r="D1929" s="3" t="s">
        <v>6001</v>
      </c>
      <c r="E1929" s="3" t="s">
        <v>5991</v>
      </c>
      <c r="F1929" s="3" t="s">
        <v>4996</v>
      </c>
      <c r="G1929" s="3" t="s">
        <v>8645</v>
      </c>
      <c r="H1929" s="3" t="s">
        <v>3885</v>
      </c>
      <c r="I1929" s="3" t="s">
        <v>4998</v>
      </c>
      <c r="J1929" s="5" t="s">
        <v>3886</v>
      </c>
      <c r="L1929" s="3" t="s">
        <v>3887</v>
      </c>
      <c r="M1929" s="3">
        <v>9</v>
      </c>
      <c r="N1929" s="4" t="s">
        <v>3888</v>
      </c>
      <c r="O1929" s="4">
        <v>101</v>
      </c>
      <c r="P1929" s="11" t="s">
        <v>6032</v>
      </c>
      <c r="Q1929" s="11" t="s">
        <v>10408</v>
      </c>
      <c r="S1929" s="4" t="b">
        <f>ISNUMBER(MATCH(Q1929,T:T,0))</f>
        <v>1</v>
      </c>
      <c r="T1929" s="4" t="s">
        <v>3888</v>
      </c>
      <c r="U1929" s="4" t="str">
        <f t="shared" si="82"/>
        <v>久</v>
      </c>
    </row>
    <row r="1930" spans="1:22">
      <c r="A1930" s="3">
        <v>1928</v>
      </c>
      <c r="B1930" s="3" t="s">
        <v>3884</v>
      </c>
      <c r="C1930" s="3" t="s">
        <v>6058</v>
      </c>
      <c r="D1930" s="3" t="s">
        <v>6001</v>
      </c>
      <c r="E1930" s="3" t="s">
        <v>5991</v>
      </c>
      <c r="F1930" s="3" t="s">
        <v>4996</v>
      </c>
      <c r="G1930" s="3" t="s">
        <v>8645</v>
      </c>
      <c r="H1930" s="3" t="s">
        <v>3889</v>
      </c>
      <c r="I1930" s="3" t="s">
        <v>4998</v>
      </c>
      <c r="J1930" s="5" t="s">
        <v>9042</v>
      </c>
      <c r="L1930" s="3" t="s">
        <v>3890</v>
      </c>
      <c r="M1930" s="3">
        <v>14</v>
      </c>
      <c r="N1930" s="4" t="s">
        <v>3888</v>
      </c>
      <c r="O1930" s="4">
        <v>101</v>
      </c>
      <c r="P1930" s="11" t="s">
        <v>9727</v>
      </c>
      <c r="Q1930" s="11" t="s">
        <v>10408</v>
      </c>
      <c r="S1930" s="4" t="b">
        <f>ISNUMBER(MATCH(Q1930,T:T,0))</f>
        <v>1</v>
      </c>
      <c r="T1930" s="4" t="s">
        <v>10409</v>
      </c>
      <c r="U1930" s="4" t="str">
        <f t="shared" si="82"/>
        <v>久</v>
      </c>
    </row>
    <row r="1931" spans="1:22">
      <c r="A1931" s="3">
        <v>1929</v>
      </c>
      <c r="B1931" s="3" t="s">
        <v>3884</v>
      </c>
      <c r="C1931" s="3" t="s">
        <v>6137</v>
      </c>
      <c r="D1931" s="3" t="s">
        <v>6001</v>
      </c>
      <c r="E1931" s="3" t="s">
        <v>5991</v>
      </c>
      <c r="F1931" s="3" t="s">
        <v>4996</v>
      </c>
      <c r="G1931" s="3" t="s">
        <v>8645</v>
      </c>
      <c r="H1931" s="3" t="s">
        <v>3891</v>
      </c>
      <c r="I1931" s="3" t="s">
        <v>4998</v>
      </c>
      <c r="J1931" s="5" t="s">
        <v>3892</v>
      </c>
      <c r="L1931" s="3" t="s">
        <v>3893</v>
      </c>
      <c r="M1931" s="3">
        <v>11</v>
      </c>
      <c r="N1931" s="4" t="s">
        <v>3888</v>
      </c>
      <c r="O1931" s="4">
        <v>101</v>
      </c>
      <c r="P1931" s="11" t="s">
        <v>9755</v>
      </c>
      <c r="Q1931" s="11" t="s">
        <v>10408</v>
      </c>
      <c r="S1931" s="4" t="b">
        <f>ISNUMBER(MATCH(Q1931,T:T,0))</f>
        <v>1</v>
      </c>
      <c r="T1931" s="4" t="s">
        <v>11923</v>
      </c>
      <c r="U1931" s="4" t="str">
        <f t="shared" si="82"/>
        <v>久</v>
      </c>
    </row>
    <row r="1932" spans="1:22">
      <c r="A1932" s="3">
        <v>1930</v>
      </c>
      <c r="B1932" s="3" t="s">
        <v>3884</v>
      </c>
      <c r="C1932" s="3" t="s">
        <v>6011</v>
      </c>
      <c r="D1932" s="3" t="s">
        <v>6001</v>
      </c>
      <c r="E1932" s="3" t="s">
        <v>5991</v>
      </c>
      <c r="F1932" s="3" t="s">
        <v>4996</v>
      </c>
      <c r="G1932" s="3" t="s">
        <v>8645</v>
      </c>
      <c r="H1932" s="3" t="s">
        <v>3894</v>
      </c>
      <c r="I1932" s="3" t="s">
        <v>4998</v>
      </c>
      <c r="J1932" s="5" t="s">
        <v>3895</v>
      </c>
      <c r="L1932" s="3" t="s">
        <v>3896</v>
      </c>
      <c r="M1932" s="3">
        <v>3</v>
      </c>
      <c r="N1932" s="4" t="s">
        <v>3888</v>
      </c>
      <c r="O1932" s="4">
        <v>101</v>
      </c>
      <c r="P1932" s="11" t="s">
        <v>9711</v>
      </c>
      <c r="Q1932" s="11" t="s">
        <v>10408</v>
      </c>
      <c r="S1932" s="4" t="b">
        <f>ISNUMBER(MATCH(Q1932,T:T,0))</f>
        <v>1</v>
      </c>
      <c r="T1932" s="4" t="s">
        <v>9757</v>
      </c>
      <c r="U1932" s="4" t="str">
        <f t="shared" si="82"/>
        <v>久</v>
      </c>
    </row>
    <row r="1933" spans="1:22">
      <c r="A1933" s="3">
        <v>1931</v>
      </c>
      <c r="B1933" s="3" t="s">
        <v>3884</v>
      </c>
      <c r="C1933" s="3" t="s">
        <v>6000</v>
      </c>
      <c r="D1933" s="3" t="s">
        <v>6001</v>
      </c>
      <c r="E1933" s="3" t="s">
        <v>5991</v>
      </c>
      <c r="F1933" s="3" t="s">
        <v>4996</v>
      </c>
      <c r="G1933" s="3" t="s">
        <v>8645</v>
      </c>
      <c r="H1933" s="3" t="s">
        <v>3897</v>
      </c>
      <c r="I1933" s="3" t="s">
        <v>4998</v>
      </c>
      <c r="J1933" s="5" t="s">
        <v>9043</v>
      </c>
      <c r="L1933" s="3" t="s">
        <v>3898</v>
      </c>
      <c r="M1933" s="3">
        <v>4</v>
      </c>
      <c r="N1933" s="4" t="s">
        <v>3888</v>
      </c>
      <c r="O1933" s="4">
        <v>101</v>
      </c>
      <c r="P1933" s="11" t="s">
        <v>9707</v>
      </c>
      <c r="Q1933" s="11" t="s">
        <v>10409</v>
      </c>
      <c r="S1933" s="4" t="b">
        <f>ISNUMBER(MATCH(Q1933,T:T,0))</f>
        <v>1</v>
      </c>
      <c r="T1933" s="4" t="s">
        <v>11924</v>
      </c>
      <c r="U1933" s="4" t="str">
        <f t="shared" si="82"/>
        <v>柳</v>
      </c>
    </row>
    <row r="1934" spans="1:22">
      <c r="A1934" s="3">
        <v>1932</v>
      </c>
      <c r="B1934" s="3" t="s">
        <v>3884</v>
      </c>
      <c r="C1934" s="3" t="s">
        <v>6089</v>
      </c>
      <c r="D1934" s="3" t="s">
        <v>6001</v>
      </c>
      <c r="E1934" s="3" t="s">
        <v>5991</v>
      </c>
      <c r="F1934" s="3" t="s">
        <v>4996</v>
      </c>
      <c r="G1934" s="3" t="s">
        <v>8645</v>
      </c>
      <c r="H1934" s="3" t="s">
        <v>3899</v>
      </c>
      <c r="I1934" s="3" t="s">
        <v>4998</v>
      </c>
      <c r="J1934" s="5" t="s">
        <v>3900</v>
      </c>
      <c r="L1934" s="3" t="s">
        <v>3901</v>
      </c>
      <c r="M1934" s="3">
        <v>4</v>
      </c>
      <c r="N1934" s="4" t="s">
        <v>3888</v>
      </c>
      <c r="O1934" s="4">
        <v>101</v>
      </c>
      <c r="P1934" s="11" t="s">
        <v>9753</v>
      </c>
      <c r="Q1934" s="11" t="s">
        <v>10408</v>
      </c>
      <c r="S1934" s="4" t="b">
        <f>ISNUMBER(MATCH(Q1934,T:T,0))</f>
        <v>1</v>
      </c>
      <c r="T1934" s="4" t="s">
        <v>9851</v>
      </c>
      <c r="U1934" s="4" t="str">
        <f t="shared" si="82"/>
        <v>久</v>
      </c>
    </row>
    <row r="1935" spans="1:22">
      <c r="A1935" s="3">
        <v>1933</v>
      </c>
      <c r="B1935" s="3" t="s">
        <v>3884</v>
      </c>
      <c r="C1935" s="3" t="s">
        <v>6025</v>
      </c>
      <c r="D1935" s="3" t="s">
        <v>6001</v>
      </c>
      <c r="E1935" s="3" t="s">
        <v>5991</v>
      </c>
      <c r="F1935" s="3" t="s">
        <v>4996</v>
      </c>
      <c r="G1935" s="3" t="s">
        <v>8645</v>
      </c>
      <c r="H1935" s="3" t="s">
        <v>3902</v>
      </c>
      <c r="I1935" s="3" t="s">
        <v>4998</v>
      </c>
      <c r="J1935" s="5" t="s">
        <v>3903</v>
      </c>
      <c r="L1935" s="3" t="s">
        <v>3904</v>
      </c>
      <c r="M1935" s="3">
        <v>7</v>
      </c>
      <c r="N1935" s="4" t="s">
        <v>3888</v>
      </c>
      <c r="O1935" s="4">
        <v>101</v>
      </c>
      <c r="P1935" s="11" t="s">
        <v>9846</v>
      </c>
      <c r="Q1935" s="11" t="s">
        <v>3888</v>
      </c>
      <c r="S1935" s="4" t="b">
        <f>ISNUMBER(MATCH(Q1935,T:T,0))</f>
        <v>1</v>
      </c>
      <c r="T1935" s="4" t="s">
        <v>10408</v>
      </c>
      <c r="U1935" s="4" t="str">
        <f t="shared" si="82"/>
        <v>有</v>
      </c>
    </row>
    <row r="1936" spans="1:22">
      <c r="A1936" s="3">
        <v>1934</v>
      </c>
      <c r="B1936" s="3" t="s">
        <v>3884</v>
      </c>
      <c r="C1936" s="3" t="s">
        <v>6120</v>
      </c>
      <c r="D1936" s="3" t="s">
        <v>6001</v>
      </c>
      <c r="E1936" s="3" t="s">
        <v>5991</v>
      </c>
      <c r="F1936" s="3" t="s">
        <v>4996</v>
      </c>
      <c r="G1936" s="3" t="s">
        <v>8645</v>
      </c>
      <c r="H1936" s="3" t="s">
        <v>3905</v>
      </c>
      <c r="I1936" s="3" t="s">
        <v>4998</v>
      </c>
      <c r="J1936" s="5" t="s">
        <v>3906</v>
      </c>
      <c r="L1936" s="3" t="s">
        <v>3907</v>
      </c>
      <c r="M1936" s="3">
        <v>6</v>
      </c>
      <c r="N1936" s="4" t="s">
        <v>3888</v>
      </c>
      <c r="O1936" s="4">
        <v>101</v>
      </c>
      <c r="P1936" s="11" t="s">
        <v>6120</v>
      </c>
      <c r="Q1936" s="11" t="s">
        <v>9764</v>
      </c>
      <c r="R1936" s="4" t="s">
        <v>13107</v>
      </c>
      <c r="S1936" s="4" t="b">
        <f>ISNUMBER(MATCH(Q1936,T:T,0))</f>
        <v>0</v>
      </c>
      <c r="T1936" s="4" t="s">
        <v>11925</v>
      </c>
      <c r="U1936" s="4" t="str">
        <f t="shared" si="82"/>
        <v>久</v>
      </c>
      <c r="V1936" s="4" t="b">
        <f t="shared" ref="V1936:V1938" si="83">ISNUMBER(MATCH(R1936,T:T,0))</f>
        <v>1</v>
      </c>
    </row>
    <row r="1937" spans="1:22">
      <c r="A1937" s="3">
        <v>1935</v>
      </c>
      <c r="B1937" s="3" t="s">
        <v>3884</v>
      </c>
      <c r="C1937" s="3" t="s">
        <v>6055</v>
      </c>
      <c r="D1937" s="3" t="s">
        <v>6001</v>
      </c>
      <c r="E1937" s="3" t="s">
        <v>5991</v>
      </c>
      <c r="F1937" s="3" t="s">
        <v>4996</v>
      </c>
      <c r="G1937" s="3" t="s">
        <v>8645</v>
      </c>
      <c r="H1937" s="3" t="s">
        <v>3908</v>
      </c>
      <c r="I1937" s="3" t="s">
        <v>4998</v>
      </c>
      <c r="J1937" s="5" t="s">
        <v>9044</v>
      </c>
      <c r="L1937" s="3" t="s">
        <v>3896</v>
      </c>
      <c r="M1937" s="3">
        <v>3</v>
      </c>
      <c r="N1937" s="4" t="s">
        <v>3888</v>
      </c>
      <c r="O1937" s="4">
        <v>101</v>
      </c>
      <c r="P1937" s="11" t="s">
        <v>6055</v>
      </c>
      <c r="Q1937" s="11" t="s">
        <v>9764</v>
      </c>
      <c r="R1937" s="4" t="s">
        <v>13107</v>
      </c>
      <c r="S1937" s="4" t="b">
        <f>ISNUMBER(MATCH(Q1937,T:T,0))</f>
        <v>0</v>
      </c>
      <c r="T1937" s="4" t="s">
        <v>11926</v>
      </c>
      <c r="U1937" s="4" t="str">
        <f t="shared" si="82"/>
        <v>久</v>
      </c>
      <c r="V1937" s="4" t="b">
        <f t="shared" si="83"/>
        <v>1</v>
      </c>
    </row>
    <row r="1938" spans="1:22">
      <c r="A1938" s="3">
        <v>1936</v>
      </c>
      <c r="B1938" s="3" t="s">
        <v>3884</v>
      </c>
      <c r="C1938" s="3" t="s">
        <v>6069</v>
      </c>
      <c r="D1938" s="3" t="s">
        <v>6001</v>
      </c>
      <c r="E1938" s="3" t="s">
        <v>5991</v>
      </c>
      <c r="F1938" s="3" t="s">
        <v>4996</v>
      </c>
      <c r="G1938" s="3" t="s">
        <v>8645</v>
      </c>
      <c r="H1938" s="3" t="s">
        <v>3909</v>
      </c>
      <c r="I1938" s="3" t="s">
        <v>4998</v>
      </c>
      <c r="J1938" s="5" t="s">
        <v>3910</v>
      </c>
      <c r="L1938" s="3" t="s">
        <v>3911</v>
      </c>
      <c r="M1938" s="3">
        <v>2</v>
      </c>
      <c r="N1938" s="4" t="s">
        <v>3888</v>
      </c>
      <c r="O1938" s="4">
        <v>101</v>
      </c>
      <c r="P1938" s="11" t="s">
        <v>5919</v>
      </c>
      <c r="Q1938" s="11" t="s">
        <v>9764</v>
      </c>
      <c r="R1938" s="4" t="s">
        <v>13107</v>
      </c>
      <c r="S1938" s="4" t="b">
        <f>ISNUMBER(MATCH(Q1938,T:T,0))</f>
        <v>0</v>
      </c>
      <c r="T1938" s="4" t="s">
        <v>11791</v>
      </c>
      <c r="U1938" s="4" t="str">
        <f t="shared" si="82"/>
        <v>久</v>
      </c>
      <c r="V1938" s="4" t="b">
        <f t="shared" si="83"/>
        <v>1</v>
      </c>
    </row>
    <row r="1939" spans="1:22">
      <c r="A1939" s="3">
        <v>1937</v>
      </c>
      <c r="B1939" s="3" t="s">
        <v>3884</v>
      </c>
      <c r="C1939" s="3" t="s">
        <v>6045</v>
      </c>
      <c r="D1939" s="3" t="s">
        <v>6001</v>
      </c>
      <c r="E1939" s="3" t="s">
        <v>5991</v>
      </c>
      <c r="F1939" s="3" t="s">
        <v>4996</v>
      </c>
      <c r="G1939" s="3" t="s">
        <v>8645</v>
      </c>
      <c r="H1939" s="3" t="s">
        <v>3912</v>
      </c>
      <c r="I1939" s="3" t="s">
        <v>4998</v>
      </c>
      <c r="J1939" s="5" t="s">
        <v>3913</v>
      </c>
      <c r="L1939" s="3" t="s">
        <v>3914</v>
      </c>
      <c r="M1939" s="3">
        <v>15</v>
      </c>
      <c r="N1939" s="4" t="s">
        <v>3888</v>
      </c>
      <c r="O1939" s="4">
        <v>101</v>
      </c>
      <c r="P1939" s="11" t="s">
        <v>9722</v>
      </c>
      <c r="Q1939" s="11" t="s">
        <v>10408</v>
      </c>
      <c r="S1939" s="4" t="b">
        <f>ISNUMBER(MATCH(Q1939,T:T,0))</f>
        <v>1</v>
      </c>
      <c r="T1939" s="4" t="s">
        <v>11927</v>
      </c>
      <c r="U1939" s="4" t="str">
        <f t="shared" si="82"/>
        <v>久</v>
      </c>
    </row>
    <row r="1940" spans="1:22">
      <c r="A1940" s="3">
        <v>1938</v>
      </c>
      <c r="B1940" s="3" t="s">
        <v>3884</v>
      </c>
      <c r="C1940" s="3" t="s">
        <v>6049</v>
      </c>
      <c r="D1940" s="3" t="s">
        <v>6001</v>
      </c>
      <c r="E1940" s="3" t="s">
        <v>5991</v>
      </c>
      <c r="F1940" s="3" t="s">
        <v>4996</v>
      </c>
      <c r="G1940" s="3" t="s">
        <v>8645</v>
      </c>
      <c r="H1940" s="3" t="s">
        <v>3915</v>
      </c>
      <c r="I1940" s="3" t="s">
        <v>4998</v>
      </c>
      <c r="J1940" s="5" t="s">
        <v>3916</v>
      </c>
      <c r="L1940" s="3" t="s">
        <v>3917</v>
      </c>
      <c r="M1940" s="3">
        <v>8</v>
      </c>
      <c r="N1940" s="4" t="s">
        <v>3888</v>
      </c>
      <c r="O1940" s="4">
        <v>101</v>
      </c>
      <c r="P1940" s="11" t="s">
        <v>9723</v>
      </c>
      <c r="Q1940" s="11" t="s">
        <v>10408</v>
      </c>
      <c r="S1940" s="4" t="b">
        <f>ISNUMBER(MATCH(Q1940,T:T,0))</f>
        <v>1</v>
      </c>
      <c r="T1940" s="4" t="s">
        <v>10412</v>
      </c>
      <c r="U1940" s="4" t="str">
        <f t="shared" si="82"/>
        <v>久</v>
      </c>
    </row>
    <row r="1941" spans="1:22">
      <c r="A1941" s="3">
        <v>1939</v>
      </c>
      <c r="B1941" s="3" t="s">
        <v>3884</v>
      </c>
      <c r="C1941" s="3" t="s">
        <v>6038</v>
      </c>
      <c r="D1941" s="3" t="s">
        <v>6001</v>
      </c>
      <c r="E1941" s="3" t="s">
        <v>5991</v>
      </c>
      <c r="F1941" s="3" t="s">
        <v>4996</v>
      </c>
      <c r="G1941" s="3" t="s">
        <v>8645</v>
      </c>
      <c r="H1941" s="3" t="s">
        <v>3918</v>
      </c>
      <c r="I1941" s="3" t="s">
        <v>4998</v>
      </c>
      <c r="J1941" s="5" t="s">
        <v>3919</v>
      </c>
      <c r="L1941" s="3" t="s">
        <v>3920</v>
      </c>
      <c r="M1941" s="3">
        <v>1</v>
      </c>
      <c r="N1941" s="4" t="s">
        <v>3888</v>
      </c>
      <c r="O1941" s="4">
        <v>101</v>
      </c>
      <c r="P1941" s="11" t="s">
        <v>4210</v>
      </c>
      <c r="Q1941" s="11" t="s">
        <v>10408</v>
      </c>
      <c r="S1941" s="4" t="b">
        <f>ISNUMBER(MATCH(Q1941,T:T,0))</f>
        <v>1</v>
      </c>
      <c r="T1941" s="4" t="s">
        <v>3919</v>
      </c>
      <c r="U1941" s="4" t="str">
        <f t="shared" si="82"/>
        <v>久</v>
      </c>
    </row>
    <row r="1942" spans="1:22">
      <c r="A1942" s="3">
        <v>1940</v>
      </c>
      <c r="B1942" s="3" t="s">
        <v>3884</v>
      </c>
      <c r="C1942" s="3" t="s">
        <v>6021</v>
      </c>
      <c r="D1942" s="3" t="s">
        <v>6001</v>
      </c>
      <c r="E1942" s="3" t="s">
        <v>5991</v>
      </c>
      <c r="F1942" s="3" t="s">
        <v>4996</v>
      </c>
      <c r="G1942" s="3" t="s">
        <v>8645</v>
      </c>
      <c r="H1942" s="3" t="s">
        <v>3921</v>
      </c>
      <c r="I1942" s="3" t="s">
        <v>4998</v>
      </c>
      <c r="J1942" s="5" t="s">
        <v>9045</v>
      </c>
      <c r="L1942" s="3" t="s">
        <v>3922</v>
      </c>
      <c r="M1942" s="3">
        <v>10</v>
      </c>
      <c r="N1942" s="4" t="s">
        <v>3888</v>
      </c>
      <c r="O1942" s="4">
        <v>101</v>
      </c>
      <c r="P1942" s="11" t="s">
        <v>9798</v>
      </c>
      <c r="Q1942" s="11" t="s">
        <v>9764</v>
      </c>
      <c r="R1942" s="4" t="s">
        <v>13107</v>
      </c>
      <c r="S1942" s="4" t="b">
        <f>ISNUMBER(MATCH(Q1942,T:T,0))</f>
        <v>0</v>
      </c>
      <c r="T1942" s="4" t="s">
        <v>11928</v>
      </c>
      <c r="U1942" s="4" t="str">
        <f t="shared" si="82"/>
        <v>久</v>
      </c>
      <c r="V1942" s="4" t="b">
        <f t="shared" ref="V1942:V1943" si="84">ISNUMBER(MATCH(R1942,T:T,0))</f>
        <v>1</v>
      </c>
    </row>
    <row r="1943" spans="1:22">
      <c r="A1943" s="3">
        <v>1941</v>
      </c>
      <c r="B1943" s="3" t="s">
        <v>3884</v>
      </c>
      <c r="C1943" s="3" t="s">
        <v>6041</v>
      </c>
      <c r="D1943" s="3" t="s">
        <v>6001</v>
      </c>
      <c r="E1943" s="3" t="s">
        <v>5991</v>
      </c>
      <c r="F1943" s="3" t="s">
        <v>4996</v>
      </c>
      <c r="G1943" s="3" t="s">
        <v>8645</v>
      </c>
      <c r="H1943" s="3" t="s">
        <v>3923</v>
      </c>
      <c r="I1943" s="3" t="s">
        <v>4998</v>
      </c>
      <c r="J1943" s="5" t="s">
        <v>9046</v>
      </c>
      <c r="L1943" s="3" t="s">
        <v>3911</v>
      </c>
      <c r="M1943" s="3">
        <v>11</v>
      </c>
      <c r="N1943" s="4" t="s">
        <v>3888</v>
      </c>
      <c r="O1943" s="4">
        <v>101</v>
      </c>
      <c r="P1943" s="11" t="s">
        <v>9830</v>
      </c>
      <c r="Q1943" s="11" t="s">
        <v>9764</v>
      </c>
      <c r="R1943" s="4" t="s">
        <v>13107</v>
      </c>
      <c r="S1943" s="4" t="b">
        <f>ISNUMBER(MATCH(Q1943,T:T,0))</f>
        <v>0</v>
      </c>
      <c r="T1943" s="4" t="s">
        <v>11929</v>
      </c>
      <c r="U1943" s="4" t="str">
        <f t="shared" si="82"/>
        <v>久</v>
      </c>
      <c r="V1943" s="4" t="b">
        <f t="shared" si="84"/>
        <v>1</v>
      </c>
    </row>
    <row r="1944" spans="1:22">
      <c r="A1944" s="3">
        <v>1942</v>
      </c>
      <c r="B1944" s="3" t="s">
        <v>3884</v>
      </c>
      <c r="C1944" s="3" t="s">
        <v>6005</v>
      </c>
      <c r="D1944" s="3" t="s">
        <v>6001</v>
      </c>
      <c r="E1944" s="3" t="s">
        <v>5991</v>
      </c>
      <c r="F1944" s="3" t="s">
        <v>4996</v>
      </c>
      <c r="G1944" s="3" t="s">
        <v>8645</v>
      </c>
      <c r="H1944" s="3" t="s">
        <v>3924</v>
      </c>
      <c r="I1944" s="3" t="s">
        <v>4998</v>
      </c>
      <c r="J1944" s="5" t="s">
        <v>9047</v>
      </c>
      <c r="L1944" s="3" t="s">
        <v>3925</v>
      </c>
      <c r="M1944" s="3">
        <v>6</v>
      </c>
      <c r="N1944" s="4" t="s">
        <v>3888</v>
      </c>
      <c r="O1944" s="4">
        <v>101</v>
      </c>
      <c r="P1944" s="11" t="s">
        <v>10333</v>
      </c>
      <c r="Q1944" s="11" t="s">
        <v>10409</v>
      </c>
      <c r="S1944" s="4" t="b">
        <f>ISNUMBER(MATCH(Q1944,T:T,0))</f>
        <v>1</v>
      </c>
      <c r="T1944" s="4" t="s">
        <v>11930</v>
      </c>
      <c r="U1944" s="4" t="str">
        <f t="shared" si="82"/>
        <v>柳</v>
      </c>
    </row>
    <row r="1945" spans="1:22" ht="39">
      <c r="A1945" s="3">
        <v>1943</v>
      </c>
      <c r="B1945" s="3" t="s">
        <v>3884</v>
      </c>
      <c r="C1945" s="3" t="s">
        <v>6028</v>
      </c>
      <c r="D1945" s="3" t="s">
        <v>6001</v>
      </c>
      <c r="E1945" s="3" t="s">
        <v>5991</v>
      </c>
      <c r="F1945" s="3" t="s">
        <v>4996</v>
      </c>
      <c r="G1945" s="3" t="s">
        <v>8645</v>
      </c>
      <c r="H1945" s="3" t="s">
        <v>3926</v>
      </c>
      <c r="I1945" s="3" t="s">
        <v>4998</v>
      </c>
      <c r="J1945" s="5" t="s">
        <v>9048</v>
      </c>
      <c r="K1945" s="3" t="s">
        <v>612</v>
      </c>
      <c r="L1945" s="3" t="s">
        <v>3887</v>
      </c>
      <c r="M1945" s="3">
        <v>21</v>
      </c>
      <c r="N1945" s="4" t="s">
        <v>3888</v>
      </c>
      <c r="O1945" s="4">
        <v>101</v>
      </c>
      <c r="P1945" s="11" t="s">
        <v>9828</v>
      </c>
      <c r="Q1945" s="11" t="s">
        <v>10408</v>
      </c>
      <c r="S1945" s="4" t="b">
        <f>ISNUMBER(MATCH(Q1945,T:T,0))</f>
        <v>1</v>
      </c>
      <c r="T1945" s="4" t="s">
        <v>11931</v>
      </c>
      <c r="U1945" s="4" t="str">
        <f t="shared" si="82"/>
        <v>久</v>
      </c>
    </row>
    <row r="1946" spans="1:22">
      <c r="A1946" s="3">
        <v>1944</v>
      </c>
      <c r="B1946" s="3" t="s">
        <v>3884</v>
      </c>
      <c r="C1946" s="3" t="s">
        <v>6148</v>
      </c>
      <c r="D1946" s="3" t="s">
        <v>6001</v>
      </c>
      <c r="E1946" s="3" t="s">
        <v>5991</v>
      </c>
      <c r="F1946" s="3" t="s">
        <v>4996</v>
      </c>
      <c r="G1946" s="3" t="s">
        <v>8645</v>
      </c>
      <c r="H1946" s="3" t="s">
        <v>3927</v>
      </c>
      <c r="I1946" s="3" t="s">
        <v>4998</v>
      </c>
      <c r="J1946" s="5" t="s">
        <v>9049</v>
      </c>
      <c r="L1946" s="3" t="s">
        <v>3928</v>
      </c>
      <c r="M1946" s="3">
        <v>5</v>
      </c>
      <c r="N1946" s="4" t="s">
        <v>3888</v>
      </c>
      <c r="O1946" s="4">
        <v>101</v>
      </c>
      <c r="P1946" s="11" t="s">
        <v>10410</v>
      </c>
      <c r="Q1946" s="11" t="s">
        <v>10411</v>
      </c>
      <c r="R1946" s="4" t="s">
        <v>13108</v>
      </c>
      <c r="S1946" s="4" t="b">
        <f>ISNUMBER(MATCH(Q1946,T:T,0))</f>
        <v>0</v>
      </c>
      <c r="T1946" s="4" t="s">
        <v>11932</v>
      </c>
      <c r="U1946" s="4" t="str">
        <f t="shared" si="82"/>
        <v>誘</v>
      </c>
      <c r="V1946" s="4" t="b">
        <f>ISNUMBER(MATCH(R1946,T:T,0))</f>
        <v>1</v>
      </c>
    </row>
    <row r="1947" spans="1:22">
      <c r="A1947" s="3">
        <v>1945</v>
      </c>
      <c r="B1947" s="3" t="s">
        <v>3884</v>
      </c>
      <c r="C1947" s="3" t="s">
        <v>6017</v>
      </c>
      <c r="D1947" s="3" t="s">
        <v>6001</v>
      </c>
      <c r="E1947" s="3" t="s">
        <v>5991</v>
      </c>
      <c r="F1947" s="3" t="s">
        <v>4996</v>
      </c>
      <c r="G1947" s="3" t="s">
        <v>8645</v>
      </c>
      <c r="H1947" s="3" t="s">
        <v>3929</v>
      </c>
      <c r="I1947" s="3" t="s">
        <v>4998</v>
      </c>
      <c r="J1947" s="5" t="s">
        <v>3930</v>
      </c>
      <c r="L1947" s="3" t="s">
        <v>3901</v>
      </c>
      <c r="M1947" s="3">
        <v>4</v>
      </c>
      <c r="N1947" s="4" t="s">
        <v>3888</v>
      </c>
      <c r="O1947" s="4">
        <v>101</v>
      </c>
      <c r="P1947" s="11" t="s">
        <v>9714</v>
      </c>
      <c r="Q1947" s="11" t="s">
        <v>3888</v>
      </c>
      <c r="S1947" s="4" t="b">
        <f>ISNUMBER(MATCH(Q1947,T:T,0))</f>
        <v>1</v>
      </c>
      <c r="T1947" s="4" t="s">
        <v>11933</v>
      </c>
      <c r="U1947" s="4" t="str">
        <f t="shared" si="82"/>
        <v>有</v>
      </c>
    </row>
    <row r="1948" spans="1:22">
      <c r="A1948" s="3">
        <v>1946</v>
      </c>
      <c r="B1948" s="3" t="s">
        <v>3884</v>
      </c>
      <c r="C1948" s="3" t="s">
        <v>6072</v>
      </c>
      <c r="D1948" s="3" t="s">
        <v>6001</v>
      </c>
      <c r="E1948" s="3" t="s">
        <v>5991</v>
      </c>
      <c r="F1948" s="3" t="s">
        <v>4996</v>
      </c>
      <c r="G1948" s="3" t="s">
        <v>8645</v>
      </c>
      <c r="H1948" s="3" t="s">
        <v>3931</v>
      </c>
      <c r="I1948" s="3" t="s">
        <v>4998</v>
      </c>
      <c r="J1948" s="5" t="s">
        <v>3932</v>
      </c>
      <c r="L1948" s="3" t="s">
        <v>3887</v>
      </c>
      <c r="M1948" s="3">
        <v>3</v>
      </c>
      <c r="N1948" s="4" t="s">
        <v>3888</v>
      </c>
      <c r="O1948" s="4">
        <v>101</v>
      </c>
      <c r="P1948" s="11" t="s">
        <v>9754</v>
      </c>
      <c r="Q1948" s="11" t="s">
        <v>10409</v>
      </c>
      <c r="S1948" s="4" t="b">
        <f>ISNUMBER(MATCH(Q1948,T:T,0))</f>
        <v>1</v>
      </c>
      <c r="T1948" s="4" t="s">
        <v>11934</v>
      </c>
      <c r="U1948" s="4" t="str">
        <f t="shared" si="82"/>
        <v>柳</v>
      </c>
    </row>
    <row r="1949" spans="1:22">
      <c r="A1949" s="3">
        <v>1947</v>
      </c>
      <c r="B1949" s="3" t="s">
        <v>3884</v>
      </c>
      <c r="C1949" s="3" t="s">
        <v>6083</v>
      </c>
      <c r="D1949" s="3" t="s">
        <v>6001</v>
      </c>
      <c r="E1949" s="3" t="s">
        <v>5991</v>
      </c>
      <c r="F1949" s="3" t="s">
        <v>4996</v>
      </c>
      <c r="G1949" s="3" t="s">
        <v>8645</v>
      </c>
      <c r="H1949" s="3" t="s">
        <v>3933</v>
      </c>
      <c r="I1949" s="3" t="s">
        <v>4998</v>
      </c>
      <c r="J1949" s="5" t="s">
        <v>3934</v>
      </c>
      <c r="L1949" s="3" t="s">
        <v>3904</v>
      </c>
      <c r="M1949" s="3">
        <v>1</v>
      </c>
      <c r="N1949" s="4" t="s">
        <v>3888</v>
      </c>
      <c r="O1949" s="4">
        <v>101</v>
      </c>
      <c r="P1949" s="11" t="s">
        <v>9737</v>
      </c>
      <c r="Q1949" s="11" t="s">
        <v>10411</v>
      </c>
      <c r="R1949" s="4" t="s">
        <v>13108</v>
      </c>
      <c r="S1949" s="4" t="b">
        <f>ISNUMBER(MATCH(Q1949,T:T,0))</f>
        <v>0</v>
      </c>
      <c r="T1949" s="4" t="s">
        <v>3934</v>
      </c>
      <c r="U1949" s="4" t="str">
        <f t="shared" si="82"/>
        <v>誘</v>
      </c>
      <c r="V1949" s="4" t="b">
        <f>ISNUMBER(MATCH(R1949,T:T,0))</f>
        <v>1</v>
      </c>
    </row>
    <row r="1950" spans="1:22">
      <c r="A1950" s="3">
        <v>1948</v>
      </c>
      <c r="B1950" s="3" t="s">
        <v>3884</v>
      </c>
      <c r="C1950" s="3" t="s">
        <v>6180</v>
      </c>
      <c r="D1950" s="3" t="s">
        <v>6001</v>
      </c>
      <c r="E1950" s="3" t="s">
        <v>5991</v>
      </c>
      <c r="F1950" s="3" t="s">
        <v>4996</v>
      </c>
      <c r="G1950" s="3" t="s">
        <v>8645</v>
      </c>
      <c r="H1950" s="7" t="s">
        <v>784</v>
      </c>
      <c r="I1950" s="3" t="s">
        <v>4998</v>
      </c>
      <c r="J1950" s="5" t="s">
        <v>3935</v>
      </c>
      <c r="L1950" s="3" t="s">
        <v>3907</v>
      </c>
      <c r="M1950" s="3">
        <v>1</v>
      </c>
      <c r="N1950" s="4" t="s">
        <v>3888</v>
      </c>
      <c r="O1950" s="4">
        <v>101</v>
      </c>
      <c r="P1950" s="11" t="s">
        <v>10230</v>
      </c>
      <c r="Q1950" s="11" t="s">
        <v>3888</v>
      </c>
      <c r="S1950" s="4" t="b">
        <f>ISNUMBER(MATCH(Q1950,T:T,0))</f>
        <v>1</v>
      </c>
      <c r="T1950" s="4" t="s">
        <v>11935</v>
      </c>
      <c r="U1950" s="4" t="str">
        <f t="shared" si="82"/>
        <v>有</v>
      </c>
    </row>
    <row r="1951" spans="1:22">
      <c r="A1951" s="3">
        <v>1949</v>
      </c>
      <c r="B1951" s="3" t="s">
        <v>3884</v>
      </c>
      <c r="C1951" s="3" t="s">
        <v>6009</v>
      </c>
      <c r="D1951" s="3" t="s">
        <v>6001</v>
      </c>
      <c r="E1951" s="3" t="s">
        <v>5991</v>
      </c>
      <c r="F1951" s="3" t="s">
        <v>4996</v>
      </c>
      <c r="G1951" s="3" t="s">
        <v>8645</v>
      </c>
      <c r="H1951" s="3" t="s">
        <v>3936</v>
      </c>
      <c r="I1951" s="3" t="s">
        <v>4998</v>
      </c>
      <c r="J1951" s="5" t="s">
        <v>9050</v>
      </c>
      <c r="L1951" s="3" t="s">
        <v>3898</v>
      </c>
      <c r="M1951" s="3">
        <v>5</v>
      </c>
      <c r="N1951" s="4" t="s">
        <v>3888</v>
      </c>
      <c r="O1951" s="4">
        <v>101</v>
      </c>
      <c r="P1951" s="11" t="s">
        <v>6396</v>
      </c>
      <c r="Q1951" s="11" t="s">
        <v>9764</v>
      </c>
      <c r="R1951" s="4" t="s">
        <v>13107</v>
      </c>
      <c r="S1951" s="4" t="b">
        <f>ISNUMBER(MATCH(Q1951,T:T,0))</f>
        <v>0</v>
      </c>
      <c r="T1951" s="4" t="s">
        <v>11936</v>
      </c>
      <c r="U1951" s="4" t="str">
        <f t="shared" si="82"/>
        <v>久</v>
      </c>
      <c r="V1951" s="4" t="b">
        <f>ISNUMBER(MATCH(R1951,T:T,0))</f>
        <v>1</v>
      </c>
    </row>
    <row r="1952" spans="1:22">
      <c r="A1952" s="3">
        <v>1950</v>
      </c>
      <c r="B1952" s="3" t="s">
        <v>3884</v>
      </c>
      <c r="C1952" s="3" t="s">
        <v>6053</v>
      </c>
      <c r="D1952" s="3" t="s">
        <v>6001</v>
      </c>
      <c r="E1952" s="3" t="s">
        <v>5991</v>
      </c>
      <c r="F1952" s="3" t="s">
        <v>4996</v>
      </c>
      <c r="G1952" s="3" t="s">
        <v>8645</v>
      </c>
      <c r="H1952" s="3" t="s">
        <v>3937</v>
      </c>
      <c r="I1952" s="3" t="s">
        <v>4998</v>
      </c>
      <c r="J1952" s="5" t="s">
        <v>3938</v>
      </c>
      <c r="L1952" s="3" t="s">
        <v>3917</v>
      </c>
      <c r="M1952" s="3">
        <v>3</v>
      </c>
      <c r="N1952" s="4" t="s">
        <v>3888</v>
      </c>
      <c r="O1952" s="4">
        <v>101</v>
      </c>
      <c r="P1952" s="11" t="s">
        <v>9841</v>
      </c>
      <c r="Q1952" s="11" t="s">
        <v>10412</v>
      </c>
      <c r="S1952" s="4" t="b">
        <f>ISNUMBER(MATCH(Q1952,T:T,0))</f>
        <v>1</v>
      </c>
      <c r="T1952" s="4" t="s">
        <v>11937</v>
      </c>
      <c r="U1952" s="4" t="str">
        <f t="shared" si="82"/>
        <v>否</v>
      </c>
    </row>
    <row r="1953" spans="1:22">
      <c r="A1953" s="3">
        <v>1951</v>
      </c>
      <c r="B1953" s="3" t="s">
        <v>3884</v>
      </c>
      <c r="C1953" s="3" t="s">
        <v>6318</v>
      </c>
      <c r="D1953" s="3" t="s">
        <v>6001</v>
      </c>
      <c r="E1953" s="3" t="s">
        <v>5991</v>
      </c>
      <c r="F1953" s="3" t="s">
        <v>4996</v>
      </c>
      <c r="G1953" s="3" t="s">
        <v>8645</v>
      </c>
      <c r="H1953" s="3" t="s">
        <v>3939</v>
      </c>
      <c r="I1953" s="3" t="s">
        <v>4998</v>
      </c>
      <c r="J1953" s="5" t="s">
        <v>3940</v>
      </c>
      <c r="L1953" s="3" t="s">
        <v>3898</v>
      </c>
      <c r="M1953" s="3">
        <v>3</v>
      </c>
      <c r="N1953" s="4" t="s">
        <v>3888</v>
      </c>
      <c r="O1953" s="4">
        <v>101</v>
      </c>
      <c r="P1953" s="11" t="s">
        <v>9804</v>
      </c>
      <c r="Q1953" s="11" t="s">
        <v>9764</v>
      </c>
      <c r="R1953" s="4" t="s">
        <v>13107</v>
      </c>
      <c r="S1953" s="4" t="b">
        <f>ISNUMBER(MATCH(Q1953,T:T,0))</f>
        <v>0</v>
      </c>
      <c r="T1953" s="4" t="s">
        <v>11938</v>
      </c>
      <c r="U1953" s="4" t="str">
        <f t="shared" si="82"/>
        <v>久</v>
      </c>
      <c r="V1953" s="4" t="b">
        <f t="shared" ref="V1953:V1956" si="85">ISNUMBER(MATCH(R1953,T:T,0))</f>
        <v>1</v>
      </c>
    </row>
    <row r="1954" spans="1:22">
      <c r="A1954" s="3">
        <v>1952</v>
      </c>
      <c r="B1954" s="3" t="s">
        <v>3884</v>
      </c>
      <c r="C1954" s="3" t="s">
        <v>6015</v>
      </c>
      <c r="D1954" s="3" t="s">
        <v>6001</v>
      </c>
      <c r="E1954" s="3" t="s">
        <v>5991</v>
      </c>
      <c r="F1954" s="3" t="s">
        <v>4996</v>
      </c>
      <c r="G1954" s="3" t="s">
        <v>8645</v>
      </c>
      <c r="H1954" s="3" t="s">
        <v>3941</v>
      </c>
      <c r="I1954" s="3" t="s">
        <v>4998</v>
      </c>
      <c r="J1954" s="5" t="s">
        <v>3942</v>
      </c>
      <c r="L1954" s="3" t="s">
        <v>3928</v>
      </c>
      <c r="M1954" s="3">
        <v>1</v>
      </c>
      <c r="N1954" s="4" t="s">
        <v>3888</v>
      </c>
      <c r="O1954" s="4">
        <v>101</v>
      </c>
      <c r="P1954" s="11" t="s">
        <v>9777</v>
      </c>
      <c r="Q1954" s="11" t="s">
        <v>9764</v>
      </c>
      <c r="R1954" s="4" t="s">
        <v>13107</v>
      </c>
      <c r="S1954" s="4" t="b">
        <f>ISNUMBER(MATCH(Q1954,T:T,0))</f>
        <v>0</v>
      </c>
      <c r="T1954" s="4" t="s">
        <v>3942</v>
      </c>
      <c r="U1954" s="4" t="str">
        <f t="shared" si="82"/>
        <v>久</v>
      </c>
      <c r="V1954" s="4" t="b">
        <f t="shared" si="85"/>
        <v>1</v>
      </c>
    </row>
    <row r="1955" spans="1:22">
      <c r="A1955" s="3">
        <v>1953</v>
      </c>
      <c r="B1955" s="3" t="s">
        <v>3884</v>
      </c>
      <c r="C1955" s="3" t="s">
        <v>6167</v>
      </c>
      <c r="D1955" s="3" t="s">
        <v>6001</v>
      </c>
      <c r="E1955" s="3" t="s">
        <v>5991</v>
      </c>
      <c r="F1955" s="3" t="s">
        <v>4996</v>
      </c>
      <c r="G1955" s="3" t="s">
        <v>8645</v>
      </c>
      <c r="H1955" s="3" t="s">
        <v>3943</v>
      </c>
      <c r="I1955" s="3" t="s">
        <v>4998</v>
      </c>
      <c r="J1955" s="5" t="s">
        <v>3944</v>
      </c>
      <c r="L1955" s="3" t="s">
        <v>3896</v>
      </c>
      <c r="M1955" s="3">
        <v>2</v>
      </c>
      <c r="N1955" s="4" t="s">
        <v>3888</v>
      </c>
      <c r="O1955" s="4">
        <v>101</v>
      </c>
      <c r="P1955" s="11" t="s">
        <v>6167</v>
      </c>
      <c r="Q1955" s="11" t="s">
        <v>9764</v>
      </c>
      <c r="R1955" s="4" t="s">
        <v>13107</v>
      </c>
      <c r="S1955" s="4" t="b">
        <f>ISNUMBER(MATCH(Q1955,T:T,0))</f>
        <v>0</v>
      </c>
      <c r="T1955" s="4" t="s">
        <v>11939</v>
      </c>
      <c r="U1955" s="4" t="str">
        <f t="shared" si="82"/>
        <v>久</v>
      </c>
      <c r="V1955" s="4" t="b">
        <f t="shared" si="85"/>
        <v>1</v>
      </c>
    </row>
    <row r="1956" spans="1:22">
      <c r="A1956" s="3">
        <v>1954</v>
      </c>
      <c r="B1956" s="3" t="s">
        <v>3884</v>
      </c>
      <c r="C1956" s="3" t="s">
        <v>6053</v>
      </c>
      <c r="D1956" s="3" t="s">
        <v>6001</v>
      </c>
      <c r="E1956" s="3" t="s">
        <v>5991</v>
      </c>
      <c r="F1956" s="3" t="s">
        <v>4996</v>
      </c>
      <c r="G1956" s="3" t="s">
        <v>8645</v>
      </c>
      <c r="H1956" s="3" t="s">
        <v>3945</v>
      </c>
      <c r="I1956" s="3" t="s">
        <v>4998</v>
      </c>
      <c r="J1956" s="5" t="s">
        <v>3946</v>
      </c>
      <c r="L1956" s="3" t="s">
        <v>3917</v>
      </c>
      <c r="M1956" s="3">
        <v>1</v>
      </c>
      <c r="N1956" s="4" t="s">
        <v>3888</v>
      </c>
      <c r="O1956" s="4">
        <v>101</v>
      </c>
      <c r="P1956" s="11" t="s">
        <v>9841</v>
      </c>
      <c r="Q1956" s="11" t="s">
        <v>10413</v>
      </c>
      <c r="R1956" s="4" t="s">
        <v>13109</v>
      </c>
      <c r="S1956" s="4" t="b">
        <f>ISNUMBER(MATCH(Q1956,T:T,0))</f>
        <v>0</v>
      </c>
      <c r="T1956" s="4" t="s">
        <v>3946</v>
      </c>
      <c r="U1956" s="4" t="str">
        <f t="shared" si="82"/>
        <v>負</v>
      </c>
      <c r="V1956" s="4" t="b">
        <f t="shared" si="85"/>
        <v>1</v>
      </c>
    </row>
    <row r="1957" spans="1:22">
      <c r="A1957" s="3">
        <v>1955</v>
      </c>
      <c r="B1957" s="3" t="s">
        <v>3947</v>
      </c>
      <c r="C1957" s="3" t="s">
        <v>6067</v>
      </c>
      <c r="D1957" s="3" t="s">
        <v>5990</v>
      </c>
      <c r="E1957" s="3" t="s">
        <v>5991</v>
      </c>
      <c r="F1957" s="3" t="s">
        <v>5053</v>
      </c>
      <c r="G1957" s="3" t="s">
        <v>8645</v>
      </c>
      <c r="H1957" s="3" t="s">
        <v>3948</v>
      </c>
      <c r="I1957" s="3" t="s">
        <v>4998</v>
      </c>
      <c r="J1957" s="5" t="s">
        <v>3949</v>
      </c>
      <c r="L1957" s="3" t="s">
        <v>3950</v>
      </c>
      <c r="M1957" s="3">
        <v>7</v>
      </c>
      <c r="N1957" s="4" t="s">
        <v>9650</v>
      </c>
      <c r="O1957" s="4">
        <v>102</v>
      </c>
      <c r="P1957" s="11" t="s">
        <v>9870</v>
      </c>
      <c r="Q1957" s="11" t="s">
        <v>9915</v>
      </c>
      <c r="S1957" s="4" t="b">
        <f>ISNUMBER(MATCH(Q1957,T:T,0))</f>
        <v>1</v>
      </c>
      <c r="T1957" s="4" t="s">
        <v>9650</v>
      </c>
      <c r="U1957" s="4" t="str">
        <f t="shared" si="82"/>
        <v>口</v>
      </c>
    </row>
    <row r="1958" spans="1:22">
      <c r="A1958" s="3">
        <v>1956</v>
      </c>
      <c r="B1958" s="3" t="s">
        <v>3947</v>
      </c>
      <c r="C1958" s="3" t="s">
        <v>6035</v>
      </c>
      <c r="D1958" s="3" t="s">
        <v>5990</v>
      </c>
      <c r="E1958" s="3" t="s">
        <v>5991</v>
      </c>
      <c r="F1958" s="3" t="s">
        <v>5053</v>
      </c>
      <c r="G1958" s="3" t="s">
        <v>8645</v>
      </c>
      <c r="H1958" s="3" t="s">
        <v>3951</v>
      </c>
      <c r="I1958" s="3" t="s">
        <v>4998</v>
      </c>
      <c r="J1958" s="5" t="s">
        <v>9051</v>
      </c>
      <c r="L1958" s="3" t="s">
        <v>3952</v>
      </c>
      <c r="M1958" s="3">
        <v>14</v>
      </c>
      <c r="N1958" s="4" t="s">
        <v>9650</v>
      </c>
      <c r="O1958" s="4">
        <v>102</v>
      </c>
      <c r="P1958" s="11" t="s">
        <v>9719</v>
      </c>
      <c r="Q1958" s="11" t="s">
        <v>9650</v>
      </c>
      <c r="S1958" s="4" t="b">
        <f>ISNUMBER(MATCH(Q1958,T:T,0))</f>
        <v>1</v>
      </c>
      <c r="T1958" s="4" t="s">
        <v>9978</v>
      </c>
      <c r="U1958" s="4" t="str">
        <f t="shared" si="82"/>
        <v>厚</v>
      </c>
    </row>
    <row r="1959" spans="1:22">
      <c r="A1959" s="3">
        <v>1957</v>
      </c>
      <c r="B1959" s="3" t="s">
        <v>3947</v>
      </c>
      <c r="C1959" s="3" t="s">
        <v>6045</v>
      </c>
      <c r="D1959" s="3" t="s">
        <v>5990</v>
      </c>
      <c r="E1959" s="3" t="s">
        <v>5991</v>
      </c>
      <c r="F1959" s="3" t="s">
        <v>5053</v>
      </c>
      <c r="G1959" s="3" t="s">
        <v>8645</v>
      </c>
      <c r="H1959" s="3" t="s">
        <v>3953</v>
      </c>
      <c r="I1959" s="3" t="s">
        <v>4998</v>
      </c>
      <c r="J1959" s="5" t="s">
        <v>9052</v>
      </c>
      <c r="L1959" s="3" t="s">
        <v>3954</v>
      </c>
      <c r="M1959" s="3">
        <v>10</v>
      </c>
      <c r="N1959" s="4" t="s">
        <v>9650</v>
      </c>
      <c r="O1959" s="4">
        <v>102</v>
      </c>
      <c r="P1959" s="11" t="s">
        <v>9965</v>
      </c>
      <c r="Q1959" s="11" t="s">
        <v>9915</v>
      </c>
      <c r="S1959" s="4" t="b">
        <f>ISNUMBER(MATCH(Q1959,T:T,0))</f>
        <v>1</v>
      </c>
      <c r="T1959" s="4" t="s">
        <v>9893</v>
      </c>
      <c r="U1959" s="4" t="str">
        <f t="shared" si="82"/>
        <v>口</v>
      </c>
    </row>
    <row r="1960" spans="1:22">
      <c r="A1960" s="3">
        <v>1958</v>
      </c>
      <c r="B1960" s="3" t="s">
        <v>3947</v>
      </c>
      <c r="C1960" s="3" t="s">
        <v>5989</v>
      </c>
      <c r="D1960" s="3" t="s">
        <v>5990</v>
      </c>
      <c r="E1960" s="3" t="s">
        <v>5991</v>
      </c>
      <c r="F1960" s="3" t="s">
        <v>5053</v>
      </c>
      <c r="G1960" s="3" t="s">
        <v>8645</v>
      </c>
      <c r="H1960" s="3" t="s">
        <v>3955</v>
      </c>
      <c r="I1960" s="3" t="s">
        <v>4998</v>
      </c>
      <c r="J1960" s="5" t="s">
        <v>9053</v>
      </c>
      <c r="L1960" s="3" t="s">
        <v>3956</v>
      </c>
      <c r="M1960" s="3">
        <v>8</v>
      </c>
      <c r="N1960" s="4" t="s">
        <v>9650</v>
      </c>
      <c r="O1960" s="4">
        <v>102</v>
      </c>
      <c r="P1960" s="11" t="s">
        <v>9883</v>
      </c>
      <c r="Q1960" s="11" t="s">
        <v>9915</v>
      </c>
      <c r="S1960" s="4" t="b">
        <f>ISNUMBER(MATCH(Q1960,T:T,0))</f>
        <v>1</v>
      </c>
      <c r="T1960" s="4" t="s">
        <v>10417</v>
      </c>
      <c r="U1960" s="4" t="str">
        <f t="shared" si="82"/>
        <v>口</v>
      </c>
    </row>
    <row r="1961" spans="1:22">
      <c r="A1961" s="3">
        <v>1959</v>
      </c>
      <c r="B1961" s="3" t="s">
        <v>3947</v>
      </c>
      <c r="C1961" s="3" t="s">
        <v>6079</v>
      </c>
      <c r="D1961" s="3" t="s">
        <v>5990</v>
      </c>
      <c r="E1961" s="3" t="s">
        <v>5991</v>
      </c>
      <c r="F1961" s="3" t="s">
        <v>5053</v>
      </c>
      <c r="G1961" s="3" t="s">
        <v>8645</v>
      </c>
      <c r="H1961" s="3" t="s">
        <v>3957</v>
      </c>
      <c r="I1961" s="3" t="s">
        <v>4998</v>
      </c>
      <c r="J1961" s="5" t="s">
        <v>9054</v>
      </c>
      <c r="L1961" s="3" t="s">
        <v>3958</v>
      </c>
      <c r="M1961" s="3">
        <v>9</v>
      </c>
      <c r="N1961" s="4" t="s">
        <v>9650</v>
      </c>
      <c r="O1961" s="4">
        <v>102</v>
      </c>
      <c r="P1961" s="11" t="s">
        <v>10414</v>
      </c>
      <c r="Q1961" s="11" t="s">
        <v>9915</v>
      </c>
      <c r="S1961" s="4" t="b">
        <f>ISNUMBER(MATCH(Q1961,T:T,0))</f>
        <v>1</v>
      </c>
      <c r="T1961" s="4" t="s">
        <v>11940</v>
      </c>
      <c r="U1961" s="4" t="str">
        <f t="shared" si="82"/>
        <v>口</v>
      </c>
    </row>
    <row r="1962" spans="1:22">
      <c r="A1962" s="3">
        <v>1960</v>
      </c>
      <c r="B1962" s="3" t="s">
        <v>3947</v>
      </c>
      <c r="C1962" s="3" t="s">
        <v>6025</v>
      </c>
      <c r="D1962" s="3" t="s">
        <v>5990</v>
      </c>
      <c r="E1962" s="3" t="s">
        <v>5991</v>
      </c>
      <c r="F1962" s="3" t="s">
        <v>5053</v>
      </c>
      <c r="G1962" s="3" t="s">
        <v>8645</v>
      </c>
      <c r="H1962" s="3" t="s">
        <v>3959</v>
      </c>
      <c r="I1962" s="3" t="s">
        <v>4998</v>
      </c>
      <c r="J1962" s="5" t="s">
        <v>9055</v>
      </c>
      <c r="L1962" s="3" t="s">
        <v>3960</v>
      </c>
      <c r="M1962" s="3">
        <v>13</v>
      </c>
      <c r="N1962" s="4" t="s">
        <v>9650</v>
      </c>
      <c r="O1962" s="4">
        <v>102</v>
      </c>
      <c r="P1962" s="11" t="s">
        <v>9729</v>
      </c>
      <c r="Q1962" s="11" t="s">
        <v>9650</v>
      </c>
      <c r="S1962" s="4" t="b">
        <f>ISNUMBER(MATCH(Q1962,T:T,0))</f>
        <v>1</v>
      </c>
      <c r="T1962" s="4" t="s">
        <v>10418</v>
      </c>
      <c r="U1962" s="4" t="str">
        <f t="shared" si="82"/>
        <v>厚</v>
      </c>
    </row>
    <row r="1963" spans="1:22">
      <c r="A1963" s="3">
        <v>1961</v>
      </c>
      <c r="B1963" s="3" t="s">
        <v>3947</v>
      </c>
      <c r="C1963" s="3" t="s">
        <v>6092</v>
      </c>
      <c r="D1963" s="3" t="s">
        <v>5990</v>
      </c>
      <c r="E1963" s="3" t="s">
        <v>5991</v>
      </c>
      <c r="F1963" s="3" t="s">
        <v>5053</v>
      </c>
      <c r="G1963" s="3" t="s">
        <v>8645</v>
      </c>
      <c r="H1963" s="3" t="s">
        <v>3961</v>
      </c>
      <c r="I1963" s="3" t="s">
        <v>4998</v>
      </c>
      <c r="J1963" s="5" t="s">
        <v>9056</v>
      </c>
      <c r="L1963" s="3" t="s">
        <v>3962</v>
      </c>
      <c r="M1963" s="3">
        <v>6</v>
      </c>
      <c r="N1963" s="4" t="s">
        <v>9650</v>
      </c>
      <c r="O1963" s="4">
        <v>102</v>
      </c>
      <c r="P1963" s="11" t="s">
        <v>9740</v>
      </c>
      <c r="Q1963" s="11" t="s">
        <v>9915</v>
      </c>
      <c r="S1963" s="4" t="b">
        <f>ISNUMBER(MATCH(Q1963,T:T,0))</f>
        <v>1</v>
      </c>
      <c r="T1963" s="4" t="s">
        <v>11941</v>
      </c>
      <c r="U1963" s="4" t="str">
        <f t="shared" si="82"/>
        <v>口</v>
      </c>
    </row>
    <row r="1964" spans="1:22">
      <c r="A1964" s="3">
        <v>1962</v>
      </c>
      <c r="B1964" s="3" t="s">
        <v>3947</v>
      </c>
      <c r="C1964" s="3" t="s">
        <v>6049</v>
      </c>
      <c r="D1964" s="3" t="s">
        <v>5990</v>
      </c>
      <c r="E1964" s="3" t="s">
        <v>5991</v>
      </c>
      <c r="F1964" s="3" t="s">
        <v>5053</v>
      </c>
      <c r="G1964" s="3" t="s">
        <v>8645</v>
      </c>
      <c r="H1964" s="3" t="s">
        <v>3963</v>
      </c>
      <c r="I1964" s="3" t="s">
        <v>4998</v>
      </c>
      <c r="J1964" s="5" t="s">
        <v>3964</v>
      </c>
      <c r="L1964" s="3" t="s">
        <v>3965</v>
      </c>
      <c r="M1964" s="3">
        <v>2</v>
      </c>
      <c r="N1964" s="4" t="s">
        <v>9650</v>
      </c>
      <c r="O1964" s="4">
        <v>102</v>
      </c>
      <c r="P1964" s="11" t="s">
        <v>9723</v>
      </c>
      <c r="Q1964" s="11" t="s">
        <v>10415</v>
      </c>
      <c r="R1964" s="4" t="s">
        <v>13110</v>
      </c>
      <c r="S1964" s="4" t="b">
        <f>ISNUMBER(MATCH(Q1964,T:T,0))</f>
        <v>0</v>
      </c>
      <c r="T1964" s="4" t="s">
        <v>11942</v>
      </c>
      <c r="U1964" s="4" t="str">
        <f t="shared" si="82"/>
        <v>苟</v>
      </c>
      <c r="V1964" s="4" t="b">
        <f t="shared" ref="V1964:V1969" si="86">ISNUMBER(MATCH(R1964,T:T,0))</f>
        <v>1</v>
      </c>
    </row>
    <row r="1965" spans="1:22">
      <c r="A1965" s="3">
        <v>1963</v>
      </c>
      <c r="B1965" s="3" t="s">
        <v>3947</v>
      </c>
      <c r="C1965" s="3" t="s">
        <v>6102</v>
      </c>
      <c r="D1965" s="3" t="s">
        <v>5990</v>
      </c>
      <c r="E1965" s="3" t="s">
        <v>5991</v>
      </c>
      <c r="F1965" s="3" t="s">
        <v>5053</v>
      </c>
      <c r="G1965" s="3" t="s">
        <v>8645</v>
      </c>
      <c r="H1965" s="3" t="s">
        <v>3966</v>
      </c>
      <c r="I1965" s="3" t="s">
        <v>4998</v>
      </c>
      <c r="J1965" s="5" t="s">
        <v>9057</v>
      </c>
      <c r="L1965" s="3" t="s">
        <v>3967</v>
      </c>
      <c r="M1965" s="3">
        <v>6</v>
      </c>
      <c r="N1965" s="4" t="s">
        <v>9650</v>
      </c>
      <c r="O1965" s="4">
        <v>102</v>
      </c>
      <c r="P1965" s="11" t="s">
        <v>9873</v>
      </c>
      <c r="Q1965" s="11" t="s">
        <v>10416</v>
      </c>
      <c r="R1965" s="4" t="s">
        <v>13111</v>
      </c>
      <c r="S1965" s="4" t="b">
        <f>ISNUMBER(MATCH(Q1965,T:T,0))</f>
        <v>0</v>
      </c>
      <c r="T1965" s="4" t="s">
        <v>11943</v>
      </c>
      <c r="U1965" s="4" t="str">
        <f t="shared" si="82"/>
        <v>厚</v>
      </c>
      <c r="V1965" s="4" t="b">
        <f t="shared" si="86"/>
        <v>1</v>
      </c>
    </row>
    <row r="1966" spans="1:22" ht="39">
      <c r="A1966" s="3">
        <v>1964</v>
      </c>
      <c r="B1966" s="3" t="s">
        <v>3947</v>
      </c>
      <c r="C1966" s="3" t="s">
        <v>6017</v>
      </c>
      <c r="D1966" s="3" t="s">
        <v>5990</v>
      </c>
      <c r="E1966" s="3" t="s">
        <v>5991</v>
      </c>
      <c r="F1966" s="3" t="s">
        <v>5053</v>
      </c>
      <c r="G1966" s="3" t="s">
        <v>8645</v>
      </c>
      <c r="H1966" s="3" t="s">
        <v>3968</v>
      </c>
      <c r="I1966" s="3" t="s">
        <v>4998</v>
      </c>
      <c r="J1966" s="8" t="s">
        <v>9058</v>
      </c>
      <c r="L1966" s="3" t="s">
        <v>3969</v>
      </c>
      <c r="M1966" s="3">
        <v>15</v>
      </c>
      <c r="N1966" s="4" t="s">
        <v>9650</v>
      </c>
      <c r="O1966" s="4">
        <v>102</v>
      </c>
      <c r="P1966" s="11" t="s">
        <v>9741</v>
      </c>
      <c r="Q1966" s="11" t="s">
        <v>10416</v>
      </c>
      <c r="R1966" s="4" t="s">
        <v>13111</v>
      </c>
      <c r="S1966" s="4" t="b">
        <f>ISNUMBER(MATCH(Q1966,T:T,0))</f>
        <v>0</v>
      </c>
      <c r="T1966" s="4" t="s">
        <v>11944</v>
      </c>
      <c r="U1966" s="4" t="str">
        <f t="shared" si="82"/>
        <v>厚</v>
      </c>
      <c r="V1966" s="4" t="b">
        <f t="shared" si="86"/>
        <v>1</v>
      </c>
    </row>
    <row r="1967" spans="1:22">
      <c r="A1967" s="3">
        <v>1965</v>
      </c>
      <c r="B1967" s="3" t="s">
        <v>3947</v>
      </c>
      <c r="C1967" s="3" t="s">
        <v>6089</v>
      </c>
      <c r="D1967" s="3" t="s">
        <v>5990</v>
      </c>
      <c r="E1967" s="3" t="s">
        <v>5991</v>
      </c>
      <c r="F1967" s="3" t="s">
        <v>5053</v>
      </c>
      <c r="G1967" s="3" t="s">
        <v>8645</v>
      </c>
      <c r="H1967" s="3" t="s">
        <v>3970</v>
      </c>
      <c r="I1967" s="3" t="s">
        <v>4998</v>
      </c>
      <c r="J1967" s="5" t="s">
        <v>3971</v>
      </c>
      <c r="L1967" s="3" t="s">
        <v>3972</v>
      </c>
      <c r="M1967" s="3">
        <v>7</v>
      </c>
      <c r="N1967" s="4" t="s">
        <v>9650</v>
      </c>
      <c r="O1967" s="4">
        <v>102</v>
      </c>
      <c r="P1967" s="11" t="s">
        <v>9739</v>
      </c>
      <c r="Q1967" s="11" t="s">
        <v>10416</v>
      </c>
      <c r="R1967" s="4" t="s">
        <v>13111</v>
      </c>
      <c r="S1967" s="4" t="b">
        <f>ISNUMBER(MATCH(Q1967,T:T,0))</f>
        <v>0</v>
      </c>
      <c r="T1967" s="4" t="s">
        <v>11945</v>
      </c>
      <c r="U1967" s="4" t="str">
        <f t="shared" si="82"/>
        <v>厚</v>
      </c>
      <c r="V1967" s="4" t="b">
        <f t="shared" si="86"/>
        <v>1</v>
      </c>
    </row>
    <row r="1968" spans="1:22">
      <c r="A1968" s="3">
        <v>1966</v>
      </c>
      <c r="B1968" s="3" t="s">
        <v>3947</v>
      </c>
      <c r="C1968" s="3" t="s">
        <v>6053</v>
      </c>
      <c r="D1968" s="3" t="s">
        <v>5990</v>
      </c>
      <c r="E1968" s="3" t="s">
        <v>5991</v>
      </c>
      <c r="F1968" s="3" t="s">
        <v>5053</v>
      </c>
      <c r="G1968" s="3" t="s">
        <v>8645</v>
      </c>
      <c r="H1968" s="3" t="s">
        <v>3973</v>
      </c>
      <c r="I1968" s="3" t="s">
        <v>4998</v>
      </c>
      <c r="J1968" s="5" t="s">
        <v>3974</v>
      </c>
      <c r="L1968" s="3" t="s">
        <v>3975</v>
      </c>
      <c r="M1968" s="3">
        <v>5</v>
      </c>
      <c r="N1968" s="4" t="s">
        <v>9650</v>
      </c>
      <c r="O1968" s="4">
        <v>102</v>
      </c>
      <c r="P1968" s="11" t="s">
        <v>9884</v>
      </c>
      <c r="Q1968" s="11" t="s">
        <v>10416</v>
      </c>
      <c r="R1968" s="4" t="s">
        <v>13111</v>
      </c>
      <c r="S1968" s="4" t="b">
        <f>ISNUMBER(MATCH(Q1968,T:T,0))</f>
        <v>0</v>
      </c>
      <c r="T1968" s="4" t="s">
        <v>11946</v>
      </c>
      <c r="U1968" s="4" t="str">
        <f t="shared" si="82"/>
        <v>厚</v>
      </c>
      <c r="V1968" s="4" t="b">
        <f t="shared" si="86"/>
        <v>1</v>
      </c>
    </row>
    <row r="1969" spans="1:22">
      <c r="A1969" s="3">
        <v>1967</v>
      </c>
      <c r="B1969" s="3" t="s">
        <v>3947</v>
      </c>
      <c r="C1969" s="3" t="s">
        <v>6072</v>
      </c>
      <c r="D1969" s="3" t="s">
        <v>5990</v>
      </c>
      <c r="E1969" s="3" t="s">
        <v>5991</v>
      </c>
      <c r="F1969" s="3" t="s">
        <v>5053</v>
      </c>
      <c r="G1969" s="3" t="s">
        <v>8645</v>
      </c>
      <c r="H1969" s="3" t="s">
        <v>3976</v>
      </c>
      <c r="I1969" s="3" t="s">
        <v>4998</v>
      </c>
      <c r="J1969" s="5" t="s">
        <v>9059</v>
      </c>
      <c r="L1969" s="3" t="s">
        <v>3962</v>
      </c>
      <c r="M1969" s="3">
        <v>7</v>
      </c>
      <c r="N1969" s="4" t="s">
        <v>9650</v>
      </c>
      <c r="O1969" s="4">
        <v>102</v>
      </c>
      <c r="P1969" s="11" t="s">
        <v>9734</v>
      </c>
      <c r="Q1969" s="11" t="s">
        <v>10416</v>
      </c>
      <c r="R1969" s="4" t="s">
        <v>13111</v>
      </c>
      <c r="S1969" s="4" t="b">
        <f>ISNUMBER(MATCH(Q1969,T:T,0))</f>
        <v>0</v>
      </c>
      <c r="T1969" s="4" t="s">
        <v>11947</v>
      </c>
      <c r="U1969" s="4" t="str">
        <f t="shared" si="82"/>
        <v>厚</v>
      </c>
      <c r="V1969" s="4" t="b">
        <f t="shared" si="86"/>
        <v>1</v>
      </c>
    </row>
    <row r="1970" spans="1:22">
      <c r="A1970" s="3">
        <v>1968</v>
      </c>
      <c r="B1970" s="3" t="s">
        <v>3947</v>
      </c>
      <c r="C1970" s="3" t="s">
        <v>6058</v>
      </c>
      <c r="D1970" s="3" t="s">
        <v>5990</v>
      </c>
      <c r="E1970" s="3" t="s">
        <v>5991</v>
      </c>
      <c r="F1970" s="3" t="s">
        <v>5053</v>
      </c>
      <c r="G1970" s="3" t="s">
        <v>8645</v>
      </c>
      <c r="H1970" s="3" t="s">
        <v>3977</v>
      </c>
      <c r="I1970" s="3" t="s">
        <v>4998</v>
      </c>
      <c r="J1970" s="5" t="s">
        <v>9060</v>
      </c>
      <c r="L1970" s="3" t="s">
        <v>3978</v>
      </c>
      <c r="M1970" s="3">
        <v>10</v>
      </c>
      <c r="N1970" s="4" t="s">
        <v>9650</v>
      </c>
      <c r="O1970" s="4">
        <v>102</v>
      </c>
      <c r="P1970" s="11" t="s">
        <v>9886</v>
      </c>
      <c r="Q1970" s="11" t="s">
        <v>10417</v>
      </c>
      <c r="S1970" s="4" t="b">
        <f>ISNUMBER(MATCH(Q1970,T:T,0))</f>
        <v>1</v>
      </c>
      <c r="T1970" s="4" t="s">
        <v>11948</v>
      </c>
      <c r="U1970" s="4" t="str">
        <f t="shared" si="82"/>
        <v>斗</v>
      </c>
    </row>
    <row r="1971" spans="1:22">
      <c r="A1971" s="3">
        <v>1969</v>
      </c>
      <c r="B1971" s="3" t="s">
        <v>3947</v>
      </c>
      <c r="C1971" s="3" t="s">
        <v>6083</v>
      </c>
      <c r="D1971" s="3" t="s">
        <v>5990</v>
      </c>
      <c r="E1971" s="3" t="s">
        <v>5991</v>
      </c>
      <c r="F1971" s="3" t="s">
        <v>5053</v>
      </c>
      <c r="G1971" s="3" t="s">
        <v>8645</v>
      </c>
      <c r="H1971" s="3" t="s">
        <v>3979</v>
      </c>
      <c r="I1971" s="3" t="s">
        <v>4998</v>
      </c>
      <c r="J1971" s="5" t="s">
        <v>3980</v>
      </c>
      <c r="L1971" s="3" t="s">
        <v>3981</v>
      </c>
      <c r="M1971" s="3">
        <v>1</v>
      </c>
      <c r="N1971" s="4" t="s">
        <v>9650</v>
      </c>
      <c r="O1971" s="4">
        <v>102</v>
      </c>
      <c r="P1971" s="11" t="s">
        <v>9737</v>
      </c>
      <c r="Q1971" s="11" t="s">
        <v>10418</v>
      </c>
      <c r="S1971" s="4" t="b">
        <f>ISNUMBER(MATCH(Q1971,T:T,0))</f>
        <v>1</v>
      </c>
      <c r="T1971" s="4" t="s">
        <v>3980</v>
      </c>
      <c r="U1971" s="4" t="str">
        <f t="shared" si="82"/>
        <v>苟</v>
      </c>
    </row>
    <row r="1972" spans="1:22">
      <c r="A1972" s="3">
        <v>1970</v>
      </c>
      <c r="B1972" s="3" t="s">
        <v>3947</v>
      </c>
      <c r="C1972" s="3" t="s">
        <v>6038</v>
      </c>
      <c r="D1972" s="3" t="s">
        <v>5990</v>
      </c>
      <c r="E1972" s="3" t="s">
        <v>5991</v>
      </c>
      <c r="F1972" s="3" t="s">
        <v>5053</v>
      </c>
      <c r="G1972" s="3" t="s">
        <v>8645</v>
      </c>
      <c r="H1972" s="3" t="s">
        <v>3982</v>
      </c>
      <c r="I1972" s="3" t="s">
        <v>4998</v>
      </c>
      <c r="J1972" s="5" t="s">
        <v>3983</v>
      </c>
      <c r="L1972" s="3" t="s">
        <v>3984</v>
      </c>
      <c r="M1972" s="3">
        <v>9</v>
      </c>
      <c r="N1972" s="4" t="s">
        <v>9650</v>
      </c>
      <c r="O1972" s="4">
        <v>102</v>
      </c>
      <c r="P1972" s="11" t="s">
        <v>9728</v>
      </c>
      <c r="Q1972" s="11" t="s">
        <v>10416</v>
      </c>
      <c r="R1972" s="4" t="s">
        <v>13111</v>
      </c>
      <c r="S1972" s="4" t="b">
        <f>ISNUMBER(MATCH(Q1972,T:T,0))</f>
        <v>0</v>
      </c>
      <c r="T1972" s="4" t="s">
        <v>9915</v>
      </c>
      <c r="U1972" s="4" t="str">
        <f t="shared" si="82"/>
        <v>厚</v>
      </c>
      <c r="V1972" s="4" t="b">
        <f>ISNUMBER(MATCH(R1972,T:T,0))</f>
        <v>1</v>
      </c>
    </row>
    <row r="1973" spans="1:22">
      <c r="A1973" s="3">
        <v>1971</v>
      </c>
      <c r="B1973" s="3" t="s">
        <v>3947</v>
      </c>
      <c r="C1973" s="3" t="s">
        <v>5997</v>
      </c>
      <c r="D1973" s="3" t="s">
        <v>5990</v>
      </c>
      <c r="E1973" s="3" t="s">
        <v>5991</v>
      </c>
      <c r="F1973" s="3" t="s">
        <v>5053</v>
      </c>
      <c r="G1973" s="3" t="s">
        <v>8645</v>
      </c>
      <c r="H1973" s="3" t="s">
        <v>3985</v>
      </c>
      <c r="I1973" s="3" t="s">
        <v>4998</v>
      </c>
      <c r="J1973" s="5" t="s">
        <v>3986</v>
      </c>
      <c r="L1973" s="3" t="s">
        <v>3987</v>
      </c>
      <c r="M1973" s="3">
        <v>6</v>
      </c>
      <c r="N1973" s="4" t="s">
        <v>9650</v>
      </c>
      <c r="O1973" s="4">
        <v>102</v>
      </c>
      <c r="P1973" s="11" t="s">
        <v>9706</v>
      </c>
      <c r="Q1973" s="11" t="s">
        <v>9915</v>
      </c>
      <c r="S1973" s="4" t="b">
        <f>ISNUMBER(MATCH(Q1973,T:T,0))</f>
        <v>1</v>
      </c>
      <c r="T1973" s="4" t="s">
        <v>11949</v>
      </c>
      <c r="U1973" s="4" t="str">
        <f t="shared" si="82"/>
        <v>口</v>
      </c>
    </row>
    <row r="1974" spans="1:22">
      <c r="A1974" s="3">
        <v>1972</v>
      </c>
      <c r="B1974" s="3" t="s">
        <v>3947</v>
      </c>
      <c r="C1974" s="3" t="s">
        <v>6015</v>
      </c>
      <c r="D1974" s="3" t="s">
        <v>5990</v>
      </c>
      <c r="E1974" s="3" t="s">
        <v>5991</v>
      </c>
      <c r="F1974" s="3" t="s">
        <v>5053</v>
      </c>
      <c r="G1974" s="3" t="s">
        <v>8645</v>
      </c>
      <c r="H1974" s="3" t="s">
        <v>3988</v>
      </c>
      <c r="I1974" s="3" t="s">
        <v>4998</v>
      </c>
      <c r="J1974" s="5" t="s">
        <v>3989</v>
      </c>
      <c r="M1974" s="3">
        <v>1</v>
      </c>
      <c r="N1974" s="4" t="s">
        <v>9650</v>
      </c>
      <c r="O1974" s="4">
        <v>102</v>
      </c>
      <c r="P1974" s="11" t="s">
        <v>9866</v>
      </c>
      <c r="Q1974" s="11" t="s">
        <v>10415</v>
      </c>
      <c r="R1974" s="4" t="s">
        <v>13110</v>
      </c>
      <c r="S1974" s="4" t="b">
        <f>ISNUMBER(MATCH(Q1974,T:T,0))</f>
        <v>0</v>
      </c>
      <c r="T1974" s="4" t="s">
        <v>3989</v>
      </c>
      <c r="U1974" s="4" t="str">
        <f t="shared" si="82"/>
        <v>苟</v>
      </c>
      <c r="V1974" s="4" t="b">
        <f>ISNUMBER(MATCH(R1974,T:T,0))</f>
        <v>1</v>
      </c>
    </row>
    <row r="1975" spans="1:22">
      <c r="A1975" s="3">
        <v>1973</v>
      </c>
      <c r="B1975" s="3" t="s">
        <v>3947</v>
      </c>
      <c r="C1975" s="3" t="s">
        <v>6076</v>
      </c>
      <c r="D1975" s="3" t="s">
        <v>5990</v>
      </c>
      <c r="E1975" s="3" t="s">
        <v>5991</v>
      </c>
      <c r="F1975" s="3" t="s">
        <v>5053</v>
      </c>
      <c r="G1975" s="3" t="s">
        <v>8645</v>
      </c>
      <c r="H1975" s="3" t="s">
        <v>3990</v>
      </c>
      <c r="I1975" s="3" t="s">
        <v>4998</v>
      </c>
      <c r="J1975" s="5" t="s">
        <v>3991</v>
      </c>
      <c r="L1975" s="3" t="s">
        <v>3992</v>
      </c>
      <c r="M1975" s="3">
        <v>3</v>
      </c>
      <c r="N1975" s="4" t="s">
        <v>9650</v>
      </c>
      <c r="O1975" s="4">
        <v>102</v>
      </c>
      <c r="P1975" s="11" t="s">
        <v>7388</v>
      </c>
      <c r="Q1975" s="11" t="s">
        <v>10418</v>
      </c>
      <c r="S1975" s="4" t="b">
        <f>ISNUMBER(MATCH(Q1975,T:T,0))</f>
        <v>1</v>
      </c>
      <c r="T1975" s="4" t="s">
        <v>11950</v>
      </c>
      <c r="U1975" s="4" t="str">
        <f t="shared" si="82"/>
        <v>苟</v>
      </c>
    </row>
    <row r="1976" spans="1:22">
      <c r="A1976" s="3">
        <v>1974</v>
      </c>
      <c r="B1976" s="3" t="s">
        <v>3993</v>
      </c>
      <c r="C1976" s="3" t="s">
        <v>6072</v>
      </c>
      <c r="D1976" s="3" t="s">
        <v>6001</v>
      </c>
      <c r="E1976" s="3" t="s">
        <v>5991</v>
      </c>
      <c r="F1976" s="3" t="s">
        <v>5095</v>
      </c>
      <c r="G1976" s="3" t="s">
        <v>8645</v>
      </c>
      <c r="H1976" s="3" t="s">
        <v>3994</v>
      </c>
      <c r="I1976" s="3" t="s">
        <v>4998</v>
      </c>
      <c r="J1976" s="5" t="s">
        <v>3995</v>
      </c>
      <c r="L1976" s="3" t="s">
        <v>3887</v>
      </c>
      <c r="M1976" s="3">
        <v>7</v>
      </c>
      <c r="N1976" s="4" t="s">
        <v>9651</v>
      </c>
      <c r="O1976" s="4">
        <v>103</v>
      </c>
      <c r="P1976" s="11" t="s">
        <v>9754</v>
      </c>
      <c r="Q1976" s="11" t="s">
        <v>10419</v>
      </c>
      <c r="S1976" s="4" t="b">
        <f>ISNUMBER(MATCH(Q1976,T:T,0))</f>
        <v>1</v>
      </c>
      <c r="T1976" s="4" t="s">
        <v>9651</v>
      </c>
      <c r="U1976" s="4" t="str">
        <f t="shared" si="82"/>
        <v>糾</v>
      </c>
    </row>
    <row r="1977" spans="1:22">
      <c r="A1977" s="3">
        <v>1975</v>
      </c>
      <c r="B1977" s="3" t="s">
        <v>3993</v>
      </c>
      <c r="C1977" s="3" t="s">
        <v>6025</v>
      </c>
      <c r="D1977" s="3" t="s">
        <v>6001</v>
      </c>
      <c r="E1977" s="3" t="s">
        <v>5991</v>
      </c>
      <c r="F1977" s="3" t="s">
        <v>5095</v>
      </c>
      <c r="G1977" s="3" t="s">
        <v>8645</v>
      </c>
      <c r="H1977" s="3" t="s">
        <v>3996</v>
      </c>
      <c r="I1977" s="3" t="s">
        <v>4998</v>
      </c>
      <c r="J1977" s="5" t="s">
        <v>3997</v>
      </c>
      <c r="L1977" s="3" t="s">
        <v>3904</v>
      </c>
      <c r="M1977" s="3">
        <v>4</v>
      </c>
      <c r="N1977" s="4" t="s">
        <v>9651</v>
      </c>
      <c r="O1977" s="4">
        <v>103</v>
      </c>
      <c r="P1977" s="11" t="s">
        <v>9717</v>
      </c>
      <c r="Q1977" s="11" t="s">
        <v>9651</v>
      </c>
      <c r="S1977" s="4" t="b">
        <f>ISNUMBER(MATCH(Q1977,T:T,0))</f>
        <v>1</v>
      </c>
      <c r="T1977" s="4" t="s">
        <v>10419</v>
      </c>
      <c r="U1977" s="4" t="str">
        <f t="shared" si="82"/>
        <v>黝</v>
      </c>
    </row>
    <row r="1978" spans="1:22">
      <c r="A1978" s="3">
        <v>1976</v>
      </c>
      <c r="B1978" s="3" t="s">
        <v>3993</v>
      </c>
      <c r="C1978" s="3" t="s">
        <v>6041</v>
      </c>
      <c r="D1978" s="3" t="s">
        <v>6001</v>
      </c>
      <c r="E1978" s="3" t="s">
        <v>5991</v>
      </c>
      <c r="F1978" s="3" t="s">
        <v>5095</v>
      </c>
      <c r="G1978" s="3" t="s">
        <v>8645</v>
      </c>
      <c r="H1978" s="3" t="s">
        <v>3998</v>
      </c>
      <c r="I1978" s="3" t="s">
        <v>4998</v>
      </c>
      <c r="J1978" s="5" t="s">
        <v>3999</v>
      </c>
      <c r="L1978" s="3" t="s">
        <v>3911</v>
      </c>
      <c r="M1978" s="3">
        <v>1</v>
      </c>
      <c r="N1978" s="4" t="s">
        <v>9651</v>
      </c>
      <c r="O1978" s="4">
        <v>103</v>
      </c>
      <c r="P1978" s="11" t="s">
        <v>9721</v>
      </c>
      <c r="Q1978" s="11" t="s">
        <v>9651</v>
      </c>
      <c r="S1978" s="4" t="b">
        <f>ISNUMBER(MATCH(Q1978,T:T,0))</f>
        <v>1</v>
      </c>
      <c r="T1978" s="4" t="s">
        <v>3999</v>
      </c>
      <c r="U1978" s="4" t="str">
        <f t="shared" si="82"/>
        <v>黝</v>
      </c>
    </row>
    <row r="1979" spans="1:22">
      <c r="A1979" s="3">
        <v>1977</v>
      </c>
      <c r="B1979" s="3" t="s">
        <v>4000</v>
      </c>
      <c r="C1979" s="3" t="s">
        <v>6076</v>
      </c>
      <c r="D1979" s="3" t="s">
        <v>6001</v>
      </c>
      <c r="E1979" s="3" t="s">
        <v>5991</v>
      </c>
      <c r="F1979" s="3" t="s">
        <v>5120</v>
      </c>
      <c r="G1979" s="3" t="s">
        <v>8645</v>
      </c>
      <c r="H1979" s="3" t="s">
        <v>4001</v>
      </c>
      <c r="I1979" s="3" t="s">
        <v>5122</v>
      </c>
      <c r="J1979" s="5" t="s">
        <v>4002</v>
      </c>
      <c r="L1979" s="3" t="s">
        <v>5976</v>
      </c>
      <c r="M1979" s="3">
        <v>9</v>
      </c>
      <c r="N1979" s="4" t="s">
        <v>4003</v>
      </c>
      <c r="O1979" s="4">
        <v>104</v>
      </c>
      <c r="P1979" s="11" t="s">
        <v>9766</v>
      </c>
      <c r="Q1979" s="11" t="s">
        <v>10420</v>
      </c>
      <c r="R1979" s="4" t="s">
        <v>13112</v>
      </c>
      <c r="S1979" s="4" t="b">
        <f>ISNUMBER(MATCH(Q1979,T:T,0))</f>
        <v>0</v>
      </c>
      <c r="T1979" s="4" t="s">
        <v>4003</v>
      </c>
      <c r="U1979" s="4" t="str">
        <f t="shared" si="82"/>
        <v>荏</v>
      </c>
      <c r="V1979" s="4" t="b">
        <f t="shared" ref="V1979:V1980" si="87">ISNUMBER(MATCH(R1979,T:T,0))</f>
        <v>1</v>
      </c>
    </row>
    <row r="1980" spans="1:22">
      <c r="A1980" s="3">
        <v>1978</v>
      </c>
      <c r="B1980" s="3" t="s">
        <v>4000</v>
      </c>
      <c r="C1980" s="3" t="s">
        <v>6005</v>
      </c>
      <c r="D1980" s="3" t="s">
        <v>6001</v>
      </c>
      <c r="E1980" s="3" t="s">
        <v>5991</v>
      </c>
      <c r="F1980" s="3" t="s">
        <v>5128</v>
      </c>
      <c r="G1980" s="3" t="s">
        <v>8645</v>
      </c>
      <c r="H1980" s="3" t="s">
        <v>4004</v>
      </c>
      <c r="I1980" s="3" t="s">
        <v>5122</v>
      </c>
      <c r="J1980" s="5" t="s">
        <v>9061</v>
      </c>
      <c r="L1980" s="3" t="s">
        <v>5959</v>
      </c>
      <c r="M1980" s="3">
        <v>6</v>
      </c>
      <c r="N1980" s="4" t="s">
        <v>4003</v>
      </c>
      <c r="O1980" s="4">
        <v>104</v>
      </c>
      <c r="P1980" s="11" t="s">
        <v>9709</v>
      </c>
      <c r="Q1980" s="11" t="s">
        <v>10420</v>
      </c>
      <c r="R1980" s="4" t="s">
        <v>13112</v>
      </c>
      <c r="S1980" s="4" t="b">
        <f>ISNUMBER(MATCH(Q1980,T:T,0))</f>
        <v>0</v>
      </c>
      <c r="T1980" s="4" t="s">
        <v>10422</v>
      </c>
      <c r="U1980" s="4" t="str">
        <f t="shared" si="82"/>
        <v>荏</v>
      </c>
      <c r="V1980" s="4" t="b">
        <f t="shared" si="87"/>
        <v>1</v>
      </c>
    </row>
    <row r="1981" spans="1:22">
      <c r="A1981" s="3">
        <v>1979</v>
      </c>
      <c r="B1981" s="3" t="s">
        <v>4000</v>
      </c>
      <c r="C1981" s="3" t="s">
        <v>6038</v>
      </c>
      <c r="D1981" s="3" t="s">
        <v>6001</v>
      </c>
      <c r="E1981" s="3" t="s">
        <v>5991</v>
      </c>
      <c r="F1981" s="3" t="s">
        <v>5120</v>
      </c>
      <c r="G1981" s="3" t="s">
        <v>8645</v>
      </c>
      <c r="H1981" s="3" t="s">
        <v>4005</v>
      </c>
      <c r="I1981" s="3" t="s">
        <v>5122</v>
      </c>
      <c r="J1981" s="5" t="s">
        <v>4006</v>
      </c>
      <c r="L1981" s="3" t="s">
        <v>5976</v>
      </c>
      <c r="M1981" s="3">
        <v>1</v>
      </c>
      <c r="N1981" s="4" t="s">
        <v>4003</v>
      </c>
      <c r="O1981" s="4">
        <v>104</v>
      </c>
      <c r="P1981" s="11" t="s">
        <v>9825</v>
      </c>
      <c r="Q1981" s="11" t="s">
        <v>10421</v>
      </c>
      <c r="S1981" s="4" t="b">
        <f>ISNUMBER(MATCH(Q1981,T:T,0))</f>
        <v>1</v>
      </c>
      <c r="T1981" s="4" t="s">
        <v>4006</v>
      </c>
      <c r="U1981" s="4" t="str">
        <f t="shared" si="82"/>
        <v>甚</v>
      </c>
    </row>
    <row r="1982" spans="1:22">
      <c r="A1982" s="3">
        <v>1980</v>
      </c>
      <c r="B1982" s="3" t="s">
        <v>4000</v>
      </c>
      <c r="C1982" s="3" t="s">
        <v>6058</v>
      </c>
      <c r="D1982" s="3" t="s">
        <v>6001</v>
      </c>
      <c r="E1982" s="3" t="s">
        <v>5991</v>
      </c>
      <c r="F1982" s="3" t="s">
        <v>5120</v>
      </c>
      <c r="G1982" s="3" t="s">
        <v>8645</v>
      </c>
      <c r="H1982" s="3" t="s">
        <v>4007</v>
      </c>
      <c r="I1982" s="3" t="s">
        <v>5122</v>
      </c>
      <c r="J1982" s="5" t="s">
        <v>9062</v>
      </c>
      <c r="L1982" s="3" t="s">
        <v>5956</v>
      </c>
      <c r="M1982" s="3">
        <v>8</v>
      </c>
      <c r="N1982" s="4" t="s">
        <v>4003</v>
      </c>
      <c r="O1982" s="4">
        <v>104</v>
      </c>
      <c r="P1982" s="11" t="s">
        <v>9727</v>
      </c>
      <c r="Q1982" s="11" t="s">
        <v>10420</v>
      </c>
      <c r="R1982" s="4" t="s">
        <v>13112</v>
      </c>
      <c r="S1982" s="4" t="b">
        <f>ISNUMBER(MATCH(Q1982,T:T,0))</f>
        <v>0</v>
      </c>
      <c r="T1982" s="4" t="s">
        <v>11951</v>
      </c>
      <c r="U1982" s="4" t="str">
        <f t="shared" si="82"/>
        <v>荏</v>
      </c>
      <c r="V1982" s="4" t="b">
        <f>ISNUMBER(MATCH(R1982,T:T,0))</f>
        <v>1</v>
      </c>
    </row>
    <row r="1983" spans="1:22">
      <c r="A1983" s="3">
        <v>1981</v>
      </c>
      <c r="B1983" s="3" t="s">
        <v>4000</v>
      </c>
      <c r="C1983" s="3" t="s">
        <v>6017</v>
      </c>
      <c r="D1983" s="3" t="s">
        <v>6001</v>
      </c>
      <c r="E1983" s="3" t="s">
        <v>5991</v>
      </c>
      <c r="F1983" s="3" t="s">
        <v>5120</v>
      </c>
      <c r="G1983" s="3" t="s">
        <v>8645</v>
      </c>
      <c r="H1983" s="3" t="s">
        <v>4008</v>
      </c>
      <c r="I1983" s="3" t="s">
        <v>5122</v>
      </c>
      <c r="J1983" s="5" t="s">
        <v>4009</v>
      </c>
      <c r="L1983" s="3" t="s">
        <v>131</v>
      </c>
      <c r="M1983" s="3">
        <v>2</v>
      </c>
      <c r="N1983" s="4" t="s">
        <v>4003</v>
      </c>
      <c r="O1983" s="4">
        <v>104</v>
      </c>
      <c r="P1983" s="11" t="s">
        <v>10205</v>
      </c>
      <c r="Q1983" s="11" t="s">
        <v>10421</v>
      </c>
      <c r="S1983" s="4" t="b">
        <f>ISNUMBER(MATCH(Q1983,T:T,0))</f>
        <v>1</v>
      </c>
      <c r="T1983" s="4" t="s">
        <v>11952</v>
      </c>
      <c r="U1983" s="4" t="str">
        <f t="shared" si="82"/>
        <v>甚</v>
      </c>
    </row>
    <row r="1984" spans="1:22">
      <c r="A1984" s="3">
        <v>1982</v>
      </c>
      <c r="B1984" s="3" t="s">
        <v>4000</v>
      </c>
      <c r="C1984" s="3" t="s">
        <v>6011</v>
      </c>
      <c r="D1984" s="3" t="s">
        <v>6001</v>
      </c>
      <c r="E1984" s="3" t="s">
        <v>5991</v>
      </c>
      <c r="F1984" s="3" t="s">
        <v>5128</v>
      </c>
      <c r="G1984" s="3" t="s">
        <v>8645</v>
      </c>
      <c r="H1984" s="3" t="s">
        <v>4010</v>
      </c>
      <c r="I1984" s="3" t="s">
        <v>5122</v>
      </c>
      <c r="J1984" s="5" t="s">
        <v>4011</v>
      </c>
      <c r="L1984" s="3" t="s">
        <v>5946</v>
      </c>
      <c r="M1984" s="3">
        <v>3</v>
      </c>
      <c r="N1984" s="4" t="s">
        <v>4003</v>
      </c>
      <c r="O1984" s="4">
        <v>104</v>
      </c>
      <c r="P1984" s="11" t="s">
        <v>9757</v>
      </c>
      <c r="Q1984" s="11" t="s">
        <v>10421</v>
      </c>
      <c r="S1984" s="4" t="b">
        <f>ISNUMBER(MATCH(Q1984,T:T,0))</f>
        <v>1</v>
      </c>
      <c r="T1984" s="4" t="s">
        <v>11953</v>
      </c>
      <c r="U1984" s="4" t="str">
        <f t="shared" si="82"/>
        <v>甚</v>
      </c>
    </row>
    <row r="1985" spans="1:22">
      <c r="A1985" s="3">
        <v>1983</v>
      </c>
      <c r="B1985" s="3" t="s">
        <v>4000</v>
      </c>
      <c r="C1985" s="3" t="s">
        <v>6083</v>
      </c>
      <c r="D1985" s="3" t="s">
        <v>6001</v>
      </c>
      <c r="E1985" s="3" t="s">
        <v>5991</v>
      </c>
      <c r="F1985" s="3" t="s">
        <v>5120</v>
      </c>
      <c r="G1985" s="3" t="s">
        <v>8645</v>
      </c>
      <c r="H1985" s="3" t="s">
        <v>4012</v>
      </c>
      <c r="I1985" s="3" t="s">
        <v>5122</v>
      </c>
      <c r="J1985" s="5" t="s">
        <v>4013</v>
      </c>
      <c r="L1985" s="3" t="s">
        <v>5962</v>
      </c>
      <c r="M1985" s="3">
        <v>4</v>
      </c>
      <c r="N1985" s="4" t="s">
        <v>4003</v>
      </c>
      <c r="O1985" s="4">
        <v>104</v>
      </c>
      <c r="P1985" s="11" t="s">
        <v>9737</v>
      </c>
      <c r="Q1985" s="11" t="s">
        <v>10422</v>
      </c>
      <c r="S1985" s="4" t="b">
        <f>ISNUMBER(MATCH(Q1985,T:T,0))</f>
        <v>1</v>
      </c>
      <c r="T1985" s="4" t="s">
        <v>11954</v>
      </c>
      <c r="U1985" s="4" t="str">
        <f t="shared" si="82"/>
        <v>朕</v>
      </c>
    </row>
    <row r="1986" spans="1:22">
      <c r="A1986" s="3">
        <v>1984</v>
      </c>
      <c r="B1986" s="3" t="s">
        <v>4000</v>
      </c>
      <c r="C1986" s="3" t="s">
        <v>6021</v>
      </c>
      <c r="D1986" s="3" t="s">
        <v>6001</v>
      </c>
      <c r="E1986" s="3" t="s">
        <v>5991</v>
      </c>
      <c r="F1986" s="3" t="s">
        <v>5120</v>
      </c>
      <c r="G1986" s="3" t="s">
        <v>8645</v>
      </c>
      <c r="H1986" s="3" t="s">
        <v>4014</v>
      </c>
      <c r="I1986" s="3" t="s">
        <v>5122</v>
      </c>
      <c r="J1986" s="5" t="s">
        <v>9063</v>
      </c>
      <c r="L1986" s="3" t="s">
        <v>5952</v>
      </c>
      <c r="M1986" s="3">
        <v>14</v>
      </c>
      <c r="N1986" s="4" t="s">
        <v>4003</v>
      </c>
      <c r="O1986" s="4">
        <v>104</v>
      </c>
      <c r="P1986" s="11" t="s">
        <v>9715</v>
      </c>
      <c r="Q1986" s="11" t="s">
        <v>10421</v>
      </c>
      <c r="S1986" s="4" t="b">
        <f>ISNUMBER(MATCH(Q1986,T:T,0))</f>
        <v>1</v>
      </c>
      <c r="T1986" s="4" t="s">
        <v>10423</v>
      </c>
      <c r="U1986" s="4" t="str">
        <f t="shared" si="82"/>
        <v>甚</v>
      </c>
    </row>
    <row r="1987" spans="1:22">
      <c r="A1987" s="3">
        <v>1985</v>
      </c>
      <c r="B1987" s="3" t="s">
        <v>4000</v>
      </c>
      <c r="C1987" s="3" t="s">
        <v>6009</v>
      </c>
      <c r="D1987" s="3" t="s">
        <v>6001</v>
      </c>
      <c r="E1987" s="3" t="s">
        <v>5991</v>
      </c>
      <c r="F1987" s="3" t="s">
        <v>5120</v>
      </c>
      <c r="G1987" s="3" t="s">
        <v>8645</v>
      </c>
      <c r="H1987" s="3" t="s">
        <v>4015</v>
      </c>
      <c r="I1987" s="3" t="s">
        <v>5122</v>
      </c>
      <c r="J1987" s="5" t="s">
        <v>4016</v>
      </c>
      <c r="L1987" s="3" t="s">
        <v>5942</v>
      </c>
      <c r="M1987" s="3">
        <v>3</v>
      </c>
      <c r="N1987" s="4" t="s">
        <v>4003</v>
      </c>
      <c r="O1987" s="4">
        <v>104</v>
      </c>
      <c r="P1987" s="11" t="s">
        <v>6009</v>
      </c>
      <c r="Q1987" s="11" t="s">
        <v>10423</v>
      </c>
      <c r="S1987" s="4" t="b">
        <f>ISNUMBER(MATCH(Q1987,T:T,0))</f>
        <v>1</v>
      </c>
      <c r="T1987" s="4" t="s">
        <v>10424</v>
      </c>
      <c r="U1987" s="4" t="str">
        <f t="shared" ref="U1987:U2050" si="88">IF(ISBLANK(R1987),Q1987,R1987)</f>
        <v>荏</v>
      </c>
    </row>
    <row r="1988" spans="1:22">
      <c r="A1988" s="3">
        <v>1986</v>
      </c>
      <c r="B1988" s="3" t="s">
        <v>4000</v>
      </c>
      <c r="C1988" s="3" t="s">
        <v>6120</v>
      </c>
      <c r="D1988" s="3" t="s">
        <v>6001</v>
      </c>
      <c r="E1988" s="3" t="s">
        <v>5991</v>
      </c>
      <c r="F1988" s="3" t="s">
        <v>5120</v>
      </c>
      <c r="G1988" s="3" t="s">
        <v>8645</v>
      </c>
      <c r="H1988" s="3" t="s">
        <v>4017</v>
      </c>
      <c r="I1988" s="3" t="s">
        <v>5122</v>
      </c>
      <c r="J1988" s="5" t="s">
        <v>9064</v>
      </c>
      <c r="L1988" s="3" t="s">
        <v>5954</v>
      </c>
      <c r="M1988" s="3">
        <v>14</v>
      </c>
      <c r="N1988" s="4" t="s">
        <v>4003</v>
      </c>
      <c r="O1988" s="4">
        <v>104</v>
      </c>
      <c r="P1988" s="11" t="s">
        <v>9793</v>
      </c>
      <c r="Q1988" s="11" t="s">
        <v>10159</v>
      </c>
      <c r="S1988" s="4" t="b">
        <f>ISNUMBER(MATCH(Q1988,T:T,0))</f>
        <v>1</v>
      </c>
      <c r="T1988" s="4" t="s">
        <v>11481</v>
      </c>
      <c r="U1988" s="4" t="str">
        <f t="shared" si="88"/>
        <v>任</v>
      </c>
    </row>
    <row r="1989" spans="1:22">
      <c r="A1989" s="3">
        <v>1987</v>
      </c>
      <c r="B1989" s="3" t="s">
        <v>4000</v>
      </c>
      <c r="C1989" s="3" t="s">
        <v>3093</v>
      </c>
      <c r="D1989" s="3" t="s">
        <v>6001</v>
      </c>
      <c r="E1989" s="3" t="s">
        <v>5991</v>
      </c>
      <c r="F1989" s="3" t="s">
        <v>5120</v>
      </c>
      <c r="G1989" s="3" t="s">
        <v>8645</v>
      </c>
      <c r="H1989" s="3" t="s">
        <v>4018</v>
      </c>
      <c r="I1989" s="3" t="s">
        <v>5122</v>
      </c>
      <c r="J1989" s="5" t="s">
        <v>4019</v>
      </c>
      <c r="L1989" s="3" t="s">
        <v>5949</v>
      </c>
      <c r="M1989" s="3">
        <v>2</v>
      </c>
      <c r="N1989" s="4" t="s">
        <v>4003</v>
      </c>
      <c r="O1989" s="4">
        <v>104</v>
      </c>
      <c r="P1989" s="11" t="s">
        <v>9929</v>
      </c>
      <c r="Q1989" s="11" t="s">
        <v>10423</v>
      </c>
      <c r="S1989" s="4" t="b">
        <f>ISNUMBER(MATCH(Q1989,T:T,0))</f>
        <v>1</v>
      </c>
      <c r="T1989" s="4" t="s">
        <v>11955</v>
      </c>
      <c r="U1989" s="4" t="str">
        <f t="shared" si="88"/>
        <v>荏</v>
      </c>
    </row>
    <row r="1990" spans="1:22">
      <c r="A1990" s="3">
        <v>1988</v>
      </c>
      <c r="B1990" s="3" t="s">
        <v>4000</v>
      </c>
      <c r="C1990" s="3" t="s">
        <v>6148</v>
      </c>
      <c r="D1990" s="3" t="s">
        <v>6001</v>
      </c>
      <c r="E1990" s="3" t="s">
        <v>5991</v>
      </c>
      <c r="F1990" s="3" t="s">
        <v>5120</v>
      </c>
      <c r="G1990" s="3" t="s">
        <v>8645</v>
      </c>
      <c r="H1990" s="3" t="s">
        <v>4020</v>
      </c>
      <c r="I1990" s="3" t="s">
        <v>5122</v>
      </c>
      <c r="J1990" s="5" t="s">
        <v>9065</v>
      </c>
      <c r="L1990" s="3" t="s">
        <v>5949</v>
      </c>
      <c r="M1990" s="3">
        <v>2</v>
      </c>
      <c r="N1990" s="4" t="s">
        <v>4003</v>
      </c>
      <c r="O1990" s="4">
        <v>104</v>
      </c>
      <c r="P1990" s="11" t="s">
        <v>6148</v>
      </c>
      <c r="Q1990" s="11" t="s">
        <v>10424</v>
      </c>
      <c r="S1990" s="4" t="b">
        <f>ISNUMBER(MATCH(Q1990,T:T,0))</f>
        <v>1</v>
      </c>
      <c r="T1990" s="4" t="s">
        <v>10421</v>
      </c>
      <c r="U1990" s="4" t="str">
        <f t="shared" si="88"/>
        <v>枕</v>
      </c>
    </row>
    <row r="1991" spans="1:22">
      <c r="A1991" s="3">
        <v>1989</v>
      </c>
      <c r="B1991" s="3" t="s">
        <v>4000</v>
      </c>
      <c r="C1991" s="3" t="s">
        <v>6055</v>
      </c>
      <c r="D1991" s="3" t="s">
        <v>6001</v>
      </c>
      <c r="E1991" s="3" t="s">
        <v>5991</v>
      </c>
      <c r="F1991" s="3" t="s">
        <v>5120</v>
      </c>
      <c r="G1991" s="3" t="s">
        <v>8645</v>
      </c>
      <c r="H1991" s="3" t="s">
        <v>4021</v>
      </c>
      <c r="I1991" s="3" t="s">
        <v>5122</v>
      </c>
      <c r="J1991" s="5" t="s">
        <v>4022</v>
      </c>
      <c r="L1991" s="3" t="s">
        <v>5946</v>
      </c>
      <c r="M1991" s="3">
        <v>1</v>
      </c>
      <c r="N1991" s="4" t="s">
        <v>4003</v>
      </c>
      <c r="O1991" s="4">
        <v>104</v>
      </c>
      <c r="P1991" s="11" t="s">
        <v>6055</v>
      </c>
      <c r="Q1991" s="11" t="s">
        <v>10424</v>
      </c>
      <c r="S1991" s="4" t="b">
        <f>ISNUMBER(MATCH(Q1991,T:T,0))</f>
        <v>1</v>
      </c>
      <c r="T1991" s="4" t="s">
        <v>4022</v>
      </c>
      <c r="U1991" s="4" t="str">
        <f t="shared" si="88"/>
        <v>枕</v>
      </c>
    </row>
    <row r="1992" spans="1:22">
      <c r="A1992" s="3">
        <v>1990</v>
      </c>
      <c r="B1992" s="3" t="s">
        <v>4000</v>
      </c>
      <c r="C1992" s="3" t="s">
        <v>6167</v>
      </c>
      <c r="D1992" s="3" t="s">
        <v>6001</v>
      </c>
      <c r="E1992" s="3" t="s">
        <v>5991</v>
      </c>
      <c r="F1992" s="3" t="s">
        <v>5128</v>
      </c>
      <c r="G1992" s="3" t="s">
        <v>8645</v>
      </c>
      <c r="H1992" s="3" t="s">
        <v>4023</v>
      </c>
      <c r="I1992" s="3" t="s">
        <v>5122</v>
      </c>
      <c r="J1992" s="5" t="s">
        <v>9066</v>
      </c>
      <c r="L1992" s="3" t="s">
        <v>5946</v>
      </c>
      <c r="M1992" s="3">
        <v>3</v>
      </c>
      <c r="N1992" s="4" t="s">
        <v>4003</v>
      </c>
      <c r="O1992" s="4">
        <v>104</v>
      </c>
      <c r="P1992" s="11" t="s">
        <v>6167</v>
      </c>
      <c r="Q1992" s="11" t="s">
        <v>10422</v>
      </c>
      <c r="S1992" s="4" t="b">
        <f>ISNUMBER(MATCH(Q1992,T:T,0))</f>
        <v>1</v>
      </c>
      <c r="T1992" s="4" t="s">
        <v>11956</v>
      </c>
      <c r="U1992" s="4" t="str">
        <f t="shared" si="88"/>
        <v>朕</v>
      </c>
    </row>
    <row r="1993" spans="1:22">
      <c r="A1993" s="3">
        <v>1991</v>
      </c>
      <c r="B1993" s="3" t="s">
        <v>4000</v>
      </c>
      <c r="C1993" s="3" t="s">
        <v>6137</v>
      </c>
      <c r="D1993" s="3" t="s">
        <v>6001</v>
      </c>
      <c r="E1993" s="3" t="s">
        <v>5991</v>
      </c>
      <c r="F1993" s="3" t="s">
        <v>5128</v>
      </c>
      <c r="G1993" s="3" t="s">
        <v>8645</v>
      </c>
      <c r="H1993" s="3" t="s">
        <v>4024</v>
      </c>
      <c r="I1993" s="3" t="s">
        <v>5122</v>
      </c>
      <c r="J1993" s="5" t="s">
        <v>4025</v>
      </c>
      <c r="L1993" s="3" t="s">
        <v>4026</v>
      </c>
      <c r="M1993" s="3">
        <v>1</v>
      </c>
      <c r="N1993" s="4" t="s">
        <v>4003</v>
      </c>
      <c r="O1993" s="4">
        <v>104</v>
      </c>
      <c r="P1993" s="11" t="s">
        <v>9812</v>
      </c>
      <c r="Q1993" s="11" t="s">
        <v>10425</v>
      </c>
      <c r="R1993" s="4" t="s">
        <v>13113</v>
      </c>
      <c r="S1993" s="4" t="b">
        <f>ISNUMBER(MATCH(Q1993,T:T,0))</f>
        <v>0</v>
      </c>
      <c r="T1993" s="4" t="s">
        <v>4025</v>
      </c>
      <c r="U1993" s="4" t="str">
        <f t="shared" si="88"/>
        <v>廩</v>
      </c>
      <c r="V1993" s="4" t="b">
        <f t="shared" ref="V1993:V1995" si="89">ISNUMBER(MATCH(R1993,T:T,0))</f>
        <v>1</v>
      </c>
    </row>
    <row r="1994" spans="1:22">
      <c r="A1994" s="3">
        <v>1992</v>
      </c>
      <c r="B1994" s="3" t="s">
        <v>4000</v>
      </c>
      <c r="C1994" s="3" t="s">
        <v>6041</v>
      </c>
      <c r="D1994" s="3" t="s">
        <v>6001</v>
      </c>
      <c r="E1994" s="3" t="s">
        <v>5991</v>
      </c>
      <c r="F1994" s="3" t="s">
        <v>5128</v>
      </c>
      <c r="G1994" s="3" t="s">
        <v>8645</v>
      </c>
      <c r="H1994" s="3" t="s">
        <v>4027</v>
      </c>
      <c r="I1994" s="3" t="s">
        <v>5122</v>
      </c>
      <c r="J1994" s="5" t="s">
        <v>9067</v>
      </c>
      <c r="L1994" s="3" t="s">
        <v>5965</v>
      </c>
      <c r="M1994" s="3">
        <v>4</v>
      </c>
      <c r="N1994" s="4" t="s">
        <v>4003</v>
      </c>
      <c r="O1994" s="4">
        <v>104</v>
      </c>
      <c r="P1994" s="11" t="s">
        <v>9721</v>
      </c>
      <c r="Q1994" s="11" t="s">
        <v>10426</v>
      </c>
      <c r="R1994" s="4" t="s">
        <v>13114</v>
      </c>
      <c r="S1994" s="4" t="b">
        <f>ISNUMBER(MATCH(Q1994,T:T,0))</f>
        <v>0</v>
      </c>
      <c r="T1994" s="4" t="s">
        <v>11957</v>
      </c>
      <c r="U1994" s="4" t="str">
        <f t="shared" si="88"/>
        <v>㱃</v>
      </c>
      <c r="V1994" s="4" t="b">
        <f t="shared" si="89"/>
        <v>1</v>
      </c>
    </row>
    <row r="1995" spans="1:22">
      <c r="A1995" s="3">
        <v>1993</v>
      </c>
      <c r="B1995" s="3" t="s">
        <v>4000</v>
      </c>
      <c r="C1995" s="3" t="s">
        <v>6025</v>
      </c>
      <c r="D1995" s="3" t="s">
        <v>6001</v>
      </c>
      <c r="E1995" s="3" t="s">
        <v>5991</v>
      </c>
      <c r="F1995" s="3" t="s">
        <v>5128</v>
      </c>
      <c r="G1995" s="3" t="s">
        <v>8645</v>
      </c>
      <c r="H1995" s="3" t="s">
        <v>4028</v>
      </c>
      <c r="I1995" s="3" t="s">
        <v>5122</v>
      </c>
      <c r="J1995" s="5" t="s">
        <v>4029</v>
      </c>
      <c r="L1995" s="3" t="s">
        <v>5962</v>
      </c>
      <c r="M1995" s="3">
        <v>1</v>
      </c>
      <c r="N1995" s="4" t="s">
        <v>4003</v>
      </c>
      <c r="O1995" s="4">
        <v>104</v>
      </c>
      <c r="P1995" s="11" t="s">
        <v>9717</v>
      </c>
      <c r="Q1995" s="11" t="s">
        <v>10426</v>
      </c>
      <c r="R1995" s="4" t="s">
        <v>13114</v>
      </c>
      <c r="S1995" s="4" t="b">
        <f>ISNUMBER(MATCH(Q1995,T:T,0))</f>
        <v>0</v>
      </c>
      <c r="T1995" s="4" t="s">
        <v>4029</v>
      </c>
      <c r="U1995" s="4" t="str">
        <f t="shared" si="88"/>
        <v>㱃</v>
      </c>
      <c r="V1995" s="4" t="b">
        <f t="shared" si="89"/>
        <v>1</v>
      </c>
    </row>
    <row r="1996" spans="1:22">
      <c r="A1996" s="3">
        <v>1994</v>
      </c>
      <c r="B1996" s="3" t="s">
        <v>4000</v>
      </c>
      <c r="C1996" s="3" t="s">
        <v>6069</v>
      </c>
      <c r="D1996" s="3" t="s">
        <v>6001</v>
      </c>
      <c r="E1996" s="3" t="s">
        <v>5991</v>
      </c>
      <c r="F1996" s="3" t="s">
        <v>5120</v>
      </c>
      <c r="G1996" s="3" t="s">
        <v>8645</v>
      </c>
      <c r="H1996" s="3" t="s">
        <v>4030</v>
      </c>
      <c r="I1996" s="3" t="s">
        <v>5122</v>
      </c>
      <c r="J1996" s="5" t="s">
        <v>4031</v>
      </c>
      <c r="L1996" s="3" t="s">
        <v>5965</v>
      </c>
      <c r="M1996" s="3">
        <v>1</v>
      </c>
      <c r="N1996" s="4" t="s">
        <v>4003</v>
      </c>
      <c r="O1996" s="4">
        <v>104</v>
      </c>
      <c r="P1996" s="11" t="s">
        <v>10244</v>
      </c>
      <c r="Q1996" s="11" t="s">
        <v>10423</v>
      </c>
      <c r="S1996" s="4" t="b">
        <f>ISNUMBER(MATCH(Q1996,T:T,0))</f>
        <v>1</v>
      </c>
      <c r="T1996" s="4" t="s">
        <v>4031</v>
      </c>
      <c r="U1996" s="4" t="str">
        <f t="shared" si="88"/>
        <v>荏</v>
      </c>
    </row>
    <row r="1997" spans="1:22">
      <c r="A1997" s="3">
        <v>1995</v>
      </c>
      <c r="B1997" s="3" t="s">
        <v>4000</v>
      </c>
      <c r="C1997" s="3" t="s">
        <v>6092</v>
      </c>
      <c r="D1997" s="3" t="s">
        <v>6001</v>
      </c>
      <c r="E1997" s="3" t="s">
        <v>5991</v>
      </c>
      <c r="F1997" s="3" t="s">
        <v>5128</v>
      </c>
      <c r="G1997" s="3" t="s">
        <v>8645</v>
      </c>
      <c r="H1997" s="3" t="s">
        <v>4032</v>
      </c>
      <c r="I1997" s="3" t="s">
        <v>5122</v>
      </c>
      <c r="J1997" s="5" t="s">
        <v>4033</v>
      </c>
      <c r="L1997" s="3" t="s">
        <v>5973</v>
      </c>
      <c r="M1997" s="3">
        <v>2</v>
      </c>
      <c r="N1997" s="4" t="s">
        <v>4003</v>
      </c>
      <c r="O1997" s="4">
        <v>104</v>
      </c>
      <c r="P1997" s="11" t="s">
        <v>5008</v>
      </c>
      <c r="Q1997" s="11" t="s">
        <v>4029</v>
      </c>
      <c r="S1997" s="4" t="b">
        <f>ISNUMBER(MATCH(Q1997,T:T,0))</f>
        <v>1</v>
      </c>
      <c r="T1997" s="4" t="s">
        <v>11958</v>
      </c>
      <c r="U1997" s="4" t="str">
        <f t="shared" si="88"/>
        <v>錦</v>
      </c>
    </row>
    <row r="1998" spans="1:22">
      <c r="A1998" s="3">
        <v>1996</v>
      </c>
      <c r="B1998" s="3" t="s">
        <v>4000</v>
      </c>
      <c r="C1998" s="3" t="s">
        <v>6180</v>
      </c>
      <c r="D1998" s="3" t="s">
        <v>6001</v>
      </c>
      <c r="E1998" s="3" t="s">
        <v>5991</v>
      </c>
      <c r="F1998" s="3" t="s">
        <v>5128</v>
      </c>
      <c r="G1998" s="3" t="s">
        <v>8645</v>
      </c>
      <c r="H1998" s="7" t="s">
        <v>785</v>
      </c>
      <c r="I1998" s="3" t="s">
        <v>5122</v>
      </c>
      <c r="J1998" s="5" t="s">
        <v>9068</v>
      </c>
      <c r="L1998" s="3" t="s">
        <v>5954</v>
      </c>
      <c r="M1998" s="3">
        <v>3</v>
      </c>
      <c r="N1998" s="4" t="s">
        <v>4003</v>
      </c>
      <c r="O1998" s="4">
        <v>104</v>
      </c>
      <c r="P1998" s="11" t="s">
        <v>10230</v>
      </c>
      <c r="Q1998" s="11" t="s">
        <v>4029</v>
      </c>
      <c r="S1998" s="4" t="b">
        <f>ISNUMBER(MATCH(Q1998,T:T,0))</f>
        <v>1</v>
      </c>
      <c r="T1998" s="4" t="s">
        <v>10429</v>
      </c>
      <c r="U1998" s="4" t="str">
        <f t="shared" si="88"/>
        <v>錦</v>
      </c>
    </row>
    <row r="1999" spans="1:22">
      <c r="A1999" s="3">
        <v>1997</v>
      </c>
      <c r="B1999" s="3" t="s">
        <v>4000</v>
      </c>
      <c r="C1999" s="3" t="s">
        <v>6049</v>
      </c>
      <c r="D1999" s="3" t="s">
        <v>6001</v>
      </c>
      <c r="E1999" s="3" t="s">
        <v>5991</v>
      </c>
      <c r="F1999" s="3" t="s">
        <v>5128</v>
      </c>
      <c r="G1999" s="3" t="s">
        <v>8645</v>
      </c>
      <c r="H1999" s="3" t="s">
        <v>4034</v>
      </c>
      <c r="I1999" s="3" t="s">
        <v>5122</v>
      </c>
      <c r="J1999" s="5" t="s">
        <v>4035</v>
      </c>
      <c r="L1999" s="3" t="s">
        <v>4036</v>
      </c>
      <c r="M1999" s="3">
        <v>1</v>
      </c>
      <c r="N1999" s="4" t="s">
        <v>4003</v>
      </c>
      <c r="O1999" s="4">
        <v>104</v>
      </c>
      <c r="P1999" s="11" t="s">
        <v>10123</v>
      </c>
      <c r="Q1999" s="11" t="s">
        <v>4029</v>
      </c>
      <c r="S1999" s="4" t="b">
        <f>ISNUMBER(MATCH(Q1999,T:T,0))</f>
        <v>1</v>
      </c>
      <c r="T1999" s="4" t="s">
        <v>4035</v>
      </c>
      <c r="U1999" s="4" t="str">
        <f t="shared" si="88"/>
        <v>錦</v>
      </c>
    </row>
    <row r="2000" spans="1:22">
      <c r="A2000" s="3">
        <v>1998</v>
      </c>
      <c r="B2000" s="3" t="s">
        <v>4000</v>
      </c>
      <c r="C2000" s="3" t="s">
        <v>6072</v>
      </c>
      <c r="D2000" s="3" t="s">
        <v>6001</v>
      </c>
      <c r="E2000" s="3" t="s">
        <v>5991</v>
      </c>
      <c r="F2000" s="3" t="s">
        <v>5128</v>
      </c>
      <c r="G2000" s="3" t="s">
        <v>8645</v>
      </c>
      <c r="H2000" s="3" t="s">
        <v>4037</v>
      </c>
      <c r="I2000" s="3" t="s">
        <v>5122</v>
      </c>
      <c r="J2000" s="5" t="s">
        <v>4038</v>
      </c>
      <c r="L2000" s="3" t="s">
        <v>5973</v>
      </c>
      <c r="M2000" s="3">
        <v>3</v>
      </c>
      <c r="N2000" s="4" t="s">
        <v>4003</v>
      </c>
      <c r="O2000" s="4">
        <v>104</v>
      </c>
      <c r="P2000" s="11" t="s">
        <v>9754</v>
      </c>
      <c r="Q2000" s="11" t="s">
        <v>4029</v>
      </c>
      <c r="S2000" s="4" t="b">
        <f>ISNUMBER(MATCH(Q2000,T:T,0))</f>
        <v>1</v>
      </c>
      <c r="T2000" s="4" t="s">
        <v>11959</v>
      </c>
      <c r="U2000" s="4" t="str">
        <f t="shared" si="88"/>
        <v>錦</v>
      </c>
    </row>
    <row r="2001" spans="1:22">
      <c r="A2001" s="3">
        <v>1999</v>
      </c>
      <c r="B2001" s="3" t="s">
        <v>4000</v>
      </c>
      <c r="C2001" s="3" t="s">
        <v>6053</v>
      </c>
      <c r="D2001" s="3" t="s">
        <v>6001</v>
      </c>
      <c r="E2001" s="3" t="s">
        <v>5991</v>
      </c>
      <c r="F2001" s="3" t="s">
        <v>5128</v>
      </c>
      <c r="G2001" s="3" t="s">
        <v>8645</v>
      </c>
      <c r="H2001" s="3" t="s">
        <v>4039</v>
      </c>
      <c r="I2001" s="3" t="s">
        <v>5122</v>
      </c>
      <c r="J2001" s="5" t="s">
        <v>4040</v>
      </c>
      <c r="L2001" s="3" t="s">
        <v>4041</v>
      </c>
      <c r="M2001" s="3">
        <v>1</v>
      </c>
      <c r="N2001" s="4" t="s">
        <v>4003</v>
      </c>
      <c r="O2001" s="4">
        <v>104</v>
      </c>
      <c r="P2001" s="11" t="s">
        <v>10427</v>
      </c>
      <c r="Q2001" s="11" t="s">
        <v>10426</v>
      </c>
      <c r="R2001" s="4" t="s">
        <v>13114</v>
      </c>
      <c r="S2001" s="4" t="b">
        <f>ISNUMBER(MATCH(Q2001,T:T,0))</f>
        <v>0</v>
      </c>
      <c r="T2001" s="4" t="s">
        <v>4040</v>
      </c>
      <c r="U2001" s="4" t="str">
        <f t="shared" si="88"/>
        <v>㱃</v>
      </c>
      <c r="V2001" s="4" t="b">
        <f>ISNUMBER(MATCH(R2001,T:T,0))</f>
        <v>1</v>
      </c>
    </row>
    <row r="2002" spans="1:22">
      <c r="A2002" s="3">
        <v>2000</v>
      </c>
      <c r="B2002" s="3" t="s">
        <v>4000</v>
      </c>
      <c r="C2002" s="3" t="s">
        <v>6038</v>
      </c>
      <c r="D2002" s="3" t="s">
        <v>6001</v>
      </c>
      <c r="E2002" s="3" t="s">
        <v>5991</v>
      </c>
      <c r="F2002" s="3" t="s">
        <v>5128</v>
      </c>
      <c r="G2002" s="3" t="s">
        <v>8645</v>
      </c>
      <c r="H2002" s="3" t="s">
        <v>4042</v>
      </c>
      <c r="I2002" s="3" t="s">
        <v>5122</v>
      </c>
      <c r="J2002" s="5" t="s">
        <v>4043</v>
      </c>
      <c r="L2002" s="3" t="s">
        <v>5976</v>
      </c>
      <c r="M2002" s="3">
        <v>2</v>
      </c>
      <c r="N2002" s="4" t="s">
        <v>4003</v>
      </c>
      <c r="O2002" s="4">
        <v>104</v>
      </c>
      <c r="P2002" s="11" t="s">
        <v>10428</v>
      </c>
      <c r="Q2002" s="11" t="s">
        <v>4029</v>
      </c>
      <c r="S2002" s="4" t="b">
        <f>ISNUMBER(MATCH(Q2002,T:T,0))</f>
        <v>1</v>
      </c>
      <c r="T2002" s="4" t="s">
        <v>11960</v>
      </c>
      <c r="U2002" s="4" t="str">
        <f t="shared" si="88"/>
        <v>錦</v>
      </c>
    </row>
    <row r="2003" spans="1:22">
      <c r="A2003" s="3">
        <v>2001</v>
      </c>
      <c r="B2003" s="3" t="s">
        <v>4000</v>
      </c>
      <c r="C2003" s="3" t="s">
        <v>6089</v>
      </c>
      <c r="D2003" s="3" t="s">
        <v>6001</v>
      </c>
      <c r="E2003" s="3" t="s">
        <v>5991</v>
      </c>
      <c r="F2003" s="3" t="s">
        <v>5128</v>
      </c>
      <c r="G2003" s="3" t="s">
        <v>8645</v>
      </c>
      <c r="H2003" s="3" t="s">
        <v>4044</v>
      </c>
      <c r="I2003" s="3" t="s">
        <v>5122</v>
      </c>
      <c r="J2003" s="5" t="s">
        <v>4045</v>
      </c>
      <c r="L2003" s="3" t="s">
        <v>131</v>
      </c>
      <c r="M2003" s="3">
        <v>1</v>
      </c>
      <c r="N2003" s="4" t="s">
        <v>4003</v>
      </c>
      <c r="O2003" s="4">
        <v>104</v>
      </c>
      <c r="P2003" s="11" t="s">
        <v>9753</v>
      </c>
      <c r="Q2003" s="11" t="s">
        <v>4029</v>
      </c>
      <c r="S2003" s="4" t="b">
        <f>ISNUMBER(MATCH(Q2003,T:T,0))</f>
        <v>1</v>
      </c>
      <c r="T2003" s="4" t="s">
        <v>4045</v>
      </c>
      <c r="U2003" s="4" t="str">
        <f t="shared" si="88"/>
        <v>錦</v>
      </c>
    </row>
    <row r="2004" spans="1:22">
      <c r="A2004" s="3">
        <v>2002</v>
      </c>
      <c r="B2004" s="3" t="s">
        <v>4000</v>
      </c>
      <c r="C2004" s="3" t="s">
        <v>6000</v>
      </c>
      <c r="D2004" s="3" t="s">
        <v>6001</v>
      </c>
      <c r="E2004" s="3" t="s">
        <v>5991</v>
      </c>
      <c r="F2004" s="3" t="s">
        <v>5128</v>
      </c>
      <c r="G2004" s="3" t="s">
        <v>8645</v>
      </c>
      <c r="H2004" s="3" t="s">
        <v>4046</v>
      </c>
      <c r="I2004" s="3" t="s">
        <v>5122</v>
      </c>
      <c r="J2004" s="5" t="s">
        <v>4047</v>
      </c>
      <c r="L2004" s="3" t="s">
        <v>5942</v>
      </c>
      <c r="M2004" s="3">
        <v>2</v>
      </c>
      <c r="N2004" s="4" t="s">
        <v>4003</v>
      </c>
      <c r="O2004" s="4">
        <v>104</v>
      </c>
      <c r="P2004" s="11" t="s">
        <v>10007</v>
      </c>
      <c r="Q2004" s="11" t="s">
        <v>10421</v>
      </c>
      <c r="S2004" s="4" t="b">
        <f>ISNUMBER(MATCH(Q2004,T:T,0))</f>
        <v>1</v>
      </c>
      <c r="T2004" s="4" t="s">
        <v>11961</v>
      </c>
      <c r="U2004" s="4" t="str">
        <f t="shared" si="88"/>
        <v>甚</v>
      </c>
    </row>
    <row r="2005" spans="1:22">
      <c r="A2005" s="3">
        <v>2003</v>
      </c>
      <c r="B2005" s="3" t="s">
        <v>4000</v>
      </c>
      <c r="C2005" s="3" t="s">
        <v>6028</v>
      </c>
      <c r="D2005" s="3" t="s">
        <v>6001</v>
      </c>
      <c r="E2005" s="3" t="s">
        <v>5991</v>
      </c>
      <c r="F2005" s="3" t="s">
        <v>5120</v>
      </c>
      <c r="G2005" s="3" t="s">
        <v>8645</v>
      </c>
      <c r="H2005" s="3" t="s">
        <v>4048</v>
      </c>
      <c r="I2005" s="3" t="s">
        <v>5122</v>
      </c>
      <c r="J2005" s="5" t="s">
        <v>4049</v>
      </c>
      <c r="L2005" s="3" t="s">
        <v>5973</v>
      </c>
      <c r="M2005" s="3">
        <v>1</v>
      </c>
      <c r="N2005" s="4" t="s">
        <v>4003</v>
      </c>
      <c r="O2005" s="4">
        <v>104</v>
      </c>
      <c r="P2005" s="11" t="s">
        <v>6028</v>
      </c>
      <c r="Q2005" s="11" t="s">
        <v>10423</v>
      </c>
      <c r="S2005" s="4" t="b">
        <f>ISNUMBER(MATCH(Q2005,T:T,0))</f>
        <v>1</v>
      </c>
      <c r="T2005" s="4" t="s">
        <v>4049</v>
      </c>
      <c r="U2005" s="4" t="str">
        <f t="shared" si="88"/>
        <v>荏</v>
      </c>
    </row>
    <row r="2006" spans="1:22">
      <c r="A2006" s="3">
        <v>2004</v>
      </c>
      <c r="B2006" s="3" t="s">
        <v>4000</v>
      </c>
      <c r="C2006" s="3" t="s">
        <v>6015</v>
      </c>
      <c r="D2006" s="3" t="s">
        <v>6001</v>
      </c>
      <c r="E2006" s="3" t="s">
        <v>5991</v>
      </c>
      <c r="F2006" s="3" t="s">
        <v>5128</v>
      </c>
      <c r="G2006" s="3" t="s">
        <v>8645</v>
      </c>
      <c r="H2006" s="3" t="s">
        <v>4050</v>
      </c>
      <c r="I2006" s="3" t="s">
        <v>5122</v>
      </c>
      <c r="J2006" s="5" t="s">
        <v>4051</v>
      </c>
      <c r="L2006" s="3" t="s">
        <v>5949</v>
      </c>
      <c r="M2006" s="3">
        <v>1</v>
      </c>
      <c r="N2006" s="4" t="s">
        <v>4003</v>
      </c>
      <c r="O2006" s="4">
        <v>104</v>
      </c>
      <c r="P2006" s="11" t="s">
        <v>9777</v>
      </c>
      <c r="Q2006" s="11" t="s">
        <v>10429</v>
      </c>
      <c r="S2006" s="4" t="b">
        <f>ISNUMBER(MATCH(Q2006,T:T,0))</f>
        <v>1</v>
      </c>
      <c r="T2006" s="4" t="s">
        <v>4051</v>
      </c>
      <c r="U2006" s="4" t="str">
        <f t="shared" si="88"/>
        <v>㾕</v>
      </c>
    </row>
    <row r="2007" spans="1:22">
      <c r="A2007" s="3">
        <v>2005</v>
      </c>
      <c r="B2007" s="3" t="s">
        <v>4052</v>
      </c>
      <c r="C2007" s="3" t="s">
        <v>6025</v>
      </c>
      <c r="D2007" s="3" t="s">
        <v>5990</v>
      </c>
      <c r="E2007" s="3" t="s">
        <v>5991</v>
      </c>
      <c r="F2007" s="3" t="s">
        <v>8494</v>
      </c>
      <c r="G2007" s="3" t="s">
        <v>8645</v>
      </c>
      <c r="H2007" s="3" t="s">
        <v>4053</v>
      </c>
      <c r="I2007" s="3" t="s">
        <v>8496</v>
      </c>
      <c r="J2007" s="5" t="s">
        <v>9069</v>
      </c>
      <c r="L2007" s="3" t="s">
        <v>275</v>
      </c>
      <c r="M2007" s="3">
        <v>11</v>
      </c>
      <c r="N2007" s="4" t="s">
        <v>4054</v>
      </c>
      <c r="O2007" s="4">
        <v>105</v>
      </c>
      <c r="P2007" s="11" t="s">
        <v>9729</v>
      </c>
      <c r="Q2007" s="11" t="s">
        <v>10430</v>
      </c>
      <c r="S2007" s="4" t="b">
        <f>ISNUMBER(MATCH(Q2007,T:T,0))</f>
        <v>1</v>
      </c>
      <c r="T2007" s="4" t="s">
        <v>4054</v>
      </c>
      <c r="U2007" s="4" t="str">
        <f t="shared" si="88"/>
        <v>禫</v>
      </c>
    </row>
    <row r="2008" spans="1:22">
      <c r="A2008" s="3">
        <v>2006</v>
      </c>
      <c r="B2008" s="3" t="s">
        <v>4052</v>
      </c>
      <c r="C2008" s="3" t="s">
        <v>5997</v>
      </c>
      <c r="D2008" s="3" t="s">
        <v>5990</v>
      </c>
      <c r="E2008" s="3" t="s">
        <v>5991</v>
      </c>
      <c r="F2008" s="3" t="s">
        <v>8494</v>
      </c>
      <c r="G2008" s="3" t="s">
        <v>8645</v>
      </c>
      <c r="H2008" s="3" t="s">
        <v>4055</v>
      </c>
      <c r="I2008" s="3" t="s">
        <v>8496</v>
      </c>
      <c r="J2008" s="5" t="s">
        <v>4056</v>
      </c>
      <c r="L2008" s="3" t="s">
        <v>271</v>
      </c>
      <c r="M2008" s="3">
        <v>16</v>
      </c>
      <c r="N2008" s="4" t="s">
        <v>4054</v>
      </c>
      <c r="O2008" s="4">
        <v>105</v>
      </c>
      <c r="P2008" s="11" t="s">
        <v>9706</v>
      </c>
      <c r="Q2008" s="11" t="s">
        <v>4054</v>
      </c>
      <c r="S2008" s="4" t="b">
        <f>ISNUMBER(MATCH(Q2008,T:T,0))</f>
        <v>1</v>
      </c>
      <c r="T2008" s="4" t="s">
        <v>10430</v>
      </c>
      <c r="U2008" s="4" t="str">
        <f t="shared" si="88"/>
        <v>感</v>
      </c>
    </row>
    <row r="2009" spans="1:22">
      <c r="A2009" s="3">
        <v>2007</v>
      </c>
      <c r="B2009" s="3" t="s">
        <v>4052</v>
      </c>
      <c r="C2009" s="3" t="s">
        <v>6072</v>
      </c>
      <c r="D2009" s="3" t="s">
        <v>5990</v>
      </c>
      <c r="E2009" s="3" t="s">
        <v>5991</v>
      </c>
      <c r="F2009" s="3" t="s">
        <v>8494</v>
      </c>
      <c r="G2009" s="3" t="s">
        <v>8645</v>
      </c>
      <c r="H2009" s="3" t="s">
        <v>4057</v>
      </c>
      <c r="I2009" s="3" t="s">
        <v>8496</v>
      </c>
      <c r="J2009" s="5" t="s">
        <v>9070</v>
      </c>
      <c r="K2009" s="3" t="s">
        <v>613</v>
      </c>
      <c r="L2009" s="3" t="s">
        <v>4058</v>
      </c>
      <c r="M2009" s="3">
        <v>9</v>
      </c>
      <c r="N2009" s="4" t="s">
        <v>4054</v>
      </c>
      <c r="O2009" s="4">
        <v>105</v>
      </c>
      <c r="P2009" s="11" t="s">
        <v>9734</v>
      </c>
      <c r="Q2009" s="11" t="s">
        <v>4054</v>
      </c>
      <c r="S2009" s="4" t="b">
        <f>ISNUMBER(MATCH(Q2009,T:T,0))</f>
        <v>1</v>
      </c>
      <c r="T2009" s="4" t="s">
        <v>11962</v>
      </c>
      <c r="U2009" s="4" t="str">
        <f t="shared" si="88"/>
        <v>感</v>
      </c>
    </row>
    <row r="2010" spans="1:22">
      <c r="A2010" s="3">
        <v>2008</v>
      </c>
      <c r="B2010" s="3" t="s">
        <v>4052</v>
      </c>
      <c r="C2010" s="3" t="s">
        <v>6102</v>
      </c>
      <c r="D2010" s="3" t="s">
        <v>5990</v>
      </c>
      <c r="E2010" s="3" t="s">
        <v>5991</v>
      </c>
      <c r="F2010" s="3" t="s">
        <v>8494</v>
      </c>
      <c r="G2010" s="3" t="s">
        <v>8645</v>
      </c>
      <c r="H2010" s="3" t="s">
        <v>4059</v>
      </c>
      <c r="I2010" s="3" t="s">
        <v>8496</v>
      </c>
      <c r="J2010" s="5" t="s">
        <v>4060</v>
      </c>
      <c r="L2010" s="3" t="s">
        <v>3140</v>
      </c>
      <c r="M2010" s="3">
        <v>6</v>
      </c>
      <c r="N2010" s="4" t="s">
        <v>4054</v>
      </c>
      <c r="O2010" s="4">
        <v>105</v>
      </c>
      <c r="P2010" s="11" t="s">
        <v>9744</v>
      </c>
      <c r="Q2010" s="11" t="s">
        <v>4054</v>
      </c>
      <c r="S2010" s="4" t="b">
        <f>ISNUMBER(MATCH(Q2010,T:T,0))</f>
        <v>1</v>
      </c>
      <c r="T2010" s="4" t="s">
        <v>11963</v>
      </c>
      <c r="U2010" s="4" t="str">
        <f t="shared" si="88"/>
        <v>感</v>
      </c>
    </row>
    <row r="2011" spans="1:22">
      <c r="A2011" s="3">
        <v>2009</v>
      </c>
      <c r="B2011" s="3" t="s">
        <v>4052</v>
      </c>
      <c r="C2011" s="3" t="s">
        <v>6079</v>
      </c>
      <c r="D2011" s="3" t="s">
        <v>5990</v>
      </c>
      <c r="E2011" s="3" t="s">
        <v>5991</v>
      </c>
      <c r="F2011" s="3" t="s">
        <v>8494</v>
      </c>
      <c r="G2011" s="3" t="s">
        <v>8645</v>
      </c>
      <c r="H2011" s="3" t="s">
        <v>4061</v>
      </c>
      <c r="I2011" s="3" t="s">
        <v>8496</v>
      </c>
      <c r="J2011" s="5" t="s">
        <v>4062</v>
      </c>
      <c r="L2011" s="3" t="s">
        <v>266</v>
      </c>
      <c r="M2011" s="3">
        <v>5</v>
      </c>
      <c r="N2011" s="4" t="s">
        <v>4054</v>
      </c>
      <c r="O2011" s="4">
        <v>105</v>
      </c>
      <c r="P2011" s="11" t="s">
        <v>9736</v>
      </c>
      <c r="Q2011" s="11" t="s">
        <v>4054</v>
      </c>
      <c r="S2011" s="4" t="b">
        <f>ISNUMBER(MATCH(Q2011,T:T,0))</f>
        <v>1</v>
      </c>
      <c r="T2011" s="4" t="s">
        <v>11964</v>
      </c>
      <c r="U2011" s="4" t="str">
        <f t="shared" si="88"/>
        <v>感</v>
      </c>
    </row>
    <row r="2012" spans="1:22">
      <c r="A2012" s="3">
        <v>2010</v>
      </c>
      <c r="B2012" s="3" t="s">
        <v>4052</v>
      </c>
      <c r="C2012" s="3" t="s">
        <v>6069</v>
      </c>
      <c r="D2012" s="3" t="s">
        <v>5990</v>
      </c>
      <c r="E2012" s="3" t="s">
        <v>5991</v>
      </c>
      <c r="F2012" s="3" t="s">
        <v>8494</v>
      </c>
      <c r="G2012" s="3" t="s">
        <v>8645</v>
      </c>
      <c r="H2012" s="3" t="s">
        <v>4063</v>
      </c>
      <c r="I2012" s="3" t="s">
        <v>8496</v>
      </c>
      <c r="J2012" s="5" t="s">
        <v>4064</v>
      </c>
      <c r="L2012" s="3" t="s">
        <v>273</v>
      </c>
      <c r="M2012" s="3">
        <v>4</v>
      </c>
      <c r="N2012" s="4" t="s">
        <v>4054</v>
      </c>
      <c r="O2012" s="4">
        <v>105</v>
      </c>
      <c r="P2012" s="11" t="s">
        <v>9733</v>
      </c>
      <c r="Q2012" s="11" t="s">
        <v>4054</v>
      </c>
      <c r="S2012" s="4" t="b">
        <f>ISNUMBER(MATCH(Q2012,T:T,0))</f>
        <v>1</v>
      </c>
      <c r="T2012" s="4" t="s">
        <v>11965</v>
      </c>
      <c r="U2012" s="4" t="str">
        <f t="shared" si="88"/>
        <v>感</v>
      </c>
    </row>
    <row r="2013" spans="1:22">
      <c r="A2013" s="3">
        <v>2011</v>
      </c>
      <c r="B2013" s="3" t="s">
        <v>4052</v>
      </c>
      <c r="C2013" s="3" t="s">
        <v>6076</v>
      </c>
      <c r="D2013" s="3" t="s">
        <v>5990</v>
      </c>
      <c r="E2013" s="3" t="s">
        <v>5991</v>
      </c>
      <c r="F2013" s="3" t="s">
        <v>8494</v>
      </c>
      <c r="G2013" s="3" t="s">
        <v>8645</v>
      </c>
      <c r="H2013" s="3" t="s">
        <v>4065</v>
      </c>
      <c r="I2013" s="3" t="s">
        <v>8496</v>
      </c>
      <c r="J2013" s="5" t="s">
        <v>9071</v>
      </c>
      <c r="L2013" s="3" t="s">
        <v>4066</v>
      </c>
      <c r="M2013" s="3">
        <v>8</v>
      </c>
      <c r="N2013" s="4" t="s">
        <v>4054</v>
      </c>
      <c r="O2013" s="4">
        <v>105</v>
      </c>
      <c r="P2013" s="11" t="s">
        <v>9766</v>
      </c>
      <c r="Q2013" s="11" t="s">
        <v>4054</v>
      </c>
      <c r="S2013" s="4" t="b">
        <f>ISNUMBER(MATCH(Q2013,T:T,0))</f>
        <v>1</v>
      </c>
      <c r="T2013" s="4" t="s">
        <v>11966</v>
      </c>
      <c r="U2013" s="4" t="str">
        <f t="shared" si="88"/>
        <v>感</v>
      </c>
    </row>
    <row r="2014" spans="1:22">
      <c r="A2014" s="3">
        <v>2012</v>
      </c>
      <c r="B2014" s="3" t="s">
        <v>4052</v>
      </c>
      <c r="C2014" s="3" t="s">
        <v>6092</v>
      </c>
      <c r="D2014" s="3" t="s">
        <v>5990</v>
      </c>
      <c r="E2014" s="3" t="s">
        <v>5991</v>
      </c>
      <c r="F2014" s="3" t="s">
        <v>8494</v>
      </c>
      <c r="G2014" s="3" t="s">
        <v>8645</v>
      </c>
      <c r="H2014" s="3" t="s">
        <v>4067</v>
      </c>
      <c r="I2014" s="3" t="s">
        <v>8496</v>
      </c>
      <c r="J2014" s="5" t="s">
        <v>4068</v>
      </c>
      <c r="L2014" s="3" t="s">
        <v>4058</v>
      </c>
      <c r="M2014" s="3">
        <v>3</v>
      </c>
      <c r="N2014" s="4" t="s">
        <v>4054</v>
      </c>
      <c r="O2014" s="4">
        <v>105</v>
      </c>
      <c r="P2014" s="11" t="s">
        <v>9740</v>
      </c>
      <c r="Q2014" s="11" t="s">
        <v>4054</v>
      </c>
      <c r="S2014" s="4" t="b">
        <f>ISNUMBER(MATCH(Q2014,T:T,0))</f>
        <v>1</v>
      </c>
      <c r="T2014" s="4" t="s">
        <v>11967</v>
      </c>
      <c r="U2014" s="4" t="str">
        <f t="shared" si="88"/>
        <v>感</v>
      </c>
    </row>
    <row r="2015" spans="1:22">
      <c r="A2015" s="3">
        <v>2013</v>
      </c>
      <c r="B2015" s="3" t="s">
        <v>4052</v>
      </c>
      <c r="C2015" s="3" t="s">
        <v>6083</v>
      </c>
      <c r="D2015" s="3" t="s">
        <v>5990</v>
      </c>
      <c r="E2015" s="3" t="s">
        <v>5991</v>
      </c>
      <c r="F2015" s="3" t="s">
        <v>8494</v>
      </c>
      <c r="G2015" s="3" t="s">
        <v>8645</v>
      </c>
      <c r="H2015" s="3" t="s">
        <v>4069</v>
      </c>
      <c r="I2015" s="3" t="s">
        <v>8496</v>
      </c>
      <c r="J2015" s="5" t="s">
        <v>9072</v>
      </c>
      <c r="L2015" s="3" t="s">
        <v>287</v>
      </c>
      <c r="M2015" s="3">
        <v>3</v>
      </c>
      <c r="N2015" s="4" t="s">
        <v>4054</v>
      </c>
      <c r="O2015" s="4">
        <v>105</v>
      </c>
      <c r="P2015" s="11" t="s">
        <v>9737</v>
      </c>
      <c r="Q2015" s="11" t="s">
        <v>4054</v>
      </c>
      <c r="S2015" s="4" t="b">
        <f>ISNUMBER(MATCH(Q2015,T:T,0))</f>
        <v>1</v>
      </c>
      <c r="T2015" s="4" t="s">
        <v>11968</v>
      </c>
      <c r="U2015" s="4" t="str">
        <f t="shared" si="88"/>
        <v>感</v>
      </c>
    </row>
    <row r="2016" spans="1:22">
      <c r="A2016" s="3">
        <v>2014</v>
      </c>
      <c r="B2016" s="3" t="s">
        <v>4052</v>
      </c>
      <c r="C2016" s="3" t="s">
        <v>6017</v>
      </c>
      <c r="D2016" s="3" t="s">
        <v>5990</v>
      </c>
      <c r="E2016" s="3" t="s">
        <v>5991</v>
      </c>
      <c r="F2016" s="3" t="s">
        <v>8494</v>
      </c>
      <c r="G2016" s="3" t="s">
        <v>8645</v>
      </c>
      <c r="H2016" s="3" t="s">
        <v>4070</v>
      </c>
      <c r="I2016" s="3" t="s">
        <v>8496</v>
      </c>
      <c r="J2016" s="8" t="s">
        <v>9073</v>
      </c>
      <c r="K2016" s="3" t="s">
        <v>4071</v>
      </c>
      <c r="L2016" s="3" t="s">
        <v>268</v>
      </c>
      <c r="M2016" s="3">
        <v>8</v>
      </c>
      <c r="N2016" s="4" t="s">
        <v>4054</v>
      </c>
      <c r="O2016" s="4">
        <v>105</v>
      </c>
      <c r="P2016" s="11" t="s">
        <v>10115</v>
      </c>
      <c r="Q2016" s="11" t="s">
        <v>4054</v>
      </c>
      <c r="S2016" s="4" t="b">
        <f>ISNUMBER(MATCH(Q2016,T:T,0))</f>
        <v>1</v>
      </c>
      <c r="T2016" s="4" t="s">
        <v>11969</v>
      </c>
      <c r="U2016" s="4" t="str">
        <f t="shared" si="88"/>
        <v>感</v>
      </c>
    </row>
    <row r="2017" spans="1:22">
      <c r="A2017" s="3">
        <v>2015</v>
      </c>
      <c r="B2017" s="3" t="s">
        <v>4052</v>
      </c>
      <c r="C2017" s="3" t="s">
        <v>6038</v>
      </c>
      <c r="D2017" s="3" t="s">
        <v>5990</v>
      </c>
      <c r="E2017" s="3" t="s">
        <v>5991</v>
      </c>
      <c r="F2017" s="3" t="s">
        <v>8494</v>
      </c>
      <c r="G2017" s="3" t="s">
        <v>8645</v>
      </c>
      <c r="H2017" s="3" t="s">
        <v>4072</v>
      </c>
      <c r="I2017" s="3" t="s">
        <v>8496</v>
      </c>
      <c r="J2017" s="5" t="s">
        <v>9074</v>
      </c>
      <c r="L2017" s="3" t="s">
        <v>281</v>
      </c>
      <c r="M2017" s="3">
        <v>10</v>
      </c>
      <c r="N2017" s="4" t="s">
        <v>4054</v>
      </c>
      <c r="O2017" s="4">
        <v>105</v>
      </c>
      <c r="P2017" s="11" t="s">
        <v>9728</v>
      </c>
      <c r="Q2017" s="11" t="s">
        <v>4054</v>
      </c>
      <c r="S2017" s="4" t="b">
        <f>ISNUMBER(MATCH(Q2017,T:T,0))</f>
        <v>1</v>
      </c>
      <c r="T2017" s="4" t="s">
        <v>11970</v>
      </c>
      <c r="U2017" s="4" t="str">
        <f t="shared" si="88"/>
        <v>感</v>
      </c>
    </row>
    <row r="2018" spans="1:22">
      <c r="A2018" s="3">
        <v>2016</v>
      </c>
      <c r="B2018" s="3" t="s">
        <v>4052</v>
      </c>
      <c r="C2018" s="3" t="s">
        <v>6067</v>
      </c>
      <c r="D2018" s="3" t="s">
        <v>5990</v>
      </c>
      <c r="E2018" s="3" t="s">
        <v>5991</v>
      </c>
      <c r="F2018" s="3" t="s">
        <v>8494</v>
      </c>
      <c r="G2018" s="3" t="s">
        <v>8645</v>
      </c>
      <c r="H2018" s="3" t="s">
        <v>4073</v>
      </c>
      <c r="I2018" s="3" t="s">
        <v>8496</v>
      </c>
      <c r="J2018" s="5" t="s">
        <v>9075</v>
      </c>
      <c r="L2018" s="3" t="s">
        <v>260</v>
      </c>
      <c r="M2018" s="3">
        <v>16</v>
      </c>
      <c r="N2018" s="4" t="s">
        <v>4054</v>
      </c>
      <c r="O2018" s="4">
        <v>105</v>
      </c>
      <c r="P2018" s="11" t="s">
        <v>9870</v>
      </c>
      <c r="Q2018" s="11" t="s">
        <v>4054</v>
      </c>
      <c r="S2018" s="4" t="b">
        <f>ISNUMBER(MATCH(Q2018,T:T,0))</f>
        <v>1</v>
      </c>
      <c r="T2018" s="4" t="s">
        <v>11971</v>
      </c>
      <c r="U2018" s="4" t="str">
        <f t="shared" si="88"/>
        <v>感</v>
      </c>
    </row>
    <row r="2019" spans="1:22">
      <c r="A2019" s="3">
        <v>2017</v>
      </c>
      <c r="B2019" s="3" t="s">
        <v>4052</v>
      </c>
      <c r="C2019" s="3" t="s">
        <v>6058</v>
      </c>
      <c r="D2019" s="3" t="s">
        <v>5990</v>
      </c>
      <c r="E2019" s="3" t="s">
        <v>5991</v>
      </c>
      <c r="F2019" s="3" t="s">
        <v>8494</v>
      </c>
      <c r="G2019" s="3" t="s">
        <v>8645</v>
      </c>
      <c r="H2019" s="3" t="s">
        <v>4074</v>
      </c>
      <c r="I2019" s="3" t="s">
        <v>8496</v>
      </c>
      <c r="J2019" s="5" t="s">
        <v>9076</v>
      </c>
      <c r="K2019" s="3" t="s">
        <v>4075</v>
      </c>
      <c r="L2019" s="3" t="s">
        <v>278</v>
      </c>
      <c r="M2019" s="3">
        <v>8</v>
      </c>
      <c r="N2019" s="4" t="s">
        <v>4054</v>
      </c>
      <c r="O2019" s="4">
        <v>105</v>
      </c>
      <c r="P2019" s="11" t="s">
        <v>9730</v>
      </c>
      <c r="Q2019" s="11" t="s">
        <v>4054</v>
      </c>
      <c r="S2019" s="4" t="b">
        <f>ISNUMBER(MATCH(Q2019,T:T,0))</f>
        <v>1</v>
      </c>
      <c r="T2019" s="4" t="s">
        <v>11972</v>
      </c>
      <c r="U2019" s="4" t="str">
        <f t="shared" si="88"/>
        <v>感</v>
      </c>
    </row>
    <row r="2020" spans="1:22">
      <c r="A2020" s="3">
        <v>2018</v>
      </c>
      <c r="B2020" s="3" t="s">
        <v>4052</v>
      </c>
      <c r="C2020" s="3" t="s">
        <v>5989</v>
      </c>
      <c r="D2020" s="3" t="s">
        <v>5990</v>
      </c>
      <c r="E2020" s="3" t="s">
        <v>5991</v>
      </c>
      <c r="F2020" s="3" t="s">
        <v>8494</v>
      </c>
      <c r="G2020" s="3" t="s">
        <v>8645</v>
      </c>
      <c r="H2020" s="3" t="s">
        <v>4076</v>
      </c>
      <c r="I2020" s="3" t="s">
        <v>8496</v>
      </c>
      <c r="J2020" s="5" t="s">
        <v>9077</v>
      </c>
      <c r="K2020" s="3" t="s">
        <v>614</v>
      </c>
      <c r="L2020" s="3" t="s">
        <v>266</v>
      </c>
      <c r="M2020" s="3">
        <v>10</v>
      </c>
      <c r="N2020" s="4" t="s">
        <v>4054</v>
      </c>
      <c r="O2020" s="4">
        <v>105</v>
      </c>
      <c r="P2020" s="11" t="s">
        <v>9742</v>
      </c>
      <c r="Q2020" s="11" t="s">
        <v>4054</v>
      </c>
      <c r="S2020" s="4" t="b">
        <f>ISNUMBER(MATCH(Q2020,T:T,0))</f>
        <v>1</v>
      </c>
      <c r="T2020" s="4" t="s">
        <v>11973</v>
      </c>
      <c r="U2020" s="4" t="str">
        <f t="shared" si="88"/>
        <v>感</v>
      </c>
    </row>
    <row r="2021" spans="1:22">
      <c r="A2021" s="3">
        <v>2019</v>
      </c>
      <c r="B2021" s="3" t="s">
        <v>4052</v>
      </c>
      <c r="C2021" s="3" t="s">
        <v>6089</v>
      </c>
      <c r="D2021" s="3" t="s">
        <v>5990</v>
      </c>
      <c r="E2021" s="3" t="s">
        <v>5991</v>
      </c>
      <c r="F2021" s="3" t="s">
        <v>8494</v>
      </c>
      <c r="G2021" s="3" t="s">
        <v>8645</v>
      </c>
      <c r="H2021" s="3" t="s">
        <v>4077</v>
      </c>
      <c r="I2021" s="3" t="s">
        <v>8496</v>
      </c>
      <c r="J2021" s="5" t="s">
        <v>4078</v>
      </c>
      <c r="L2021" s="3" t="s">
        <v>284</v>
      </c>
      <c r="M2021" s="3">
        <v>1</v>
      </c>
      <c r="N2021" s="4" t="s">
        <v>4054</v>
      </c>
      <c r="O2021" s="4">
        <v>105</v>
      </c>
      <c r="P2021" s="11" t="s">
        <v>9739</v>
      </c>
      <c r="Q2021" s="11" t="s">
        <v>10431</v>
      </c>
      <c r="R2021" s="4" t="s">
        <v>13115</v>
      </c>
      <c r="S2021" s="4" t="b">
        <f>ISNUMBER(MATCH(Q2021,T:T,0))</f>
        <v>0</v>
      </c>
      <c r="T2021" s="4" t="s">
        <v>4078</v>
      </c>
      <c r="U2021" s="4" t="str">
        <f t="shared" si="88"/>
        <v>晻</v>
      </c>
      <c r="V2021" s="4" t="b">
        <f>ISNUMBER(MATCH(R2021,T:T,0))</f>
        <v>1</v>
      </c>
    </row>
    <row r="2022" spans="1:22">
      <c r="A2022" s="3">
        <v>2020</v>
      </c>
      <c r="B2022" s="3" t="s">
        <v>4079</v>
      </c>
      <c r="C2022" s="3" t="s">
        <v>6025</v>
      </c>
      <c r="D2022" s="3" t="s">
        <v>5990</v>
      </c>
      <c r="E2022" s="3" t="s">
        <v>5991</v>
      </c>
      <c r="F2022" s="3" t="s">
        <v>8522</v>
      </c>
      <c r="G2022" s="3" t="s">
        <v>8645</v>
      </c>
      <c r="H2022" s="3" t="s">
        <v>4080</v>
      </c>
      <c r="I2022" s="3" t="s">
        <v>8496</v>
      </c>
      <c r="J2022" s="5" t="s">
        <v>4081</v>
      </c>
      <c r="L2022" s="3" t="s">
        <v>275</v>
      </c>
      <c r="M2022" s="3">
        <v>7</v>
      </c>
      <c r="N2022" s="4" t="s">
        <v>9652</v>
      </c>
      <c r="O2022" s="4">
        <v>106</v>
      </c>
      <c r="P2022" s="11" t="s">
        <v>9729</v>
      </c>
      <c r="Q2022" s="11" t="s">
        <v>10432</v>
      </c>
      <c r="S2022" s="4" t="b">
        <f>ISNUMBER(MATCH(Q2022,T:T,0))</f>
        <v>1</v>
      </c>
      <c r="T2022" s="4" t="s">
        <v>9652</v>
      </c>
      <c r="U2022" s="4" t="str">
        <f t="shared" si="88"/>
        <v>覽</v>
      </c>
    </row>
    <row r="2023" spans="1:22">
      <c r="A2023" s="3">
        <v>2021</v>
      </c>
      <c r="B2023" s="3" t="s">
        <v>4079</v>
      </c>
      <c r="C2023" s="3" t="s">
        <v>6120</v>
      </c>
      <c r="D2023" s="3" t="s">
        <v>5990</v>
      </c>
      <c r="E2023" s="3" t="s">
        <v>5991</v>
      </c>
      <c r="F2023" s="3" t="s">
        <v>8522</v>
      </c>
      <c r="G2023" s="3" t="s">
        <v>8645</v>
      </c>
      <c r="H2023" s="3" t="s">
        <v>4082</v>
      </c>
      <c r="I2023" s="3" t="s">
        <v>8496</v>
      </c>
      <c r="J2023" s="5" t="s">
        <v>4083</v>
      </c>
      <c r="M2023" s="3">
        <v>1</v>
      </c>
      <c r="N2023" s="4" t="s">
        <v>9652</v>
      </c>
      <c r="O2023" s="4">
        <v>106</v>
      </c>
      <c r="P2023" s="11" t="s">
        <v>10433</v>
      </c>
      <c r="Q2023" s="11" t="s">
        <v>9652</v>
      </c>
      <c r="S2023" s="4" t="b">
        <f>ISNUMBER(MATCH(Q2023,T:T,0))</f>
        <v>1</v>
      </c>
      <c r="T2023" s="4" t="s">
        <v>4083</v>
      </c>
      <c r="U2023" s="4" t="str">
        <f t="shared" si="88"/>
        <v>敢</v>
      </c>
    </row>
    <row r="2024" spans="1:22">
      <c r="A2024" s="3">
        <v>2022</v>
      </c>
      <c r="B2024" s="3" t="s">
        <v>4079</v>
      </c>
      <c r="C2024" s="3" t="s">
        <v>6058</v>
      </c>
      <c r="D2024" s="3" t="s">
        <v>5990</v>
      </c>
      <c r="E2024" s="3" t="s">
        <v>5991</v>
      </c>
      <c r="F2024" s="3" t="s">
        <v>8522</v>
      </c>
      <c r="G2024" s="3" t="s">
        <v>8645</v>
      </c>
      <c r="H2024" s="3" t="s">
        <v>4084</v>
      </c>
      <c r="I2024" s="3" t="s">
        <v>8496</v>
      </c>
      <c r="J2024" s="5" t="s">
        <v>9078</v>
      </c>
      <c r="L2024" s="3" t="s">
        <v>278</v>
      </c>
      <c r="M2024" s="3">
        <v>6</v>
      </c>
      <c r="N2024" s="4" t="s">
        <v>9652</v>
      </c>
      <c r="O2024" s="4">
        <v>106</v>
      </c>
      <c r="P2024" s="11" t="s">
        <v>9730</v>
      </c>
      <c r="Q2024" s="11" t="s">
        <v>9652</v>
      </c>
      <c r="S2024" s="4" t="b">
        <f>ISNUMBER(MATCH(Q2024,T:T,0))</f>
        <v>1</v>
      </c>
      <c r="T2024" s="4" t="s">
        <v>10432</v>
      </c>
      <c r="U2024" s="4" t="str">
        <f t="shared" si="88"/>
        <v>敢</v>
      </c>
    </row>
    <row r="2025" spans="1:22">
      <c r="A2025" s="3">
        <v>2023</v>
      </c>
      <c r="B2025" s="3" t="s">
        <v>4079</v>
      </c>
      <c r="C2025" s="3" t="s">
        <v>6079</v>
      </c>
      <c r="D2025" s="3" t="s">
        <v>5990</v>
      </c>
      <c r="E2025" s="3" t="s">
        <v>5991</v>
      </c>
      <c r="F2025" s="3" t="s">
        <v>8522</v>
      </c>
      <c r="G2025" s="3" t="s">
        <v>8645</v>
      </c>
      <c r="H2025" s="3" t="s">
        <v>4085</v>
      </c>
      <c r="I2025" s="3" t="s">
        <v>8496</v>
      </c>
      <c r="J2025" s="5" t="s">
        <v>4086</v>
      </c>
      <c r="L2025" s="3" t="s">
        <v>266</v>
      </c>
      <c r="M2025" s="3">
        <v>8</v>
      </c>
      <c r="N2025" s="4" t="s">
        <v>9652</v>
      </c>
      <c r="O2025" s="4">
        <v>106</v>
      </c>
      <c r="P2025" s="11" t="s">
        <v>9967</v>
      </c>
      <c r="Q2025" s="11" t="s">
        <v>9652</v>
      </c>
      <c r="S2025" s="4" t="b">
        <f>ISNUMBER(MATCH(Q2025,T:T,0))</f>
        <v>1</v>
      </c>
      <c r="T2025" s="4" t="s">
        <v>11974</v>
      </c>
      <c r="U2025" s="4" t="str">
        <f t="shared" si="88"/>
        <v>敢</v>
      </c>
    </row>
    <row r="2026" spans="1:22">
      <c r="A2026" s="3">
        <v>2024</v>
      </c>
      <c r="B2026" s="3" t="s">
        <v>4079</v>
      </c>
      <c r="C2026" s="3" t="s">
        <v>5989</v>
      </c>
      <c r="D2026" s="3" t="s">
        <v>5990</v>
      </c>
      <c r="E2026" s="3" t="s">
        <v>5991</v>
      </c>
      <c r="F2026" s="3" t="s">
        <v>8522</v>
      </c>
      <c r="G2026" s="3" t="s">
        <v>8645</v>
      </c>
      <c r="H2026" s="3" t="s">
        <v>4087</v>
      </c>
      <c r="I2026" s="3" t="s">
        <v>8496</v>
      </c>
      <c r="J2026" s="5" t="s">
        <v>4088</v>
      </c>
      <c r="L2026" s="3" t="s">
        <v>263</v>
      </c>
      <c r="M2026" s="3">
        <v>6</v>
      </c>
      <c r="N2026" s="4" t="s">
        <v>9652</v>
      </c>
      <c r="O2026" s="4">
        <v>106</v>
      </c>
      <c r="P2026" s="11" t="s">
        <v>9742</v>
      </c>
      <c r="Q2026" s="11" t="s">
        <v>9652</v>
      </c>
      <c r="S2026" s="4" t="b">
        <f>ISNUMBER(MATCH(Q2026,T:T,0))</f>
        <v>1</v>
      </c>
      <c r="T2026" s="4" t="s">
        <v>11975</v>
      </c>
      <c r="U2026" s="4" t="str">
        <f t="shared" si="88"/>
        <v>敢</v>
      </c>
    </row>
    <row r="2027" spans="1:22">
      <c r="A2027" s="3">
        <v>2025</v>
      </c>
      <c r="B2027" s="3" t="s">
        <v>4079</v>
      </c>
      <c r="C2027" s="3" t="s">
        <v>5997</v>
      </c>
      <c r="D2027" s="3" t="s">
        <v>5990</v>
      </c>
      <c r="E2027" s="3" t="s">
        <v>5991</v>
      </c>
      <c r="F2027" s="3" t="s">
        <v>8522</v>
      </c>
      <c r="G2027" s="3" t="s">
        <v>8645</v>
      </c>
      <c r="H2027" s="3" t="s">
        <v>4089</v>
      </c>
      <c r="I2027" s="3" t="s">
        <v>8496</v>
      </c>
      <c r="J2027" s="5" t="s">
        <v>4090</v>
      </c>
      <c r="L2027" s="3" t="s">
        <v>271</v>
      </c>
      <c r="M2027" s="3">
        <v>8</v>
      </c>
      <c r="N2027" s="4" t="s">
        <v>9652</v>
      </c>
      <c r="O2027" s="4">
        <v>106</v>
      </c>
      <c r="P2027" s="11" t="s">
        <v>9706</v>
      </c>
      <c r="Q2027" s="11" t="s">
        <v>9652</v>
      </c>
      <c r="S2027" s="4" t="b">
        <f>ISNUMBER(MATCH(Q2027,T:T,0))</f>
        <v>1</v>
      </c>
      <c r="T2027" s="4" t="s">
        <v>11976</v>
      </c>
      <c r="U2027" s="4" t="str">
        <f t="shared" si="88"/>
        <v>敢</v>
      </c>
    </row>
    <row r="2028" spans="1:22">
      <c r="A2028" s="3">
        <v>2026</v>
      </c>
      <c r="B2028" s="3" t="s">
        <v>4079</v>
      </c>
      <c r="C2028" s="3" t="s">
        <v>6076</v>
      </c>
      <c r="D2028" s="3" t="s">
        <v>5990</v>
      </c>
      <c r="E2028" s="3" t="s">
        <v>5991</v>
      </c>
      <c r="F2028" s="3" t="s">
        <v>8522</v>
      </c>
      <c r="G2028" s="3" t="s">
        <v>8645</v>
      </c>
      <c r="H2028" s="3" t="s">
        <v>4091</v>
      </c>
      <c r="I2028" s="3" t="s">
        <v>8496</v>
      </c>
      <c r="J2028" s="5" t="s">
        <v>4092</v>
      </c>
      <c r="L2028" s="3" t="s">
        <v>4066</v>
      </c>
      <c r="M2028" s="3">
        <v>1</v>
      </c>
      <c r="N2028" s="4" t="s">
        <v>9652</v>
      </c>
      <c r="O2028" s="4">
        <v>106</v>
      </c>
      <c r="P2028" s="11" t="s">
        <v>9735</v>
      </c>
      <c r="Q2028" s="11" t="s">
        <v>9652</v>
      </c>
      <c r="S2028" s="4" t="b">
        <f>ISNUMBER(MATCH(Q2028,T:T,0))</f>
        <v>1</v>
      </c>
      <c r="T2028" s="4" t="s">
        <v>4092</v>
      </c>
      <c r="U2028" s="4" t="str">
        <f t="shared" si="88"/>
        <v>敢</v>
      </c>
    </row>
    <row r="2029" spans="1:22">
      <c r="A2029" s="3">
        <v>2027</v>
      </c>
      <c r="B2029" s="3" t="s">
        <v>4079</v>
      </c>
      <c r="C2029" s="3" t="s">
        <v>6035</v>
      </c>
      <c r="D2029" s="3" t="s">
        <v>5990</v>
      </c>
      <c r="E2029" s="3" t="s">
        <v>5991</v>
      </c>
      <c r="F2029" s="3" t="s">
        <v>8522</v>
      </c>
      <c r="G2029" s="3" t="s">
        <v>8645</v>
      </c>
      <c r="H2029" s="3" t="s">
        <v>4093</v>
      </c>
      <c r="I2029" s="3" t="s">
        <v>8496</v>
      </c>
      <c r="J2029" s="5" t="s">
        <v>4094</v>
      </c>
      <c r="L2029" s="3" t="s">
        <v>315</v>
      </c>
      <c r="M2029" s="3">
        <v>2</v>
      </c>
      <c r="N2029" s="4" t="s">
        <v>9652</v>
      </c>
      <c r="O2029" s="4">
        <v>106</v>
      </c>
      <c r="P2029" s="11" t="s">
        <v>10434</v>
      </c>
      <c r="Q2029" s="11" t="s">
        <v>9652</v>
      </c>
      <c r="S2029" s="4" t="b">
        <f>ISNUMBER(MATCH(Q2029,T:T,0))</f>
        <v>1</v>
      </c>
      <c r="T2029" s="4" t="s">
        <v>11977</v>
      </c>
      <c r="U2029" s="4" t="str">
        <f t="shared" si="88"/>
        <v>敢</v>
      </c>
    </row>
    <row r="2030" spans="1:22">
      <c r="A2030" s="3">
        <v>2028</v>
      </c>
      <c r="B2030" s="3" t="s">
        <v>4079</v>
      </c>
      <c r="C2030" s="3" t="s">
        <v>6083</v>
      </c>
      <c r="D2030" s="3" t="s">
        <v>5990</v>
      </c>
      <c r="E2030" s="3" t="s">
        <v>5991</v>
      </c>
      <c r="F2030" s="3" t="s">
        <v>8522</v>
      </c>
      <c r="G2030" s="3" t="s">
        <v>8645</v>
      </c>
      <c r="H2030" s="3" t="s">
        <v>4095</v>
      </c>
      <c r="I2030" s="3" t="s">
        <v>8496</v>
      </c>
      <c r="J2030" s="5" t="s">
        <v>4096</v>
      </c>
      <c r="L2030" s="3" t="s">
        <v>287</v>
      </c>
      <c r="M2030" s="3">
        <v>1</v>
      </c>
      <c r="N2030" s="4" t="s">
        <v>9652</v>
      </c>
      <c r="O2030" s="4">
        <v>106</v>
      </c>
      <c r="P2030" s="11" t="s">
        <v>9737</v>
      </c>
      <c r="Q2030" s="11" t="s">
        <v>9652</v>
      </c>
      <c r="S2030" s="4" t="b">
        <f>ISNUMBER(MATCH(Q2030,T:T,0))</f>
        <v>1</v>
      </c>
      <c r="T2030" s="4" t="s">
        <v>4096</v>
      </c>
      <c r="U2030" s="4" t="str">
        <f t="shared" si="88"/>
        <v>敢</v>
      </c>
    </row>
    <row r="2031" spans="1:22">
      <c r="A2031" s="3">
        <v>2029</v>
      </c>
      <c r="B2031" s="3" t="s">
        <v>4079</v>
      </c>
      <c r="C2031" s="3" t="s">
        <v>6069</v>
      </c>
      <c r="D2031" s="3" t="s">
        <v>5990</v>
      </c>
      <c r="E2031" s="3" t="s">
        <v>5991</v>
      </c>
      <c r="F2031" s="3" t="s">
        <v>8522</v>
      </c>
      <c r="G2031" s="3" t="s">
        <v>8645</v>
      </c>
      <c r="H2031" s="3" t="s">
        <v>4097</v>
      </c>
      <c r="I2031" s="3" t="s">
        <v>8496</v>
      </c>
      <c r="J2031" s="5" t="s">
        <v>4098</v>
      </c>
      <c r="L2031" s="3" t="s">
        <v>273</v>
      </c>
      <c r="M2031" s="3">
        <v>4</v>
      </c>
      <c r="N2031" s="4" t="s">
        <v>9652</v>
      </c>
      <c r="O2031" s="4">
        <v>106</v>
      </c>
      <c r="P2031" s="11" t="s">
        <v>9925</v>
      </c>
      <c r="Q2031" s="11" t="s">
        <v>9652</v>
      </c>
      <c r="S2031" s="4" t="b">
        <f>ISNUMBER(MATCH(Q2031,T:T,0))</f>
        <v>1</v>
      </c>
      <c r="T2031" s="4" t="s">
        <v>11978</v>
      </c>
      <c r="U2031" s="4" t="str">
        <f t="shared" si="88"/>
        <v>敢</v>
      </c>
    </row>
    <row r="2032" spans="1:22">
      <c r="A2032" s="3">
        <v>2030</v>
      </c>
      <c r="B2032" s="3" t="s">
        <v>4079</v>
      </c>
      <c r="C2032" s="3" t="s">
        <v>6089</v>
      </c>
      <c r="D2032" s="3" t="s">
        <v>5990</v>
      </c>
      <c r="E2032" s="3" t="s">
        <v>5991</v>
      </c>
      <c r="F2032" s="3" t="s">
        <v>8522</v>
      </c>
      <c r="G2032" s="3" t="s">
        <v>8645</v>
      </c>
      <c r="H2032" s="3" t="s">
        <v>4099</v>
      </c>
      <c r="I2032" s="3" t="s">
        <v>8496</v>
      </c>
      <c r="J2032" s="5" t="s">
        <v>4100</v>
      </c>
      <c r="L2032" s="3" t="s">
        <v>284</v>
      </c>
      <c r="M2032" s="3">
        <v>4</v>
      </c>
      <c r="N2032" s="4" t="s">
        <v>9652</v>
      </c>
      <c r="O2032" s="4">
        <v>106</v>
      </c>
      <c r="P2032" s="11" t="s">
        <v>9739</v>
      </c>
      <c r="Q2032" s="11" t="s">
        <v>10432</v>
      </c>
      <c r="S2032" s="4" t="b">
        <f>ISNUMBER(MATCH(Q2032,T:T,0))</f>
        <v>1</v>
      </c>
      <c r="T2032" s="4" t="s">
        <v>4179</v>
      </c>
      <c r="U2032" s="4" t="str">
        <f t="shared" si="88"/>
        <v>覽</v>
      </c>
    </row>
    <row r="2033" spans="1:21">
      <c r="A2033" s="3">
        <v>2031</v>
      </c>
      <c r="B2033" s="3" t="s">
        <v>4079</v>
      </c>
      <c r="C2033" s="3" t="s">
        <v>6072</v>
      </c>
      <c r="D2033" s="3" t="s">
        <v>5990</v>
      </c>
      <c r="E2033" s="3" t="s">
        <v>5991</v>
      </c>
      <c r="F2033" s="3" t="s">
        <v>8522</v>
      </c>
      <c r="G2033" s="3" t="s">
        <v>8645</v>
      </c>
      <c r="H2033" s="3" t="s">
        <v>4101</v>
      </c>
      <c r="I2033" s="3" t="s">
        <v>8496</v>
      </c>
      <c r="J2033" s="8" t="s">
        <v>9079</v>
      </c>
      <c r="L2033" s="3" t="s">
        <v>4058</v>
      </c>
      <c r="M2033" s="3">
        <v>2</v>
      </c>
      <c r="N2033" s="4" t="s">
        <v>9652</v>
      </c>
      <c r="O2033" s="4">
        <v>106</v>
      </c>
      <c r="P2033" s="11" t="s">
        <v>9734</v>
      </c>
      <c r="Q2033" s="11" t="s">
        <v>9652</v>
      </c>
      <c r="S2033" s="4" t="b">
        <f>ISNUMBER(MATCH(Q2033,T:T,0))</f>
        <v>1</v>
      </c>
      <c r="T2033" s="4" t="s">
        <v>11979</v>
      </c>
      <c r="U2033" s="4" t="str">
        <f t="shared" si="88"/>
        <v>敢</v>
      </c>
    </row>
    <row r="2034" spans="1:21">
      <c r="A2034" s="3">
        <v>2032</v>
      </c>
      <c r="B2034" s="3" t="s">
        <v>4079</v>
      </c>
      <c r="C2034" s="3" t="s">
        <v>6038</v>
      </c>
      <c r="D2034" s="3" t="s">
        <v>5990</v>
      </c>
      <c r="E2034" s="3" t="s">
        <v>5991</v>
      </c>
      <c r="F2034" s="3" t="s">
        <v>8522</v>
      </c>
      <c r="G2034" s="3" t="s">
        <v>8645</v>
      </c>
      <c r="H2034" s="3" t="s">
        <v>4102</v>
      </c>
      <c r="I2034" s="3" t="s">
        <v>8496</v>
      </c>
      <c r="J2034" s="5" t="s">
        <v>4103</v>
      </c>
      <c r="L2034" s="3" t="s">
        <v>281</v>
      </c>
      <c r="M2034" s="3">
        <v>2</v>
      </c>
      <c r="N2034" s="4" t="s">
        <v>9652</v>
      </c>
      <c r="O2034" s="4">
        <v>106</v>
      </c>
      <c r="P2034" s="11" t="s">
        <v>9915</v>
      </c>
      <c r="Q2034" s="11" t="s">
        <v>9652</v>
      </c>
      <c r="S2034" s="4" t="b">
        <f>ISNUMBER(MATCH(Q2034,T:T,0))</f>
        <v>1</v>
      </c>
      <c r="T2034" s="4" t="s">
        <v>11980</v>
      </c>
      <c r="U2034" s="4" t="str">
        <f t="shared" si="88"/>
        <v>敢</v>
      </c>
    </row>
    <row r="2035" spans="1:21">
      <c r="A2035" s="3">
        <v>2033</v>
      </c>
      <c r="B2035" s="3" t="s">
        <v>4104</v>
      </c>
      <c r="C2035" s="3" t="s">
        <v>6028</v>
      </c>
      <c r="D2035" s="3" t="s">
        <v>6001</v>
      </c>
      <c r="E2035" s="3" t="s">
        <v>5991</v>
      </c>
      <c r="F2035" s="3" t="s">
        <v>8541</v>
      </c>
      <c r="G2035" s="3" t="s">
        <v>8645</v>
      </c>
      <c r="H2035" s="3" t="s">
        <v>4105</v>
      </c>
      <c r="I2035" s="3" t="s">
        <v>8496</v>
      </c>
      <c r="J2035" s="5" t="s">
        <v>9080</v>
      </c>
      <c r="L2035" s="3" t="s">
        <v>178</v>
      </c>
      <c r="M2035" s="3">
        <v>11</v>
      </c>
      <c r="N2035" s="4" t="s">
        <v>4106</v>
      </c>
      <c r="O2035" s="4">
        <v>107</v>
      </c>
      <c r="P2035" s="11" t="s">
        <v>6028</v>
      </c>
      <c r="Q2035" s="11" t="s">
        <v>10435</v>
      </c>
      <c r="S2035" s="4" t="b">
        <f>ISNUMBER(MATCH(Q2035,T:T,0))</f>
        <v>1</v>
      </c>
      <c r="T2035" s="4" t="s">
        <v>4106</v>
      </c>
      <c r="U2035" s="4" t="str">
        <f t="shared" si="88"/>
        <v>冉</v>
      </c>
    </row>
    <row r="2036" spans="1:21">
      <c r="A2036" s="3">
        <v>2034</v>
      </c>
      <c r="B2036" s="3" t="s">
        <v>4104</v>
      </c>
      <c r="C2036" s="3" t="s">
        <v>6058</v>
      </c>
      <c r="D2036" s="3" t="s">
        <v>6001</v>
      </c>
      <c r="E2036" s="3" t="s">
        <v>5991</v>
      </c>
      <c r="F2036" s="3" t="s">
        <v>8541</v>
      </c>
      <c r="G2036" s="3" t="s">
        <v>8645</v>
      </c>
      <c r="H2036" s="3" t="s">
        <v>4107</v>
      </c>
      <c r="I2036" s="3" t="s">
        <v>8496</v>
      </c>
      <c r="J2036" s="5" t="s">
        <v>4108</v>
      </c>
      <c r="L2036" s="3" t="s">
        <v>3258</v>
      </c>
      <c r="M2036" s="3">
        <v>13</v>
      </c>
      <c r="N2036" s="4" t="s">
        <v>4106</v>
      </c>
      <c r="O2036" s="4">
        <v>107</v>
      </c>
      <c r="P2036" s="11" t="s">
        <v>10084</v>
      </c>
      <c r="Q2036" s="11" t="s">
        <v>10435</v>
      </c>
      <c r="S2036" s="4" t="b">
        <f>ISNUMBER(MATCH(Q2036,T:T,0))</f>
        <v>1</v>
      </c>
      <c r="T2036" s="4" t="s">
        <v>10437</v>
      </c>
      <c r="U2036" s="4" t="str">
        <f t="shared" si="88"/>
        <v>冉</v>
      </c>
    </row>
    <row r="2037" spans="1:21">
      <c r="A2037" s="3">
        <v>2035</v>
      </c>
      <c r="B2037" s="3" t="s">
        <v>4104</v>
      </c>
      <c r="C2037" s="3" t="s">
        <v>6089</v>
      </c>
      <c r="D2037" s="3" t="s">
        <v>6001</v>
      </c>
      <c r="E2037" s="3" t="s">
        <v>5991</v>
      </c>
      <c r="F2037" s="3" t="s">
        <v>8545</v>
      </c>
      <c r="G2037" s="3" t="s">
        <v>8645</v>
      </c>
      <c r="H2037" s="7" t="s">
        <v>786</v>
      </c>
      <c r="I2037" s="3" t="s">
        <v>8496</v>
      </c>
      <c r="J2037" s="5" t="s">
        <v>4109</v>
      </c>
      <c r="L2037" s="3" t="s">
        <v>190</v>
      </c>
      <c r="M2037" s="3">
        <v>8</v>
      </c>
      <c r="N2037" s="4" t="s">
        <v>4106</v>
      </c>
      <c r="O2037" s="4">
        <v>107</v>
      </c>
      <c r="P2037" s="11" t="s">
        <v>9958</v>
      </c>
      <c r="Q2037" s="11" t="s">
        <v>10436</v>
      </c>
      <c r="S2037" s="4" t="b">
        <f>ISNUMBER(MATCH(Q2037,T:T,0))</f>
        <v>1</v>
      </c>
      <c r="T2037" s="4" t="s">
        <v>10438</v>
      </c>
      <c r="U2037" s="4" t="str">
        <f t="shared" si="88"/>
        <v>檢</v>
      </c>
    </row>
    <row r="2038" spans="1:21">
      <c r="A2038" s="3">
        <v>2036</v>
      </c>
      <c r="B2038" s="3" t="s">
        <v>4104</v>
      </c>
      <c r="C2038" s="3" t="s">
        <v>6049</v>
      </c>
      <c r="D2038" s="3" t="s">
        <v>6001</v>
      </c>
      <c r="E2038" s="3" t="s">
        <v>5991</v>
      </c>
      <c r="F2038" s="3" t="s">
        <v>8545</v>
      </c>
      <c r="G2038" s="3" t="s">
        <v>8645</v>
      </c>
      <c r="H2038" s="3" t="s">
        <v>4110</v>
      </c>
      <c r="I2038" s="3" t="s">
        <v>8496</v>
      </c>
      <c r="J2038" s="5" t="s">
        <v>4111</v>
      </c>
      <c r="L2038" s="3" t="s">
        <v>3213</v>
      </c>
      <c r="M2038" s="3">
        <v>2</v>
      </c>
      <c r="N2038" s="4" t="s">
        <v>4106</v>
      </c>
      <c r="O2038" s="4">
        <v>107</v>
      </c>
      <c r="P2038" s="11" t="s">
        <v>9723</v>
      </c>
      <c r="Q2038" s="11" t="s">
        <v>10437</v>
      </c>
      <c r="S2038" s="4" t="b">
        <f>ISNUMBER(MATCH(Q2038,T:T,0))</f>
        <v>1</v>
      </c>
      <c r="T2038" s="4" t="s">
        <v>11981</v>
      </c>
      <c r="U2038" s="4" t="str">
        <f t="shared" si="88"/>
        <v>斂</v>
      </c>
    </row>
    <row r="2039" spans="1:21">
      <c r="A2039" s="3">
        <v>2037</v>
      </c>
      <c r="B2039" s="3" t="s">
        <v>4104</v>
      </c>
      <c r="C2039" s="3" t="s">
        <v>6009</v>
      </c>
      <c r="D2039" s="3" t="s">
        <v>6001</v>
      </c>
      <c r="E2039" s="3" t="s">
        <v>5991</v>
      </c>
      <c r="F2039" s="3" t="s">
        <v>8541</v>
      </c>
      <c r="G2039" s="3" t="s">
        <v>8645</v>
      </c>
      <c r="H2039" s="3" t="s">
        <v>4112</v>
      </c>
      <c r="I2039" s="3" t="s">
        <v>8496</v>
      </c>
      <c r="J2039" s="5" t="s">
        <v>4113</v>
      </c>
      <c r="L2039" s="3" t="s">
        <v>3152</v>
      </c>
      <c r="M2039" s="3">
        <v>1</v>
      </c>
      <c r="N2039" s="4" t="s">
        <v>4106</v>
      </c>
      <c r="O2039" s="4">
        <v>107</v>
      </c>
      <c r="P2039" s="11" t="s">
        <v>464</v>
      </c>
      <c r="Q2039" s="11" t="s">
        <v>4106</v>
      </c>
      <c r="S2039" s="4" t="b">
        <f>ISNUMBER(MATCH(Q2039,T:T,0))</f>
        <v>1</v>
      </c>
      <c r="T2039" s="4" t="s">
        <v>4113</v>
      </c>
      <c r="U2039" s="4" t="str">
        <f t="shared" si="88"/>
        <v>琰</v>
      </c>
    </row>
    <row r="2040" spans="1:21">
      <c r="A2040" s="3">
        <v>2038</v>
      </c>
      <c r="B2040" s="3" t="s">
        <v>4104</v>
      </c>
      <c r="C2040" s="3" t="s">
        <v>6038</v>
      </c>
      <c r="D2040" s="3" t="s">
        <v>6001</v>
      </c>
      <c r="E2040" s="3" t="s">
        <v>5991</v>
      </c>
      <c r="F2040" s="3" t="s">
        <v>8545</v>
      </c>
      <c r="G2040" s="3" t="s">
        <v>8645</v>
      </c>
      <c r="H2040" s="3" t="s">
        <v>4114</v>
      </c>
      <c r="I2040" s="3" t="s">
        <v>8496</v>
      </c>
      <c r="J2040" s="5" t="s">
        <v>9081</v>
      </c>
      <c r="L2040" s="3" t="s">
        <v>187</v>
      </c>
      <c r="M2040" s="3">
        <v>2</v>
      </c>
      <c r="N2040" s="4" t="s">
        <v>4106</v>
      </c>
      <c r="O2040" s="4">
        <v>107</v>
      </c>
      <c r="P2040" s="11" t="s">
        <v>9825</v>
      </c>
      <c r="Q2040" s="11" t="s">
        <v>10436</v>
      </c>
      <c r="S2040" s="4" t="b">
        <f>ISNUMBER(MATCH(Q2040,T:T,0))</f>
        <v>1</v>
      </c>
      <c r="T2040" s="4" t="s">
        <v>11982</v>
      </c>
      <c r="U2040" s="4" t="str">
        <f t="shared" si="88"/>
        <v>檢</v>
      </c>
    </row>
    <row r="2041" spans="1:21">
      <c r="A2041" s="3">
        <v>2039</v>
      </c>
      <c r="B2041" s="3" t="s">
        <v>4104</v>
      </c>
      <c r="C2041" s="3" t="s">
        <v>6092</v>
      </c>
      <c r="D2041" s="3" t="s">
        <v>6001</v>
      </c>
      <c r="E2041" s="3" t="s">
        <v>5991</v>
      </c>
      <c r="F2041" s="3" t="s">
        <v>8545</v>
      </c>
      <c r="G2041" s="3" t="s">
        <v>8645</v>
      </c>
      <c r="H2041" s="3" t="s">
        <v>4115</v>
      </c>
      <c r="I2041" s="3" t="s">
        <v>8496</v>
      </c>
      <c r="J2041" s="5" t="s">
        <v>9082</v>
      </c>
      <c r="L2041" s="3" t="s">
        <v>178</v>
      </c>
      <c r="M2041" s="3">
        <v>7</v>
      </c>
      <c r="N2041" s="4" t="s">
        <v>4106</v>
      </c>
      <c r="O2041" s="4">
        <v>107</v>
      </c>
      <c r="P2041" s="11" t="s">
        <v>6462</v>
      </c>
      <c r="Q2041" s="11" t="s">
        <v>10436</v>
      </c>
      <c r="S2041" s="4" t="b">
        <f>ISNUMBER(MATCH(Q2041,T:T,0))</f>
        <v>1</v>
      </c>
      <c r="T2041" s="4" t="s">
        <v>11983</v>
      </c>
      <c r="U2041" s="4" t="str">
        <f t="shared" si="88"/>
        <v>檢</v>
      </c>
    </row>
    <row r="2042" spans="1:21">
      <c r="A2042" s="3">
        <v>2040</v>
      </c>
      <c r="B2042" s="3" t="s">
        <v>4104</v>
      </c>
      <c r="C2042" s="3" t="s">
        <v>6041</v>
      </c>
      <c r="D2042" s="3" t="s">
        <v>6001</v>
      </c>
      <c r="E2042" s="3" t="s">
        <v>5991</v>
      </c>
      <c r="F2042" s="3" t="s">
        <v>8545</v>
      </c>
      <c r="G2042" s="3" t="s">
        <v>8645</v>
      </c>
      <c r="H2042" s="3" t="s">
        <v>4116</v>
      </c>
      <c r="I2042" s="3" t="s">
        <v>8496</v>
      </c>
      <c r="J2042" s="5" t="s">
        <v>4117</v>
      </c>
      <c r="L2042" s="3" t="s">
        <v>184</v>
      </c>
      <c r="M2042" s="3">
        <v>2</v>
      </c>
      <c r="N2042" s="4" t="s">
        <v>4106</v>
      </c>
      <c r="O2042" s="4">
        <v>107</v>
      </c>
      <c r="P2042" s="11" t="s">
        <v>9789</v>
      </c>
      <c r="Q2042" s="11" t="s">
        <v>10438</v>
      </c>
      <c r="S2042" s="4" t="b">
        <f>ISNUMBER(MATCH(Q2042,T:T,0))</f>
        <v>1</v>
      </c>
      <c r="T2042" s="4" t="s">
        <v>10440</v>
      </c>
      <c r="U2042" s="4" t="str">
        <f t="shared" si="88"/>
        <v>險</v>
      </c>
    </row>
    <row r="2043" spans="1:21">
      <c r="A2043" s="3">
        <v>2041</v>
      </c>
      <c r="B2043" s="3" t="s">
        <v>4104</v>
      </c>
      <c r="C2043" s="3" t="s">
        <v>6025</v>
      </c>
      <c r="D2043" s="3" t="s">
        <v>6001</v>
      </c>
      <c r="E2043" s="3" t="s">
        <v>5991</v>
      </c>
      <c r="F2043" s="3" t="s">
        <v>8545</v>
      </c>
      <c r="G2043" s="3" t="s">
        <v>8645</v>
      </c>
      <c r="H2043" s="3" t="s">
        <v>4118</v>
      </c>
      <c r="I2043" s="3" t="s">
        <v>8496</v>
      </c>
      <c r="J2043" s="5" t="s">
        <v>4119</v>
      </c>
      <c r="L2043" s="3" t="s">
        <v>181</v>
      </c>
      <c r="M2043" s="3">
        <v>2</v>
      </c>
      <c r="N2043" s="4" t="s">
        <v>4106</v>
      </c>
      <c r="O2043" s="4">
        <v>107</v>
      </c>
      <c r="P2043" s="11" t="s">
        <v>9717</v>
      </c>
      <c r="Q2043" s="11" t="s">
        <v>10439</v>
      </c>
      <c r="S2043" s="4" t="b">
        <f>ISNUMBER(MATCH(Q2043,T:T,0))</f>
        <v>1</v>
      </c>
      <c r="T2043" s="4" t="s">
        <v>10436</v>
      </c>
      <c r="U2043" s="4" t="str">
        <f t="shared" si="88"/>
        <v>奄</v>
      </c>
    </row>
    <row r="2044" spans="1:21">
      <c r="A2044" s="3">
        <v>2042</v>
      </c>
      <c r="B2044" s="3" t="s">
        <v>4104</v>
      </c>
      <c r="C2044" s="3" t="s">
        <v>6072</v>
      </c>
      <c r="D2044" s="3" t="s">
        <v>6001</v>
      </c>
      <c r="E2044" s="3" t="s">
        <v>5991</v>
      </c>
      <c r="F2044" s="3" t="s">
        <v>8541</v>
      </c>
      <c r="G2044" s="3" t="s">
        <v>8645</v>
      </c>
      <c r="H2044" s="3" t="s">
        <v>4120</v>
      </c>
      <c r="I2044" s="3" t="s">
        <v>8496</v>
      </c>
      <c r="J2044" s="5" t="s">
        <v>9083</v>
      </c>
      <c r="L2044" s="3" t="s">
        <v>178</v>
      </c>
      <c r="M2044" s="3">
        <v>8</v>
      </c>
      <c r="N2044" s="4" t="s">
        <v>4106</v>
      </c>
      <c r="O2044" s="4">
        <v>107</v>
      </c>
      <c r="P2044" s="11" t="s">
        <v>9754</v>
      </c>
      <c r="Q2044" s="11" t="s">
        <v>4106</v>
      </c>
      <c r="S2044" s="4" t="b">
        <f>ISNUMBER(MATCH(Q2044,T:T,0))</f>
        <v>1</v>
      </c>
      <c r="T2044" s="4" t="s">
        <v>11984</v>
      </c>
      <c r="U2044" s="4" t="str">
        <f t="shared" si="88"/>
        <v>琰</v>
      </c>
    </row>
    <row r="2045" spans="1:21">
      <c r="A2045" s="3">
        <v>2043</v>
      </c>
      <c r="B2045" s="3" t="s">
        <v>4104</v>
      </c>
      <c r="C2045" s="3" t="s">
        <v>6021</v>
      </c>
      <c r="D2045" s="3" t="s">
        <v>6001</v>
      </c>
      <c r="E2045" s="3" t="s">
        <v>5991</v>
      </c>
      <c r="F2045" s="3" t="s">
        <v>8541</v>
      </c>
      <c r="G2045" s="3" t="s">
        <v>8645</v>
      </c>
      <c r="H2045" s="3" t="s">
        <v>4121</v>
      </c>
      <c r="I2045" s="3" t="s">
        <v>8496</v>
      </c>
      <c r="J2045" s="5" t="s">
        <v>4122</v>
      </c>
      <c r="L2045" s="3" t="s">
        <v>3253</v>
      </c>
      <c r="M2045" s="3">
        <v>10</v>
      </c>
      <c r="N2045" s="4" t="s">
        <v>4106</v>
      </c>
      <c r="O2045" s="4">
        <v>107</v>
      </c>
      <c r="P2045" s="11" t="s">
        <v>9761</v>
      </c>
      <c r="Q2045" s="11" t="s">
        <v>4106</v>
      </c>
      <c r="S2045" s="4" t="b">
        <f>ISNUMBER(MATCH(Q2045,T:T,0))</f>
        <v>1</v>
      </c>
      <c r="T2045" s="4" t="s">
        <v>10435</v>
      </c>
      <c r="U2045" s="4" t="str">
        <f t="shared" si="88"/>
        <v>琰</v>
      </c>
    </row>
    <row r="2046" spans="1:21">
      <c r="A2046" s="3">
        <v>2044</v>
      </c>
      <c r="B2046" s="3" t="s">
        <v>4104</v>
      </c>
      <c r="C2046" s="3" t="s">
        <v>6120</v>
      </c>
      <c r="D2046" s="3" t="s">
        <v>6001</v>
      </c>
      <c r="E2046" s="3" t="s">
        <v>5991</v>
      </c>
      <c r="F2046" s="3" t="s">
        <v>8541</v>
      </c>
      <c r="G2046" s="3" t="s">
        <v>8645</v>
      </c>
      <c r="H2046" s="3" t="s">
        <v>4123</v>
      </c>
      <c r="I2046" s="3" t="s">
        <v>8496</v>
      </c>
      <c r="J2046" s="5" t="s">
        <v>4124</v>
      </c>
      <c r="L2046" s="3" t="s">
        <v>3147</v>
      </c>
      <c r="M2046" s="3">
        <v>8</v>
      </c>
      <c r="N2046" s="4" t="s">
        <v>4106</v>
      </c>
      <c r="O2046" s="4">
        <v>107</v>
      </c>
      <c r="P2046" s="11" t="s">
        <v>9931</v>
      </c>
      <c r="Q2046" s="11" t="s">
        <v>10435</v>
      </c>
      <c r="S2046" s="4" t="b">
        <f>ISNUMBER(MATCH(Q2046,T:T,0))</f>
        <v>1</v>
      </c>
      <c r="T2046" s="4" t="s">
        <v>11985</v>
      </c>
      <c r="U2046" s="4" t="str">
        <f t="shared" si="88"/>
        <v>冉</v>
      </c>
    </row>
    <row r="2047" spans="1:21">
      <c r="A2047" s="3">
        <v>2045</v>
      </c>
      <c r="B2047" s="3" t="s">
        <v>4104</v>
      </c>
      <c r="C2047" s="3" t="s">
        <v>6011</v>
      </c>
      <c r="D2047" s="3" t="s">
        <v>6001</v>
      </c>
      <c r="E2047" s="3" t="s">
        <v>5991</v>
      </c>
      <c r="F2047" s="3" t="s">
        <v>8545</v>
      </c>
      <c r="G2047" s="3" t="s">
        <v>8645</v>
      </c>
      <c r="H2047" s="3" t="s">
        <v>4125</v>
      </c>
      <c r="I2047" s="3" t="s">
        <v>8496</v>
      </c>
      <c r="J2047" s="5" t="s">
        <v>9084</v>
      </c>
      <c r="L2047" s="3" t="s">
        <v>3169</v>
      </c>
      <c r="M2047" s="3">
        <v>2</v>
      </c>
      <c r="N2047" s="4" t="s">
        <v>4106</v>
      </c>
      <c r="O2047" s="4">
        <v>107</v>
      </c>
      <c r="P2047" s="11" t="s">
        <v>9757</v>
      </c>
      <c r="Q2047" s="11" t="s">
        <v>4106</v>
      </c>
      <c r="S2047" s="4" t="b">
        <f>ISNUMBER(MATCH(Q2047,T:T,0))</f>
        <v>1</v>
      </c>
      <c r="T2047" s="4" t="s">
        <v>11986</v>
      </c>
      <c r="U2047" s="4" t="str">
        <f t="shared" si="88"/>
        <v>琰</v>
      </c>
    </row>
    <row r="2048" spans="1:21">
      <c r="A2048" s="3">
        <v>2046</v>
      </c>
      <c r="B2048" s="3" t="s">
        <v>4104</v>
      </c>
      <c r="C2048" s="3" t="s">
        <v>6072</v>
      </c>
      <c r="D2048" s="3" t="s">
        <v>6001</v>
      </c>
      <c r="E2048" s="3" t="s">
        <v>5991</v>
      </c>
      <c r="F2048" s="3" t="s">
        <v>8545</v>
      </c>
      <c r="G2048" s="3" t="s">
        <v>8645</v>
      </c>
      <c r="H2048" s="3" t="s">
        <v>4126</v>
      </c>
      <c r="I2048" s="3" t="s">
        <v>8496</v>
      </c>
      <c r="J2048" s="5" t="s">
        <v>4127</v>
      </c>
      <c r="L2048" s="3" t="s">
        <v>178</v>
      </c>
      <c r="M2048" s="3">
        <v>17</v>
      </c>
      <c r="N2048" s="4" t="s">
        <v>4106</v>
      </c>
      <c r="O2048" s="4">
        <v>107</v>
      </c>
      <c r="P2048" s="11" t="s">
        <v>1378</v>
      </c>
      <c r="Q2048" s="11" t="s">
        <v>10440</v>
      </c>
      <c r="S2048" s="4" t="b">
        <f>ISNUMBER(MATCH(Q2048,T:T,0))</f>
        <v>1</v>
      </c>
      <c r="T2048" s="4" t="s">
        <v>10439</v>
      </c>
      <c r="U2048" s="4" t="str">
        <f t="shared" si="88"/>
        <v>儉</v>
      </c>
    </row>
    <row r="2049" spans="1:22">
      <c r="A2049" s="3">
        <v>2047</v>
      </c>
      <c r="B2049" s="3" t="s">
        <v>4104</v>
      </c>
      <c r="C2049" s="3" t="s">
        <v>6069</v>
      </c>
      <c r="D2049" s="3" t="s">
        <v>6001</v>
      </c>
      <c r="E2049" s="3" t="s">
        <v>5991</v>
      </c>
      <c r="F2049" s="3" t="s">
        <v>8541</v>
      </c>
      <c r="G2049" s="3" t="s">
        <v>8645</v>
      </c>
      <c r="H2049" s="3" t="s">
        <v>4128</v>
      </c>
      <c r="I2049" s="3" t="s">
        <v>8496</v>
      </c>
      <c r="J2049" s="5" t="s">
        <v>4129</v>
      </c>
      <c r="L2049" s="3" t="s">
        <v>184</v>
      </c>
      <c r="M2049" s="3">
        <v>10</v>
      </c>
      <c r="N2049" s="4" t="s">
        <v>4106</v>
      </c>
      <c r="O2049" s="4">
        <v>107</v>
      </c>
      <c r="P2049" s="11" t="s">
        <v>10244</v>
      </c>
      <c r="Q2049" s="11" t="s">
        <v>10441</v>
      </c>
      <c r="S2049" s="4" t="b">
        <f>ISNUMBER(MATCH(Q2049,T:T,0))</f>
        <v>1</v>
      </c>
      <c r="T2049" s="4" t="s">
        <v>10442</v>
      </c>
      <c r="U2049" s="4" t="str">
        <f t="shared" si="88"/>
        <v>染</v>
      </c>
    </row>
    <row r="2050" spans="1:22">
      <c r="A2050" s="3">
        <v>2048</v>
      </c>
      <c r="B2050" s="3" t="s">
        <v>4104</v>
      </c>
      <c r="C2050" s="3" t="s">
        <v>6076</v>
      </c>
      <c r="D2050" s="3" t="s">
        <v>6001</v>
      </c>
      <c r="E2050" s="3" t="s">
        <v>5991</v>
      </c>
      <c r="F2050" s="3" t="s">
        <v>8541</v>
      </c>
      <c r="G2050" s="3" t="s">
        <v>8645</v>
      </c>
      <c r="H2050" s="3" t="s">
        <v>4130</v>
      </c>
      <c r="I2050" s="3" t="s">
        <v>8496</v>
      </c>
      <c r="J2050" s="5" t="s">
        <v>4131</v>
      </c>
      <c r="L2050" s="3" t="s">
        <v>187</v>
      </c>
      <c r="M2050" s="3">
        <v>2</v>
      </c>
      <c r="N2050" s="4" t="s">
        <v>4106</v>
      </c>
      <c r="O2050" s="4">
        <v>107</v>
      </c>
      <c r="P2050" s="11" t="s">
        <v>9766</v>
      </c>
      <c r="Q2050" s="11" t="s">
        <v>10442</v>
      </c>
      <c r="S2050" s="4" t="b">
        <f>ISNUMBER(MATCH(Q2050,T:T,0))</f>
        <v>1</v>
      </c>
      <c r="T2050" s="4" t="s">
        <v>11987</v>
      </c>
      <c r="U2050" s="4" t="str">
        <f t="shared" si="88"/>
        <v>漸</v>
      </c>
    </row>
    <row r="2051" spans="1:22">
      <c r="A2051" s="3">
        <v>2049</v>
      </c>
      <c r="B2051" s="3" t="s">
        <v>4104</v>
      </c>
      <c r="C2051" s="3" t="s">
        <v>6083</v>
      </c>
      <c r="D2051" s="3" t="s">
        <v>6001</v>
      </c>
      <c r="E2051" s="3" t="s">
        <v>5991</v>
      </c>
      <c r="F2051" s="3" t="s">
        <v>8541</v>
      </c>
      <c r="G2051" s="3" t="s">
        <v>8645</v>
      </c>
      <c r="H2051" s="3" t="s">
        <v>4132</v>
      </c>
      <c r="I2051" s="3" t="s">
        <v>8496</v>
      </c>
      <c r="J2051" s="5" t="s">
        <v>4133</v>
      </c>
      <c r="L2051" s="3" t="s">
        <v>181</v>
      </c>
      <c r="M2051" s="3">
        <v>1</v>
      </c>
      <c r="N2051" s="4" t="s">
        <v>4106</v>
      </c>
      <c r="O2051" s="4">
        <v>107</v>
      </c>
      <c r="P2051" s="11" t="s">
        <v>9737</v>
      </c>
      <c r="Q2051" s="11" t="s">
        <v>10435</v>
      </c>
      <c r="S2051" s="4" t="b">
        <f>ISNUMBER(MATCH(Q2051,T:T,0))</f>
        <v>1</v>
      </c>
      <c r="T2051" s="4" t="s">
        <v>4133</v>
      </c>
      <c r="U2051" s="4" t="str">
        <f t="shared" ref="U2051:U2114" si="90">IF(ISBLANK(R2051),Q2051,R2051)</f>
        <v>冉</v>
      </c>
    </row>
    <row r="2052" spans="1:22">
      <c r="A2052" s="3">
        <v>2050</v>
      </c>
      <c r="B2052" s="3" t="s">
        <v>4104</v>
      </c>
      <c r="C2052" s="3" t="s">
        <v>6038</v>
      </c>
      <c r="D2052" s="3" t="s">
        <v>6001</v>
      </c>
      <c r="E2052" s="3" t="s">
        <v>5991</v>
      </c>
      <c r="F2052" s="3" t="s">
        <v>8541</v>
      </c>
      <c r="G2052" s="3" t="s">
        <v>8645</v>
      </c>
      <c r="H2052" s="3" t="s">
        <v>4134</v>
      </c>
      <c r="I2052" s="3" t="s">
        <v>8496</v>
      </c>
      <c r="J2052" s="5" t="s">
        <v>4135</v>
      </c>
      <c r="L2052" s="3" t="s">
        <v>187</v>
      </c>
      <c r="M2052" s="3">
        <v>1</v>
      </c>
      <c r="N2052" s="4" t="s">
        <v>4106</v>
      </c>
      <c r="O2052" s="4">
        <v>107</v>
      </c>
      <c r="P2052" s="11" t="s">
        <v>10443</v>
      </c>
      <c r="Q2052" s="11" t="s">
        <v>4106</v>
      </c>
      <c r="S2052" s="4" t="b">
        <f>ISNUMBER(MATCH(Q2052,T:T,0))</f>
        <v>1</v>
      </c>
      <c r="T2052" s="4" t="s">
        <v>4135</v>
      </c>
      <c r="U2052" s="4" t="str">
        <f t="shared" si="90"/>
        <v>琰</v>
      </c>
    </row>
    <row r="2053" spans="1:22">
      <c r="A2053" s="3">
        <v>2051</v>
      </c>
      <c r="B2053" s="3" t="s">
        <v>4104</v>
      </c>
      <c r="C2053" s="3" t="s">
        <v>6148</v>
      </c>
      <c r="D2053" s="3" t="s">
        <v>6001</v>
      </c>
      <c r="E2053" s="3" t="s">
        <v>5991</v>
      </c>
      <c r="F2053" s="3" t="s">
        <v>8541</v>
      </c>
      <c r="G2053" s="3" t="s">
        <v>8645</v>
      </c>
      <c r="H2053" s="3" t="s">
        <v>4136</v>
      </c>
      <c r="I2053" s="3" t="s">
        <v>8496</v>
      </c>
      <c r="J2053" s="5" t="s">
        <v>4137</v>
      </c>
      <c r="L2053" s="3" t="s">
        <v>3164</v>
      </c>
      <c r="M2053" s="3">
        <v>1</v>
      </c>
      <c r="N2053" s="4" t="s">
        <v>4106</v>
      </c>
      <c r="O2053" s="4">
        <v>107</v>
      </c>
      <c r="P2053" s="11" t="s">
        <v>10190</v>
      </c>
      <c r="Q2053" s="11" t="s">
        <v>10441</v>
      </c>
      <c r="S2053" s="4" t="b">
        <f>ISNUMBER(MATCH(Q2053,T:T,0))</f>
        <v>1</v>
      </c>
      <c r="T2053" s="4" t="s">
        <v>4137</v>
      </c>
      <c r="U2053" s="4" t="str">
        <f t="shared" si="90"/>
        <v>染</v>
      </c>
    </row>
    <row r="2054" spans="1:22">
      <c r="A2054" s="3">
        <v>2052</v>
      </c>
      <c r="B2054" s="3" t="s">
        <v>4138</v>
      </c>
      <c r="C2054" s="3" t="s">
        <v>6079</v>
      </c>
      <c r="D2054" s="3" t="s">
        <v>2843</v>
      </c>
      <c r="E2054" s="3" t="s">
        <v>5991</v>
      </c>
      <c r="F2054" s="3" t="s">
        <v>8588</v>
      </c>
      <c r="G2054" s="3" t="s">
        <v>8645</v>
      </c>
      <c r="H2054" s="3" t="s">
        <v>4139</v>
      </c>
      <c r="I2054" s="3" t="s">
        <v>8496</v>
      </c>
      <c r="J2054" s="5" t="s">
        <v>4140</v>
      </c>
      <c r="L2054" s="3" t="s">
        <v>3196</v>
      </c>
      <c r="M2054" s="3">
        <v>5</v>
      </c>
      <c r="N2054" s="4" t="s">
        <v>9653</v>
      </c>
      <c r="O2054" s="4">
        <v>108</v>
      </c>
      <c r="P2054" s="11" t="s">
        <v>9736</v>
      </c>
      <c r="Q2054" s="11" t="s">
        <v>10444</v>
      </c>
      <c r="R2054" s="4" t="s">
        <v>13116</v>
      </c>
      <c r="S2054" s="4" t="b">
        <f>ISNUMBER(MATCH(Q2054,T:T,0))</f>
        <v>0</v>
      </c>
      <c r="T2054" s="4" t="s">
        <v>9653</v>
      </c>
      <c r="U2054" s="4" t="str">
        <f t="shared" si="90"/>
        <v>點</v>
      </c>
      <c r="V2054" s="4" t="b">
        <f t="shared" ref="V2054:V2055" si="91">ISNUMBER(MATCH(R2054,T:T,0))</f>
        <v>1</v>
      </c>
    </row>
    <row r="2055" spans="1:22">
      <c r="A2055" s="3">
        <v>2053</v>
      </c>
      <c r="B2055" s="3" t="s">
        <v>4138</v>
      </c>
      <c r="C2055" s="3" t="s">
        <v>6102</v>
      </c>
      <c r="D2055" s="3" t="s">
        <v>2843</v>
      </c>
      <c r="E2055" s="3" t="s">
        <v>5991</v>
      </c>
      <c r="F2055" s="3" t="s">
        <v>8588</v>
      </c>
      <c r="G2055" s="3" t="s">
        <v>8645</v>
      </c>
      <c r="H2055" s="3" t="s">
        <v>4141</v>
      </c>
      <c r="I2055" s="3" t="s">
        <v>8496</v>
      </c>
      <c r="J2055" s="5" t="s">
        <v>4142</v>
      </c>
      <c r="L2055" s="3" t="s">
        <v>3211</v>
      </c>
      <c r="M2055" s="3">
        <v>4</v>
      </c>
      <c r="N2055" s="4" t="s">
        <v>9653</v>
      </c>
      <c r="O2055" s="4">
        <v>108</v>
      </c>
      <c r="P2055" s="11" t="s">
        <v>9873</v>
      </c>
      <c r="Q2055" s="11" t="s">
        <v>10444</v>
      </c>
      <c r="R2055" s="4" t="s">
        <v>13116</v>
      </c>
      <c r="S2055" s="4" t="b">
        <f>ISNUMBER(MATCH(Q2055,T:T,0))</f>
        <v>0</v>
      </c>
      <c r="T2055" s="4" t="s">
        <v>11988</v>
      </c>
      <c r="U2055" s="4" t="str">
        <f t="shared" si="90"/>
        <v>點</v>
      </c>
      <c r="V2055" s="4" t="b">
        <f t="shared" si="91"/>
        <v>1</v>
      </c>
    </row>
    <row r="2056" spans="1:22">
      <c r="A2056" s="3">
        <v>2054</v>
      </c>
      <c r="B2056" s="3" t="s">
        <v>4138</v>
      </c>
      <c r="C2056" s="3" t="s">
        <v>5989</v>
      </c>
      <c r="D2056" s="3" t="s">
        <v>2843</v>
      </c>
      <c r="E2056" s="3" t="s">
        <v>5991</v>
      </c>
      <c r="F2056" s="3" t="s">
        <v>8588</v>
      </c>
      <c r="G2056" s="3" t="s">
        <v>8645</v>
      </c>
      <c r="H2056" s="3" t="s">
        <v>4143</v>
      </c>
      <c r="I2056" s="3" t="s">
        <v>8496</v>
      </c>
      <c r="J2056" s="5" t="s">
        <v>4144</v>
      </c>
      <c r="L2056" s="3" t="s">
        <v>3198</v>
      </c>
      <c r="M2056" s="3">
        <v>5</v>
      </c>
      <c r="N2056" s="4" t="s">
        <v>9653</v>
      </c>
      <c r="O2056" s="4">
        <v>108</v>
      </c>
      <c r="P2056" s="11" t="s">
        <v>9975</v>
      </c>
      <c r="Q2056" s="11" t="s">
        <v>9653</v>
      </c>
      <c r="S2056" s="4" t="b">
        <f>ISNUMBER(MATCH(Q2056,T:T,0))</f>
        <v>1</v>
      </c>
      <c r="T2056" s="4" t="s">
        <v>11989</v>
      </c>
      <c r="U2056" s="4" t="str">
        <f t="shared" si="90"/>
        <v>忝</v>
      </c>
    </row>
    <row r="2057" spans="1:22">
      <c r="A2057" s="3">
        <v>2055</v>
      </c>
      <c r="B2057" s="3" t="s">
        <v>4138</v>
      </c>
      <c r="C2057" s="3" t="s">
        <v>5997</v>
      </c>
      <c r="D2057" s="3" t="s">
        <v>2843</v>
      </c>
      <c r="E2057" s="3" t="s">
        <v>5991</v>
      </c>
      <c r="F2057" s="3" t="s">
        <v>8588</v>
      </c>
      <c r="G2057" s="3" t="s">
        <v>8645</v>
      </c>
      <c r="H2057" s="3" t="s">
        <v>4145</v>
      </c>
      <c r="I2057" s="3" t="s">
        <v>8496</v>
      </c>
      <c r="J2057" s="5" t="s">
        <v>4146</v>
      </c>
      <c r="K2057" s="3" t="s">
        <v>4147</v>
      </c>
      <c r="L2057" s="3" t="s">
        <v>3203</v>
      </c>
      <c r="M2057" s="3">
        <v>6</v>
      </c>
      <c r="N2057" s="4" t="s">
        <v>9653</v>
      </c>
      <c r="O2057" s="4">
        <v>108</v>
      </c>
      <c r="P2057" s="11" t="s">
        <v>9706</v>
      </c>
      <c r="Q2057" s="11" t="s">
        <v>10444</v>
      </c>
      <c r="R2057" s="4" t="s">
        <v>13116</v>
      </c>
      <c r="S2057" s="4" t="b">
        <f>ISNUMBER(MATCH(Q2057,T:T,0))</f>
        <v>0</v>
      </c>
      <c r="T2057" s="4" t="s">
        <v>10445</v>
      </c>
      <c r="U2057" s="4" t="str">
        <f t="shared" si="90"/>
        <v>點</v>
      </c>
      <c r="V2057" s="4" t="b">
        <f>ISNUMBER(MATCH(R2057,T:T,0))</f>
        <v>1</v>
      </c>
    </row>
    <row r="2058" spans="1:22">
      <c r="A2058" s="3">
        <v>2056</v>
      </c>
      <c r="B2058" s="3" t="s">
        <v>4138</v>
      </c>
      <c r="C2058" s="3" t="s">
        <v>6038</v>
      </c>
      <c r="D2058" s="3" t="s">
        <v>2843</v>
      </c>
      <c r="E2058" s="3" t="s">
        <v>5991</v>
      </c>
      <c r="F2058" s="3" t="s">
        <v>8588</v>
      </c>
      <c r="G2058" s="3" t="s">
        <v>8645</v>
      </c>
      <c r="H2058" s="3" t="s">
        <v>4148</v>
      </c>
      <c r="I2058" s="3" t="s">
        <v>8496</v>
      </c>
      <c r="J2058" s="5" t="s">
        <v>9085</v>
      </c>
      <c r="L2058" s="3" t="s">
        <v>187</v>
      </c>
      <c r="M2058" s="3">
        <v>4</v>
      </c>
      <c r="N2058" s="4" t="s">
        <v>9653</v>
      </c>
      <c r="O2058" s="4">
        <v>108</v>
      </c>
      <c r="P2058" s="11" t="s">
        <v>9728</v>
      </c>
      <c r="Q2058" s="11" t="s">
        <v>10445</v>
      </c>
      <c r="S2058" s="4" t="b">
        <f>ISNUMBER(MATCH(Q2058,T:T,0))</f>
        <v>1</v>
      </c>
      <c r="T2058" s="4" t="s">
        <v>11990</v>
      </c>
      <c r="U2058" s="4" t="str">
        <f t="shared" si="90"/>
        <v>簟</v>
      </c>
    </row>
    <row r="2059" spans="1:22">
      <c r="A2059" s="3">
        <v>2057</v>
      </c>
      <c r="B2059" s="3" t="s">
        <v>4138</v>
      </c>
      <c r="C2059" s="3" t="s">
        <v>6058</v>
      </c>
      <c r="D2059" s="3" t="s">
        <v>2843</v>
      </c>
      <c r="E2059" s="3" t="s">
        <v>5991</v>
      </c>
      <c r="F2059" s="3" t="s">
        <v>8588</v>
      </c>
      <c r="G2059" s="3" t="s">
        <v>8645</v>
      </c>
      <c r="H2059" s="3" t="s">
        <v>4149</v>
      </c>
      <c r="I2059" s="3" t="s">
        <v>8496</v>
      </c>
      <c r="J2059" s="8" t="s">
        <v>9086</v>
      </c>
      <c r="L2059" s="3" t="s">
        <v>3258</v>
      </c>
      <c r="M2059" s="3">
        <v>3</v>
      </c>
      <c r="N2059" s="4" t="s">
        <v>9653</v>
      </c>
      <c r="O2059" s="4">
        <v>108</v>
      </c>
      <c r="P2059" s="11" t="s">
        <v>9727</v>
      </c>
      <c r="Q2059" s="11" t="s">
        <v>9653</v>
      </c>
      <c r="S2059" s="4" t="b">
        <f>ISNUMBER(MATCH(Q2059,T:T,0))</f>
        <v>1</v>
      </c>
      <c r="T2059" s="4" t="s">
        <v>487</v>
      </c>
      <c r="U2059" s="4" t="str">
        <f t="shared" si="90"/>
        <v>忝</v>
      </c>
    </row>
    <row r="2060" spans="1:22">
      <c r="A2060" s="3">
        <v>2058</v>
      </c>
      <c r="B2060" s="3" t="s">
        <v>4138</v>
      </c>
      <c r="C2060" s="3" t="s">
        <v>6067</v>
      </c>
      <c r="D2060" s="3" t="s">
        <v>2843</v>
      </c>
      <c r="E2060" s="3" t="s">
        <v>5991</v>
      </c>
      <c r="F2060" s="3" t="s">
        <v>8588</v>
      </c>
      <c r="G2060" s="3" t="s">
        <v>8645</v>
      </c>
      <c r="H2060" s="3" t="s">
        <v>4150</v>
      </c>
      <c r="I2060" s="3" t="s">
        <v>8496</v>
      </c>
      <c r="J2060" s="5" t="s">
        <v>4151</v>
      </c>
      <c r="L2060" s="3" t="s">
        <v>3156</v>
      </c>
      <c r="M2060" s="3">
        <v>2</v>
      </c>
      <c r="N2060" s="4" t="s">
        <v>9653</v>
      </c>
      <c r="O2060" s="4">
        <v>108</v>
      </c>
      <c r="P2060" s="11" t="s">
        <v>9870</v>
      </c>
      <c r="Q2060" s="11" t="s">
        <v>9653</v>
      </c>
      <c r="S2060" s="4" t="b">
        <f>ISNUMBER(MATCH(Q2060,T:T,0))</f>
        <v>1</v>
      </c>
      <c r="T2060" s="4" t="s">
        <v>11991</v>
      </c>
      <c r="U2060" s="4" t="str">
        <f t="shared" si="90"/>
        <v>忝</v>
      </c>
    </row>
    <row r="2061" spans="1:22">
      <c r="A2061" s="3">
        <v>2059</v>
      </c>
      <c r="B2061" s="3" t="s">
        <v>4138</v>
      </c>
      <c r="C2061" s="3" t="s">
        <v>6076</v>
      </c>
      <c r="D2061" s="3" t="s">
        <v>2843</v>
      </c>
      <c r="E2061" s="3" t="s">
        <v>5991</v>
      </c>
      <c r="F2061" s="3" t="s">
        <v>8588</v>
      </c>
      <c r="G2061" s="3" t="s">
        <v>8645</v>
      </c>
      <c r="H2061" s="3" t="s">
        <v>4152</v>
      </c>
      <c r="I2061" s="3" t="s">
        <v>8496</v>
      </c>
      <c r="J2061" s="5" t="s">
        <v>4153</v>
      </c>
      <c r="L2061" s="3" t="s">
        <v>187</v>
      </c>
      <c r="M2061" s="3">
        <v>1</v>
      </c>
      <c r="N2061" s="4" t="s">
        <v>9653</v>
      </c>
      <c r="O2061" s="4">
        <v>108</v>
      </c>
      <c r="P2061" s="11" t="s">
        <v>1221</v>
      </c>
      <c r="Q2061" s="11" t="s">
        <v>9653</v>
      </c>
      <c r="S2061" s="4" t="b">
        <f>ISNUMBER(MATCH(Q2061,T:T,0))</f>
        <v>1</v>
      </c>
      <c r="T2061" s="4" t="s">
        <v>4153</v>
      </c>
      <c r="U2061" s="4" t="str">
        <f t="shared" si="90"/>
        <v>忝</v>
      </c>
    </row>
    <row r="2062" spans="1:22">
      <c r="A2062" s="3">
        <v>2060</v>
      </c>
      <c r="B2062" s="3" t="s">
        <v>4138</v>
      </c>
      <c r="C2062" s="3" t="s">
        <v>6025</v>
      </c>
      <c r="D2062" s="3" t="s">
        <v>2843</v>
      </c>
      <c r="E2062" s="3" t="s">
        <v>5991</v>
      </c>
      <c r="F2062" s="3" t="s">
        <v>8588</v>
      </c>
      <c r="G2062" s="3" t="s">
        <v>8645</v>
      </c>
      <c r="H2062" s="3" t="s">
        <v>4154</v>
      </c>
      <c r="I2062" s="3" t="s">
        <v>8496</v>
      </c>
      <c r="J2062" s="8" t="s">
        <v>4155</v>
      </c>
      <c r="L2062" s="3" t="s">
        <v>181</v>
      </c>
      <c r="M2062" s="3">
        <v>1</v>
      </c>
      <c r="N2062" s="4" t="s">
        <v>9653</v>
      </c>
      <c r="O2062" s="4">
        <v>108</v>
      </c>
      <c r="P2062" s="11" t="s">
        <v>10174</v>
      </c>
      <c r="Q2062" s="11" t="s">
        <v>10444</v>
      </c>
      <c r="R2062" s="4" t="s">
        <v>13116</v>
      </c>
      <c r="S2062" s="4" t="b">
        <f>ISNUMBER(MATCH(Q2062,T:T,0))</f>
        <v>0</v>
      </c>
      <c r="T2062" s="4" t="s">
        <v>4155</v>
      </c>
      <c r="U2062" s="4" t="str">
        <f t="shared" si="90"/>
        <v>點</v>
      </c>
      <c r="V2062" s="4" t="b">
        <f>ISNUMBER(MATCH(R2062,T:T,0))</f>
        <v>1</v>
      </c>
    </row>
    <row r="2063" spans="1:22">
      <c r="A2063" s="3">
        <v>2061</v>
      </c>
      <c r="B2063" s="3" t="s">
        <v>4138</v>
      </c>
      <c r="C2063" s="3" t="s">
        <v>6035</v>
      </c>
      <c r="D2063" s="3" t="s">
        <v>2843</v>
      </c>
      <c r="E2063" s="3" t="s">
        <v>5991</v>
      </c>
      <c r="F2063" s="3" t="s">
        <v>8588</v>
      </c>
      <c r="G2063" s="3" t="s">
        <v>8645</v>
      </c>
      <c r="H2063" s="3" t="s">
        <v>4156</v>
      </c>
      <c r="I2063" s="3" t="s">
        <v>8496</v>
      </c>
      <c r="J2063" s="5" t="s">
        <v>9087</v>
      </c>
      <c r="L2063" s="3" t="s">
        <v>3209</v>
      </c>
      <c r="M2063" s="3">
        <v>2</v>
      </c>
      <c r="N2063" s="4" t="s">
        <v>9653</v>
      </c>
      <c r="O2063" s="4">
        <v>108</v>
      </c>
      <c r="P2063" s="11" t="s">
        <v>6035</v>
      </c>
      <c r="Q2063" s="11" t="s">
        <v>9653</v>
      </c>
      <c r="S2063" s="4" t="b">
        <f>ISNUMBER(MATCH(Q2063,T:T,0))</f>
        <v>1</v>
      </c>
      <c r="T2063" s="4" t="s">
        <v>11992</v>
      </c>
      <c r="U2063" s="4" t="str">
        <f t="shared" si="90"/>
        <v>忝</v>
      </c>
    </row>
    <row r="2064" spans="1:22">
      <c r="A2064" s="3">
        <v>2062</v>
      </c>
      <c r="B2064" s="3" t="s">
        <v>4157</v>
      </c>
      <c r="C2064" s="3" t="s">
        <v>6092</v>
      </c>
      <c r="D2064" s="3" t="s">
        <v>6001</v>
      </c>
      <c r="E2064" s="3" t="s">
        <v>5991</v>
      </c>
      <c r="F2064" s="3" t="s">
        <v>8631</v>
      </c>
      <c r="G2064" s="3" t="s">
        <v>8645</v>
      </c>
      <c r="H2064" s="3" t="s">
        <v>4158</v>
      </c>
      <c r="I2064" s="3" t="s">
        <v>8496</v>
      </c>
      <c r="J2064" s="5" t="s">
        <v>9088</v>
      </c>
      <c r="L2064" s="3" t="s">
        <v>178</v>
      </c>
      <c r="M2064" s="3">
        <v>7</v>
      </c>
      <c r="N2064" s="4" t="s">
        <v>9654</v>
      </c>
      <c r="O2064" s="4">
        <v>109</v>
      </c>
      <c r="P2064" s="11" t="s">
        <v>6462</v>
      </c>
      <c r="Q2064" s="11" t="s">
        <v>10446</v>
      </c>
      <c r="S2064" s="4" t="b">
        <f>ISNUMBER(MATCH(Q2064,T:T,0))</f>
        <v>0</v>
      </c>
      <c r="T2064" s="4" t="s">
        <v>9654</v>
      </c>
      <c r="U2064" s="4" t="str">
        <f t="shared" si="90"/>
        <v>掩</v>
      </c>
      <c r="V2064" s="4" t="b">
        <f t="shared" ref="V2064:V2066" si="92">ISNUMBER(MATCH(R2064,T:T,0))</f>
        <v>0</v>
      </c>
    </row>
    <row r="2065" spans="1:22">
      <c r="A2065" s="3">
        <v>2063</v>
      </c>
      <c r="B2065" s="3" t="s">
        <v>4157</v>
      </c>
      <c r="C2065" s="3" t="s">
        <v>6038</v>
      </c>
      <c r="D2065" s="3" t="s">
        <v>6001</v>
      </c>
      <c r="E2065" s="3" t="s">
        <v>5991</v>
      </c>
      <c r="F2065" s="3" t="s">
        <v>8631</v>
      </c>
      <c r="G2065" s="3" t="s">
        <v>8645</v>
      </c>
      <c r="H2065" s="3" t="s">
        <v>787</v>
      </c>
      <c r="I2065" s="3" t="s">
        <v>8496</v>
      </c>
      <c r="J2065" s="8" t="s">
        <v>4159</v>
      </c>
      <c r="L2065" s="3" t="s">
        <v>187</v>
      </c>
      <c r="M2065" s="3">
        <v>3</v>
      </c>
      <c r="N2065" s="4" t="s">
        <v>9654</v>
      </c>
      <c r="O2065" s="4">
        <v>109</v>
      </c>
      <c r="P2065" s="11" t="s">
        <v>9825</v>
      </c>
      <c r="Q2065" s="11" t="s">
        <v>10447</v>
      </c>
      <c r="R2065" s="4" t="s">
        <v>13117</v>
      </c>
      <c r="S2065" s="4" t="b">
        <f>ISNUMBER(MATCH(Q2065,T:T,0))</f>
        <v>0</v>
      </c>
      <c r="T2065" s="4" t="s">
        <v>11993</v>
      </c>
      <c r="U2065" s="4" t="str">
        <f t="shared" si="90"/>
        <v>儼</v>
      </c>
      <c r="V2065" s="4" t="b">
        <f t="shared" si="92"/>
        <v>1</v>
      </c>
    </row>
    <row r="2066" spans="1:22">
      <c r="A2066" s="3">
        <v>2064</v>
      </c>
      <c r="B2066" s="3" t="s">
        <v>4157</v>
      </c>
      <c r="C2066" s="3" t="s">
        <v>6072</v>
      </c>
      <c r="D2066" s="3" t="s">
        <v>6001</v>
      </c>
      <c r="E2066" s="3" t="s">
        <v>5991</v>
      </c>
      <c r="F2066" s="3" t="s">
        <v>8631</v>
      </c>
      <c r="G2066" s="3" t="s">
        <v>8645</v>
      </c>
      <c r="H2066" s="3" t="s">
        <v>788</v>
      </c>
      <c r="I2066" s="3" t="s">
        <v>8496</v>
      </c>
      <c r="J2066" s="8" t="s">
        <v>9089</v>
      </c>
      <c r="L2066" s="3" t="s">
        <v>178</v>
      </c>
      <c r="M2066" s="3">
        <v>2</v>
      </c>
      <c r="N2066" s="4" t="s">
        <v>9654</v>
      </c>
      <c r="O2066" s="4">
        <v>109</v>
      </c>
      <c r="P2066" s="11" t="s">
        <v>9754</v>
      </c>
      <c r="Q2066" s="11" t="s">
        <v>10447</v>
      </c>
      <c r="R2066" s="4" t="s">
        <v>13117</v>
      </c>
      <c r="S2066" s="4" t="b">
        <f>ISNUMBER(MATCH(Q2066,T:T,0))</f>
        <v>0</v>
      </c>
      <c r="T2066" s="4" t="s">
        <v>11979</v>
      </c>
      <c r="U2066" s="4" t="str">
        <f t="shared" si="90"/>
        <v>儼</v>
      </c>
      <c r="V2066" s="4" t="b">
        <f t="shared" si="92"/>
        <v>1</v>
      </c>
    </row>
    <row r="2067" spans="1:22">
      <c r="A2067" s="3">
        <v>2065</v>
      </c>
      <c r="B2067" s="3" t="s">
        <v>4160</v>
      </c>
      <c r="C2067" s="3" t="s">
        <v>6067</v>
      </c>
      <c r="D2067" s="3" t="s">
        <v>6157</v>
      </c>
      <c r="E2067" s="3" t="s">
        <v>5991</v>
      </c>
      <c r="F2067" s="3" t="s">
        <v>8496</v>
      </c>
      <c r="G2067" s="3" t="s">
        <v>8645</v>
      </c>
      <c r="H2067" s="3" t="s">
        <v>4161</v>
      </c>
      <c r="I2067" s="3" t="s">
        <v>8496</v>
      </c>
      <c r="J2067" s="5" t="s">
        <v>9090</v>
      </c>
      <c r="L2067" s="3" t="s">
        <v>3156</v>
      </c>
      <c r="M2067" s="3">
        <v>8</v>
      </c>
      <c r="N2067" s="4" t="s">
        <v>4162</v>
      </c>
      <c r="O2067" s="4">
        <v>110</v>
      </c>
      <c r="P2067" s="11" t="s">
        <v>9771</v>
      </c>
      <c r="Q2067" s="11" t="s">
        <v>4171</v>
      </c>
      <c r="S2067" s="4" t="b">
        <f>ISNUMBER(MATCH(Q2067,T:T,0))</f>
        <v>1</v>
      </c>
      <c r="T2067" s="4" t="s">
        <v>4162</v>
      </c>
      <c r="U2067" s="4" t="str">
        <f t="shared" si="90"/>
        <v>斬</v>
      </c>
    </row>
    <row r="2068" spans="1:22">
      <c r="A2068" s="3">
        <v>2066</v>
      </c>
      <c r="B2068" s="3" t="s">
        <v>4160</v>
      </c>
      <c r="C2068" s="3" t="s">
        <v>6005</v>
      </c>
      <c r="D2068" s="3" t="s">
        <v>6157</v>
      </c>
      <c r="E2068" s="3" t="s">
        <v>5991</v>
      </c>
      <c r="F2068" s="3" t="s">
        <v>8496</v>
      </c>
      <c r="G2068" s="3" t="s">
        <v>8645</v>
      </c>
      <c r="H2068" s="3" t="s">
        <v>4163</v>
      </c>
      <c r="I2068" s="3" t="s">
        <v>8496</v>
      </c>
      <c r="J2068" s="5" t="s">
        <v>4164</v>
      </c>
      <c r="L2068" s="3" t="s">
        <v>6960</v>
      </c>
      <c r="M2068" s="3">
        <v>3</v>
      </c>
      <c r="N2068" s="4" t="s">
        <v>4162</v>
      </c>
      <c r="O2068" s="4">
        <v>110</v>
      </c>
      <c r="P2068" s="11" t="s">
        <v>9706</v>
      </c>
      <c r="Q2068" s="11" t="s">
        <v>10448</v>
      </c>
      <c r="R2068" s="4" t="s">
        <v>13118</v>
      </c>
      <c r="S2068" s="4" t="b">
        <f>ISNUMBER(MATCH(Q2068,T:T,0))</f>
        <v>0</v>
      </c>
      <c r="T2068" s="4" t="s">
        <v>11994</v>
      </c>
      <c r="U2068" s="4" t="str">
        <f t="shared" si="90"/>
        <v>鹼豏</v>
      </c>
      <c r="V2068" s="4" t="b">
        <f t="shared" ref="V2068:V2069" si="93">ISNUMBER(MATCH(R2068,T:T,0))</f>
        <v>0</v>
      </c>
    </row>
    <row r="2069" spans="1:22">
      <c r="A2069" s="3">
        <v>2067</v>
      </c>
      <c r="B2069" s="3" t="s">
        <v>4160</v>
      </c>
      <c r="C2069" s="3" t="s">
        <v>6038</v>
      </c>
      <c r="D2069" s="3" t="s">
        <v>6157</v>
      </c>
      <c r="E2069" s="3" t="s">
        <v>5991</v>
      </c>
      <c r="F2069" s="3" t="s">
        <v>8496</v>
      </c>
      <c r="G2069" s="3" t="s">
        <v>8645</v>
      </c>
      <c r="H2069" s="3" t="s">
        <v>4165</v>
      </c>
      <c r="I2069" s="3" t="s">
        <v>8496</v>
      </c>
      <c r="J2069" s="5" t="s">
        <v>4166</v>
      </c>
      <c r="L2069" s="3" t="s">
        <v>187</v>
      </c>
      <c r="M2069" s="3">
        <v>7</v>
      </c>
      <c r="N2069" s="4" t="s">
        <v>4162</v>
      </c>
      <c r="O2069" s="4">
        <v>110</v>
      </c>
      <c r="P2069" s="11" t="s">
        <v>9728</v>
      </c>
      <c r="Q2069" s="11" t="s">
        <v>10448</v>
      </c>
      <c r="R2069" s="4" t="s">
        <v>13118</v>
      </c>
      <c r="S2069" s="4" t="b">
        <f>ISNUMBER(MATCH(Q2069,T:T,0))</f>
        <v>0</v>
      </c>
      <c r="T2069" s="4" t="s">
        <v>11995</v>
      </c>
      <c r="U2069" s="4" t="str">
        <f t="shared" si="90"/>
        <v>鹼豏</v>
      </c>
      <c r="V2069" s="4" t="b">
        <f t="shared" si="93"/>
        <v>0</v>
      </c>
    </row>
    <row r="2070" spans="1:22">
      <c r="A2070" s="3">
        <v>2068</v>
      </c>
      <c r="B2070" s="3" t="s">
        <v>4160</v>
      </c>
      <c r="C2070" s="3" t="s">
        <v>6025</v>
      </c>
      <c r="D2070" s="3" t="s">
        <v>6157</v>
      </c>
      <c r="E2070" s="3" t="s">
        <v>5991</v>
      </c>
      <c r="F2070" s="3" t="s">
        <v>8496</v>
      </c>
      <c r="G2070" s="3" t="s">
        <v>8645</v>
      </c>
      <c r="H2070" s="3" t="s">
        <v>4167</v>
      </c>
      <c r="I2070" s="3" t="s">
        <v>8496</v>
      </c>
      <c r="J2070" s="5" t="s">
        <v>9091</v>
      </c>
      <c r="L2070" s="3" t="s">
        <v>181</v>
      </c>
      <c r="M2070" s="3">
        <v>4</v>
      </c>
      <c r="N2070" s="4" t="s">
        <v>4162</v>
      </c>
      <c r="O2070" s="4">
        <v>110</v>
      </c>
      <c r="P2070" s="11" t="s">
        <v>9729</v>
      </c>
      <c r="Q2070" s="11" t="s">
        <v>4171</v>
      </c>
      <c r="S2070" s="4" t="b">
        <f>ISNUMBER(MATCH(Q2070,T:T,0))</f>
        <v>1</v>
      </c>
      <c r="T2070" s="4" t="s">
        <v>11996</v>
      </c>
      <c r="U2070" s="4" t="str">
        <f t="shared" si="90"/>
        <v>斬</v>
      </c>
    </row>
    <row r="2071" spans="1:22">
      <c r="A2071" s="3">
        <v>2069</v>
      </c>
      <c r="B2071" s="3" t="s">
        <v>4160</v>
      </c>
      <c r="C2071" s="3" t="s">
        <v>6015</v>
      </c>
      <c r="D2071" s="3" t="s">
        <v>6157</v>
      </c>
      <c r="E2071" s="3" t="s">
        <v>5991</v>
      </c>
      <c r="F2071" s="3" t="s">
        <v>8496</v>
      </c>
      <c r="G2071" s="3" t="s">
        <v>8645</v>
      </c>
      <c r="H2071" s="3" t="s">
        <v>4168</v>
      </c>
      <c r="I2071" s="3" t="s">
        <v>8496</v>
      </c>
      <c r="J2071" s="5" t="s">
        <v>9092</v>
      </c>
      <c r="L2071" s="3" t="s">
        <v>3164</v>
      </c>
      <c r="M2071" s="3">
        <v>3</v>
      </c>
      <c r="N2071" s="4" t="s">
        <v>4162</v>
      </c>
      <c r="O2071" s="4">
        <v>110</v>
      </c>
      <c r="P2071" s="11" t="s">
        <v>9777</v>
      </c>
      <c r="Q2071" s="11" t="s">
        <v>10448</v>
      </c>
      <c r="R2071" s="4" t="s">
        <v>13118</v>
      </c>
      <c r="S2071" s="4" t="b">
        <f>ISNUMBER(MATCH(Q2071,T:T,0))</f>
        <v>0</v>
      </c>
      <c r="T2071" s="4" t="s">
        <v>11997</v>
      </c>
      <c r="U2071" s="4" t="str">
        <f t="shared" si="90"/>
        <v>鹼豏</v>
      </c>
      <c r="V2071" s="4" t="b">
        <f t="shared" ref="V2071:V2074" si="94">ISNUMBER(MATCH(R2071,T:T,0))</f>
        <v>0</v>
      </c>
    </row>
    <row r="2072" spans="1:22">
      <c r="A2072" s="3">
        <v>2070</v>
      </c>
      <c r="B2072" s="3" t="s">
        <v>4160</v>
      </c>
      <c r="C2072" s="3" t="s">
        <v>6058</v>
      </c>
      <c r="D2072" s="3" t="s">
        <v>6157</v>
      </c>
      <c r="E2072" s="3" t="s">
        <v>5991</v>
      </c>
      <c r="F2072" s="3" t="s">
        <v>8496</v>
      </c>
      <c r="G2072" s="3" t="s">
        <v>8645</v>
      </c>
      <c r="H2072" s="3" t="s">
        <v>4169</v>
      </c>
      <c r="I2072" s="3" t="s">
        <v>8496</v>
      </c>
      <c r="J2072" s="5" t="s">
        <v>9093</v>
      </c>
      <c r="L2072" s="3" t="s">
        <v>278</v>
      </c>
      <c r="M2072" s="3">
        <v>2</v>
      </c>
      <c r="N2072" s="4" t="s">
        <v>4162</v>
      </c>
      <c r="O2072" s="4">
        <v>110</v>
      </c>
      <c r="P2072" s="11" t="s">
        <v>9727</v>
      </c>
      <c r="Q2072" s="11" t="s">
        <v>10448</v>
      </c>
      <c r="R2072" s="4" t="s">
        <v>13118</v>
      </c>
      <c r="S2072" s="4" t="b">
        <f>ISNUMBER(MATCH(Q2072,T:T,0))</f>
        <v>0</v>
      </c>
      <c r="T2072" s="4" t="s">
        <v>11998</v>
      </c>
      <c r="U2072" s="4" t="str">
        <f t="shared" si="90"/>
        <v>鹼豏</v>
      </c>
      <c r="V2072" s="4" t="b">
        <f t="shared" si="94"/>
        <v>0</v>
      </c>
    </row>
    <row r="2073" spans="1:22">
      <c r="A2073" s="3">
        <v>2071</v>
      </c>
      <c r="B2073" s="3" t="s">
        <v>4160</v>
      </c>
      <c r="C2073" s="3" t="s">
        <v>6318</v>
      </c>
      <c r="D2073" s="3" t="s">
        <v>6157</v>
      </c>
      <c r="E2073" s="3" t="s">
        <v>5991</v>
      </c>
      <c r="F2073" s="3" t="s">
        <v>8496</v>
      </c>
      <c r="G2073" s="3" t="s">
        <v>8645</v>
      </c>
      <c r="H2073" s="3" t="s">
        <v>4170</v>
      </c>
      <c r="I2073" s="3" t="s">
        <v>8496</v>
      </c>
      <c r="J2073" s="5" t="s">
        <v>4171</v>
      </c>
      <c r="L2073" s="3" t="s">
        <v>3152</v>
      </c>
      <c r="M2073" s="3">
        <v>1</v>
      </c>
      <c r="N2073" s="4" t="s">
        <v>4162</v>
      </c>
      <c r="O2073" s="4">
        <v>110</v>
      </c>
      <c r="P2073" s="11" t="s">
        <v>9804</v>
      </c>
      <c r="Q2073" s="11" t="s">
        <v>10448</v>
      </c>
      <c r="R2073" s="4" t="s">
        <v>13118</v>
      </c>
      <c r="S2073" s="4" t="b">
        <f>ISNUMBER(MATCH(Q2073,T:T,0))</f>
        <v>0</v>
      </c>
      <c r="T2073" s="4" t="s">
        <v>4171</v>
      </c>
      <c r="U2073" s="4" t="str">
        <f t="shared" si="90"/>
        <v>鹼豏</v>
      </c>
      <c r="V2073" s="4" t="b">
        <f t="shared" si="94"/>
        <v>0</v>
      </c>
    </row>
    <row r="2074" spans="1:22">
      <c r="A2074" s="3">
        <v>2072</v>
      </c>
      <c r="B2074" s="3" t="s">
        <v>4160</v>
      </c>
      <c r="C2074" s="3" t="s">
        <v>6167</v>
      </c>
      <c r="D2074" s="3" t="s">
        <v>6157</v>
      </c>
      <c r="E2074" s="3" t="s">
        <v>5991</v>
      </c>
      <c r="F2074" s="3" t="s">
        <v>8496</v>
      </c>
      <c r="G2074" s="3" t="s">
        <v>8645</v>
      </c>
      <c r="H2074" s="3" t="s">
        <v>4172</v>
      </c>
      <c r="I2074" s="3" t="s">
        <v>8496</v>
      </c>
      <c r="J2074" s="5" t="s">
        <v>4173</v>
      </c>
      <c r="L2074" s="3" t="s">
        <v>3169</v>
      </c>
      <c r="M2074" s="3">
        <v>2</v>
      </c>
      <c r="N2074" s="4" t="s">
        <v>4162</v>
      </c>
      <c r="O2074" s="4">
        <v>110</v>
      </c>
      <c r="P2074" s="11" t="s">
        <v>6167</v>
      </c>
      <c r="Q2074" s="11" t="s">
        <v>10448</v>
      </c>
      <c r="R2074" s="4" t="s">
        <v>13118</v>
      </c>
      <c r="S2074" s="4" t="b">
        <f>ISNUMBER(MATCH(Q2074,T:T,0))</f>
        <v>0</v>
      </c>
      <c r="T2074" s="4" t="s">
        <v>11999</v>
      </c>
      <c r="U2074" s="4" t="str">
        <f t="shared" si="90"/>
        <v>鹼豏</v>
      </c>
      <c r="V2074" s="4" t="b">
        <f t="shared" si="94"/>
        <v>0</v>
      </c>
    </row>
    <row r="2075" spans="1:22">
      <c r="A2075" s="3">
        <v>2073</v>
      </c>
      <c r="B2075" s="3" t="s">
        <v>4160</v>
      </c>
      <c r="C2075" s="3" t="s">
        <v>6089</v>
      </c>
      <c r="D2075" s="3" t="s">
        <v>6157</v>
      </c>
      <c r="E2075" s="3" t="s">
        <v>5991</v>
      </c>
      <c r="F2075" s="3" t="s">
        <v>8496</v>
      </c>
      <c r="G2075" s="3" t="s">
        <v>8645</v>
      </c>
      <c r="H2075" s="3" t="s">
        <v>4174</v>
      </c>
      <c r="I2075" s="3" t="s">
        <v>8496</v>
      </c>
      <c r="J2075" s="5" t="s">
        <v>9094</v>
      </c>
      <c r="L2075" s="3" t="s">
        <v>190</v>
      </c>
      <c r="M2075" s="3">
        <v>2</v>
      </c>
      <c r="N2075" s="4" t="s">
        <v>4162</v>
      </c>
      <c r="O2075" s="4">
        <v>110</v>
      </c>
      <c r="P2075" s="11" t="s">
        <v>9904</v>
      </c>
      <c r="Q2075" s="11" t="s">
        <v>4171</v>
      </c>
      <c r="S2075" s="4" t="b">
        <f>ISNUMBER(MATCH(Q2075,T:T,0))</f>
        <v>1</v>
      </c>
      <c r="T2075" s="4" t="s">
        <v>9675</v>
      </c>
      <c r="U2075" s="4" t="str">
        <f t="shared" si="90"/>
        <v>斬</v>
      </c>
    </row>
    <row r="2076" spans="1:22">
      <c r="A2076" s="3">
        <v>2074</v>
      </c>
      <c r="B2076" s="3" t="s">
        <v>4160</v>
      </c>
      <c r="C2076" s="3" t="s">
        <v>6180</v>
      </c>
      <c r="D2076" s="3" t="s">
        <v>6157</v>
      </c>
      <c r="E2076" s="3" t="s">
        <v>5991</v>
      </c>
      <c r="F2076" s="3" t="s">
        <v>8496</v>
      </c>
      <c r="G2076" s="3" t="s">
        <v>8645</v>
      </c>
      <c r="H2076" s="3" t="s">
        <v>4175</v>
      </c>
      <c r="I2076" s="3" t="s">
        <v>8496</v>
      </c>
      <c r="J2076" s="5" t="s">
        <v>9095</v>
      </c>
      <c r="L2076" s="3" t="s">
        <v>3147</v>
      </c>
      <c r="M2076" s="3">
        <v>4</v>
      </c>
      <c r="N2076" s="4" t="s">
        <v>4162</v>
      </c>
      <c r="O2076" s="4">
        <v>110</v>
      </c>
      <c r="P2076" s="11" t="s">
        <v>9774</v>
      </c>
      <c r="Q2076" s="11" t="s">
        <v>4171</v>
      </c>
      <c r="S2076" s="4" t="b">
        <f>ISNUMBER(MATCH(Q2076,T:T,0))</f>
        <v>1</v>
      </c>
      <c r="T2076" s="4" t="s">
        <v>12000</v>
      </c>
      <c r="U2076" s="4" t="str">
        <f t="shared" si="90"/>
        <v>斬</v>
      </c>
    </row>
    <row r="2077" spans="1:22">
      <c r="A2077" s="3">
        <v>2075</v>
      </c>
      <c r="B2077" s="3" t="s">
        <v>4160</v>
      </c>
      <c r="C2077" s="3" t="s">
        <v>6072</v>
      </c>
      <c r="D2077" s="3" t="s">
        <v>6157</v>
      </c>
      <c r="E2077" s="3" t="s">
        <v>5991</v>
      </c>
      <c r="F2077" s="3" t="s">
        <v>8496</v>
      </c>
      <c r="G2077" s="3" t="s">
        <v>8645</v>
      </c>
      <c r="H2077" s="3" t="s">
        <v>4176</v>
      </c>
      <c r="I2077" s="3" t="s">
        <v>8496</v>
      </c>
      <c r="J2077" s="5" t="s">
        <v>4177</v>
      </c>
      <c r="L2077" s="3" t="s">
        <v>178</v>
      </c>
      <c r="M2077" s="3">
        <v>1</v>
      </c>
      <c r="N2077" s="4" t="s">
        <v>4162</v>
      </c>
      <c r="O2077" s="4">
        <v>110</v>
      </c>
      <c r="P2077" s="11" t="s">
        <v>9907</v>
      </c>
      <c r="Q2077" s="11" t="s">
        <v>10448</v>
      </c>
      <c r="R2077" s="4" t="s">
        <v>13118</v>
      </c>
      <c r="S2077" s="4" t="b">
        <f>ISNUMBER(MATCH(Q2077,T:T,0))</f>
        <v>0</v>
      </c>
      <c r="T2077" s="4" t="s">
        <v>4177</v>
      </c>
      <c r="U2077" s="4" t="str">
        <f t="shared" si="90"/>
        <v>鹼豏</v>
      </c>
      <c r="V2077" s="4" t="b">
        <f>ISNUMBER(MATCH(R2077,T:T,0))</f>
        <v>0</v>
      </c>
    </row>
    <row r="2078" spans="1:22">
      <c r="A2078" s="3">
        <v>2076</v>
      </c>
      <c r="B2078" s="3" t="s">
        <v>4160</v>
      </c>
      <c r="C2078" s="3" t="s">
        <v>6089</v>
      </c>
      <c r="D2078" s="3" t="s">
        <v>6157</v>
      </c>
      <c r="E2078" s="3" t="s">
        <v>5991</v>
      </c>
      <c r="F2078" s="3" t="s">
        <v>8496</v>
      </c>
      <c r="G2078" s="3" t="s">
        <v>8645</v>
      </c>
      <c r="H2078" s="3" t="s">
        <v>4178</v>
      </c>
      <c r="I2078" s="3" t="s">
        <v>8496</v>
      </c>
      <c r="J2078" s="5" t="s">
        <v>4179</v>
      </c>
      <c r="L2078" s="3" t="s">
        <v>190</v>
      </c>
      <c r="M2078" s="3">
        <v>1</v>
      </c>
      <c r="N2078" s="4" t="s">
        <v>4162</v>
      </c>
      <c r="O2078" s="4">
        <v>110</v>
      </c>
      <c r="P2078" s="11" t="s">
        <v>9739</v>
      </c>
      <c r="Q2078" s="11" t="s">
        <v>4162</v>
      </c>
      <c r="S2078" s="4" t="b">
        <f>ISNUMBER(MATCH(Q2078,T:T,0))</f>
        <v>1</v>
      </c>
      <c r="T2078" s="4" t="s">
        <v>4179</v>
      </c>
      <c r="U2078" s="4" t="str">
        <f t="shared" si="90"/>
        <v>豏</v>
      </c>
    </row>
    <row r="2079" spans="1:22">
      <c r="A2079" s="3">
        <v>2077</v>
      </c>
      <c r="B2079" s="3" t="s">
        <v>4160</v>
      </c>
      <c r="C2079" s="3" t="s">
        <v>6137</v>
      </c>
      <c r="D2079" s="3" t="s">
        <v>6157</v>
      </c>
      <c r="E2079" s="3" t="s">
        <v>5991</v>
      </c>
      <c r="F2079" s="3" t="s">
        <v>8496</v>
      </c>
      <c r="G2079" s="3" t="s">
        <v>8645</v>
      </c>
      <c r="H2079" s="3" t="s">
        <v>4180</v>
      </c>
      <c r="I2079" s="3" t="s">
        <v>8496</v>
      </c>
      <c r="J2079" s="5" t="s">
        <v>4181</v>
      </c>
      <c r="L2079" s="3" t="s">
        <v>3211</v>
      </c>
      <c r="M2079" s="3">
        <v>3</v>
      </c>
      <c r="N2079" s="4" t="s">
        <v>4162</v>
      </c>
      <c r="O2079" s="4">
        <v>110</v>
      </c>
      <c r="P2079" s="11" t="s">
        <v>9755</v>
      </c>
      <c r="Q2079" s="11" t="s">
        <v>10448</v>
      </c>
      <c r="R2079" s="4" t="s">
        <v>13118</v>
      </c>
      <c r="S2079" s="4" t="b">
        <f>ISNUMBER(MATCH(Q2079,T:T,0))</f>
        <v>0</v>
      </c>
      <c r="T2079" s="4" t="s">
        <v>12001</v>
      </c>
      <c r="U2079" s="4" t="str">
        <f t="shared" si="90"/>
        <v>鹼豏</v>
      </c>
      <c r="V2079" s="4" t="b">
        <f t="shared" ref="V2079:V2080" si="95">ISNUMBER(MATCH(R2079,T:T,0))</f>
        <v>0</v>
      </c>
    </row>
    <row r="2080" spans="1:22">
      <c r="A2080" s="3">
        <v>2078</v>
      </c>
      <c r="B2080" s="3" t="s">
        <v>4160</v>
      </c>
      <c r="C2080" s="3" t="s">
        <v>6011</v>
      </c>
      <c r="D2080" s="3" t="s">
        <v>6157</v>
      </c>
      <c r="E2080" s="3" t="s">
        <v>5991</v>
      </c>
      <c r="F2080" s="3" t="s">
        <v>8496</v>
      </c>
      <c r="G2080" s="3" t="s">
        <v>8645</v>
      </c>
      <c r="H2080" s="3" t="s">
        <v>4182</v>
      </c>
      <c r="I2080" s="3" t="s">
        <v>8496</v>
      </c>
      <c r="J2080" s="5" t="s">
        <v>4183</v>
      </c>
      <c r="L2080" s="3" t="s">
        <v>3169</v>
      </c>
      <c r="M2080" s="3">
        <v>2</v>
      </c>
      <c r="N2080" s="4" t="s">
        <v>4162</v>
      </c>
      <c r="O2080" s="4">
        <v>110</v>
      </c>
      <c r="P2080" s="11" t="s">
        <v>9757</v>
      </c>
      <c r="Q2080" s="11" t="s">
        <v>10448</v>
      </c>
      <c r="R2080" s="4" t="s">
        <v>13118</v>
      </c>
      <c r="S2080" s="4" t="b">
        <f>ISNUMBER(MATCH(Q2080,T:T,0))</f>
        <v>0</v>
      </c>
      <c r="T2080" s="4" t="s">
        <v>12002</v>
      </c>
      <c r="U2080" s="4" t="str">
        <f t="shared" si="90"/>
        <v>鹼豏</v>
      </c>
      <c r="V2080" s="4" t="b">
        <f t="shared" si="95"/>
        <v>0</v>
      </c>
    </row>
    <row r="2081" spans="1:22">
      <c r="A2081" s="3">
        <v>2079</v>
      </c>
      <c r="B2081" s="3" t="s">
        <v>4184</v>
      </c>
      <c r="C2081" s="3" t="s">
        <v>6067</v>
      </c>
      <c r="D2081" s="3" t="s">
        <v>6157</v>
      </c>
      <c r="E2081" s="3" t="s">
        <v>5991</v>
      </c>
      <c r="F2081" s="3" t="s">
        <v>8617</v>
      </c>
      <c r="G2081" s="3" t="s">
        <v>8645</v>
      </c>
      <c r="H2081" s="3" t="s">
        <v>4185</v>
      </c>
      <c r="I2081" s="3" t="s">
        <v>8496</v>
      </c>
      <c r="J2081" s="5" t="s">
        <v>4186</v>
      </c>
      <c r="L2081" s="3" t="s">
        <v>3156</v>
      </c>
      <c r="M2081" s="3">
        <v>10</v>
      </c>
      <c r="N2081" s="4" t="s">
        <v>9655</v>
      </c>
      <c r="O2081" s="4">
        <v>111</v>
      </c>
      <c r="P2081" s="11" t="s">
        <v>9870</v>
      </c>
      <c r="Q2081" s="11" t="s">
        <v>10449</v>
      </c>
      <c r="S2081" s="4" t="b">
        <f>ISNUMBER(MATCH(Q2081,T:T,0))</f>
        <v>1</v>
      </c>
      <c r="T2081" s="4" t="s">
        <v>9655</v>
      </c>
      <c r="U2081" s="4" t="str">
        <f t="shared" si="90"/>
        <v>黤</v>
      </c>
    </row>
    <row r="2082" spans="1:22">
      <c r="A2082" s="3">
        <v>2080</v>
      </c>
      <c r="B2082" s="3" t="s">
        <v>4184</v>
      </c>
      <c r="C2082" s="3" t="s">
        <v>6038</v>
      </c>
      <c r="D2082" s="3" t="s">
        <v>6157</v>
      </c>
      <c r="E2082" s="3" t="s">
        <v>5991</v>
      </c>
      <c r="F2082" s="3" t="s">
        <v>8617</v>
      </c>
      <c r="G2082" s="3" t="s">
        <v>8645</v>
      </c>
      <c r="H2082" s="3" t="s">
        <v>4187</v>
      </c>
      <c r="I2082" s="3" t="s">
        <v>8496</v>
      </c>
      <c r="J2082" s="5" t="s">
        <v>4188</v>
      </c>
      <c r="L2082" s="3" t="s">
        <v>187</v>
      </c>
      <c r="M2082" s="3">
        <v>1</v>
      </c>
      <c r="N2082" s="4" t="s">
        <v>9655</v>
      </c>
      <c r="O2082" s="4">
        <v>111</v>
      </c>
      <c r="P2082" s="11" t="s">
        <v>9825</v>
      </c>
      <c r="Q2082" s="11" t="s">
        <v>9655</v>
      </c>
      <c r="S2082" s="4" t="b">
        <f>ISNUMBER(MATCH(Q2082,T:T,0))</f>
        <v>1</v>
      </c>
      <c r="T2082" s="4" t="s">
        <v>4188</v>
      </c>
      <c r="U2082" s="4" t="str">
        <f t="shared" si="90"/>
        <v>檻</v>
      </c>
    </row>
    <row r="2083" spans="1:22">
      <c r="A2083" s="3">
        <v>2081</v>
      </c>
      <c r="B2083" s="3" t="s">
        <v>4184</v>
      </c>
      <c r="C2083" s="3" t="s">
        <v>6180</v>
      </c>
      <c r="D2083" s="3" t="s">
        <v>6157</v>
      </c>
      <c r="E2083" s="3" t="s">
        <v>5991</v>
      </c>
      <c r="F2083" s="3" t="s">
        <v>8617</v>
      </c>
      <c r="G2083" s="3" t="s">
        <v>8645</v>
      </c>
      <c r="H2083" s="3" t="s">
        <v>4189</v>
      </c>
      <c r="I2083" s="3" t="s">
        <v>8496</v>
      </c>
      <c r="J2083" s="5" t="s">
        <v>4190</v>
      </c>
      <c r="L2083" s="3" t="s">
        <v>3147</v>
      </c>
      <c r="M2083" s="3">
        <v>2</v>
      </c>
      <c r="N2083" s="4" t="s">
        <v>9655</v>
      </c>
      <c r="O2083" s="4">
        <v>111</v>
      </c>
      <c r="P2083" s="11" t="s">
        <v>6836</v>
      </c>
      <c r="Q2083" s="11" t="s">
        <v>9655</v>
      </c>
      <c r="S2083" s="4" t="b">
        <f>ISNUMBER(MATCH(Q2083,T:T,0))</f>
        <v>1</v>
      </c>
      <c r="T2083" s="4" t="s">
        <v>12003</v>
      </c>
      <c r="U2083" s="4" t="str">
        <f t="shared" si="90"/>
        <v>檻</v>
      </c>
    </row>
    <row r="2084" spans="1:22">
      <c r="A2084" s="3">
        <v>2082</v>
      </c>
      <c r="B2084" s="3" t="s">
        <v>4184</v>
      </c>
      <c r="C2084" s="3" t="s">
        <v>6072</v>
      </c>
      <c r="D2084" s="3" t="s">
        <v>6157</v>
      </c>
      <c r="E2084" s="3" t="s">
        <v>5991</v>
      </c>
      <c r="F2084" s="3" t="s">
        <v>8617</v>
      </c>
      <c r="G2084" s="3" t="s">
        <v>8645</v>
      </c>
      <c r="H2084" s="3" t="s">
        <v>4191</v>
      </c>
      <c r="I2084" s="3" t="s">
        <v>8496</v>
      </c>
      <c r="J2084" s="5" t="s">
        <v>4192</v>
      </c>
      <c r="L2084" s="3" t="s">
        <v>178</v>
      </c>
      <c r="M2084" s="3">
        <v>2</v>
      </c>
      <c r="N2084" s="4" t="s">
        <v>9655</v>
      </c>
      <c r="O2084" s="4">
        <v>111</v>
      </c>
      <c r="P2084" s="11" t="s">
        <v>9754</v>
      </c>
      <c r="Q2084" s="11" t="s">
        <v>9655</v>
      </c>
      <c r="S2084" s="4" t="b">
        <f>ISNUMBER(MATCH(Q2084,T:T,0))</f>
        <v>1</v>
      </c>
      <c r="T2084" s="4" t="s">
        <v>10449</v>
      </c>
      <c r="U2084" s="4" t="str">
        <f t="shared" si="90"/>
        <v>檻</v>
      </c>
    </row>
    <row r="2085" spans="1:22">
      <c r="A2085" s="3">
        <v>2083</v>
      </c>
      <c r="B2085" s="3" t="s">
        <v>4184</v>
      </c>
      <c r="C2085" s="3" t="s">
        <v>6167</v>
      </c>
      <c r="D2085" s="3" t="s">
        <v>6157</v>
      </c>
      <c r="E2085" s="3" t="s">
        <v>5991</v>
      </c>
      <c r="F2085" s="3" t="s">
        <v>8617</v>
      </c>
      <c r="G2085" s="3" t="s">
        <v>8645</v>
      </c>
      <c r="H2085" s="3" t="s">
        <v>4193</v>
      </c>
      <c r="I2085" s="3" t="s">
        <v>8496</v>
      </c>
      <c r="J2085" s="8" t="s">
        <v>4194</v>
      </c>
      <c r="L2085" s="3" t="s">
        <v>3169</v>
      </c>
      <c r="M2085" s="3">
        <v>1</v>
      </c>
      <c r="N2085" s="4" t="s">
        <v>9655</v>
      </c>
      <c r="O2085" s="4">
        <v>111</v>
      </c>
      <c r="P2085" s="11" t="s">
        <v>6167</v>
      </c>
      <c r="Q2085" s="11" t="s">
        <v>9655</v>
      </c>
      <c r="S2085" s="4" t="b">
        <f>ISNUMBER(MATCH(Q2085,T:T,0))</f>
        <v>1</v>
      </c>
      <c r="T2085" s="4" t="s">
        <v>4194</v>
      </c>
      <c r="U2085" s="4" t="str">
        <f t="shared" si="90"/>
        <v>檻</v>
      </c>
    </row>
    <row r="2086" spans="1:22">
      <c r="A2086" s="3">
        <v>2084</v>
      </c>
      <c r="B2086" s="3" t="s">
        <v>4184</v>
      </c>
      <c r="C2086" s="3" t="s">
        <v>6089</v>
      </c>
      <c r="D2086" s="3" t="s">
        <v>6157</v>
      </c>
      <c r="E2086" s="3" t="s">
        <v>5991</v>
      </c>
      <c r="F2086" s="3" t="s">
        <v>8617</v>
      </c>
      <c r="G2086" s="3" t="s">
        <v>8645</v>
      </c>
      <c r="H2086" s="3" t="s">
        <v>4195</v>
      </c>
      <c r="I2086" s="3" t="s">
        <v>8496</v>
      </c>
      <c r="J2086" s="5" t="s">
        <v>4196</v>
      </c>
      <c r="L2086" s="3" t="s">
        <v>190</v>
      </c>
      <c r="M2086" s="3">
        <v>2</v>
      </c>
      <c r="N2086" s="4" t="s">
        <v>9655</v>
      </c>
      <c r="O2086" s="4">
        <v>111</v>
      </c>
      <c r="P2086" s="11" t="s">
        <v>2607</v>
      </c>
      <c r="Q2086" s="11" t="s">
        <v>9655</v>
      </c>
      <c r="S2086" s="4" t="b">
        <f>ISNUMBER(MATCH(Q2086,T:T,0))</f>
        <v>1</v>
      </c>
      <c r="T2086" s="4" t="s">
        <v>12004</v>
      </c>
      <c r="U2086" s="4" t="str">
        <f t="shared" si="90"/>
        <v>檻</v>
      </c>
    </row>
    <row r="2087" spans="1:22">
      <c r="A2087" s="3">
        <v>2085</v>
      </c>
      <c r="B2087" s="3" t="s">
        <v>4184</v>
      </c>
      <c r="C2087" s="3" t="s">
        <v>6015</v>
      </c>
      <c r="D2087" s="3" t="s">
        <v>6157</v>
      </c>
      <c r="E2087" s="3" t="s">
        <v>5991</v>
      </c>
      <c r="F2087" s="3" t="s">
        <v>8617</v>
      </c>
      <c r="G2087" s="3" t="s">
        <v>8645</v>
      </c>
      <c r="H2087" s="3" t="s">
        <v>4197</v>
      </c>
      <c r="I2087" s="3" t="s">
        <v>8496</v>
      </c>
      <c r="J2087" s="5" t="s">
        <v>4198</v>
      </c>
      <c r="L2087" s="3" t="s">
        <v>3164</v>
      </c>
      <c r="M2087" s="3">
        <v>1</v>
      </c>
      <c r="N2087" s="4" t="s">
        <v>9655</v>
      </c>
      <c r="O2087" s="4">
        <v>111</v>
      </c>
      <c r="P2087" s="11" t="s">
        <v>9866</v>
      </c>
      <c r="Q2087" s="11" t="s">
        <v>9655</v>
      </c>
      <c r="S2087" s="4" t="b">
        <f>ISNUMBER(MATCH(Q2087,T:T,0))</f>
        <v>1</v>
      </c>
      <c r="T2087" s="4" t="s">
        <v>4198</v>
      </c>
      <c r="U2087" s="4" t="str">
        <f t="shared" si="90"/>
        <v>檻</v>
      </c>
    </row>
    <row r="2088" spans="1:22">
      <c r="A2088" s="3">
        <v>2086</v>
      </c>
      <c r="B2088" s="3" t="s">
        <v>4199</v>
      </c>
      <c r="C2088" s="3" t="s">
        <v>6045</v>
      </c>
      <c r="D2088" s="3" t="s">
        <v>6001</v>
      </c>
      <c r="E2088" s="3" t="s">
        <v>6212</v>
      </c>
      <c r="F2088" s="3" t="s">
        <v>8639</v>
      </c>
      <c r="G2088" s="3" t="s">
        <v>8645</v>
      </c>
      <c r="H2088" s="3" t="s">
        <v>789</v>
      </c>
      <c r="I2088" s="3" t="s">
        <v>8496</v>
      </c>
      <c r="J2088" s="5" t="s">
        <v>4200</v>
      </c>
      <c r="L2088" s="3" t="s">
        <v>207</v>
      </c>
      <c r="M2088" s="3">
        <v>6</v>
      </c>
      <c r="N2088" s="4" t="s">
        <v>9656</v>
      </c>
      <c r="O2088" s="4">
        <v>112</v>
      </c>
      <c r="P2088" s="11" t="s">
        <v>2566</v>
      </c>
      <c r="Q2088" s="11" t="s">
        <v>10450</v>
      </c>
      <c r="S2088" s="4" t="b">
        <f>ISNUMBER(MATCH(Q2088,T:T,0))</f>
        <v>1</v>
      </c>
      <c r="T2088" s="4" t="s">
        <v>12005</v>
      </c>
      <c r="U2088" s="4" t="str">
        <f t="shared" si="90"/>
        <v>錽</v>
      </c>
    </row>
    <row r="2089" spans="1:22">
      <c r="A2089" s="3">
        <v>2087</v>
      </c>
      <c r="B2089" s="3" t="s">
        <v>4199</v>
      </c>
      <c r="C2089" s="3" t="s">
        <v>6035</v>
      </c>
      <c r="D2089" s="3" t="s">
        <v>6001</v>
      </c>
      <c r="E2089" s="3" t="s">
        <v>6212</v>
      </c>
      <c r="F2089" s="3" t="s">
        <v>8639</v>
      </c>
      <c r="G2089" s="3" t="s">
        <v>8645</v>
      </c>
      <c r="H2089" s="3" t="s">
        <v>4201</v>
      </c>
      <c r="I2089" s="3" t="s">
        <v>8496</v>
      </c>
      <c r="J2089" s="8" t="s">
        <v>9096</v>
      </c>
      <c r="L2089" s="3" t="s">
        <v>315</v>
      </c>
      <c r="M2089" s="3">
        <v>3</v>
      </c>
      <c r="N2089" s="4" t="s">
        <v>9656</v>
      </c>
      <c r="O2089" s="4">
        <v>112</v>
      </c>
      <c r="P2089" s="11" t="s">
        <v>10151</v>
      </c>
      <c r="Q2089" s="11" t="s">
        <v>9656</v>
      </c>
      <c r="R2089" s="4" t="s">
        <v>13119</v>
      </c>
      <c r="S2089" s="4" t="b">
        <f>ISNUMBER(MATCH(Q2089,T:T,0))</f>
        <v>0</v>
      </c>
      <c r="T2089" s="4" t="s">
        <v>10450</v>
      </c>
      <c r="U2089" s="4" t="str">
        <f t="shared" si="90"/>
        <v>範</v>
      </c>
      <c r="V2089" s="4" t="b">
        <f t="shared" ref="V2089:V2093" si="96">ISNUMBER(MATCH(R2089,T:T,0))</f>
        <v>1</v>
      </c>
    </row>
    <row r="2090" spans="1:22">
      <c r="A2090" s="3">
        <v>2088</v>
      </c>
      <c r="B2090" s="3" t="s">
        <v>4199</v>
      </c>
      <c r="C2090" s="3" t="s">
        <v>6049</v>
      </c>
      <c r="D2090" s="3" t="s">
        <v>6001</v>
      </c>
      <c r="E2090" s="3" t="s">
        <v>6212</v>
      </c>
      <c r="F2090" s="3" t="s">
        <v>8639</v>
      </c>
      <c r="G2090" s="3" t="s">
        <v>8645</v>
      </c>
      <c r="H2090" s="3" t="s">
        <v>4202</v>
      </c>
      <c r="I2090" s="3" t="s">
        <v>8496</v>
      </c>
      <c r="J2090" s="5" t="s">
        <v>4203</v>
      </c>
      <c r="L2090" s="3" t="s">
        <v>195</v>
      </c>
      <c r="M2090" s="3">
        <v>1</v>
      </c>
      <c r="N2090" s="4" t="s">
        <v>9656</v>
      </c>
      <c r="O2090" s="4">
        <v>112</v>
      </c>
      <c r="P2090" s="11" t="s">
        <v>9752</v>
      </c>
      <c r="Q2090" s="11" t="s">
        <v>10451</v>
      </c>
      <c r="R2090" s="4" t="s">
        <v>13119</v>
      </c>
      <c r="S2090" s="4" t="b">
        <f>ISNUMBER(MATCH(Q2090,T:T,0))</f>
        <v>0</v>
      </c>
      <c r="T2090" s="4" t="s">
        <v>4203</v>
      </c>
      <c r="U2090" s="4" t="str">
        <f t="shared" si="90"/>
        <v>範</v>
      </c>
      <c r="V2090" s="4" t="b">
        <f t="shared" si="96"/>
        <v>1</v>
      </c>
    </row>
    <row r="2091" spans="1:22">
      <c r="A2091" s="3">
        <v>2089</v>
      </c>
      <c r="B2091" s="3" t="s">
        <v>4199</v>
      </c>
      <c r="C2091" s="3" t="s">
        <v>6038</v>
      </c>
      <c r="D2091" s="3" t="s">
        <v>6001</v>
      </c>
      <c r="E2091" s="3" t="s">
        <v>6212</v>
      </c>
      <c r="F2091" s="3" t="s">
        <v>8639</v>
      </c>
      <c r="G2091" s="3" t="s">
        <v>8645</v>
      </c>
      <c r="H2091" s="3" t="s">
        <v>4204</v>
      </c>
      <c r="I2091" s="3" t="s">
        <v>8496</v>
      </c>
      <c r="J2091" s="5" t="s">
        <v>4205</v>
      </c>
      <c r="L2091" s="3" t="s">
        <v>203</v>
      </c>
      <c r="M2091" s="3">
        <v>2</v>
      </c>
      <c r="N2091" s="4" t="s">
        <v>9656</v>
      </c>
      <c r="O2091" s="4">
        <v>112</v>
      </c>
      <c r="P2091" s="11" t="s">
        <v>9825</v>
      </c>
      <c r="Q2091" s="11" t="s">
        <v>10451</v>
      </c>
      <c r="R2091" s="4" t="s">
        <v>13119</v>
      </c>
      <c r="S2091" s="4" t="b">
        <f>ISNUMBER(MATCH(Q2091,T:T,0))</f>
        <v>0</v>
      </c>
      <c r="T2091" s="4" t="s">
        <v>12006</v>
      </c>
      <c r="U2091" s="4" t="str">
        <f t="shared" si="90"/>
        <v>範</v>
      </c>
      <c r="V2091" s="4" t="b">
        <f t="shared" si="96"/>
        <v>1</v>
      </c>
    </row>
    <row r="2092" spans="1:22">
      <c r="A2092" s="3">
        <v>2090</v>
      </c>
      <c r="B2092" s="3" t="s">
        <v>4199</v>
      </c>
      <c r="C2092" s="3" t="s">
        <v>6053</v>
      </c>
      <c r="D2092" s="3" t="s">
        <v>6001</v>
      </c>
      <c r="E2092" s="3" t="s">
        <v>6212</v>
      </c>
      <c r="F2092" s="3" t="s">
        <v>8639</v>
      </c>
      <c r="G2092" s="3" t="s">
        <v>8645</v>
      </c>
      <c r="H2092" s="7" t="s">
        <v>790</v>
      </c>
      <c r="I2092" s="3" t="s">
        <v>8496</v>
      </c>
      <c r="J2092" s="5" t="s">
        <v>4206</v>
      </c>
      <c r="L2092" s="3" t="s">
        <v>195</v>
      </c>
      <c r="M2092" s="3">
        <v>1</v>
      </c>
      <c r="N2092" s="4" t="s">
        <v>9656</v>
      </c>
      <c r="O2092" s="4">
        <v>112</v>
      </c>
      <c r="P2092" s="11" t="s">
        <v>10452</v>
      </c>
      <c r="Q2092" s="11" t="s">
        <v>10451</v>
      </c>
      <c r="R2092" s="4" t="s">
        <v>13119</v>
      </c>
      <c r="S2092" s="4" t="b">
        <f>ISNUMBER(MATCH(Q2092,T:T,0))</f>
        <v>0</v>
      </c>
      <c r="T2092" s="4" t="s">
        <v>4206</v>
      </c>
      <c r="U2092" s="4" t="str">
        <f t="shared" si="90"/>
        <v>範</v>
      </c>
      <c r="V2092" s="4" t="b">
        <f t="shared" si="96"/>
        <v>1</v>
      </c>
    </row>
    <row r="2093" spans="1:22" ht="28.5">
      <c r="A2093" s="3">
        <v>2091</v>
      </c>
      <c r="B2093" s="3" t="s">
        <v>4199</v>
      </c>
      <c r="C2093" s="3" t="s">
        <v>6011</v>
      </c>
      <c r="D2093" s="3" t="s">
        <v>6001</v>
      </c>
      <c r="E2093" s="3" t="s">
        <v>6212</v>
      </c>
      <c r="F2093" s="3" t="s">
        <v>8639</v>
      </c>
      <c r="G2093" s="3" t="s">
        <v>8645</v>
      </c>
      <c r="H2093" s="3" t="s">
        <v>4207</v>
      </c>
      <c r="I2093" s="3" t="s">
        <v>8496</v>
      </c>
      <c r="J2093" s="5" t="s">
        <v>4208</v>
      </c>
      <c r="L2093" s="3" t="s">
        <v>3188</v>
      </c>
      <c r="M2093" s="3">
        <v>2</v>
      </c>
      <c r="N2093" s="4" t="s">
        <v>9656</v>
      </c>
      <c r="O2093" s="4">
        <v>112</v>
      </c>
      <c r="P2093" s="11" t="s">
        <v>9757</v>
      </c>
      <c r="Q2093" s="11" t="s">
        <v>10451</v>
      </c>
      <c r="R2093" s="4" t="s">
        <v>13119</v>
      </c>
      <c r="S2093" s="4" t="b">
        <f>ISNUMBER(MATCH(Q2093,T:T,0))</f>
        <v>0</v>
      </c>
      <c r="T2093" s="4" t="s">
        <v>12007</v>
      </c>
      <c r="U2093" s="4" t="str">
        <f t="shared" si="90"/>
        <v>範</v>
      </c>
      <c r="V2093" s="4" t="b">
        <f t="shared" si="96"/>
        <v>1</v>
      </c>
    </row>
    <row r="2094" spans="1:22">
      <c r="A2094" s="3">
        <v>2092</v>
      </c>
      <c r="B2094" s="3" t="s">
        <v>4209</v>
      </c>
      <c r="C2094" s="3" t="s">
        <v>6017</v>
      </c>
      <c r="D2094" s="3" t="s">
        <v>5990</v>
      </c>
      <c r="E2094" s="3" t="s">
        <v>5991</v>
      </c>
      <c r="F2094" s="3" t="s">
        <v>5992</v>
      </c>
      <c r="G2094" s="3" t="s">
        <v>4210</v>
      </c>
      <c r="H2094" s="3" t="s">
        <v>4211</v>
      </c>
      <c r="I2094" s="3" t="s">
        <v>5995</v>
      </c>
      <c r="J2094" s="5" t="s">
        <v>9097</v>
      </c>
      <c r="L2094" s="3" t="s">
        <v>4212</v>
      </c>
      <c r="M2094" s="3">
        <v>3</v>
      </c>
      <c r="N2094" s="4" t="s">
        <v>4213</v>
      </c>
      <c r="O2094" s="4">
        <v>113</v>
      </c>
      <c r="P2094" s="11" t="s">
        <v>9741</v>
      </c>
      <c r="Q2094" s="11" t="s">
        <v>10453</v>
      </c>
      <c r="S2094" s="4" t="b">
        <f>ISNUMBER(MATCH(Q2094,T:T,0))</f>
        <v>1</v>
      </c>
      <c r="T2094" s="4" t="s">
        <v>4213</v>
      </c>
      <c r="U2094" s="4" t="str">
        <f t="shared" si="90"/>
        <v>弄</v>
      </c>
    </row>
    <row r="2095" spans="1:22">
      <c r="A2095" s="3">
        <v>2093</v>
      </c>
      <c r="B2095" s="3" t="s">
        <v>4209</v>
      </c>
      <c r="C2095" s="3" t="s">
        <v>6045</v>
      </c>
      <c r="D2095" s="3" t="s">
        <v>6001</v>
      </c>
      <c r="E2095" s="3" t="s">
        <v>5991</v>
      </c>
      <c r="F2095" s="3" t="s">
        <v>5992</v>
      </c>
      <c r="G2095" s="3" t="s">
        <v>4210</v>
      </c>
      <c r="H2095" s="3" t="s">
        <v>4214</v>
      </c>
      <c r="I2095" s="3" t="s">
        <v>5995</v>
      </c>
      <c r="J2095" s="5" t="s">
        <v>4215</v>
      </c>
      <c r="L2095" s="3" t="s">
        <v>8702</v>
      </c>
      <c r="M2095" s="3">
        <v>1</v>
      </c>
      <c r="N2095" s="4" t="s">
        <v>4213</v>
      </c>
      <c r="O2095" s="4">
        <v>113</v>
      </c>
      <c r="P2095" s="11" t="s">
        <v>10454</v>
      </c>
      <c r="Q2095" s="11" t="s">
        <v>10455</v>
      </c>
      <c r="S2095" s="4" t="b">
        <f>ISNUMBER(MATCH(Q2095,T:T,0))</f>
        <v>1</v>
      </c>
      <c r="T2095" s="4" t="s">
        <v>4215</v>
      </c>
      <c r="U2095" s="4" t="str">
        <f t="shared" si="90"/>
        <v>貢</v>
      </c>
    </row>
    <row r="2096" spans="1:22">
      <c r="A2096" s="3">
        <v>2094</v>
      </c>
      <c r="B2096" s="3" t="s">
        <v>4209</v>
      </c>
      <c r="C2096" s="3" t="s">
        <v>6025</v>
      </c>
      <c r="D2096" s="3" t="s">
        <v>5990</v>
      </c>
      <c r="E2096" s="3" t="s">
        <v>5991</v>
      </c>
      <c r="F2096" s="3" t="s">
        <v>5992</v>
      </c>
      <c r="G2096" s="3" t="s">
        <v>4210</v>
      </c>
      <c r="H2096" s="3" t="s">
        <v>4216</v>
      </c>
      <c r="I2096" s="3" t="s">
        <v>5995</v>
      </c>
      <c r="J2096" s="5" t="s">
        <v>4217</v>
      </c>
      <c r="L2096" s="3" t="s">
        <v>4218</v>
      </c>
      <c r="M2096" s="3">
        <v>10</v>
      </c>
      <c r="N2096" s="4" t="s">
        <v>4213</v>
      </c>
      <c r="O2096" s="4">
        <v>113</v>
      </c>
      <c r="P2096" s="11" t="s">
        <v>9729</v>
      </c>
      <c r="Q2096" s="11" t="s">
        <v>4213</v>
      </c>
      <c r="S2096" s="4" t="b">
        <f>ISNUMBER(MATCH(Q2096,T:T,0))</f>
        <v>1</v>
      </c>
      <c r="T2096" s="4" t="s">
        <v>10455</v>
      </c>
      <c r="U2096" s="4" t="str">
        <f t="shared" si="90"/>
        <v>送</v>
      </c>
    </row>
    <row r="2097" spans="1:21">
      <c r="A2097" s="3">
        <v>2095</v>
      </c>
      <c r="B2097" s="3" t="s">
        <v>4209</v>
      </c>
      <c r="C2097" s="3" t="s">
        <v>6058</v>
      </c>
      <c r="D2097" s="3" t="s">
        <v>5990</v>
      </c>
      <c r="E2097" s="3" t="s">
        <v>5991</v>
      </c>
      <c r="F2097" s="3" t="s">
        <v>5992</v>
      </c>
      <c r="G2097" s="3" t="s">
        <v>4210</v>
      </c>
      <c r="H2097" s="3" t="s">
        <v>4219</v>
      </c>
      <c r="I2097" s="3" t="s">
        <v>5995</v>
      </c>
      <c r="J2097" s="5" t="s">
        <v>4220</v>
      </c>
      <c r="L2097" s="3" t="s">
        <v>4221</v>
      </c>
      <c r="M2097" s="3">
        <v>7</v>
      </c>
      <c r="N2097" s="4" t="s">
        <v>4213</v>
      </c>
      <c r="O2097" s="4">
        <v>113</v>
      </c>
      <c r="P2097" s="11" t="s">
        <v>9730</v>
      </c>
      <c r="Q2097" s="11" t="s">
        <v>10455</v>
      </c>
      <c r="S2097" s="4" t="b">
        <f>ISNUMBER(MATCH(Q2097,T:T,0))</f>
        <v>1</v>
      </c>
      <c r="T2097" s="4" t="s">
        <v>10453</v>
      </c>
      <c r="U2097" s="4" t="str">
        <f t="shared" si="90"/>
        <v>貢</v>
      </c>
    </row>
    <row r="2098" spans="1:21">
      <c r="A2098" s="3">
        <v>2096</v>
      </c>
      <c r="B2098" s="3" t="s">
        <v>4209</v>
      </c>
      <c r="C2098" s="3" t="s">
        <v>5989</v>
      </c>
      <c r="D2098" s="3" t="s">
        <v>5990</v>
      </c>
      <c r="E2098" s="3" t="s">
        <v>5991</v>
      </c>
      <c r="F2098" s="3" t="s">
        <v>5992</v>
      </c>
      <c r="G2098" s="3" t="s">
        <v>4210</v>
      </c>
      <c r="H2098" s="3" t="s">
        <v>4222</v>
      </c>
      <c r="I2098" s="3" t="s">
        <v>5995</v>
      </c>
      <c r="J2098" s="5" t="s">
        <v>9098</v>
      </c>
      <c r="L2098" s="3" t="s">
        <v>8679</v>
      </c>
      <c r="M2098" s="3">
        <v>7</v>
      </c>
      <c r="N2098" s="4" t="s">
        <v>4213</v>
      </c>
      <c r="O2098" s="4">
        <v>113</v>
      </c>
      <c r="P2098" s="11" t="s">
        <v>9975</v>
      </c>
      <c r="Q2098" s="11" t="s">
        <v>10455</v>
      </c>
      <c r="S2098" s="4" t="b">
        <f>ISNUMBER(MATCH(Q2098,T:T,0))</f>
        <v>1</v>
      </c>
      <c r="T2098" s="4" t="s">
        <v>10457</v>
      </c>
      <c r="U2098" s="4" t="str">
        <f t="shared" si="90"/>
        <v>貢</v>
      </c>
    </row>
    <row r="2099" spans="1:21">
      <c r="A2099" s="3">
        <v>2097</v>
      </c>
      <c r="B2099" s="3" t="s">
        <v>4209</v>
      </c>
      <c r="C2099" s="3" t="s">
        <v>6038</v>
      </c>
      <c r="D2099" s="3" t="s">
        <v>5990</v>
      </c>
      <c r="E2099" s="3" t="s">
        <v>5991</v>
      </c>
      <c r="F2099" s="3" t="s">
        <v>5992</v>
      </c>
      <c r="G2099" s="3" t="s">
        <v>4210</v>
      </c>
      <c r="H2099" s="3" t="s">
        <v>4223</v>
      </c>
      <c r="I2099" s="3" t="s">
        <v>5995</v>
      </c>
      <c r="J2099" s="5" t="s">
        <v>4224</v>
      </c>
      <c r="L2099" s="3" t="s">
        <v>4225</v>
      </c>
      <c r="M2099" s="3">
        <v>6</v>
      </c>
      <c r="N2099" s="4" t="s">
        <v>4213</v>
      </c>
      <c r="O2099" s="4">
        <v>113</v>
      </c>
      <c r="P2099" s="11" t="s">
        <v>9728</v>
      </c>
      <c r="Q2099" s="11" t="s">
        <v>10455</v>
      </c>
      <c r="S2099" s="4" t="b">
        <f>ISNUMBER(MATCH(Q2099,T:T,0))</f>
        <v>1</v>
      </c>
      <c r="T2099" s="4" t="s">
        <v>12008</v>
      </c>
      <c r="U2099" s="4" t="str">
        <f t="shared" si="90"/>
        <v>貢</v>
      </c>
    </row>
    <row r="2100" spans="1:21">
      <c r="A2100" s="3">
        <v>2098</v>
      </c>
      <c r="B2100" s="3" t="s">
        <v>4209</v>
      </c>
      <c r="C2100" s="3" t="s">
        <v>6083</v>
      </c>
      <c r="D2100" s="3" t="s">
        <v>5990</v>
      </c>
      <c r="E2100" s="3" t="s">
        <v>5991</v>
      </c>
      <c r="F2100" s="3" t="s">
        <v>5992</v>
      </c>
      <c r="G2100" s="3" t="s">
        <v>4210</v>
      </c>
      <c r="H2100" s="3" t="s">
        <v>4226</v>
      </c>
      <c r="I2100" s="3" t="s">
        <v>5995</v>
      </c>
      <c r="J2100" s="8" t="s">
        <v>9099</v>
      </c>
      <c r="K2100" s="3" t="s">
        <v>4227</v>
      </c>
      <c r="L2100" s="3" t="s">
        <v>4228</v>
      </c>
      <c r="M2100" s="3">
        <v>7</v>
      </c>
      <c r="N2100" s="4" t="s">
        <v>4213</v>
      </c>
      <c r="O2100" s="4">
        <v>113</v>
      </c>
      <c r="P2100" s="11" t="s">
        <v>9745</v>
      </c>
      <c r="Q2100" s="11" t="s">
        <v>10453</v>
      </c>
      <c r="S2100" s="4" t="b">
        <f>ISNUMBER(MATCH(Q2100,T:T,0))</f>
        <v>1</v>
      </c>
      <c r="T2100" s="4" t="s">
        <v>12009</v>
      </c>
      <c r="U2100" s="4" t="str">
        <f t="shared" si="90"/>
        <v>弄</v>
      </c>
    </row>
    <row r="2101" spans="1:21">
      <c r="A2101" s="3">
        <v>2099</v>
      </c>
      <c r="B2101" s="3" t="s">
        <v>4209</v>
      </c>
      <c r="C2101" s="3" t="s">
        <v>6072</v>
      </c>
      <c r="D2101" s="3" t="s">
        <v>5990</v>
      </c>
      <c r="E2101" s="3" t="s">
        <v>5991</v>
      </c>
      <c r="F2101" s="3" t="s">
        <v>5992</v>
      </c>
      <c r="G2101" s="3" t="s">
        <v>4210</v>
      </c>
      <c r="H2101" s="3" t="s">
        <v>4229</v>
      </c>
      <c r="I2101" s="3" t="s">
        <v>5995</v>
      </c>
      <c r="J2101" s="5" t="s">
        <v>4230</v>
      </c>
      <c r="L2101" s="3" t="s">
        <v>4231</v>
      </c>
      <c r="M2101" s="3">
        <v>5</v>
      </c>
      <c r="N2101" s="4" t="s">
        <v>4213</v>
      </c>
      <c r="O2101" s="4">
        <v>113</v>
      </c>
      <c r="P2101" s="11" t="s">
        <v>9734</v>
      </c>
      <c r="Q2101" s="11" t="s">
        <v>10455</v>
      </c>
      <c r="S2101" s="4" t="b">
        <f>ISNUMBER(MATCH(Q2101,T:T,0))</f>
        <v>1</v>
      </c>
      <c r="T2101" s="4" t="s">
        <v>12010</v>
      </c>
      <c r="U2101" s="4" t="str">
        <f t="shared" si="90"/>
        <v>貢</v>
      </c>
    </row>
    <row r="2102" spans="1:21">
      <c r="A2102" s="3">
        <v>2100</v>
      </c>
      <c r="B2102" s="3" t="s">
        <v>4209</v>
      </c>
      <c r="C2102" s="3" t="s">
        <v>6076</v>
      </c>
      <c r="D2102" s="3" t="s">
        <v>5990</v>
      </c>
      <c r="E2102" s="3" t="s">
        <v>5991</v>
      </c>
      <c r="F2102" s="3" t="s">
        <v>5992</v>
      </c>
      <c r="G2102" s="3" t="s">
        <v>4210</v>
      </c>
      <c r="H2102" s="3" t="s">
        <v>4232</v>
      </c>
      <c r="I2102" s="3" t="s">
        <v>5995</v>
      </c>
      <c r="J2102" s="5" t="s">
        <v>9100</v>
      </c>
      <c r="L2102" s="3" t="s">
        <v>4233</v>
      </c>
      <c r="M2102" s="3">
        <v>2</v>
      </c>
      <c r="N2102" s="4" t="s">
        <v>4213</v>
      </c>
      <c r="O2102" s="4">
        <v>113</v>
      </c>
      <c r="P2102" s="11" t="s">
        <v>10150</v>
      </c>
      <c r="Q2102" s="11" t="s">
        <v>10453</v>
      </c>
      <c r="S2102" s="4" t="b">
        <f>ISNUMBER(MATCH(Q2102,T:T,0))</f>
        <v>1</v>
      </c>
      <c r="T2102" s="4" t="s">
        <v>12011</v>
      </c>
      <c r="U2102" s="4" t="str">
        <f t="shared" si="90"/>
        <v>弄</v>
      </c>
    </row>
    <row r="2103" spans="1:21">
      <c r="A2103" s="3">
        <v>2101</v>
      </c>
      <c r="B2103" s="3" t="s">
        <v>4209</v>
      </c>
      <c r="C2103" s="3" t="s">
        <v>5997</v>
      </c>
      <c r="D2103" s="3" t="s">
        <v>5990</v>
      </c>
      <c r="E2103" s="3" t="s">
        <v>5991</v>
      </c>
      <c r="F2103" s="3" t="s">
        <v>5992</v>
      </c>
      <c r="G2103" s="3" t="s">
        <v>4210</v>
      </c>
      <c r="H2103" s="3" t="s">
        <v>4234</v>
      </c>
      <c r="I2103" s="3" t="s">
        <v>5995</v>
      </c>
      <c r="J2103" s="5" t="s">
        <v>9101</v>
      </c>
      <c r="L2103" s="3" t="s">
        <v>8679</v>
      </c>
      <c r="M2103" s="3">
        <v>16</v>
      </c>
      <c r="N2103" s="4" t="s">
        <v>4213</v>
      </c>
      <c r="O2103" s="4">
        <v>113</v>
      </c>
      <c r="P2103" s="11" t="s">
        <v>9706</v>
      </c>
      <c r="Q2103" s="11" t="s">
        <v>10453</v>
      </c>
      <c r="S2103" s="4" t="b">
        <f>ISNUMBER(MATCH(Q2103,T:T,0))</f>
        <v>1</v>
      </c>
      <c r="T2103" s="4" t="s">
        <v>12012</v>
      </c>
      <c r="U2103" s="4" t="str">
        <f t="shared" si="90"/>
        <v>弄</v>
      </c>
    </row>
    <row r="2104" spans="1:21">
      <c r="A2104" s="3">
        <v>2102</v>
      </c>
      <c r="B2104" s="3" t="s">
        <v>4209</v>
      </c>
      <c r="C2104" s="3" t="s">
        <v>6079</v>
      </c>
      <c r="D2104" s="3" t="s">
        <v>5990</v>
      </c>
      <c r="E2104" s="3" t="s">
        <v>5991</v>
      </c>
      <c r="F2104" s="3" t="s">
        <v>5992</v>
      </c>
      <c r="G2104" s="3" t="s">
        <v>4210</v>
      </c>
      <c r="H2104" s="3" t="s">
        <v>4235</v>
      </c>
      <c r="I2104" s="3" t="s">
        <v>5995</v>
      </c>
      <c r="J2104" s="5" t="s">
        <v>4236</v>
      </c>
      <c r="L2104" s="3" t="s">
        <v>4237</v>
      </c>
      <c r="M2104" s="3">
        <v>1</v>
      </c>
      <c r="N2104" s="4" t="s">
        <v>4213</v>
      </c>
      <c r="O2104" s="4">
        <v>113</v>
      </c>
      <c r="P2104" s="11" t="s">
        <v>9736</v>
      </c>
      <c r="Q2104" s="11" t="s">
        <v>10455</v>
      </c>
      <c r="S2104" s="4" t="b">
        <f>ISNUMBER(MATCH(Q2104,T:T,0))</f>
        <v>1</v>
      </c>
      <c r="T2104" s="4" t="s">
        <v>4236</v>
      </c>
      <c r="U2104" s="4" t="str">
        <f t="shared" si="90"/>
        <v>貢</v>
      </c>
    </row>
    <row r="2105" spans="1:21" ht="28.5">
      <c r="A2105" s="3">
        <v>2103</v>
      </c>
      <c r="B2105" s="3" t="s">
        <v>4209</v>
      </c>
      <c r="C2105" s="3" t="s">
        <v>6005</v>
      </c>
      <c r="D2105" s="3" t="s">
        <v>6001</v>
      </c>
      <c r="E2105" s="3" t="s">
        <v>5991</v>
      </c>
      <c r="F2105" s="3" t="s">
        <v>5992</v>
      </c>
      <c r="G2105" s="3" t="s">
        <v>4210</v>
      </c>
      <c r="H2105" s="3" t="s">
        <v>791</v>
      </c>
      <c r="I2105" s="3" t="s">
        <v>5995</v>
      </c>
      <c r="J2105" s="5" t="s">
        <v>4238</v>
      </c>
      <c r="L2105" s="3" t="s">
        <v>8697</v>
      </c>
      <c r="M2105" s="3">
        <v>3</v>
      </c>
      <c r="N2105" s="4" t="s">
        <v>4213</v>
      </c>
      <c r="O2105" s="4">
        <v>113</v>
      </c>
      <c r="P2105" s="11" t="s">
        <v>9709</v>
      </c>
      <c r="Q2105" s="11" t="s">
        <v>4262</v>
      </c>
      <c r="S2105" s="4" t="b">
        <f>ISNUMBER(MATCH(Q2105,T:T,0))</f>
        <v>1</v>
      </c>
      <c r="T2105" s="4" t="s">
        <v>10456</v>
      </c>
      <c r="U2105" s="4" t="str">
        <f t="shared" si="90"/>
        <v>衆</v>
      </c>
    </row>
    <row r="2106" spans="1:21">
      <c r="A2106" s="3">
        <v>2104</v>
      </c>
      <c r="B2106" s="3" t="s">
        <v>4209</v>
      </c>
      <c r="C2106" s="3" t="s">
        <v>6049</v>
      </c>
      <c r="D2106" s="3" t="s">
        <v>6001</v>
      </c>
      <c r="E2106" s="3" t="s">
        <v>5991</v>
      </c>
      <c r="F2106" s="3" t="s">
        <v>5992</v>
      </c>
      <c r="G2106" s="3" t="s">
        <v>4210</v>
      </c>
      <c r="H2106" s="3" t="s">
        <v>4239</v>
      </c>
      <c r="I2106" s="3" t="s">
        <v>5995</v>
      </c>
      <c r="J2106" s="5" t="s">
        <v>4240</v>
      </c>
      <c r="L2106" s="3" t="s">
        <v>8702</v>
      </c>
      <c r="M2106" s="3">
        <v>2</v>
      </c>
      <c r="N2106" s="4" t="s">
        <v>4213</v>
      </c>
      <c r="O2106" s="4">
        <v>113</v>
      </c>
      <c r="P2106" s="11" t="s">
        <v>9723</v>
      </c>
      <c r="Q2106" s="11" t="s">
        <v>4215</v>
      </c>
      <c r="S2106" s="4" t="b">
        <f>ISNUMBER(MATCH(Q2106,T:T,0))</f>
        <v>1</v>
      </c>
      <c r="T2106" s="4" t="s">
        <v>12013</v>
      </c>
      <c r="U2106" s="4" t="str">
        <f t="shared" si="90"/>
        <v>鳳</v>
      </c>
    </row>
    <row r="2107" spans="1:21" ht="28.5">
      <c r="A2107" s="3">
        <v>2105</v>
      </c>
      <c r="B2107" s="3" t="s">
        <v>4209</v>
      </c>
      <c r="C2107" s="3" t="s">
        <v>6038</v>
      </c>
      <c r="D2107" s="3" t="s">
        <v>6001</v>
      </c>
      <c r="E2107" s="3" t="s">
        <v>5991</v>
      </c>
      <c r="F2107" s="3" t="s">
        <v>5992</v>
      </c>
      <c r="G2107" s="3" t="s">
        <v>4210</v>
      </c>
      <c r="H2107" s="3" t="s">
        <v>4241</v>
      </c>
      <c r="I2107" s="3" t="s">
        <v>5995</v>
      </c>
      <c r="J2107" s="8" t="s">
        <v>9102</v>
      </c>
      <c r="L2107" s="3" t="s">
        <v>4242</v>
      </c>
      <c r="M2107" s="3">
        <v>3</v>
      </c>
      <c r="N2107" s="4" t="s">
        <v>4213</v>
      </c>
      <c r="O2107" s="4">
        <v>113</v>
      </c>
      <c r="P2107" s="11" t="s">
        <v>4210</v>
      </c>
      <c r="Q2107" s="11" t="s">
        <v>10456</v>
      </c>
      <c r="S2107" s="4" t="b">
        <f>ISNUMBER(MATCH(Q2107,T:T,0))</f>
        <v>1</v>
      </c>
      <c r="T2107" s="4" t="s">
        <v>12014</v>
      </c>
      <c r="U2107" s="4" t="str">
        <f t="shared" si="90"/>
        <v>仲</v>
      </c>
    </row>
    <row r="2108" spans="1:21">
      <c r="A2108" s="3">
        <v>2106</v>
      </c>
      <c r="B2108" s="3" t="s">
        <v>4209</v>
      </c>
      <c r="C2108" s="3" t="s">
        <v>6035</v>
      </c>
      <c r="D2108" s="3" t="s">
        <v>6001</v>
      </c>
      <c r="E2108" s="3" t="s">
        <v>5991</v>
      </c>
      <c r="F2108" s="3" t="s">
        <v>5992</v>
      </c>
      <c r="G2108" s="3" t="s">
        <v>4210</v>
      </c>
      <c r="H2108" s="3" t="s">
        <v>4243</v>
      </c>
      <c r="I2108" s="3" t="s">
        <v>5995</v>
      </c>
      <c r="J2108" s="5" t="s">
        <v>4244</v>
      </c>
      <c r="L2108" s="3" t="s">
        <v>4245</v>
      </c>
      <c r="M2108" s="3">
        <v>5</v>
      </c>
      <c r="N2108" s="4" t="s">
        <v>4213</v>
      </c>
      <c r="O2108" s="4">
        <v>113</v>
      </c>
      <c r="P2108" s="11" t="s">
        <v>9719</v>
      </c>
      <c r="Q2108" s="11" t="s">
        <v>4215</v>
      </c>
      <c r="S2108" s="4" t="b">
        <f>ISNUMBER(MATCH(Q2108,T:T,0))</f>
        <v>1</v>
      </c>
      <c r="T2108" s="4" t="s">
        <v>12015</v>
      </c>
      <c r="U2108" s="4" t="str">
        <f t="shared" si="90"/>
        <v>鳳</v>
      </c>
    </row>
    <row r="2109" spans="1:21" ht="28.5">
      <c r="A2109" s="3">
        <v>2107</v>
      </c>
      <c r="B2109" s="3" t="s">
        <v>4209</v>
      </c>
      <c r="C2109" s="3" t="s">
        <v>6089</v>
      </c>
      <c r="D2109" s="3" t="s">
        <v>6001</v>
      </c>
      <c r="E2109" s="3" t="s">
        <v>5991</v>
      </c>
      <c r="F2109" s="3" t="s">
        <v>5992</v>
      </c>
      <c r="G2109" s="3" t="s">
        <v>4210</v>
      </c>
      <c r="H2109" s="3" t="s">
        <v>4246</v>
      </c>
      <c r="I2109" s="3" t="s">
        <v>5995</v>
      </c>
      <c r="J2109" s="5" t="s">
        <v>4247</v>
      </c>
      <c r="L2109" s="3" t="s">
        <v>7491</v>
      </c>
      <c r="M2109" s="3">
        <v>2</v>
      </c>
      <c r="N2109" s="4" t="s">
        <v>4213</v>
      </c>
      <c r="O2109" s="4">
        <v>113</v>
      </c>
      <c r="P2109" s="11" t="s">
        <v>9797</v>
      </c>
      <c r="Q2109" s="11" t="s">
        <v>10456</v>
      </c>
      <c r="S2109" s="4" t="b">
        <f>ISNUMBER(MATCH(Q2109,T:T,0))</f>
        <v>1</v>
      </c>
      <c r="T2109" s="4" t="s">
        <v>12016</v>
      </c>
      <c r="U2109" s="4" t="str">
        <f t="shared" si="90"/>
        <v>仲</v>
      </c>
    </row>
    <row r="2110" spans="1:21">
      <c r="A2110" s="3">
        <v>2108</v>
      </c>
      <c r="B2110" s="3" t="s">
        <v>4209</v>
      </c>
      <c r="C2110" s="3" t="s">
        <v>6035</v>
      </c>
      <c r="D2110" s="3" t="s">
        <v>5990</v>
      </c>
      <c r="E2110" s="3" t="s">
        <v>5991</v>
      </c>
      <c r="F2110" s="3" t="s">
        <v>5992</v>
      </c>
      <c r="G2110" s="3" t="s">
        <v>4210</v>
      </c>
      <c r="H2110" s="3" t="s">
        <v>4248</v>
      </c>
      <c r="I2110" s="3" t="s">
        <v>5995</v>
      </c>
      <c r="J2110" s="5" t="s">
        <v>4249</v>
      </c>
      <c r="L2110" s="3" t="s">
        <v>4245</v>
      </c>
      <c r="M2110" s="3">
        <v>3</v>
      </c>
      <c r="N2110" s="4" t="s">
        <v>4213</v>
      </c>
      <c r="O2110" s="4">
        <v>113</v>
      </c>
      <c r="P2110" s="11" t="s">
        <v>9719</v>
      </c>
      <c r="Q2110" s="11" t="s">
        <v>10453</v>
      </c>
      <c r="S2110" s="4" t="b">
        <f>ISNUMBER(MATCH(Q2110,T:T,0))</f>
        <v>1</v>
      </c>
      <c r="T2110" s="4" t="s">
        <v>12017</v>
      </c>
      <c r="U2110" s="4" t="str">
        <f t="shared" si="90"/>
        <v>弄</v>
      </c>
    </row>
    <row r="2111" spans="1:21">
      <c r="A2111" s="3">
        <v>2109</v>
      </c>
      <c r="B2111" s="3" t="s">
        <v>4209</v>
      </c>
      <c r="C2111" s="3" t="s">
        <v>6076</v>
      </c>
      <c r="D2111" s="3" t="s">
        <v>6001</v>
      </c>
      <c r="E2111" s="3" t="s">
        <v>5991</v>
      </c>
      <c r="F2111" s="3" t="s">
        <v>5992</v>
      </c>
      <c r="G2111" s="3" t="s">
        <v>4210</v>
      </c>
      <c r="H2111" s="3" t="s">
        <v>4250</v>
      </c>
      <c r="I2111" s="3" t="s">
        <v>5995</v>
      </c>
      <c r="J2111" s="5" t="s">
        <v>4251</v>
      </c>
      <c r="L2111" s="3" t="s">
        <v>4233</v>
      </c>
      <c r="M2111" s="3">
        <v>1</v>
      </c>
      <c r="N2111" s="4" t="s">
        <v>4213</v>
      </c>
      <c r="O2111" s="4">
        <v>113</v>
      </c>
      <c r="P2111" s="11" t="s">
        <v>10150</v>
      </c>
      <c r="Q2111" s="11" t="s">
        <v>10456</v>
      </c>
      <c r="S2111" s="4" t="b">
        <f>ISNUMBER(MATCH(Q2111,T:T,0))</f>
        <v>1</v>
      </c>
      <c r="T2111" s="4" t="s">
        <v>4251</v>
      </c>
      <c r="U2111" s="4" t="str">
        <f t="shared" si="90"/>
        <v>仲</v>
      </c>
    </row>
    <row r="2112" spans="1:21">
      <c r="A2112" s="3">
        <v>2110</v>
      </c>
      <c r="B2112" s="3" t="s">
        <v>4209</v>
      </c>
      <c r="C2112" s="3" t="s">
        <v>6053</v>
      </c>
      <c r="D2112" s="3" t="s">
        <v>6001</v>
      </c>
      <c r="E2112" s="3" t="s">
        <v>5991</v>
      </c>
      <c r="F2112" s="3" t="s">
        <v>5992</v>
      </c>
      <c r="G2112" s="3" t="s">
        <v>4210</v>
      </c>
      <c r="H2112" s="3" t="s">
        <v>4252</v>
      </c>
      <c r="I2112" s="3" t="s">
        <v>5995</v>
      </c>
      <c r="J2112" s="5" t="s">
        <v>4253</v>
      </c>
      <c r="L2112" s="3" t="s">
        <v>8702</v>
      </c>
      <c r="M2112" s="3">
        <v>2</v>
      </c>
      <c r="N2112" s="4" t="s">
        <v>4213</v>
      </c>
      <c r="O2112" s="4">
        <v>113</v>
      </c>
      <c r="P2112" s="11" t="s">
        <v>9950</v>
      </c>
      <c r="Q2112" s="11" t="s">
        <v>4215</v>
      </c>
      <c r="S2112" s="4" t="b">
        <f>ISNUMBER(MATCH(Q2112,T:T,0))</f>
        <v>1</v>
      </c>
      <c r="T2112" s="4" t="s">
        <v>12018</v>
      </c>
      <c r="U2112" s="4" t="str">
        <f t="shared" si="90"/>
        <v>鳳</v>
      </c>
    </row>
    <row r="2113" spans="1:21">
      <c r="A2113" s="3">
        <v>2111</v>
      </c>
      <c r="B2113" s="3" t="s">
        <v>4209</v>
      </c>
      <c r="C2113" s="3" t="s">
        <v>6069</v>
      </c>
      <c r="D2113" s="3" t="s">
        <v>5990</v>
      </c>
      <c r="E2113" s="3" t="s">
        <v>5991</v>
      </c>
      <c r="F2113" s="3" t="s">
        <v>5992</v>
      </c>
      <c r="G2113" s="3" t="s">
        <v>4210</v>
      </c>
      <c r="H2113" s="3" t="s">
        <v>4254</v>
      </c>
      <c r="I2113" s="3" t="s">
        <v>5995</v>
      </c>
      <c r="J2113" s="5" t="s">
        <v>4255</v>
      </c>
      <c r="L2113" s="3" t="s">
        <v>4228</v>
      </c>
      <c r="M2113" s="3">
        <v>2</v>
      </c>
      <c r="N2113" s="4" t="s">
        <v>4213</v>
      </c>
      <c r="O2113" s="4">
        <v>113</v>
      </c>
      <c r="P2113" s="11" t="s">
        <v>9733</v>
      </c>
      <c r="Q2113" s="11" t="s">
        <v>4213</v>
      </c>
      <c r="S2113" s="4" t="b">
        <f>ISNUMBER(MATCH(Q2113,T:T,0))</f>
        <v>1</v>
      </c>
      <c r="T2113" s="4" t="s">
        <v>12019</v>
      </c>
      <c r="U2113" s="4" t="str">
        <f t="shared" si="90"/>
        <v>送</v>
      </c>
    </row>
    <row r="2114" spans="1:21" ht="28.5">
      <c r="A2114" s="3">
        <v>2112</v>
      </c>
      <c r="B2114" s="3" t="s">
        <v>4209</v>
      </c>
      <c r="C2114" s="3" t="s">
        <v>6000</v>
      </c>
      <c r="D2114" s="3" t="s">
        <v>6001</v>
      </c>
      <c r="E2114" s="3" t="s">
        <v>5991</v>
      </c>
      <c r="F2114" s="3" t="s">
        <v>5992</v>
      </c>
      <c r="G2114" s="3" t="s">
        <v>4210</v>
      </c>
      <c r="H2114" s="3" t="s">
        <v>4256</v>
      </c>
      <c r="I2114" s="3" t="s">
        <v>5995</v>
      </c>
      <c r="J2114" s="5" t="s">
        <v>4257</v>
      </c>
      <c r="L2114" s="3" t="s">
        <v>8697</v>
      </c>
      <c r="M2114" s="3">
        <v>2</v>
      </c>
      <c r="N2114" s="4" t="s">
        <v>4213</v>
      </c>
      <c r="O2114" s="4">
        <v>113</v>
      </c>
      <c r="P2114" s="11" t="s">
        <v>9707</v>
      </c>
      <c r="Q2114" s="11" t="s">
        <v>10456</v>
      </c>
      <c r="S2114" s="4" t="b">
        <f>ISNUMBER(MATCH(Q2114,T:T,0))</f>
        <v>1</v>
      </c>
      <c r="T2114" s="4" t="s">
        <v>9712</v>
      </c>
      <c r="U2114" s="4" t="str">
        <f t="shared" si="90"/>
        <v>仲</v>
      </c>
    </row>
    <row r="2115" spans="1:21">
      <c r="A2115" s="3">
        <v>2113</v>
      </c>
      <c r="B2115" s="3" t="s">
        <v>4209</v>
      </c>
      <c r="C2115" s="3" t="s">
        <v>6067</v>
      </c>
      <c r="D2115" s="3" t="s">
        <v>5990</v>
      </c>
      <c r="E2115" s="3" t="s">
        <v>5991</v>
      </c>
      <c r="F2115" s="3" t="s">
        <v>5992</v>
      </c>
      <c r="G2115" s="3" t="s">
        <v>4210</v>
      </c>
      <c r="H2115" s="3" t="s">
        <v>4258</v>
      </c>
      <c r="I2115" s="3" t="s">
        <v>5995</v>
      </c>
      <c r="J2115" s="5" t="s">
        <v>9103</v>
      </c>
      <c r="L2115" s="3" t="s">
        <v>8665</v>
      </c>
      <c r="M2115" s="3">
        <v>5</v>
      </c>
      <c r="N2115" s="4" t="s">
        <v>4213</v>
      </c>
      <c r="O2115" s="4">
        <v>113</v>
      </c>
      <c r="P2115" s="11" t="s">
        <v>9870</v>
      </c>
      <c r="Q2115" s="11" t="s">
        <v>10455</v>
      </c>
      <c r="S2115" s="4" t="b">
        <f>ISNUMBER(MATCH(Q2115,T:T,0))</f>
        <v>1</v>
      </c>
      <c r="T2115" s="4" t="s">
        <v>12020</v>
      </c>
      <c r="U2115" s="4" t="str">
        <f t="shared" ref="U2115:U2178" si="97">IF(ISBLANK(R2115),Q2115,R2115)</f>
        <v>貢</v>
      </c>
    </row>
    <row r="2116" spans="1:21">
      <c r="A2116" s="3">
        <v>2114</v>
      </c>
      <c r="B2116" s="3" t="s">
        <v>4209</v>
      </c>
      <c r="C2116" s="3" t="s">
        <v>6102</v>
      </c>
      <c r="D2116" s="3" t="s">
        <v>5990</v>
      </c>
      <c r="E2116" s="3" t="s">
        <v>5991</v>
      </c>
      <c r="F2116" s="3" t="s">
        <v>5992</v>
      </c>
      <c r="G2116" s="3" t="s">
        <v>4210</v>
      </c>
      <c r="H2116" s="3" t="s">
        <v>4259</v>
      </c>
      <c r="I2116" s="3" t="s">
        <v>5995</v>
      </c>
      <c r="J2116" s="5" t="s">
        <v>9104</v>
      </c>
      <c r="L2116" s="3" t="s">
        <v>4260</v>
      </c>
      <c r="M2116" s="3">
        <v>2</v>
      </c>
      <c r="N2116" s="4" t="s">
        <v>4213</v>
      </c>
      <c r="O2116" s="4">
        <v>113</v>
      </c>
      <c r="P2116" s="11" t="s">
        <v>9744</v>
      </c>
      <c r="Q2116" s="11" t="s">
        <v>10457</v>
      </c>
      <c r="S2116" s="4" t="b">
        <f>ISNUMBER(MATCH(Q2116,T:T,0))</f>
        <v>1</v>
      </c>
      <c r="T2116" s="4" t="s">
        <v>12021</v>
      </c>
      <c r="U2116" s="4" t="str">
        <f t="shared" si="97"/>
        <v>凍</v>
      </c>
    </row>
    <row r="2117" spans="1:21" ht="28.5">
      <c r="A2117" s="3">
        <v>2115</v>
      </c>
      <c r="B2117" s="3" t="s">
        <v>4209</v>
      </c>
      <c r="C2117" s="3" t="s">
        <v>6009</v>
      </c>
      <c r="D2117" s="3" t="s">
        <v>6001</v>
      </c>
      <c r="E2117" s="3" t="s">
        <v>5991</v>
      </c>
      <c r="F2117" s="3" t="s">
        <v>5992</v>
      </c>
      <c r="G2117" s="3" t="s">
        <v>4210</v>
      </c>
      <c r="H2117" s="3" t="s">
        <v>4261</v>
      </c>
      <c r="I2117" s="3" t="s">
        <v>5995</v>
      </c>
      <c r="J2117" s="8" t="s">
        <v>4262</v>
      </c>
      <c r="L2117" s="3" t="s">
        <v>8697</v>
      </c>
      <c r="M2117" s="3">
        <v>1</v>
      </c>
      <c r="N2117" s="4" t="s">
        <v>4213</v>
      </c>
      <c r="O2117" s="4">
        <v>113</v>
      </c>
      <c r="P2117" s="11" t="s">
        <v>6396</v>
      </c>
      <c r="Q2117" s="11" t="s">
        <v>10456</v>
      </c>
      <c r="S2117" s="4" t="b">
        <f>ISNUMBER(MATCH(Q2117,T:T,0))</f>
        <v>1</v>
      </c>
      <c r="T2117" s="4" t="s">
        <v>4262</v>
      </c>
      <c r="U2117" s="4" t="str">
        <f t="shared" si="97"/>
        <v>仲</v>
      </c>
    </row>
    <row r="2118" spans="1:21" ht="28.5">
      <c r="A2118" s="3">
        <v>2116</v>
      </c>
      <c r="B2118" s="3" t="s">
        <v>4209</v>
      </c>
      <c r="C2118" s="3" t="s">
        <v>6055</v>
      </c>
      <c r="D2118" s="3" t="s">
        <v>6001</v>
      </c>
      <c r="E2118" s="3" t="s">
        <v>5991</v>
      </c>
      <c r="F2118" s="3" t="s">
        <v>5992</v>
      </c>
      <c r="G2118" s="3" t="s">
        <v>4210</v>
      </c>
      <c r="H2118" s="3" t="s">
        <v>4263</v>
      </c>
      <c r="I2118" s="3" t="s">
        <v>5995</v>
      </c>
      <c r="J2118" s="5" t="s">
        <v>4264</v>
      </c>
      <c r="L2118" s="3" t="s">
        <v>4265</v>
      </c>
      <c r="M2118" s="3">
        <v>1</v>
      </c>
      <c r="N2118" s="4" t="s">
        <v>4213</v>
      </c>
      <c r="O2118" s="4">
        <v>113</v>
      </c>
      <c r="P2118" s="11" t="s">
        <v>9992</v>
      </c>
      <c r="Q2118" s="11" t="s">
        <v>10456</v>
      </c>
      <c r="S2118" s="4" t="b">
        <f>ISNUMBER(MATCH(Q2118,T:T,0))</f>
        <v>1</v>
      </c>
      <c r="T2118" s="4" t="s">
        <v>4264</v>
      </c>
      <c r="U2118" s="4" t="str">
        <f t="shared" si="97"/>
        <v>仲</v>
      </c>
    </row>
    <row r="2119" spans="1:21" ht="28.5">
      <c r="A2119" s="3">
        <v>2117</v>
      </c>
      <c r="B2119" s="3" t="s">
        <v>4209</v>
      </c>
      <c r="C2119" s="3" t="s">
        <v>6015</v>
      </c>
      <c r="D2119" s="3" t="s">
        <v>6001</v>
      </c>
      <c r="E2119" s="3" t="s">
        <v>5991</v>
      </c>
      <c r="F2119" s="3" t="s">
        <v>5992</v>
      </c>
      <c r="G2119" s="3" t="s">
        <v>4210</v>
      </c>
      <c r="H2119" s="3" t="s">
        <v>4266</v>
      </c>
      <c r="I2119" s="3" t="s">
        <v>5995</v>
      </c>
      <c r="J2119" s="5" t="s">
        <v>4267</v>
      </c>
      <c r="L2119" s="3" t="s">
        <v>4268</v>
      </c>
      <c r="M2119" s="3">
        <v>1</v>
      </c>
      <c r="N2119" s="4" t="s">
        <v>4213</v>
      </c>
      <c r="O2119" s="4">
        <v>113</v>
      </c>
      <c r="P2119" s="11" t="s">
        <v>9866</v>
      </c>
      <c r="Q2119" s="11" t="s">
        <v>10456</v>
      </c>
      <c r="S2119" s="4" t="b">
        <f>ISNUMBER(MATCH(Q2119,T:T,0))</f>
        <v>1</v>
      </c>
      <c r="T2119" s="4" t="s">
        <v>4267</v>
      </c>
      <c r="U2119" s="4" t="str">
        <f t="shared" si="97"/>
        <v>仲</v>
      </c>
    </row>
    <row r="2120" spans="1:21">
      <c r="A2120" s="3">
        <v>2118</v>
      </c>
      <c r="B2120" s="3" t="s">
        <v>4209</v>
      </c>
      <c r="C2120" s="3" t="s">
        <v>6089</v>
      </c>
      <c r="D2120" s="3" t="s">
        <v>5990</v>
      </c>
      <c r="E2120" s="3" t="s">
        <v>5991</v>
      </c>
      <c r="F2120" s="3" t="s">
        <v>5992</v>
      </c>
      <c r="G2120" s="3" t="s">
        <v>4210</v>
      </c>
      <c r="H2120" s="3" t="s">
        <v>4269</v>
      </c>
      <c r="I2120" s="3" t="s">
        <v>5995</v>
      </c>
      <c r="J2120" s="5" t="s">
        <v>4270</v>
      </c>
      <c r="L2120" s="3" t="s">
        <v>8665</v>
      </c>
      <c r="M2120" s="3">
        <v>2</v>
      </c>
      <c r="N2120" s="4" t="s">
        <v>4213</v>
      </c>
      <c r="O2120" s="4">
        <v>113</v>
      </c>
      <c r="P2120" s="11" t="s">
        <v>9739</v>
      </c>
      <c r="Q2120" s="11" t="s">
        <v>10455</v>
      </c>
      <c r="S2120" s="4" t="b">
        <f>ISNUMBER(MATCH(Q2120,T:T,0))</f>
        <v>1</v>
      </c>
      <c r="T2120" s="4" t="s">
        <v>10925</v>
      </c>
      <c r="U2120" s="4" t="str">
        <f t="shared" si="97"/>
        <v>貢</v>
      </c>
    </row>
    <row r="2121" spans="1:21">
      <c r="A2121" s="3">
        <v>2119</v>
      </c>
      <c r="B2121" s="3" t="s">
        <v>4271</v>
      </c>
      <c r="C2121" s="3" t="s">
        <v>6017</v>
      </c>
      <c r="D2121" s="3" t="s">
        <v>5990</v>
      </c>
      <c r="E2121" s="3" t="s">
        <v>5991</v>
      </c>
      <c r="F2121" s="3" t="s">
        <v>6098</v>
      </c>
      <c r="G2121" s="3" t="s">
        <v>4210</v>
      </c>
      <c r="H2121" s="3" t="s">
        <v>4272</v>
      </c>
      <c r="I2121" s="3" t="s">
        <v>5995</v>
      </c>
      <c r="J2121" s="5" t="s">
        <v>4273</v>
      </c>
      <c r="L2121" s="3" t="s">
        <v>4212</v>
      </c>
      <c r="M2121" s="3">
        <v>1</v>
      </c>
      <c r="N2121" s="4" t="s">
        <v>4273</v>
      </c>
      <c r="O2121" s="4">
        <v>114</v>
      </c>
      <c r="P2121" s="11" t="s">
        <v>9741</v>
      </c>
      <c r="Q2121" s="11" t="s">
        <v>10458</v>
      </c>
      <c r="S2121" s="4" t="b">
        <f>ISNUMBER(MATCH(Q2121,T:T,0))</f>
        <v>1</v>
      </c>
      <c r="T2121" s="4" t="s">
        <v>4273</v>
      </c>
      <c r="U2121" s="4" t="str">
        <f t="shared" si="97"/>
        <v>統</v>
      </c>
    </row>
    <row r="2122" spans="1:21">
      <c r="A2122" s="3">
        <v>2120</v>
      </c>
      <c r="B2122" s="3" t="s">
        <v>4271</v>
      </c>
      <c r="C2122" s="3" t="s">
        <v>6083</v>
      </c>
      <c r="D2122" s="3" t="s">
        <v>5990</v>
      </c>
      <c r="E2122" s="3" t="s">
        <v>5991</v>
      </c>
      <c r="F2122" s="3" t="s">
        <v>6098</v>
      </c>
      <c r="G2122" s="3" t="s">
        <v>4210</v>
      </c>
      <c r="H2122" s="3" t="s">
        <v>4274</v>
      </c>
      <c r="I2122" s="3" t="s">
        <v>5995</v>
      </c>
      <c r="J2122" s="5" t="s">
        <v>4275</v>
      </c>
      <c r="L2122" s="3" t="s">
        <v>4228</v>
      </c>
      <c r="M2122" s="3">
        <v>3</v>
      </c>
      <c r="N2122" s="4" t="s">
        <v>4273</v>
      </c>
      <c r="O2122" s="4">
        <v>114</v>
      </c>
      <c r="P2122" s="11" t="s">
        <v>9737</v>
      </c>
      <c r="Q2122" s="11" t="s">
        <v>4273</v>
      </c>
      <c r="S2122" s="4" t="b">
        <f>ISNUMBER(MATCH(Q2122,T:T,0))</f>
        <v>1</v>
      </c>
      <c r="T2122" s="4" t="s">
        <v>10459</v>
      </c>
      <c r="U2122" s="4" t="str">
        <f t="shared" si="97"/>
        <v>宋</v>
      </c>
    </row>
    <row r="2123" spans="1:21">
      <c r="A2123" s="3">
        <v>2121</v>
      </c>
      <c r="B2123" s="3" t="s">
        <v>4271</v>
      </c>
      <c r="C2123" s="3" t="s">
        <v>6079</v>
      </c>
      <c r="D2123" s="3" t="s">
        <v>5990</v>
      </c>
      <c r="E2123" s="3" t="s">
        <v>5991</v>
      </c>
      <c r="F2123" s="3" t="s">
        <v>6098</v>
      </c>
      <c r="G2123" s="3" t="s">
        <v>4210</v>
      </c>
      <c r="H2123" s="3" t="s">
        <v>4276</v>
      </c>
      <c r="I2123" s="3" t="s">
        <v>5995</v>
      </c>
      <c r="J2123" s="5" t="s">
        <v>4277</v>
      </c>
      <c r="L2123" s="3" t="s">
        <v>4237</v>
      </c>
      <c r="M2123" s="3">
        <v>2</v>
      </c>
      <c r="N2123" s="4" t="s">
        <v>4273</v>
      </c>
      <c r="O2123" s="4">
        <v>114</v>
      </c>
      <c r="P2123" s="11" t="s">
        <v>9736</v>
      </c>
      <c r="Q2123" s="11" t="s">
        <v>10459</v>
      </c>
      <c r="S2123" s="4" t="b">
        <f>ISNUMBER(MATCH(Q2123,T:T,0))</f>
        <v>1</v>
      </c>
      <c r="T2123" s="4" t="s">
        <v>10458</v>
      </c>
      <c r="U2123" s="4" t="str">
        <f t="shared" si="97"/>
        <v>綜</v>
      </c>
    </row>
    <row r="2124" spans="1:21">
      <c r="A2124" s="3">
        <v>2122</v>
      </c>
      <c r="B2124" s="3" t="s">
        <v>4271</v>
      </c>
      <c r="C2124" s="3" t="s">
        <v>6035</v>
      </c>
      <c r="D2124" s="3" t="s">
        <v>5990</v>
      </c>
      <c r="E2124" s="3" t="s">
        <v>5991</v>
      </c>
      <c r="F2124" s="3" t="s">
        <v>6098</v>
      </c>
      <c r="G2124" s="3" t="s">
        <v>4210</v>
      </c>
      <c r="H2124" s="3" t="s">
        <v>4278</v>
      </c>
      <c r="I2124" s="3" t="s">
        <v>5995</v>
      </c>
      <c r="J2124" s="5" t="s">
        <v>4279</v>
      </c>
      <c r="L2124" s="3" t="s">
        <v>4245</v>
      </c>
      <c r="M2124" s="3">
        <v>1</v>
      </c>
      <c r="N2124" s="4" t="s">
        <v>4273</v>
      </c>
      <c r="O2124" s="4">
        <v>114</v>
      </c>
      <c r="P2124" s="11" t="s">
        <v>9719</v>
      </c>
      <c r="Q2124" s="11" t="s">
        <v>10459</v>
      </c>
      <c r="S2124" s="4" t="b">
        <f>ISNUMBER(MATCH(Q2124,T:T,0))</f>
        <v>1</v>
      </c>
      <c r="T2124" s="4" t="s">
        <v>4279</v>
      </c>
      <c r="U2124" s="4" t="str">
        <f t="shared" si="97"/>
        <v>綜</v>
      </c>
    </row>
    <row r="2125" spans="1:21">
      <c r="A2125" s="3">
        <v>2123</v>
      </c>
      <c r="B2125" s="3" t="s">
        <v>4271</v>
      </c>
      <c r="C2125" s="3" t="s">
        <v>6067</v>
      </c>
      <c r="D2125" s="3" t="s">
        <v>5990</v>
      </c>
      <c r="E2125" s="3" t="s">
        <v>5991</v>
      </c>
      <c r="F2125" s="3" t="s">
        <v>6098</v>
      </c>
      <c r="G2125" s="3" t="s">
        <v>4210</v>
      </c>
      <c r="H2125" s="3" t="s">
        <v>4280</v>
      </c>
      <c r="I2125" s="3" t="s">
        <v>5995</v>
      </c>
      <c r="J2125" s="5" t="s">
        <v>4281</v>
      </c>
      <c r="L2125" s="3" t="s">
        <v>8665</v>
      </c>
      <c r="M2125" s="3">
        <v>2</v>
      </c>
      <c r="N2125" s="4" t="s">
        <v>4273</v>
      </c>
      <c r="O2125" s="4">
        <v>114</v>
      </c>
      <c r="P2125" s="11" t="s">
        <v>9874</v>
      </c>
      <c r="Q2125" s="11" t="s">
        <v>4273</v>
      </c>
      <c r="S2125" s="4" t="b">
        <f>ISNUMBER(MATCH(Q2125,T:T,0))</f>
        <v>1</v>
      </c>
      <c r="T2125" s="4" t="s">
        <v>10931</v>
      </c>
      <c r="U2125" s="4" t="str">
        <f t="shared" si="97"/>
        <v>宋</v>
      </c>
    </row>
    <row r="2126" spans="1:21">
      <c r="A2126" s="3">
        <v>2124</v>
      </c>
      <c r="B2126" s="3" t="s">
        <v>4282</v>
      </c>
      <c r="C2126" s="3" t="s">
        <v>6028</v>
      </c>
      <c r="D2126" s="3" t="s">
        <v>6001</v>
      </c>
      <c r="E2126" s="3" t="s">
        <v>5991</v>
      </c>
      <c r="F2126" s="3" t="s">
        <v>6117</v>
      </c>
      <c r="G2126" s="3" t="s">
        <v>4210</v>
      </c>
      <c r="H2126" s="3" t="s">
        <v>4283</v>
      </c>
      <c r="I2126" s="3" t="s">
        <v>5995</v>
      </c>
      <c r="J2126" s="5" t="s">
        <v>4284</v>
      </c>
      <c r="L2126" s="3" t="s">
        <v>4285</v>
      </c>
      <c r="M2126" s="3">
        <v>1</v>
      </c>
      <c r="N2126" s="4" t="s">
        <v>4284</v>
      </c>
      <c r="O2126" s="4">
        <v>115</v>
      </c>
      <c r="P2126" s="11" t="s">
        <v>9850</v>
      </c>
      <c r="Q2126" s="11" t="s">
        <v>10460</v>
      </c>
      <c r="S2126" s="4" t="b">
        <f>ISNUMBER(MATCH(Q2126,T:T,0))</f>
        <v>1</v>
      </c>
      <c r="T2126" s="4" t="s">
        <v>4284</v>
      </c>
      <c r="U2126" s="4" t="str">
        <f t="shared" si="97"/>
        <v>頌</v>
      </c>
    </row>
    <row r="2127" spans="1:21">
      <c r="A2127" s="3">
        <v>2125</v>
      </c>
      <c r="B2127" s="3" t="s">
        <v>4282</v>
      </c>
      <c r="C2127" s="3" t="s">
        <v>6123</v>
      </c>
      <c r="D2127" s="3" t="s">
        <v>6001</v>
      </c>
      <c r="E2127" s="3" t="s">
        <v>5991</v>
      </c>
      <c r="F2127" s="3" t="s">
        <v>6117</v>
      </c>
      <c r="G2127" s="3" t="s">
        <v>4210</v>
      </c>
      <c r="H2127" s="3" t="s">
        <v>4286</v>
      </c>
      <c r="I2127" s="3" t="s">
        <v>5995</v>
      </c>
      <c r="J2127" s="5" t="s">
        <v>9105</v>
      </c>
      <c r="L2127" s="3" t="s">
        <v>4212</v>
      </c>
      <c r="M2127" s="3">
        <v>4</v>
      </c>
      <c r="N2127" s="4" t="s">
        <v>4284</v>
      </c>
      <c r="O2127" s="4">
        <v>115</v>
      </c>
      <c r="P2127" s="11" t="s">
        <v>9833</v>
      </c>
      <c r="Q2127" s="11" t="s">
        <v>4284</v>
      </c>
      <c r="S2127" s="4" t="b">
        <f>ISNUMBER(MATCH(Q2127,T:T,0))</f>
        <v>1</v>
      </c>
      <c r="T2127" s="4" t="s">
        <v>10460</v>
      </c>
      <c r="U2127" s="4" t="str">
        <f t="shared" si="97"/>
        <v>用</v>
      </c>
    </row>
    <row r="2128" spans="1:21">
      <c r="A2128" s="3">
        <v>2126</v>
      </c>
      <c r="B2128" s="3" t="s">
        <v>4282</v>
      </c>
      <c r="C2128" s="3" t="s">
        <v>6045</v>
      </c>
      <c r="D2128" s="3" t="s">
        <v>6001</v>
      </c>
      <c r="E2128" s="3" t="s">
        <v>5991</v>
      </c>
      <c r="F2128" s="3" t="s">
        <v>6117</v>
      </c>
      <c r="G2128" s="3" t="s">
        <v>4210</v>
      </c>
      <c r="H2128" s="3" t="s">
        <v>4287</v>
      </c>
      <c r="I2128" s="3" t="s">
        <v>5995</v>
      </c>
      <c r="J2128" s="5" t="s">
        <v>4288</v>
      </c>
      <c r="L2128" s="3" t="s">
        <v>8702</v>
      </c>
      <c r="M2128" s="3">
        <v>4</v>
      </c>
      <c r="N2128" s="4" t="s">
        <v>4284</v>
      </c>
      <c r="O2128" s="4">
        <v>115</v>
      </c>
      <c r="P2128" s="11" t="s">
        <v>9926</v>
      </c>
      <c r="Q2128" s="11" t="s">
        <v>4284</v>
      </c>
      <c r="S2128" s="4" t="b">
        <f>ISNUMBER(MATCH(Q2128,T:T,0))</f>
        <v>1</v>
      </c>
      <c r="T2128" s="4" t="s">
        <v>12022</v>
      </c>
      <c r="U2128" s="4" t="str">
        <f t="shared" si="97"/>
        <v>用</v>
      </c>
    </row>
    <row r="2129" spans="1:22" ht="28.5">
      <c r="A2129" s="3">
        <v>2127</v>
      </c>
      <c r="B2129" s="3" t="s">
        <v>4282</v>
      </c>
      <c r="C2129" s="3" t="s">
        <v>6041</v>
      </c>
      <c r="D2129" s="3" t="s">
        <v>6001</v>
      </c>
      <c r="E2129" s="3" t="s">
        <v>5991</v>
      </c>
      <c r="F2129" s="3" t="s">
        <v>6117</v>
      </c>
      <c r="G2129" s="3" t="s">
        <v>4210</v>
      </c>
      <c r="H2129" s="3" t="s">
        <v>4289</v>
      </c>
      <c r="I2129" s="3" t="s">
        <v>5995</v>
      </c>
      <c r="J2129" s="5" t="s">
        <v>4290</v>
      </c>
      <c r="L2129" s="3" t="s">
        <v>8725</v>
      </c>
      <c r="M2129" s="3">
        <v>1</v>
      </c>
      <c r="N2129" s="4" t="s">
        <v>4284</v>
      </c>
      <c r="O2129" s="4">
        <v>115</v>
      </c>
      <c r="P2129" s="11" t="s">
        <v>9721</v>
      </c>
      <c r="Q2129" s="11" t="s">
        <v>4284</v>
      </c>
      <c r="S2129" s="4" t="b">
        <f>ISNUMBER(MATCH(Q2129,T:T,0))</f>
        <v>1</v>
      </c>
      <c r="T2129" s="4" t="s">
        <v>4290</v>
      </c>
      <c r="U2129" s="4" t="str">
        <f t="shared" si="97"/>
        <v>用</v>
      </c>
    </row>
    <row r="2130" spans="1:22">
      <c r="A2130" s="3">
        <v>2128</v>
      </c>
      <c r="B2130" s="3" t="s">
        <v>4282</v>
      </c>
      <c r="C2130" s="3" t="s">
        <v>6049</v>
      </c>
      <c r="D2130" s="3" t="s">
        <v>6001</v>
      </c>
      <c r="E2130" s="3" t="s">
        <v>5991</v>
      </c>
      <c r="F2130" s="3" t="s">
        <v>6117</v>
      </c>
      <c r="G2130" s="3" t="s">
        <v>4210</v>
      </c>
      <c r="H2130" s="3" t="s">
        <v>4291</v>
      </c>
      <c r="I2130" s="3" t="s">
        <v>5995</v>
      </c>
      <c r="J2130" s="5" t="s">
        <v>4292</v>
      </c>
      <c r="L2130" s="3" t="s">
        <v>8702</v>
      </c>
      <c r="M2130" s="3">
        <v>2</v>
      </c>
      <c r="N2130" s="4" t="s">
        <v>4284</v>
      </c>
      <c r="O2130" s="4">
        <v>115</v>
      </c>
      <c r="P2130" s="11" t="s">
        <v>9723</v>
      </c>
      <c r="Q2130" s="11" t="s">
        <v>4284</v>
      </c>
      <c r="S2130" s="4" t="b">
        <f>ISNUMBER(MATCH(Q2130,T:T,0))</f>
        <v>1</v>
      </c>
      <c r="T2130" s="4" t="s">
        <v>12023</v>
      </c>
      <c r="U2130" s="4" t="str">
        <f t="shared" si="97"/>
        <v>用</v>
      </c>
    </row>
    <row r="2131" spans="1:22" ht="28.5">
      <c r="A2131" s="3">
        <v>2129</v>
      </c>
      <c r="B2131" s="3" t="s">
        <v>4282</v>
      </c>
      <c r="C2131" s="3" t="s">
        <v>6025</v>
      </c>
      <c r="D2131" s="3" t="s">
        <v>6001</v>
      </c>
      <c r="E2131" s="3" t="s">
        <v>5991</v>
      </c>
      <c r="F2131" s="3" t="s">
        <v>6117</v>
      </c>
      <c r="G2131" s="3" t="s">
        <v>4210</v>
      </c>
      <c r="H2131" s="3" t="s">
        <v>4293</v>
      </c>
      <c r="I2131" s="3" t="s">
        <v>5995</v>
      </c>
      <c r="J2131" s="5" t="s">
        <v>9106</v>
      </c>
      <c r="L2131" s="3" t="s">
        <v>8725</v>
      </c>
      <c r="M2131" s="3">
        <v>2</v>
      </c>
      <c r="N2131" s="4" t="s">
        <v>4284</v>
      </c>
      <c r="O2131" s="4">
        <v>115</v>
      </c>
      <c r="P2131" s="11" t="s">
        <v>9717</v>
      </c>
      <c r="Q2131" s="11" t="s">
        <v>4284</v>
      </c>
      <c r="S2131" s="4" t="b">
        <f>ISNUMBER(MATCH(Q2131,T:T,0))</f>
        <v>1</v>
      </c>
      <c r="T2131" s="4" t="s">
        <v>12024</v>
      </c>
      <c r="U2131" s="4" t="str">
        <f t="shared" si="97"/>
        <v>用</v>
      </c>
    </row>
    <row r="2132" spans="1:22">
      <c r="A2132" s="3">
        <v>2130</v>
      </c>
      <c r="B2132" s="3" t="s">
        <v>4282</v>
      </c>
      <c r="C2132" s="3" t="s">
        <v>6072</v>
      </c>
      <c r="D2132" s="3" t="s">
        <v>6001</v>
      </c>
      <c r="E2132" s="3" t="s">
        <v>5991</v>
      </c>
      <c r="F2132" s="3" t="s">
        <v>6117</v>
      </c>
      <c r="G2132" s="3" t="s">
        <v>4210</v>
      </c>
      <c r="H2132" s="3" t="s">
        <v>4294</v>
      </c>
      <c r="I2132" s="3" t="s">
        <v>5995</v>
      </c>
      <c r="J2132" s="5" t="s">
        <v>4295</v>
      </c>
      <c r="L2132" s="3" t="s">
        <v>4285</v>
      </c>
      <c r="M2132" s="3">
        <v>3</v>
      </c>
      <c r="N2132" s="4" t="s">
        <v>4284</v>
      </c>
      <c r="O2132" s="4">
        <v>115</v>
      </c>
      <c r="P2132" s="11" t="s">
        <v>9754</v>
      </c>
      <c r="Q2132" s="11" t="s">
        <v>4284</v>
      </c>
      <c r="S2132" s="4" t="b">
        <f>ISNUMBER(MATCH(Q2132,T:T,0))</f>
        <v>1</v>
      </c>
      <c r="T2132" s="4" t="s">
        <v>12025</v>
      </c>
      <c r="U2132" s="4" t="str">
        <f t="shared" si="97"/>
        <v>用</v>
      </c>
    </row>
    <row r="2133" spans="1:22" ht="28.5">
      <c r="A2133" s="3">
        <v>2131</v>
      </c>
      <c r="B2133" s="3" t="s">
        <v>4282</v>
      </c>
      <c r="C2133" s="3" t="s">
        <v>6000</v>
      </c>
      <c r="D2133" s="3" t="s">
        <v>6001</v>
      </c>
      <c r="E2133" s="3" t="s">
        <v>5991</v>
      </c>
      <c r="F2133" s="3" t="s">
        <v>6117</v>
      </c>
      <c r="G2133" s="3" t="s">
        <v>4210</v>
      </c>
      <c r="H2133" s="3" t="s">
        <v>4296</v>
      </c>
      <c r="I2133" s="3" t="s">
        <v>5995</v>
      </c>
      <c r="J2133" s="5" t="s">
        <v>9107</v>
      </c>
      <c r="L2133" s="3" t="s">
        <v>8697</v>
      </c>
      <c r="M2133" s="3">
        <v>3</v>
      </c>
      <c r="N2133" s="4" t="s">
        <v>4284</v>
      </c>
      <c r="O2133" s="4">
        <v>115</v>
      </c>
      <c r="P2133" s="11" t="s">
        <v>9803</v>
      </c>
      <c r="Q2133" s="11" t="s">
        <v>4284</v>
      </c>
      <c r="S2133" s="4" t="b">
        <f>ISNUMBER(MATCH(Q2133,T:T,0))</f>
        <v>1</v>
      </c>
      <c r="T2133" s="4" t="s">
        <v>8720</v>
      </c>
      <c r="U2133" s="4" t="str">
        <f t="shared" si="97"/>
        <v>用</v>
      </c>
    </row>
    <row r="2134" spans="1:22">
      <c r="A2134" s="3">
        <v>2132</v>
      </c>
      <c r="B2134" s="3" t="s">
        <v>4282</v>
      </c>
      <c r="C2134" s="3" t="s">
        <v>6083</v>
      </c>
      <c r="D2134" s="3" t="s">
        <v>6001</v>
      </c>
      <c r="E2134" s="3" t="s">
        <v>5991</v>
      </c>
      <c r="F2134" s="3" t="s">
        <v>6117</v>
      </c>
      <c r="G2134" s="3" t="s">
        <v>4210</v>
      </c>
      <c r="H2134" s="3" t="s">
        <v>4297</v>
      </c>
      <c r="I2134" s="3" t="s">
        <v>5995</v>
      </c>
      <c r="J2134" s="5" t="s">
        <v>4298</v>
      </c>
      <c r="L2134" s="3" t="s">
        <v>4228</v>
      </c>
      <c r="M2134" s="3">
        <v>2</v>
      </c>
      <c r="N2134" s="4" t="s">
        <v>4284</v>
      </c>
      <c r="O2134" s="4">
        <v>115</v>
      </c>
      <c r="P2134" s="11" t="s">
        <v>9737</v>
      </c>
      <c r="Q2134" s="11" t="s">
        <v>4284</v>
      </c>
      <c r="S2134" s="4" t="b">
        <f>ISNUMBER(MATCH(Q2134,T:T,0))</f>
        <v>1</v>
      </c>
      <c r="T2134" s="4" t="s">
        <v>10945</v>
      </c>
      <c r="U2134" s="4" t="str">
        <f t="shared" si="97"/>
        <v>用</v>
      </c>
    </row>
    <row r="2135" spans="1:22" ht="28.5">
      <c r="A2135" s="3">
        <v>2133</v>
      </c>
      <c r="B2135" s="3" t="s">
        <v>4282</v>
      </c>
      <c r="C2135" s="3" t="s">
        <v>6011</v>
      </c>
      <c r="D2135" s="3" t="s">
        <v>6001</v>
      </c>
      <c r="E2135" s="3" t="s">
        <v>5991</v>
      </c>
      <c r="F2135" s="3" t="s">
        <v>6117</v>
      </c>
      <c r="G2135" s="3" t="s">
        <v>4210</v>
      </c>
      <c r="H2135" s="3" t="s">
        <v>4299</v>
      </c>
      <c r="I2135" s="3" t="s">
        <v>5995</v>
      </c>
      <c r="J2135" s="8" t="s">
        <v>9108</v>
      </c>
      <c r="L2135" s="3" t="s">
        <v>4265</v>
      </c>
      <c r="M2135" s="3">
        <v>2</v>
      </c>
      <c r="N2135" s="4" t="s">
        <v>4284</v>
      </c>
      <c r="O2135" s="4">
        <v>115</v>
      </c>
      <c r="P2135" s="11" t="s">
        <v>9757</v>
      </c>
      <c r="Q2135" s="11" t="s">
        <v>4284</v>
      </c>
      <c r="S2135" s="4" t="b">
        <f>ISNUMBER(MATCH(Q2135,T:T,0))</f>
        <v>1</v>
      </c>
      <c r="T2135" s="4" t="s">
        <v>10943</v>
      </c>
      <c r="U2135" s="4" t="str">
        <f t="shared" si="97"/>
        <v>用</v>
      </c>
    </row>
    <row r="2136" spans="1:22">
      <c r="A2136" s="3">
        <v>2134</v>
      </c>
      <c r="B2136" s="3" t="s">
        <v>4282</v>
      </c>
      <c r="C2136" s="3" t="s">
        <v>6021</v>
      </c>
      <c r="D2136" s="3" t="s">
        <v>6001</v>
      </c>
      <c r="E2136" s="3" t="s">
        <v>5991</v>
      </c>
      <c r="F2136" s="3" t="s">
        <v>6117</v>
      </c>
      <c r="G2136" s="3" t="s">
        <v>4210</v>
      </c>
      <c r="H2136" s="3" t="s">
        <v>4300</v>
      </c>
      <c r="I2136" s="3" t="s">
        <v>5995</v>
      </c>
      <c r="J2136" s="5" t="s">
        <v>4301</v>
      </c>
      <c r="L2136" s="3" t="s">
        <v>4302</v>
      </c>
      <c r="M2136" s="3">
        <v>3</v>
      </c>
      <c r="N2136" s="4" t="s">
        <v>4284</v>
      </c>
      <c r="O2136" s="4">
        <v>115</v>
      </c>
      <c r="P2136" s="11" t="s">
        <v>9761</v>
      </c>
      <c r="Q2136" s="11" t="s">
        <v>4284</v>
      </c>
      <c r="S2136" s="4" t="b">
        <f>ISNUMBER(MATCH(Q2136,T:T,0))</f>
        <v>1</v>
      </c>
      <c r="T2136" s="4" t="s">
        <v>12026</v>
      </c>
      <c r="U2136" s="4" t="str">
        <f t="shared" si="97"/>
        <v>用</v>
      </c>
    </row>
    <row r="2137" spans="1:22" ht="28.5">
      <c r="A2137" s="3">
        <v>2135</v>
      </c>
      <c r="B2137" s="3" t="s">
        <v>4282</v>
      </c>
      <c r="C2137" s="3" t="s">
        <v>6009</v>
      </c>
      <c r="D2137" s="3" t="s">
        <v>6001</v>
      </c>
      <c r="E2137" s="3" t="s">
        <v>5991</v>
      </c>
      <c r="F2137" s="3" t="s">
        <v>6117</v>
      </c>
      <c r="G2137" s="3" t="s">
        <v>4210</v>
      </c>
      <c r="H2137" s="3" t="s">
        <v>4303</v>
      </c>
      <c r="I2137" s="3" t="s">
        <v>5995</v>
      </c>
      <c r="J2137" s="5" t="s">
        <v>4304</v>
      </c>
      <c r="L2137" s="3" t="s">
        <v>8697</v>
      </c>
      <c r="M2137" s="3">
        <v>3</v>
      </c>
      <c r="N2137" s="4" t="s">
        <v>4284</v>
      </c>
      <c r="O2137" s="4">
        <v>115</v>
      </c>
      <c r="P2137" s="11" t="s">
        <v>6396</v>
      </c>
      <c r="Q2137" s="11" t="s">
        <v>4284</v>
      </c>
      <c r="S2137" s="4" t="b">
        <f>ISNUMBER(MATCH(Q2137,T:T,0))</f>
        <v>1</v>
      </c>
      <c r="T2137" s="4" t="s">
        <v>12027</v>
      </c>
      <c r="U2137" s="4" t="str">
        <f t="shared" si="97"/>
        <v>用</v>
      </c>
    </row>
    <row r="2138" spans="1:22" ht="28.5">
      <c r="A2138" s="3">
        <v>2136</v>
      </c>
      <c r="B2138" s="3" t="s">
        <v>4282</v>
      </c>
      <c r="C2138" s="3" t="s">
        <v>6005</v>
      </c>
      <c r="D2138" s="3" t="s">
        <v>6001</v>
      </c>
      <c r="E2138" s="3" t="s">
        <v>5991</v>
      </c>
      <c r="F2138" s="3" t="s">
        <v>6117</v>
      </c>
      <c r="G2138" s="3" t="s">
        <v>4210</v>
      </c>
      <c r="H2138" s="3" t="s">
        <v>4305</v>
      </c>
      <c r="I2138" s="3" t="s">
        <v>5995</v>
      </c>
      <c r="J2138" s="5" t="s">
        <v>4306</v>
      </c>
      <c r="L2138" s="3" t="s">
        <v>8697</v>
      </c>
      <c r="M2138" s="3">
        <v>3</v>
      </c>
      <c r="N2138" s="4" t="s">
        <v>4284</v>
      </c>
      <c r="O2138" s="4">
        <v>115</v>
      </c>
      <c r="P2138" s="11" t="s">
        <v>9912</v>
      </c>
      <c r="Q2138" s="11" t="s">
        <v>4284</v>
      </c>
      <c r="S2138" s="4" t="b">
        <f>ISNUMBER(MATCH(Q2138,T:T,0))</f>
        <v>1</v>
      </c>
      <c r="T2138" s="4" t="s">
        <v>10942</v>
      </c>
      <c r="U2138" s="4" t="str">
        <f t="shared" si="97"/>
        <v>用</v>
      </c>
    </row>
    <row r="2139" spans="1:22">
      <c r="A2139" s="3">
        <v>2137</v>
      </c>
      <c r="B2139" s="3" t="s">
        <v>4282</v>
      </c>
      <c r="C2139" s="3" t="s">
        <v>6058</v>
      </c>
      <c r="D2139" s="3" t="s">
        <v>6001</v>
      </c>
      <c r="E2139" s="3" t="s">
        <v>5991</v>
      </c>
      <c r="F2139" s="3" t="s">
        <v>6117</v>
      </c>
      <c r="G2139" s="3" t="s">
        <v>4210</v>
      </c>
      <c r="H2139" s="3" t="s">
        <v>4307</v>
      </c>
      <c r="I2139" s="3" t="s">
        <v>5995</v>
      </c>
      <c r="J2139" s="8" t="s">
        <v>9109</v>
      </c>
      <c r="L2139" s="3" t="s">
        <v>4221</v>
      </c>
      <c r="M2139" s="3">
        <v>3</v>
      </c>
      <c r="N2139" s="4" t="s">
        <v>4284</v>
      </c>
      <c r="O2139" s="4">
        <v>115</v>
      </c>
      <c r="P2139" s="11" t="s">
        <v>10084</v>
      </c>
      <c r="Q2139" s="11" t="s">
        <v>4284</v>
      </c>
      <c r="S2139" s="4" t="b">
        <f>ISNUMBER(MATCH(Q2139,T:T,0))</f>
        <v>1</v>
      </c>
      <c r="T2139" s="4" t="s">
        <v>12028</v>
      </c>
      <c r="U2139" s="4" t="str">
        <f t="shared" si="97"/>
        <v>用</v>
      </c>
    </row>
    <row r="2140" spans="1:22" ht="28.5">
      <c r="A2140" s="3">
        <v>2138</v>
      </c>
      <c r="B2140" s="3" t="s">
        <v>4282</v>
      </c>
      <c r="C2140" s="3" t="s">
        <v>6038</v>
      </c>
      <c r="D2140" s="3" t="s">
        <v>6001</v>
      </c>
      <c r="E2140" s="3" t="s">
        <v>5991</v>
      </c>
      <c r="F2140" s="3" t="s">
        <v>6117</v>
      </c>
      <c r="G2140" s="3" t="s">
        <v>4210</v>
      </c>
      <c r="H2140" s="3" t="s">
        <v>4308</v>
      </c>
      <c r="I2140" s="3" t="s">
        <v>5995</v>
      </c>
      <c r="J2140" s="5" t="s">
        <v>8708</v>
      </c>
      <c r="L2140" s="3" t="s">
        <v>4242</v>
      </c>
      <c r="M2140" s="3">
        <v>3</v>
      </c>
      <c r="N2140" s="4" t="s">
        <v>4284</v>
      </c>
      <c r="O2140" s="4">
        <v>115</v>
      </c>
      <c r="P2140" s="11" t="s">
        <v>10461</v>
      </c>
      <c r="Q2140" s="11" t="s">
        <v>4284</v>
      </c>
      <c r="S2140" s="4" t="b">
        <f>ISNUMBER(MATCH(Q2140,T:T,0))</f>
        <v>1</v>
      </c>
      <c r="T2140" s="4" t="s">
        <v>11556</v>
      </c>
      <c r="U2140" s="4" t="str">
        <f t="shared" si="97"/>
        <v>用</v>
      </c>
    </row>
    <row r="2141" spans="1:22">
      <c r="A2141" s="3">
        <v>2139</v>
      </c>
      <c r="B2141" s="3" t="s">
        <v>4282</v>
      </c>
      <c r="C2141" s="3" t="s">
        <v>6069</v>
      </c>
      <c r="D2141" s="3" t="s">
        <v>6001</v>
      </c>
      <c r="E2141" s="3" t="s">
        <v>5991</v>
      </c>
      <c r="F2141" s="3" t="s">
        <v>6117</v>
      </c>
      <c r="G2141" s="3" t="s">
        <v>4210</v>
      </c>
      <c r="H2141" s="3" t="s">
        <v>4309</v>
      </c>
      <c r="I2141" s="3" t="s">
        <v>5995</v>
      </c>
      <c r="J2141" s="5" t="s">
        <v>6069</v>
      </c>
      <c r="L2141" s="3" t="s">
        <v>4228</v>
      </c>
      <c r="M2141" s="3">
        <v>1</v>
      </c>
      <c r="N2141" s="4" t="s">
        <v>4284</v>
      </c>
      <c r="O2141" s="4">
        <v>115</v>
      </c>
      <c r="P2141" s="11" t="s">
        <v>9756</v>
      </c>
      <c r="Q2141" s="11" t="s">
        <v>4284</v>
      </c>
      <c r="S2141" s="4" t="b">
        <f>ISNUMBER(MATCH(Q2141,T:T,0))</f>
        <v>1</v>
      </c>
      <c r="T2141" s="4" t="s">
        <v>6069</v>
      </c>
      <c r="U2141" s="4" t="str">
        <f t="shared" si="97"/>
        <v>用</v>
      </c>
    </row>
    <row r="2142" spans="1:22">
      <c r="A2142" s="3">
        <v>2140</v>
      </c>
      <c r="B2142" s="3" t="s">
        <v>4282</v>
      </c>
      <c r="C2142" s="3" t="s">
        <v>6137</v>
      </c>
      <c r="D2142" s="3" t="s">
        <v>6001</v>
      </c>
      <c r="E2142" s="3" t="s">
        <v>5991</v>
      </c>
      <c r="F2142" s="3" t="s">
        <v>6117</v>
      </c>
      <c r="G2142" s="3" t="s">
        <v>4210</v>
      </c>
      <c r="H2142" s="3" t="s">
        <v>4310</v>
      </c>
      <c r="I2142" s="3" t="s">
        <v>5995</v>
      </c>
      <c r="J2142" s="5" t="s">
        <v>4311</v>
      </c>
      <c r="L2142" s="3" t="s">
        <v>4260</v>
      </c>
      <c r="M2142" s="3">
        <v>1</v>
      </c>
      <c r="N2142" s="4" t="s">
        <v>4284</v>
      </c>
      <c r="O2142" s="4">
        <v>115</v>
      </c>
      <c r="P2142" s="11" t="s">
        <v>10462</v>
      </c>
      <c r="Q2142" s="11" t="s">
        <v>4284</v>
      </c>
      <c r="S2142" s="4" t="b">
        <f>ISNUMBER(MATCH(Q2142,T:T,0))</f>
        <v>1</v>
      </c>
      <c r="T2142" s="4" t="s">
        <v>4311</v>
      </c>
      <c r="U2142" s="4" t="str">
        <f t="shared" si="97"/>
        <v>用</v>
      </c>
    </row>
    <row r="2143" spans="1:22" ht="28.5">
      <c r="A2143" s="3">
        <v>2141</v>
      </c>
      <c r="B2143" s="3" t="s">
        <v>4312</v>
      </c>
      <c r="C2143" s="3" t="s">
        <v>6025</v>
      </c>
      <c r="D2143" s="3" t="s">
        <v>6157</v>
      </c>
      <c r="E2143" s="3" t="s">
        <v>5991</v>
      </c>
      <c r="F2143" s="3" t="s">
        <v>6158</v>
      </c>
      <c r="G2143" s="3" t="s">
        <v>4210</v>
      </c>
      <c r="H2143" s="3" t="s">
        <v>4313</v>
      </c>
      <c r="I2143" s="3" t="s">
        <v>6158</v>
      </c>
      <c r="J2143" s="5" t="s">
        <v>4314</v>
      </c>
      <c r="L2143" s="3" t="s">
        <v>7280</v>
      </c>
      <c r="M2143" s="3">
        <v>5</v>
      </c>
      <c r="N2143" s="4" t="s">
        <v>4315</v>
      </c>
      <c r="O2143" s="4">
        <v>116</v>
      </c>
      <c r="P2143" s="11" t="s">
        <v>9729</v>
      </c>
      <c r="Q2143" s="11" t="s">
        <v>10463</v>
      </c>
      <c r="S2143" s="4" t="b">
        <f>ISNUMBER(MATCH(Q2143,T:T,0))</f>
        <v>1</v>
      </c>
      <c r="T2143" s="4" t="s">
        <v>10464</v>
      </c>
      <c r="U2143" s="4" t="str">
        <f t="shared" si="97"/>
        <v>巷</v>
      </c>
    </row>
    <row r="2144" spans="1:22" ht="28.5">
      <c r="A2144" s="3">
        <v>2142</v>
      </c>
      <c r="B2144" s="3" t="s">
        <v>4312</v>
      </c>
      <c r="C2144" s="3" t="s">
        <v>6067</v>
      </c>
      <c r="D2144" s="3" t="s">
        <v>6157</v>
      </c>
      <c r="E2144" s="3" t="s">
        <v>5991</v>
      </c>
      <c r="F2144" s="3" t="s">
        <v>6158</v>
      </c>
      <c r="G2144" s="3" t="s">
        <v>4210</v>
      </c>
      <c r="H2144" s="3" t="s">
        <v>4316</v>
      </c>
      <c r="I2144" s="3" t="s">
        <v>6158</v>
      </c>
      <c r="J2144" s="5" t="s">
        <v>9110</v>
      </c>
      <c r="L2144" s="3" t="s">
        <v>8746</v>
      </c>
      <c r="M2144" s="3">
        <v>3</v>
      </c>
      <c r="N2144" s="4" t="s">
        <v>4315</v>
      </c>
      <c r="O2144" s="4">
        <v>116</v>
      </c>
      <c r="P2144" s="11" t="s">
        <v>9870</v>
      </c>
      <c r="Q2144" s="11" t="s">
        <v>4315</v>
      </c>
      <c r="R2144" s="4" t="s">
        <v>13120</v>
      </c>
      <c r="S2144" s="4" t="b">
        <f>ISNUMBER(MATCH(Q2144,T:T,0))</f>
        <v>0</v>
      </c>
      <c r="T2144" s="4" t="s">
        <v>10463</v>
      </c>
      <c r="U2144" s="4" t="str">
        <f t="shared" si="97"/>
        <v>降</v>
      </c>
      <c r="V2144" s="4" t="b">
        <f>ISNUMBER(MATCH(R2144,T:T,0))</f>
        <v>1</v>
      </c>
    </row>
    <row r="2145" spans="1:22" ht="28.5">
      <c r="A2145" s="3">
        <v>2143</v>
      </c>
      <c r="B2145" s="3" t="s">
        <v>4312</v>
      </c>
      <c r="C2145" s="3" t="s">
        <v>6000</v>
      </c>
      <c r="D2145" s="3" t="s">
        <v>6157</v>
      </c>
      <c r="E2145" s="3" t="s">
        <v>5991</v>
      </c>
      <c r="F2145" s="3" t="s">
        <v>6158</v>
      </c>
      <c r="G2145" s="3" t="s">
        <v>4210</v>
      </c>
      <c r="H2145" s="3" t="s">
        <v>4317</v>
      </c>
      <c r="I2145" s="3" t="s">
        <v>6158</v>
      </c>
      <c r="J2145" s="5" t="s">
        <v>4318</v>
      </c>
      <c r="L2145" s="3" t="s">
        <v>4319</v>
      </c>
      <c r="M2145" s="3">
        <v>1</v>
      </c>
      <c r="N2145" s="4" t="s">
        <v>4315</v>
      </c>
      <c r="O2145" s="4">
        <v>116</v>
      </c>
      <c r="P2145" s="11" t="s">
        <v>9707</v>
      </c>
      <c r="Q2145" s="11" t="s">
        <v>10464</v>
      </c>
      <c r="S2145" s="4" t="b">
        <f>ISNUMBER(MATCH(Q2145,T:T,0))</f>
        <v>1</v>
      </c>
      <c r="T2145" s="4" t="s">
        <v>4318</v>
      </c>
      <c r="U2145" s="4" t="str">
        <f t="shared" si="97"/>
        <v>降</v>
      </c>
    </row>
    <row r="2146" spans="1:22" ht="28.5">
      <c r="A2146" s="3">
        <v>2144</v>
      </c>
      <c r="B2146" s="3" t="s">
        <v>4312</v>
      </c>
      <c r="C2146" s="3" t="s">
        <v>6005</v>
      </c>
      <c r="D2146" s="3" t="s">
        <v>6157</v>
      </c>
      <c r="E2146" s="3" t="s">
        <v>5991</v>
      </c>
      <c r="F2146" s="3" t="s">
        <v>6158</v>
      </c>
      <c r="G2146" s="3" t="s">
        <v>4210</v>
      </c>
      <c r="H2146" s="3" t="s">
        <v>4320</v>
      </c>
      <c r="I2146" s="3" t="s">
        <v>6158</v>
      </c>
      <c r="J2146" s="5" t="s">
        <v>4321</v>
      </c>
      <c r="L2146" s="3" t="s">
        <v>4319</v>
      </c>
      <c r="M2146" s="3">
        <v>6</v>
      </c>
      <c r="N2146" s="4" t="s">
        <v>4315</v>
      </c>
      <c r="O2146" s="4">
        <v>116</v>
      </c>
      <c r="P2146" s="11" t="s">
        <v>9709</v>
      </c>
      <c r="Q2146" s="11" t="s">
        <v>4315</v>
      </c>
      <c r="R2146" s="4" t="s">
        <v>13120</v>
      </c>
      <c r="S2146" s="4" t="b">
        <f>ISNUMBER(MATCH(Q2146,T:T,0))</f>
        <v>0</v>
      </c>
      <c r="T2146" s="4" t="s">
        <v>12029</v>
      </c>
      <c r="U2146" s="4" t="str">
        <f t="shared" si="97"/>
        <v>降</v>
      </c>
      <c r="V2146" s="4" t="b">
        <f t="shared" ref="V2146:V2153" si="98">ISNUMBER(MATCH(R2146,T:T,0))</f>
        <v>1</v>
      </c>
    </row>
    <row r="2147" spans="1:22" ht="28.5">
      <c r="A2147" s="3">
        <v>2145</v>
      </c>
      <c r="B2147" s="3" t="s">
        <v>4312</v>
      </c>
      <c r="C2147" s="3" t="s">
        <v>6011</v>
      </c>
      <c r="D2147" s="3" t="s">
        <v>6157</v>
      </c>
      <c r="E2147" s="3" t="s">
        <v>5991</v>
      </c>
      <c r="F2147" s="3" t="s">
        <v>6158</v>
      </c>
      <c r="G2147" s="3" t="s">
        <v>4210</v>
      </c>
      <c r="H2147" s="3" t="s">
        <v>4322</v>
      </c>
      <c r="I2147" s="3" t="s">
        <v>6158</v>
      </c>
      <c r="J2147" s="5" t="s">
        <v>4323</v>
      </c>
      <c r="L2147" s="3" t="s">
        <v>4324</v>
      </c>
      <c r="M2147" s="3">
        <v>2</v>
      </c>
      <c r="N2147" s="4" t="s">
        <v>4315</v>
      </c>
      <c r="O2147" s="4">
        <v>116</v>
      </c>
      <c r="P2147" s="11" t="s">
        <v>9757</v>
      </c>
      <c r="Q2147" s="11" t="s">
        <v>4315</v>
      </c>
      <c r="R2147" s="4" t="s">
        <v>13120</v>
      </c>
      <c r="S2147" s="4" t="b">
        <f>ISNUMBER(MATCH(Q2147,T:T,0))</f>
        <v>0</v>
      </c>
      <c r="T2147" s="4" t="s">
        <v>12030</v>
      </c>
      <c r="U2147" s="4" t="str">
        <f t="shared" si="97"/>
        <v>降</v>
      </c>
      <c r="V2147" s="4" t="b">
        <f t="shared" si="98"/>
        <v>1</v>
      </c>
    </row>
    <row r="2148" spans="1:22" ht="28.5">
      <c r="A2148" s="3">
        <v>2146</v>
      </c>
      <c r="B2148" s="3" t="s">
        <v>4312</v>
      </c>
      <c r="C2148" s="3" t="s">
        <v>6015</v>
      </c>
      <c r="D2148" s="3" t="s">
        <v>6157</v>
      </c>
      <c r="E2148" s="3" t="s">
        <v>5991</v>
      </c>
      <c r="F2148" s="3" t="s">
        <v>6158</v>
      </c>
      <c r="G2148" s="3" t="s">
        <v>4210</v>
      </c>
      <c r="H2148" s="3" t="s">
        <v>4325</v>
      </c>
      <c r="I2148" s="3" t="s">
        <v>6158</v>
      </c>
      <c r="J2148" s="8" t="s">
        <v>4326</v>
      </c>
      <c r="L2148" s="3" t="s">
        <v>4327</v>
      </c>
      <c r="M2148" s="3">
        <v>1</v>
      </c>
      <c r="N2148" s="4" t="s">
        <v>4315</v>
      </c>
      <c r="O2148" s="4">
        <v>116</v>
      </c>
      <c r="P2148" s="11" t="s">
        <v>9777</v>
      </c>
      <c r="Q2148" s="11" t="s">
        <v>4315</v>
      </c>
      <c r="R2148" s="4" t="s">
        <v>13120</v>
      </c>
      <c r="S2148" s="4" t="b">
        <f>ISNUMBER(MATCH(Q2148,T:T,0))</f>
        <v>0</v>
      </c>
      <c r="T2148" s="4" t="s">
        <v>4326</v>
      </c>
      <c r="U2148" s="4" t="str">
        <f t="shared" si="97"/>
        <v>降</v>
      </c>
      <c r="V2148" s="4" t="b">
        <f t="shared" si="98"/>
        <v>1</v>
      </c>
    </row>
    <row r="2149" spans="1:22">
      <c r="A2149" s="3">
        <v>2147</v>
      </c>
      <c r="B2149" s="3" t="s">
        <v>4312</v>
      </c>
      <c r="C2149" s="3" t="s">
        <v>6053</v>
      </c>
      <c r="D2149" s="3" t="s">
        <v>6157</v>
      </c>
      <c r="E2149" s="3" t="s">
        <v>5991</v>
      </c>
      <c r="F2149" s="3" t="s">
        <v>6158</v>
      </c>
      <c r="G2149" s="3" t="s">
        <v>4210</v>
      </c>
      <c r="H2149" s="3" t="s">
        <v>4328</v>
      </c>
      <c r="I2149" s="3" t="s">
        <v>6158</v>
      </c>
      <c r="J2149" s="8" t="s">
        <v>9111</v>
      </c>
      <c r="L2149" s="3" t="s">
        <v>4329</v>
      </c>
      <c r="M2149" s="3">
        <v>1</v>
      </c>
      <c r="N2149" s="4" t="s">
        <v>4315</v>
      </c>
      <c r="O2149" s="4">
        <v>116</v>
      </c>
      <c r="P2149" s="11" t="s">
        <v>9772</v>
      </c>
      <c r="Q2149" s="11" t="s">
        <v>4315</v>
      </c>
      <c r="R2149" s="4" t="s">
        <v>13120</v>
      </c>
      <c r="S2149" s="4" t="b">
        <f>ISNUMBER(MATCH(Q2149,T:T,0))</f>
        <v>0</v>
      </c>
      <c r="T2149" s="4" t="s">
        <v>12031</v>
      </c>
      <c r="U2149" s="4" t="str">
        <f t="shared" si="97"/>
        <v>降</v>
      </c>
      <c r="V2149" s="4" t="b">
        <f t="shared" si="98"/>
        <v>1</v>
      </c>
    </row>
    <row r="2150" spans="1:22" ht="28.5">
      <c r="A2150" s="3">
        <v>2148</v>
      </c>
      <c r="B2150" s="3" t="s">
        <v>4312</v>
      </c>
      <c r="C2150" s="3" t="s">
        <v>6167</v>
      </c>
      <c r="D2150" s="3" t="s">
        <v>6157</v>
      </c>
      <c r="E2150" s="3" t="s">
        <v>5991</v>
      </c>
      <c r="F2150" s="3" t="s">
        <v>6158</v>
      </c>
      <c r="G2150" s="3" t="s">
        <v>4210</v>
      </c>
      <c r="H2150" s="3" t="s">
        <v>4330</v>
      </c>
      <c r="I2150" s="3" t="s">
        <v>6158</v>
      </c>
      <c r="J2150" s="5" t="s">
        <v>4331</v>
      </c>
      <c r="L2150" s="3" t="s">
        <v>4324</v>
      </c>
      <c r="M2150" s="3">
        <v>1</v>
      </c>
      <c r="N2150" s="4" t="s">
        <v>4315</v>
      </c>
      <c r="O2150" s="4">
        <v>116</v>
      </c>
      <c r="P2150" s="11" t="s">
        <v>9769</v>
      </c>
      <c r="Q2150" s="11" t="s">
        <v>4315</v>
      </c>
      <c r="R2150" s="4" t="s">
        <v>13120</v>
      </c>
      <c r="S2150" s="4" t="b">
        <f>ISNUMBER(MATCH(Q2150,T:T,0))</f>
        <v>0</v>
      </c>
      <c r="T2150" s="4" t="s">
        <v>4331</v>
      </c>
      <c r="U2150" s="4" t="str">
        <f t="shared" si="97"/>
        <v>降</v>
      </c>
      <c r="V2150" s="4" t="b">
        <f t="shared" si="98"/>
        <v>1</v>
      </c>
    </row>
    <row r="2151" spans="1:22" ht="28.5">
      <c r="A2151" s="3">
        <v>2149</v>
      </c>
      <c r="B2151" s="3" t="s">
        <v>4312</v>
      </c>
      <c r="C2151" s="3" t="s">
        <v>6180</v>
      </c>
      <c r="D2151" s="3" t="s">
        <v>6157</v>
      </c>
      <c r="E2151" s="3" t="s">
        <v>5991</v>
      </c>
      <c r="F2151" s="3" t="s">
        <v>6158</v>
      </c>
      <c r="G2151" s="3" t="s">
        <v>4210</v>
      </c>
      <c r="H2151" s="3" t="s">
        <v>4332</v>
      </c>
      <c r="I2151" s="3" t="s">
        <v>6158</v>
      </c>
      <c r="J2151" s="5" t="s">
        <v>4333</v>
      </c>
      <c r="L2151" s="3" t="s">
        <v>4327</v>
      </c>
      <c r="M2151" s="3">
        <v>2</v>
      </c>
      <c r="N2151" s="4" t="s">
        <v>4315</v>
      </c>
      <c r="O2151" s="4">
        <v>116</v>
      </c>
      <c r="P2151" s="11" t="s">
        <v>10085</v>
      </c>
      <c r="Q2151" s="11" t="s">
        <v>4315</v>
      </c>
      <c r="R2151" s="4" t="s">
        <v>13120</v>
      </c>
      <c r="S2151" s="4" t="b">
        <f>ISNUMBER(MATCH(Q2151,T:T,0))</f>
        <v>0</v>
      </c>
      <c r="T2151" s="4" t="s">
        <v>10965</v>
      </c>
      <c r="U2151" s="4" t="str">
        <f t="shared" si="97"/>
        <v>降</v>
      </c>
      <c r="V2151" s="4" t="b">
        <f t="shared" si="98"/>
        <v>1</v>
      </c>
    </row>
    <row r="2152" spans="1:22">
      <c r="A2152" s="3">
        <v>2150</v>
      </c>
      <c r="B2152" s="3" t="s">
        <v>4334</v>
      </c>
      <c r="C2152" s="3" t="s">
        <v>6009</v>
      </c>
      <c r="D2152" s="3" t="s">
        <v>6001</v>
      </c>
      <c r="E2152" s="3" t="s">
        <v>5991</v>
      </c>
      <c r="F2152" s="3" t="s">
        <v>6205</v>
      </c>
      <c r="G2152" s="3" t="s">
        <v>4210</v>
      </c>
      <c r="H2152" s="3" t="s">
        <v>4335</v>
      </c>
      <c r="I2152" s="3" t="s">
        <v>6207</v>
      </c>
      <c r="J2152" s="5" t="s">
        <v>4336</v>
      </c>
      <c r="L2152" s="3" t="s">
        <v>8808</v>
      </c>
      <c r="M2152" s="3">
        <v>8</v>
      </c>
      <c r="N2152" s="4" t="s">
        <v>4337</v>
      </c>
      <c r="O2152" s="4">
        <v>117</v>
      </c>
      <c r="P2152" s="11" t="s">
        <v>6209</v>
      </c>
      <c r="Q2152" s="11" t="s">
        <v>10465</v>
      </c>
      <c r="R2152" s="4" t="s">
        <v>13121</v>
      </c>
      <c r="S2152" s="4" t="b">
        <f>ISNUMBER(MATCH(Q2152,T:T,0))</f>
        <v>0</v>
      </c>
      <c r="T2152" s="4" t="s">
        <v>4337</v>
      </c>
      <c r="U2152" s="4" t="str">
        <f t="shared" si="97"/>
        <v>議</v>
      </c>
      <c r="V2152" s="4" t="b">
        <f t="shared" si="98"/>
        <v>1</v>
      </c>
    </row>
    <row r="2153" spans="1:22">
      <c r="A2153" s="3">
        <v>2151</v>
      </c>
      <c r="B2153" s="3" t="s">
        <v>4334</v>
      </c>
      <c r="C2153" s="3" t="s">
        <v>6045</v>
      </c>
      <c r="D2153" s="3" t="s">
        <v>6001</v>
      </c>
      <c r="E2153" s="3" t="s">
        <v>5991</v>
      </c>
      <c r="F2153" s="3" t="s">
        <v>6205</v>
      </c>
      <c r="G2153" s="3" t="s">
        <v>4210</v>
      </c>
      <c r="H2153" s="3" t="s">
        <v>4338</v>
      </c>
      <c r="I2153" s="3" t="s">
        <v>6207</v>
      </c>
      <c r="J2153" s="5" t="s">
        <v>4339</v>
      </c>
      <c r="L2153" s="3" t="s">
        <v>8899</v>
      </c>
      <c r="M2153" s="3">
        <v>1</v>
      </c>
      <c r="N2153" s="4" t="s">
        <v>4337</v>
      </c>
      <c r="O2153" s="4">
        <v>117</v>
      </c>
      <c r="P2153" s="11" t="s">
        <v>10275</v>
      </c>
      <c r="Q2153" s="11" t="s">
        <v>10465</v>
      </c>
      <c r="R2153" s="4" t="s">
        <v>13121</v>
      </c>
      <c r="S2153" s="4" t="b">
        <f>ISNUMBER(MATCH(Q2153,T:T,0))</f>
        <v>0</v>
      </c>
      <c r="T2153" s="4" t="s">
        <v>4339</v>
      </c>
      <c r="U2153" s="4" t="str">
        <f t="shared" si="97"/>
        <v>議</v>
      </c>
      <c r="V2153" s="4" t="b">
        <f t="shared" si="98"/>
        <v>1</v>
      </c>
    </row>
    <row r="2154" spans="1:22">
      <c r="A2154" s="3">
        <v>2152</v>
      </c>
      <c r="B2154" s="3" t="s">
        <v>4334</v>
      </c>
      <c r="C2154" s="3" t="s">
        <v>6009</v>
      </c>
      <c r="D2154" s="3" t="s">
        <v>6001</v>
      </c>
      <c r="E2154" s="3" t="s">
        <v>6212</v>
      </c>
      <c r="F2154" s="3" t="s">
        <v>6205</v>
      </c>
      <c r="G2154" s="3" t="s">
        <v>4210</v>
      </c>
      <c r="H2154" s="3" t="s">
        <v>4340</v>
      </c>
      <c r="I2154" s="3" t="s">
        <v>6207</v>
      </c>
      <c r="J2154" s="5" t="s">
        <v>4341</v>
      </c>
      <c r="L2154" s="3" t="s">
        <v>4342</v>
      </c>
      <c r="M2154" s="3">
        <v>3</v>
      </c>
      <c r="N2154" s="4" t="s">
        <v>4337</v>
      </c>
      <c r="O2154" s="4">
        <v>117</v>
      </c>
      <c r="P2154" s="11" t="s">
        <v>6396</v>
      </c>
      <c r="Q2154" s="11" t="s">
        <v>10466</v>
      </c>
      <c r="S2154" s="4" t="b">
        <f>ISNUMBER(MATCH(Q2154,T:T,0))</f>
        <v>1</v>
      </c>
      <c r="T2154" s="4" t="s">
        <v>12032</v>
      </c>
      <c r="U2154" s="4" t="str">
        <f t="shared" si="97"/>
        <v>睡</v>
      </c>
    </row>
    <row r="2155" spans="1:22">
      <c r="A2155" s="3">
        <v>2153</v>
      </c>
      <c r="B2155" s="3" t="s">
        <v>4334</v>
      </c>
      <c r="C2155" s="3" t="s">
        <v>6058</v>
      </c>
      <c r="D2155" s="3" t="s">
        <v>6001</v>
      </c>
      <c r="E2155" s="3" t="s">
        <v>5991</v>
      </c>
      <c r="F2155" s="3" t="s">
        <v>6205</v>
      </c>
      <c r="G2155" s="3" t="s">
        <v>4210</v>
      </c>
      <c r="H2155" s="3" t="s">
        <v>4343</v>
      </c>
      <c r="I2155" s="3" t="s">
        <v>6207</v>
      </c>
      <c r="J2155" s="5" t="s">
        <v>9112</v>
      </c>
      <c r="L2155" s="3" t="s">
        <v>4344</v>
      </c>
      <c r="M2155" s="3">
        <v>6</v>
      </c>
      <c r="N2155" s="4" t="s">
        <v>4337</v>
      </c>
      <c r="O2155" s="4">
        <v>117</v>
      </c>
      <c r="P2155" s="11" t="s">
        <v>9727</v>
      </c>
      <c r="Q2155" s="11" t="s">
        <v>10467</v>
      </c>
      <c r="S2155" s="4" t="b">
        <f>ISNUMBER(MATCH(Q2155,T:T,0))</f>
        <v>1</v>
      </c>
      <c r="T2155" s="4" t="s">
        <v>12033</v>
      </c>
      <c r="U2155" s="4" t="str">
        <f t="shared" si="97"/>
        <v>智</v>
      </c>
    </row>
    <row r="2156" spans="1:22">
      <c r="A2156" s="3">
        <v>2154</v>
      </c>
      <c r="B2156" s="3" t="s">
        <v>4334</v>
      </c>
      <c r="C2156" s="3" t="s">
        <v>6148</v>
      </c>
      <c r="D2156" s="3" t="s">
        <v>6001</v>
      </c>
      <c r="E2156" s="3" t="s">
        <v>5991</v>
      </c>
      <c r="F2156" s="3" t="s">
        <v>6205</v>
      </c>
      <c r="G2156" s="3" t="s">
        <v>4210</v>
      </c>
      <c r="H2156" s="3" t="s">
        <v>4345</v>
      </c>
      <c r="I2156" s="3" t="s">
        <v>6207</v>
      </c>
      <c r="J2156" s="5" t="s">
        <v>4346</v>
      </c>
      <c r="L2156" s="3" t="s">
        <v>8760</v>
      </c>
      <c r="M2156" s="3">
        <v>6</v>
      </c>
      <c r="N2156" s="4" t="s">
        <v>4337</v>
      </c>
      <c r="O2156" s="4">
        <v>117</v>
      </c>
      <c r="P2156" s="11" t="s">
        <v>9784</v>
      </c>
      <c r="Q2156" s="11" t="s">
        <v>10465</v>
      </c>
      <c r="R2156" s="4" t="s">
        <v>13121</v>
      </c>
      <c r="S2156" s="4" t="b">
        <f>ISNUMBER(MATCH(Q2156,T:T,0))</f>
        <v>0</v>
      </c>
      <c r="T2156" s="4" t="s">
        <v>10471</v>
      </c>
      <c r="U2156" s="4" t="str">
        <f t="shared" si="97"/>
        <v>議</v>
      </c>
      <c r="V2156" s="4" t="b">
        <f>ISNUMBER(MATCH(R2156,T:T,0))</f>
        <v>1</v>
      </c>
    </row>
    <row r="2157" spans="1:22">
      <c r="A2157" s="3">
        <v>2155</v>
      </c>
      <c r="B2157" s="3" t="s">
        <v>4334</v>
      </c>
      <c r="C2157" s="3" t="s">
        <v>6083</v>
      </c>
      <c r="D2157" s="3" t="s">
        <v>6001</v>
      </c>
      <c r="E2157" s="3" t="s">
        <v>5991</v>
      </c>
      <c r="F2157" s="3" t="s">
        <v>6205</v>
      </c>
      <c r="G2157" s="3" t="s">
        <v>4210</v>
      </c>
      <c r="H2157" s="3" t="s">
        <v>4347</v>
      </c>
      <c r="I2157" s="3" t="s">
        <v>6207</v>
      </c>
      <c r="J2157" s="5" t="s">
        <v>4348</v>
      </c>
      <c r="L2157" s="3" t="s">
        <v>4349</v>
      </c>
      <c r="M2157" s="3">
        <v>4</v>
      </c>
      <c r="N2157" s="4" t="s">
        <v>4337</v>
      </c>
      <c r="O2157" s="4">
        <v>117</v>
      </c>
      <c r="P2157" s="11" t="s">
        <v>9737</v>
      </c>
      <c r="Q2157" s="11" t="s">
        <v>10467</v>
      </c>
      <c r="S2157" s="4" t="b">
        <f>ISNUMBER(MATCH(Q2157,T:T,0))</f>
        <v>1</v>
      </c>
      <c r="T2157" s="4" t="s">
        <v>10855</v>
      </c>
      <c r="U2157" s="4" t="str">
        <f t="shared" si="97"/>
        <v>智</v>
      </c>
    </row>
    <row r="2158" spans="1:22">
      <c r="A2158" s="3">
        <v>2156</v>
      </c>
      <c r="B2158" s="3" t="s">
        <v>4334</v>
      </c>
      <c r="C2158" s="3" t="s">
        <v>6017</v>
      </c>
      <c r="D2158" s="3" t="s">
        <v>6001</v>
      </c>
      <c r="E2158" s="3" t="s">
        <v>5991</v>
      </c>
      <c r="F2158" s="3" t="s">
        <v>6205</v>
      </c>
      <c r="G2158" s="3" t="s">
        <v>4210</v>
      </c>
      <c r="H2158" s="3" t="s">
        <v>4350</v>
      </c>
      <c r="I2158" s="3" t="s">
        <v>6207</v>
      </c>
      <c r="J2158" s="5" t="s">
        <v>9113</v>
      </c>
      <c r="L2158" s="3" t="s">
        <v>8879</v>
      </c>
      <c r="M2158" s="3">
        <v>6</v>
      </c>
      <c r="N2158" s="4" t="s">
        <v>4337</v>
      </c>
      <c r="O2158" s="4">
        <v>117</v>
      </c>
      <c r="P2158" s="11" t="s">
        <v>10205</v>
      </c>
      <c r="Q2158" s="11" t="s">
        <v>10465</v>
      </c>
      <c r="R2158" s="4" t="s">
        <v>13121</v>
      </c>
      <c r="S2158" s="4" t="b">
        <f>ISNUMBER(MATCH(Q2158,T:T,0))</f>
        <v>0</v>
      </c>
      <c r="T2158" s="4" t="s">
        <v>10470</v>
      </c>
      <c r="U2158" s="4" t="str">
        <f t="shared" si="97"/>
        <v>議</v>
      </c>
      <c r="V2158" s="4" t="b">
        <f>ISNUMBER(MATCH(R2158,T:T,0))</f>
        <v>1</v>
      </c>
    </row>
    <row r="2159" spans="1:22">
      <c r="A2159" s="3">
        <v>2157</v>
      </c>
      <c r="B2159" s="3" t="s">
        <v>4334</v>
      </c>
      <c r="C2159" s="3" t="s">
        <v>6032</v>
      </c>
      <c r="D2159" s="3" t="s">
        <v>6001</v>
      </c>
      <c r="E2159" s="3" t="s">
        <v>6212</v>
      </c>
      <c r="F2159" s="3" t="s">
        <v>6213</v>
      </c>
      <c r="G2159" s="3" t="s">
        <v>4210</v>
      </c>
      <c r="H2159" s="3" t="s">
        <v>792</v>
      </c>
      <c r="I2159" s="3" t="s">
        <v>6207</v>
      </c>
      <c r="J2159" s="8" t="s">
        <v>4351</v>
      </c>
      <c r="L2159" s="3" t="s">
        <v>4352</v>
      </c>
      <c r="M2159" s="3">
        <v>1</v>
      </c>
      <c r="N2159" s="4" t="s">
        <v>4337</v>
      </c>
      <c r="O2159" s="4">
        <v>117</v>
      </c>
      <c r="P2159" s="11" t="s">
        <v>9859</v>
      </c>
      <c r="Q2159" s="11" t="s">
        <v>10468</v>
      </c>
      <c r="S2159" s="4" t="b">
        <f>ISNUMBER(MATCH(Q2159,T:T,0))</f>
        <v>1</v>
      </c>
      <c r="T2159" s="4" t="s">
        <v>4351</v>
      </c>
      <c r="U2159" s="4" t="str">
        <f t="shared" si="97"/>
        <v>僞</v>
      </c>
    </row>
    <row r="2160" spans="1:22">
      <c r="A2160" s="3">
        <v>2158</v>
      </c>
      <c r="B2160" s="3" t="s">
        <v>4334</v>
      </c>
      <c r="C2160" s="3" t="s">
        <v>6025</v>
      </c>
      <c r="D2160" s="3" t="s">
        <v>6001</v>
      </c>
      <c r="E2160" s="3" t="s">
        <v>6212</v>
      </c>
      <c r="F2160" s="3" t="s">
        <v>6213</v>
      </c>
      <c r="G2160" s="3" t="s">
        <v>4210</v>
      </c>
      <c r="H2160" s="3" t="s">
        <v>793</v>
      </c>
      <c r="I2160" s="3" t="s">
        <v>6207</v>
      </c>
      <c r="J2160" s="5" t="s">
        <v>9114</v>
      </c>
      <c r="L2160" s="3" t="s">
        <v>8857</v>
      </c>
      <c r="M2160" s="3">
        <v>5</v>
      </c>
      <c r="N2160" s="4" t="s">
        <v>4337</v>
      </c>
      <c r="O2160" s="4">
        <v>117</v>
      </c>
      <c r="P2160" s="11" t="s">
        <v>10199</v>
      </c>
      <c r="Q2160" s="11" t="s">
        <v>10468</v>
      </c>
      <c r="S2160" s="4" t="b">
        <f>ISNUMBER(MATCH(Q2160,T:T,0))</f>
        <v>1</v>
      </c>
      <c r="T2160" s="4" t="s">
        <v>12034</v>
      </c>
      <c r="U2160" s="4" t="str">
        <f t="shared" si="97"/>
        <v>僞</v>
      </c>
    </row>
    <row r="2161" spans="1:22">
      <c r="A2161" s="3">
        <v>2159</v>
      </c>
      <c r="B2161" s="3" t="s">
        <v>4334</v>
      </c>
      <c r="C2161" s="3" t="s">
        <v>6053</v>
      </c>
      <c r="D2161" s="3" t="s">
        <v>6001</v>
      </c>
      <c r="E2161" s="3" t="s">
        <v>5991</v>
      </c>
      <c r="F2161" s="3" t="s">
        <v>6213</v>
      </c>
      <c r="G2161" s="3" t="s">
        <v>4210</v>
      </c>
      <c r="H2161" s="3" t="s">
        <v>4353</v>
      </c>
      <c r="I2161" s="3" t="s">
        <v>6207</v>
      </c>
      <c r="J2161" s="5" t="s">
        <v>9115</v>
      </c>
      <c r="L2161" s="3" t="s">
        <v>8768</v>
      </c>
      <c r="M2161" s="3">
        <v>3</v>
      </c>
      <c r="N2161" s="4" t="s">
        <v>4337</v>
      </c>
      <c r="O2161" s="4">
        <v>117</v>
      </c>
      <c r="P2161" s="11" t="s">
        <v>10130</v>
      </c>
      <c r="Q2161" s="11" t="s">
        <v>10465</v>
      </c>
      <c r="R2161" s="4" t="s">
        <v>13121</v>
      </c>
      <c r="S2161" s="4" t="b">
        <f>ISNUMBER(MATCH(Q2161,T:T,0))</f>
        <v>0</v>
      </c>
      <c r="T2161" s="4" t="s">
        <v>12035</v>
      </c>
      <c r="U2161" s="4" t="str">
        <f t="shared" si="97"/>
        <v>議</v>
      </c>
      <c r="V2161" s="4" t="b">
        <f t="shared" ref="V2161:V2163" si="99">ISNUMBER(MATCH(R2161,T:T,0))</f>
        <v>1</v>
      </c>
    </row>
    <row r="2162" spans="1:22">
      <c r="A2162" s="3">
        <v>2160</v>
      </c>
      <c r="B2162" s="3" t="s">
        <v>4334</v>
      </c>
      <c r="C2162" s="3" t="s">
        <v>6049</v>
      </c>
      <c r="D2162" s="3" t="s">
        <v>6001</v>
      </c>
      <c r="E2162" s="3" t="s">
        <v>5991</v>
      </c>
      <c r="F2162" s="3" t="s">
        <v>6213</v>
      </c>
      <c r="G2162" s="3" t="s">
        <v>4210</v>
      </c>
      <c r="H2162" s="3" t="s">
        <v>4354</v>
      </c>
      <c r="I2162" s="3" t="s">
        <v>6207</v>
      </c>
      <c r="J2162" s="5" t="s">
        <v>9116</v>
      </c>
      <c r="L2162" s="3" t="s">
        <v>8899</v>
      </c>
      <c r="M2162" s="3">
        <v>7</v>
      </c>
      <c r="N2162" s="4" t="s">
        <v>4337</v>
      </c>
      <c r="O2162" s="4">
        <v>117</v>
      </c>
      <c r="P2162" s="11" t="s">
        <v>9786</v>
      </c>
      <c r="Q2162" s="11" t="s">
        <v>10465</v>
      </c>
      <c r="R2162" s="4" t="s">
        <v>13121</v>
      </c>
      <c r="S2162" s="4" t="b">
        <f>ISNUMBER(MATCH(Q2162,T:T,0))</f>
        <v>0</v>
      </c>
      <c r="T2162" s="4" t="s">
        <v>12036</v>
      </c>
      <c r="U2162" s="4" t="str">
        <f t="shared" si="97"/>
        <v>議</v>
      </c>
      <c r="V2162" s="4" t="b">
        <f t="shared" si="99"/>
        <v>1</v>
      </c>
    </row>
    <row r="2163" spans="1:22">
      <c r="A2163" s="3">
        <v>2161</v>
      </c>
      <c r="B2163" s="3" t="s">
        <v>4334</v>
      </c>
      <c r="C2163" s="3" t="s">
        <v>6045</v>
      </c>
      <c r="D2163" s="3" t="s">
        <v>6001</v>
      </c>
      <c r="E2163" s="3" t="s">
        <v>5991</v>
      </c>
      <c r="F2163" s="3" t="s">
        <v>6213</v>
      </c>
      <c r="G2163" s="3" t="s">
        <v>4210</v>
      </c>
      <c r="H2163" s="3" t="s">
        <v>4355</v>
      </c>
      <c r="I2163" s="3" t="s">
        <v>6207</v>
      </c>
      <c r="J2163" s="5" t="s">
        <v>9117</v>
      </c>
      <c r="L2163" s="3" t="s">
        <v>8899</v>
      </c>
      <c r="M2163" s="3">
        <v>6</v>
      </c>
      <c r="N2163" s="4" t="s">
        <v>4337</v>
      </c>
      <c r="O2163" s="4">
        <v>117</v>
      </c>
      <c r="P2163" s="11" t="s">
        <v>5993</v>
      </c>
      <c r="Q2163" s="11" t="s">
        <v>10465</v>
      </c>
      <c r="R2163" s="4" t="s">
        <v>13121</v>
      </c>
      <c r="S2163" s="4" t="b">
        <f>ISNUMBER(MATCH(Q2163,T:T,0))</f>
        <v>0</v>
      </c>
      <c r="T2163" s="4" t="s">
        <v>12037</v>
      </c>
      <c r="U2163" s="4" t="str">
        <f t="shared" si="97"/>
        <v>議</v>
      </c>
      <c r="V2163" s="4" t="b">
        <f t="shared" si="99"/>
        <v>1</v>
      </c>
    </row>
    <row r="2164" spans="1:22">
      <c r="A2164" s="3">
        <v>2162</v>
      </c>
      <c r="B2164" s="3" t="s">
        <v>4334</v>
      </c>
      <c r="C2164" s="3" t="s">
        <v>6058</v>
      </c>
      <c r="D2164" s="3" t="s">
        <v>6001</v>
      </c>
      <c r="E2164" s="3" t="s">
        <v>6212</v>
      </c>
      <c r="F2164" s="3" t="s">
        <v>6205</v>
      </c>
      <c r="G2164" s="3" t="s">
        <v>4210</v>
      </c>
      <c r="H2164" s="3" t="s">
        <v>794</v>
      </c>
      <c r="I2164" s="3" t="s">
        <v>6207</v>
      </c>
      <c r="J2164" s="5" t="s">
        <v>4356</v>
      </c>
      <c r="L2164" s="3" t="s">
        <v>4357</v>
      </c>
      <c r="M2164" s="3">
        <v>1</v>
      </c>
      <c r="N2164" s="4" t="s">
        <v>4337</v>
      </c>
      <c r="O2164" s="4">
        <v>117</v>
      </c>
      <c r="P2164" s="11" t="s">
        <v>10084</v>
      </c>
      <c r="Q2164" s="11" t="s">
        <v>10468</v>
      </c>
      <c r="S2164" s="4" t="b">
        <f>ISNUMBER(MATCH(Q2164,T:T,0))</f>
        <v>1</v>
      </c>
      <c r="T2164" s="4" t="s">
        <v>4356</v>
      </c>
      <c r="U2164" s="4" t="str">
        <f t="shared" si="97"/>
        <v>僞</v>
      </c>
    </row>
    <row r="2165" spans="1:22">
      <c r="A2165" s="3">
        <v>2163</v>
      </c>
      <c r="B2165" s="3" t="s">
        <v>4334</v>
      </c>
      <c r="C2165" s="3" t="s">
        <v>6025</v>
      </c>
      <c r="D2165" s="3" t="s">
        <v>6001</v>
      </c>
      <c r="E2165" s="3" t="s">
        <v>5991</v>
      </c>
      <c r="F2165" s="3" t="s">
        <v>6213</v>
      </c>
      <c r="G2165" s="3" t="s">
        <v>4210</v>
      </c>
      <c r="H2165" s="3" t="s">
        <v>4358</v>
      </c>
      <c r="I2165" s="3" t="s">
        <v>6207</v>
      </c>
      <c r="J2165" s="5" t="s">
        <v>4359</v>
      </c>
      <c r="L2165" s="3" t="s">
        <v>8786</v>
      </c>
      <c r="M2165" s="3">
        <v>3</v>
      </c>
      <c r="N2165" s="4" t="s">
        <v>4337</v>
      </c>
      <c r="O2165" s="4">
        <v>117</v>
      </c>
      <c r="P2165" s="11" t="s">
        <v>9717</v>
      </c>
      <c r="Q2165" s="11" t="s">
        <v>10465</v>
      </c>
      <c r="R2165" s="4" t="s">
        <v>13121</v>
      </c>
      <c r="S2165" s="4" t="b">
        <f>ISNUMBER(MATCH(Q2165,T:T,0))</f>
        <v>0</v>
      </c>
      <c r="T2165" s="4" t="s">
        <v>10469</v>
      </c>
      <c r="U2165" s="4" t="str">
        <f t="shared" si="97"/>
        <v>議</v>
      </c>
      <c r="V2165" s="4" t="b">
        <f t="shared" ref="V2165:V2166" si="100">ISNUMBER(MATCH(R2165,T:T,0))</f>
        <v>1</v>
      </c>
    </row>
    <row r="2166" spans="1:22">
      <c r="A2166" s="3">
        <v>2164</v>
      </c>
      <c r="B2166" s="3" t="s">
        <v>4334</v>
      </c>
      <c r="C2166" s="3" t="s">
        <v>6049</v>
      </c>
      <c r="D2166" s="3" t="s">
        <v>6001</v>
      </c>
      <c r="E2166" s="3" t="s">
        <v>5991</v>
      </c>
      <c r="F2166" s="3" t="s">
        <v>6205</v>
      </c>
      <c r="G2166" s="3" t="s">
        <v>4210</v>
      </c>
      <c r="H2166" s="3" t="s">
        <v>4360</v>
      </c>
      <c r="I2166" s="3" t="s">
        <v>6207</v>
      </c>
      <c r="J2166" s="5" t="s">
        <v>4361</v>
      </c>
      <c r="L2166" s="3" t="s">
        <v>8899</v>
      </c>
      <c r="M2166" s="3">
        <v>1</v>
      </c>
      <c r="N2166" s="4" t="s">
        <v>4337</v>
      </c>
      <c r="O2166" s="4">
        <v>117</v>
      </c>
      <c r="P2166" s="11" t="s">
        <v>10015</v>
      </c>
      <c r="Q2166" s="11" t="s">
        <v>10465</v>
      </c>
      <c r="R2166" s="4" t="s">
        <v>13121</v>
      </c>
      <c r="S2166" s="4" t="b">
        <f>ISNUMBER(MATCH(Q2166,T:T,0))</f>
        <v>0</v>
      </c>
      <c r="T2166" s="4" t="s">
        <v>4361</v>
      </c>
      <c r="U2166" s="4" t="str">
        <f t="shared" si="97"/>
        <v>議</v>
      </c>
      <c r="V2166" s="4" t="b">
        <f t="shared" si="100"/>
        <v>1</v>
      </c>
    </row>
    <row r="2167" spans="1:22">
      <c r="A2167" s="3">
        <v>2165</v>
      </c>
      <c r="B2167" s="3" t="s">
        <v>4334</v>
      </c>
      <c r="C2167" s="3" t="s">
        <v>6041</v>
      </c>
      <c r="D2167" s="3" t="s">
        <v>6001</v>
      </c>
      <c r="E2167" s="3" t="s">
        <v>5991</v>
      </c>
      <c r="F2167" s="3" t="s">
        <v>6213</v>
      </c>
      <c r="G2167" s="3" t="s">
        <v>4210</v>
      </c>
      <c r="H2167" s="3" t="s">
        <v>4362</v>
      </c>
      <c r="I2167" s="3" t="s">
        <v>6207</v>
      </c>
      <c r="J2167" s="5" t="s">
        <v>9118</v>
      </c>
      <c r="L2167" s="3" t="s">
        <v>8786</v>
      </c>
      <c r="M2167" s="3">
        <v>8</v>
      </c>
      <c r="N2167" s="4" t="s">
        <v>4337</v>
      </c>
      <c r="O2167" s="4">
        <v>117</v>
      </c>
      <c r="P2167" s="11" t="s">
        <v>9790</v>
      </c>
      <c r="Q2167" s="11" t="s">
        <v>10469</v>
      </c>
      <c r="S2167" s="4" t="b">
        <f>ISNUMBER(MATCH(Q2167,T:T,0))</f>
        <v>1</v>
      </c>
      <c r="T2167" s="4" t="s">
        <v>12038</v>
      </c>
      <c r="U2167" s="4" t="str">
        <f t="shared" si="97"/>
        <v>寄</v>
      </c>
    </row>
    <row r="2168" spans="1:22">
      <c r="A2168" s="3">
        <v>2166</v>
      </c>
      <c r="B2168" s="3" t="s">
        <v>4334</v>
      </c>
      <c r="C2168" s="3" t="s">
        <v>6076</v>
      </c>
      <c r="D2168" s="3" t="s">
        <v>6001</v>
      </c>
      <c r="E2168" s="3" t="s">
        <v>5991</v>
      </c>
      <c r="F2168" s="3" t="s">
        <v>6205</v>
      </c>
      <c r="G2168" s="3" t="s">
        <v>4210</v>
      </c>
      <c r="H2168" s="3" t="s">
        <v>4363</v>
      </c>
      <c r="I2168" s="3" t="s">
        <v>6207</v>
      </c>
      <c r="J2168" s="5" t="s">
        <v>4364</v>
      </c>
      <c r="L2168" s="3" t="s">
        <v>4365</v>
      </c>
      <c r="M2168" s="3">
        <v>10</v>
      </c>
      <c r="N2168" s="4" t="s">
        <v>4337</v>
      </c>
      <c r="O2168" s="4">
        <v>117</v>
      </c>
      <c r="P2168" s="11" t="s">
        <v>9766</v>
      </c>
      <c r="Q2168" s="11" t="s">
        <v>10470</v>
      </c>
      <c r="S2168" s="4" t="b">
        <f>ISNUMBER(MATCH(Q2168,T:T,0))</f>
        <v>1</v>
      </c>
      <c r="T2168" s="4" t="s">
        <v>12039</v>
      </c>
      <c r="U2168" s="4" t="str">
        <f t="shared" si="97"/>
        <v>賜</v>
      </c>
    </row>
    <row r="2169" spans="1:22">
      <c r="A2169" s="3">
        <v>2167</v>
      </c>
      <c r="B2169" s="3" t="s">
        <v>4334</v>
      </c>
      <c r="C2169" s="3" t="s">
        <v>6028</v>
      </c>
      <c r="D2169" s="3" t="s">
        <v>6001</v>
      </c>
      <c r="E2169" s="3" t="s">
        <v>5991</v>
      </c>
      <c r="F2169" s="3" t="s">
        <v>6205</v>
      </c>
      <c r="G2169" s="3" t="s">
        <v>4210</v>
      </c>
      <c r="H2169" s="3" t="s">
        <v>4366</v>
      </c>
      <c r="I2169" s="3" t="s">
        <v>6207</v>
      </c>
      <c r="J2169" s="5" t="s">
        <v>4367</v>
      </c>
      <c r="L2169" s="3" t="s">
        <v>4368</v>
      </c>
      <c r="M2169" s="3">
        <v>6</v>
      </c>
      <c r="N2169" s="4" t="s">
        <v>4337</v>
      </c>
      <c r="O2169" s="4">
        <v>117</v>
      </c>
      <c r="P2169" s="11" t="s">
        <v>6028</v>
      </c>
      <c r="Q2169" s="11" t="s">
        <v>10471</v>
      </c>
      <c r="S2169" s="4" t="b">
        <f>ISNUMBER(MATCH(Q2169,T:T,0))</f>
        <v>1</v>
      </c>
      <c r="T2169" s="4" t="s">
        <v>10861</v>
      </c>
      <c r="U2169" s="4" t="str">
        <f t="shared" si="97"/>
        <v>豉</v>
      </c>
    </row>
    <row r="2170" spans="1:22">
      <c r="A2170" s="3">
        <v>2168</v>
      </c>
      <c r="B2170" s="3" t="s">
        <v>4334</v>
      </c>
      <c r="C2170" s="3" t="s">
        <v>6092</v>
      </c>
      <c r="D2170" s="3" t="s">
        <v>6001</v>
      </c>
      <c r="E2170" s="3" t="s">
        <v>5991</v>
      </c>
      <c r="F2170" s="3" t="s">
        <v>6213</v>
      </c>
      <c r="G2170" s="3" t="s">
        <v>4210</v>
      </c>
      <c r="H2170" s="3" t="s">
        <v>4369</v>
      </c>
      <c r="I2170" s="3" t="s">
        <v>6207</v>
      </c>
      <c r="J2170" s="5" t="s">
        <v>9119</v>
      </c>
      <c r="L2170" s="3" t="s">
        <v>4368</v>
      </c>
      <c r="M2170" s="3">
        <v>6</v>
      </c>
      <c r="N2170" s="4" t="s">
        <v>4337</v>
      </c>
      <c r="O2170" s="4">
        <v>117</v>
      </c>
      <c r="P2170" s="11" t="s">
        <v>9792</v>
      </c>
      <c r="Q2170" s="11" t="s">
        <v>10469</v>
      </c>
      <c r="S2170" s="4" t="b">
        <f>ISNUMBER(MATCH(Q2170,T:T,0))</f>
        <v>1</v>
      </c>
      <c r="T2170" s="4" t="s">
        <v>12040</v>
      </c>
      <c r="U2170" s="4" t="str">
        <f t="shared" si="97"/>
        <v>寄</v>
      </c>
    </row>
    <row r="2171" spans="1:22">
      <c r="A2171" s="3">
        <v>2169</v>
      </c>
      <c r="B2171" s="3" t="s">
        <v>4334</v>
      </c>
      <c r="C2171" s="3" t="s">
        <v>6053</v>
      </c>
      <c r="D2171" s="3" t="s">
        <v>6001</v>
      </c>
      <c r="E2171" s="3" t="s">
        <v>5991</v>
      </c>
      <c r="F2171" s="3" t="s">
        <v>6205</v>
      </c>
      <c r="G2171" s="3" t="s">
        <v>4210</v>
      </c>
      <c r="H2171" s="3" t="s">
        <v>4370</v>
      </c>
      <c r="I2171" s="3" t="s">
        <v>6207</v>
      </c>
      <c r="J2171" s="5" t="s">
        <v>4371</v>
      </c>
      <c r="L2171" s="3" t="s">
        <v>8768</v>
      </c>
      <c r="M2171" s="3">
        <v>2</v>
      </c>
      <c r="N2171" s="4" t="s">
        <v>4337</v>
      </c>
      <c r="O2171" s="4">
        <v>117</v>
      </c>
      <c r="P2171" s="11" t="s">
        <v>9772</v>
      </c>
      <c r="Q2171" s="11" t="s">
        <v>10470</v>
      </c>
      <c r="S2171" s="4" t="b">
        <f>ISNUMBER(MATCH(Q2171,T:T,0))</f>
        <v>1</v>
      </c>
      <c r="T2171" s="4" t="s">
        <v>10763</v>
      </c>
      <c r="U2171" s="4" t="str">
        <f t="shared" si="97"/>
        <v>賜</v>
      </c>
    </row>
    <row r="2172" spans="1:22">
      <c r="A2172" s="3">
        <v>2170</v>
      </c>
      <c r="B2172" s="3" t="s">
        <v>4334</v>
      </c>
      <c r="C2172" s="3" t="s">
        <v>6069</v>
      </c>
      <c r="D2172" s="3" t="s">
        <v>6001</v>
      </c>
      <c r="E2172" s="3" t="s">
        <v>5991</v>
      </c>
      <c r="F2172" s="3" t="s">
        <v>6205</v>
      </c>
      <c r="G2172" s="3" t="s">
        <v>4210</v>
      </c>
      <c r="H2172" s="3" t="s">
        <v>4372</v>
      </c>
      <c r="I2172" s="3" t="s">
        <v>6207</v>
      </c>
      <c r="J2172" s="5" t="s">
        <v>4373</v>
      </c>
      <c r="L2172" s="3" t="s">
        <v>4349</v>
      </c>
      <c r="M2172" s="3">
        <v>8</v>
      </c>
      <c r="N2172" s="4" t="s">
        <v>4337</v>
      </c>
      <c r="O2172" s="4">
        <v>117</v>
      </c>
      <c r="P2172" s="11" t="s">
        <v>9756</v>
      </c>
      <c r="Q2172" s="11" t="s">
        <v>10467</v>
      </c>
      <c r="S2172" s="4" t="b">
        <f>ISNUMBER(MATCH(Q2172,T:T,0))</f>
        <v>1</v>
      </c>
      <c r="T2172" s="4" t="s">
        <v>12041</v>
      </c>
      <c r="U2172" s="4" t="str">
        <f t="shared" si="97"/>
        <v>智</v>
      </c>
    </row>
    <row r="2173" spans="1:22">
      <c r="A2173" s="3">
        <v>2171</v>
      </c>
      <c r="B2173" s="3" t="s">
        <v>4334</v>
      </c>
      <c r="C2173" s="3" t="s">
        <v>6000</v>
      </c>
      <c r="D2173" s="3" t="s">
        <v>6001</v>
      </c>
      <c r="E2173" s="3" t="s">
        <v>5991</v>
      </c>
      <c r="F2173" s="3" t="s">
        <v>6213</v>
      </c>
      <c r="G2173" s="3" t="s">
        <v>4210</v>
      </c>
      <c r="H2173" s="3" t="s">
        <v>4374</v>
      </c>
      <c r="I2173" s="3" t="s">
        <v>6207</v>
      </c>
      <c r="J2173" s="5" t="s">
        <v>4375</v>
      </c>
      <c r="L2173" s="3" t="s">
        <v>8808</v>
      </c>
      <c r="M2173" s="3">
        <v>3</v>
      </c>
      <c r="N2173" s="4" t="s">
        <v>4337</v>
      </c>
      <c r="O2173" s="4">
        <v>117</v>
      </c>
      <c r="P2173" s="11" t="s">
        <v>6000</v>
      </c>
      <c r="Q2173" s="11" t="s">
        <v>10465</v>
      </c>
      <c r="R2173" s="4" t="s">
        <v>13121</v>
      </c>
      <c r="S2173" s="4" t="b">
        <f>ISNUMBER(MATCH(Q2173,T:T,0))</f>
        <v>0</v>
      </c>
      <c r="T2173" s="4" t="s">
        <v>10467</v>
      </c>
      <c r="U2173" s="4" t="str">
        <f t="shared" si="97"/>
        <v>議</v>
      </c>
      <c r="V2173" s="4" t="b">
        <f t="shared" ref="V2173:V2174" si="101">ISNUMBER(MATCH(R2173,T:T,0))</f>
        <v>1</v>
      </c>
    </row>
    <row r="2174" spans="1:22">
      <c r="A2174" s="3">
        <v>2172</v>
      </c>
      <c r="B2174" s="3" t="s">
        <v>4334</v>
      </c>
      <c r="C2174" s="3" t="s">
        <v>6072</v>
      </c>
      <c r="D2174" s="3" t="s">
        <v>6001</v>
      </c>
      <c r="E2174" s="3" t="s">
        <v>5991</v>
      </c>
      <c r="F2174" s="3" t="s">
        <v>6213</v>
      </c>
      <c r="G2174" s="3" t="s">
        <v>4210</v>
      </c>
      <c r="H2174" s="3" t="s">
        <v>4376</v>
      </c>
      <c r="I2174" s="3" t="s">
        <v>6207</v>
      </c>
      <c r="J2174" s="5" t="s">
        <v>9120</v>
      </c>
      <c r="L2174" s="3" t="s">
        <v>4368</v>
      </c>
      <c r="M2174" s="3">
        <v>3</v>
      </c>
      <c r="N2174" s="4" t="s">
        <v>4337</v>
      </c>
      <c r="O2174" s="4">
        <v>117</v>
      </c>
      <c r="P2174" s="11" t="s">
        <v>9754</v>
      </c>
      <c r="Q2174" s="11" t="s">
        <v>10465</v>
      </c>
      <c r="R2174" s="4" t="s">
        <v>13121</v>
      </c>
      <c r="S2174" s="4" t="b">
        <f>ISNUMBER(MATCH(Q2174,T:T,0))</f>
        <v>0</v>
      </c>
      <c r="T2174" s="4" t="s">
        <v>10201</v>
      </c>
      <c r="U2174" s="4" t="str">
        <f t="shared" si="97"/>
        <v>議</v>
      </c>
      <c r="V2174" s="4" t="b">
        <f t="shared" si="101"/>
        <v>1</v>
      </c>
    </row>
    <row r="2175" spans="1:22">
      <c r="A2175" s="3">
        <v>2173</v>
      </c>
      <c r="B2175" s="3" t="s">
        <v>4334</v>
      </c>
      <c r="C2175" s="3" t="s">
        <v>6005</v>
      </c>
      <c r="D2175" s="3" t="s">
        <v>6001</v>
      </c>
      <c r="E2175" s="3" t="s">
        <v>6212</v>
      </c>
      <c r="F2175" s="3" t="s">
        <v>6213</v>
      </c>
      <c r="G2175" s="3" t="s">
        <v>4210</v>
      </c>
      <c r="H2175" s="3" t="s">
        <v>795</v>
      </c>
      <c r="I2175" s="3" t="s">
        <v>6207</v>
      </c>
      <c r="J2175" s="5" t="s">
        <v>4377</v>
      </c>
      <c r="L2175" s="3" t="s">
        <v>4342</v>
      </c>
      <c r="M2175" s="3">
        <v>7</v>
      </c>
      <c r="N2175" s="4" t="s">
        <v>4337</v>
      </c>
      <c r="O2175" s="4">
        <v>117</v>
      </c>
      <c r="P2175" s="11" t="s">
        <v>10472</v>
      </c>
      <c r="Q2175" s="11" t="s">
        <v>10468</v>
      </c>
      <c r="S2175" s="4" t="b">
        <f>ISNUMBER(MATCH(Q2175,T:T,0))</f>
        <v>1</v>
      </c>
      <c r="T2175" s="4" t="s">
        <v>12042</v>
      </c>
      <c r="U2175" s="4" t="str">
        <f t="shared" si="97"/>
        <v>僞</v>
      </c>
    </row>
    <row r="2176" spans="1:22">
      <c r="A2176" s="3">
        <v>2174</v>
      </c>
      <c r="B2176" s="3" t="s">
        <v>4334</v>
      </c>
      <c r="C2176" s="3" t="s">
        <v>6055</v>
      </c>
      <c r="D2176" s="3" t="s">
        <v>6001</v>
      </c>
      <c r="E2176" s="3" t="s">
        <v>6212</v>
      </c>
      <c r="F2176" s="3" t="s">
        <v>6205</v>
      </c>
      <c r="G2176" s="3" t="s">
        <v>4210</v>
      </c>
      <c r="H2176" s="3" t="s">
        <v>796</v>
      </c>
      <c r="I2176" s="3" t="s">
        <v>6207</v>
      </c>
      <c r="J2176" s="5" t="s">
        <v>4378</v>
      </c>
      <c r="L2176" s="3" t="s">
        <v>4379</v>
      </c>
      <c r="M2176" s="3">
        <v>3</v>
      </c>
      <c r="N2176" s="4" t="s">
        <v>4337</v>
      </c>
      <c r="O2176" s="4">
        <v>117</v>
      </c>
      <c r="P2176" s="11" t="s">
        <v>9749</v>
      </c>
      <c r="Q2176" s="11" t="s">
        <v>10468</v>
      </c>
      <c r="S2176" s="4" t="b">
        <f>ISNUMBER(MATCH(Q2176,T:T,0))</f>
        <v>1</v>
      </c>
      <c r="T2176" s="4" t="s">
        <v>9806</v>
      </c>
      <c r="U2176" s="4" t="str">
        <f t="shared" si="97"/>
        <v>僞</v>
      </c>
    </row>
    <row r="2177" spans="1:22">
      <c r="A2177" s="3">
        <v>2175</v>
      </c>
      <c r="B2177" s="3" t="s">
        <v>4334</v>
      </c>
      <c r="C2177" s="3" t="s">
        <v>6089</v>
      </c>
      <c r="D2177" s="3" t="s">
        <v>6001</v>
      </c>
      <c r="E2177" s="3" t="s">
        <v>5991</v>
      </c>
      <c r="F2177" s="3" t="s">
        <v>6213</v>
      </c>
      <c r="G2177" s="3" t="s">
        <v>4210</v>
      </c>
      <c r="H2177" s="3" t="s">
        <v>4380</v>
      </c>
      <c r="I2177" s="3" t="s">
        <v>6207</v>
      </c>
      <c r="J2177" s="5" t="s">
        <v>9121</v>
      </c>
      <c r="L2177" s="3" t="s">
        <v>4381</v>
      </c>
      <c r="M2177" s="3">
        <v>2</v>
      </c>
      <c r="N2177" s="4" t="s">
        <v>4337</v>
      </c>
      <c r="O2177" s="4">
        <v>117</v>
      </c>
      <c r="P2177" s="11" t="s">
        <v>9797</v>
      </c>
      <c r="Q2177" s="11" t="s">
        <v>10465</v>
      </c>
      <c r="R2177" s="4" t="s">
        <v>13121</v>
      </c>
      <c r="S2177" s="4" t="b">
        <f>ISNUMBER(MATCH(Q2177,T:T,0))</f>
        <v>0</v>
      </c>
      <c r="T2177" s="4" t="s">
        <v>12043</v>
      </c>
      <c r="U2177" s="4" t="str">
        <f t="shared" si="97"/>
        <v>議</v>
      </c>
      <c r="V2177" s="4" t="b">
        <f>ISNUMBER(MATCH(R2177,T:T,0))</f>
        <v>1</v>
      </c>
    </row>
    <row r="2178" spans="1:22">
      <c r="A2178" s="3">
        <v>2176</v>
      </c>
      <c r="B2178" s="3" t="s">
        <v>4334</v>
      </c>
      <c r="C2178" s="3" t="s">
        <v>6038</v>
      </c>
      <c r="D2178" s="3" t="s">
        <v>6001</v>
      </c>
      <c r="E2178" s="3" t="s">
        <v>5991</v>
      </c>
      <c r="F2178" s="3" t="s">
        <v>6205</v>
      </c>
      <c r="G2178" s="3" t="s">
        <v>4210</v>
      </c>
      <c r="H2178" s="3" t="s">
        <v>4382</v>
      </c>
      <c r="I2178" s="3" t="s">
        <v>6207</v>
      </c>
      <c r="J2178" s="5" t="s">
        <v>4383</v>
      </c>
      <c r="L2178" s="3" t="s">
        <v>4384</v>
      </c>
      <c r="M2178" s="3">
        <v>6</v>
      </c>
      <c r="N2178" s="4" t="s">
        <v>4337</v>
      </c>
      <c r="O2178" s="4">
        <v>117</v>
      </c>
      <c r="P2178" s="11" t="s">
        <v>4210</v>
      </c>
      <c r="Q2178" s="11" t="s">
        <v>10467</v>
      </c>
      <c r="S2178" s="4" t="b">
        <f>ISNUMBER(MATCH(Q2178,T:T,0))</f>
        <v>1</v>
      </c>
      <c r="T2178" s="4" t="s">
        <v>10475</v>
      </c>
      <c r="U2178" s="4" t="str">
        <f t="shared" si="97"/>
        <v>智</v>
      </c>
    </row>
    <row r="2179" spans="1:22">
      <c r="A2179" s="3">
        <v>2177</v>
      </c>
      <c r="B2179" s="3" t="s">
        <v>4334</v>
      </c>
      <c r="C2179" s="3" t="s">
        <v>6072</v>
      </c>
      <c r="D2179" s="3" t="s">
        <v>6001</v>
      </c>
      <c r="E2179" s="3" t="s">
        <v>5991</v>
      </c>
      <c r="F2179" s="3" t="s">
        <v>6205</v>
      </c>
      <c r="G2179" s="3" t="s">
        <v>4210</v>
      </c>
      <c r="H2179" s="3" t="s">
        <v>4385</v>
      </c>
      <c r="I2179" s="3" t="s">
        <v>6207</v>
      </c>
      <c r="J2179" s="5" t="s">
        <v>9122</v>
      </c>
      <c r="L2179" s="3" t="s">
        <v>4368</v>
      </c>
      <c r="M2179" s="3">
        <v>3</v>
      </c>
      <c r="N2179" s="4" t="s">
        <v>4337</v>
      </c>
      <c r="O2179" s="4">
        <v>117</v>
      </c>
      <c r="P2179" s="11" t="s">
        <v>9754</v>
      </c>
      <c r="Q2179" s="11" t="s">
        <v>10470</v>
      </c>
      <c r="S2179" s="4" t="b">
        <f>ISNUMBER(MATCH(Q2179,T:T,0))</f>
        <v>1</v>
      </c>
      <c r="T2179" s="4" t="s">
        <v>12044</v>
      </c>
      <c r="U2179" s="4" t="str">
        <f t="shared" ref="U2179:U2242" si="102">IF(ISBLANK(R2179),Q2179,R2179)</f>
        <v>賜</v>
      </c>
    </row>
    <row r="2180" spans="1:22">
      <c r="A2180" s="3">
        <v>2178</v>
      </c>
      <c r="B2180" s="3" t="s">
        <v>4334</v>
      </c>
      <c r="C2180" s="3" t="s">
        <v>6120</v>
      </c>
      <c r="D2180" s="3" t="s">
        <v>6001</v>
      </c>
      <c r="E2180" s="3" t="s">
        <v>5991</v>
      </c>
      <c r="F2180" s="3" t="s">
        <v>6205</v>
      </c>
      <c r="G2180" s="3" t="s">
        <v>4210</v>
      </c>
      <c r="H2180" s="3" t="s">
        <v>4386</v>
      </c>
      <c r="I2180" s="3" t="s">
        <v>6207</v>
      </c>
      <c r="J2180" s="5" t="s">
        <v>9123</v>
      </c>
      <c r="L2180" s="3" t="s">
        <v>8760</v>
      </c>
      <c r="M2180" s="3">
        <v>13</v>
      </c>
      <c r="N2180" s="4" t="s">
        <v>4337</v>
      </c>
      <c r="O2180" s="4">
        <v>117</v>
      </c>
      <c r="P2180" s="11" t="s">
        <v>10210</v>
      </c>
      <c r="Q2180" s="11" t="s">
        <v>10467</v>
      </c>
      <c r="S2180" s="4" t="b">
        <f>ISNUMBER(MATCH(Q2180,T:T,0))</f>
        <v>1</v>
      </c>
      <c r="T2180" s="4" t="s">
        <v>12045</v>
      </c>
      <c r="U2180" s="4" t="str">
        <f t="shared" si="102"/>
        <v>智</v>
      </c>
    </row>
    <row r="2181" spans="1:22">
      <c r="A2181" s="3">
        <v>2179</v>
      </c>
      <c r="B2181" s="3" t="s">
        <v>4334</v>
      </c>
      <c r="C2181" s="3" t="s">
        <v>6180</v>
      </c>
      <c r="D2181" s="3" t="s">
        <v>6001</v>
      </c>
      <c r="E2181" s="3" t="s">
        <v>5991</v>
      </c>
      <c r="F2181" s="3" t="s">
        <v>6213</v>
      </c>
      <c r="G2181" s="3" t="s">
        <v>4210</v>
      </c>
      <c r="H2181" s="3" t="s">
        <v>4387</v>
      </c>
      <c r="I2181" s="3" t="s">
        <v>6207</v>
      </c>
      <c r="J2181" s="5" t="s">
        <v>4388</v>
      </c>
      <c r="L2181" s="3" t="s">
        <v>8760</v>
      </c>
      <c r="M2181" s="3">
        <v>5</v>
      </c>
      <c r="N2181" s="4" t="s">
        <v>4337</v>
      </c>
      <c r="O2181" s="4">
        <v>117</v>
      </c>
      <c r="P2181" s="11" t="s">
        <v>9774</v>
      </c>
      <c r="Q2181" s="11" t="s">
        <v>10469</v>
      </c>
      <c r="S2181" s="4" t="b">
        <f>ISNUMBER(MATCH(Q2181,T:T,0))</f>
        <v>1</v>
      </c>
      <c r="T2181" s="4" t="s">
        <v>12046</v>
      </c>
      <c r="U2181" s="4" t="str">
        <f t="shared" si="102"/>
        <v>寄</v>
      </c>
    </row>
    <row r="2182" spans="1:22">
      <c r="A2182" s="3">
        <v>2180</v>
      </c>
      <c r="B2182" s="3" t="s">
        <v>4334</v>
      </c>
      <c r="C2182" s="3" t="s">
        <v>6038</v>
      </c>
      <c r="D2182" s="3" t="s">
        <v>6001</v>
      </c>
      <c r="E2182" s="3" t="s">
        <v>6212</v>
      </c>
      <c r="F2182" s="3" t="s">
        <v>6205</v>
      </c>
      <c r="G2182" s="3" t="s">
        <v>4210</v>
      </c>
      <c r="H2182" s="3" t="s">
        <v>4389</v>
      </c>
      <c r="I2182" s="3" t="s">
        <v>6207</v>
      </c>
      <c r="J2182" s="5" t="s">
        <v>4390</v>
      </c>
      <c r="L2182" s="3" t="s">
        <v>4391</v>
      </c>
      <c r="M2182" s="3">
        <v>1</v>
      </c>
      <c r="N2182" s="4" t="s">
        <v>4337</v>
      </c>
      <c r="O2182" s="4">
        <v>117</v>
      </c>
      <c r="P2182" s="11" t="s">
        <v>10473</v>
      </c>
      <c r="Q2182" s="11" t="s">
        <v>10474</v>
      </c>
      <c r="R2182" s="4" t="s">
        <v>13122</v>
      </c>
      <c r="S2182" s="4" t="b">
        <f>ISNUMBER(MATCH(Q2182,T:T,0))</f>
        <v>0</v>
      </c>
      <c r="T2182" s="4" t="s">
        <v>4390</v>
      </c>
      <c r="U2182" s="4" t="str">
        <f t="shared" si="102"/>
        <v>睡</v>
      </c>
      <c r="V2182" s="4" t="b">
        <f>ISNUMBER(MATCH(R2182,T:T,0))</f>
        <v>1</v>
      </c>
    </row>
    <row r="2183" spans="1:22">
      <c r="A2183" s="3">
        <v>2181</v>
      </c>
      <c r="B2183" s="3" t="s">
        <v>4334</v>
      </c>
      <c r="C2183" s="3" t="s">
        <v>6072</v>
      </c>
      <c r="D2183" s="3" t="s">
        <v>6001</v>
      </c>
      <c r="E2183" s="3" t="s">
        <v>6212</v>
      </c>
      <c r="F2183" s="3" t="s">
        <v>6213</v>
      </c>
      <c r="G2183" s="3" t="s">
        <v>4210</v>
      </c>
      <c r="H2183" s="3" t="s">
        <v>797</v>
      </c>
      <c r="I2183" s="3" t="s">
        <v>6207</v>
      </c>
      <c r="J2183" s="5" t="s">
        <v>4392</v>
      </c>
      <c r="L2183" s="3" t="s">
        <v>4352</v>
      </c>
      <c r="M2183" s="3">
        <v>4</v>
      </c>
      <c r="N2183" s="4" t="s">
        <v>4337</v>
      </c>
      <c r="O2183" s="4">
        <v>117</v>
      </c>
      <c r="P2183" s="11" t="s">
        <v>9754</v>
      </c>
      <c r="Q2183" s="11" t="s">
        <v>10468</v>
      </c>
      <c r="S2183" s="4" t="b">
        <f>ISNUMBER(MATCH(Q2183,T:T,0))</f>
        <v>1</v>
      </c>
      <c r="T2183" s="4" t="s">
        <v>11675</v>
      </c>
      <c r="U2183" s="4" t="str">
        <f t="shared" si="102"/>
        <v>僞</v>
      </c>
    </row>
    <row r="2184" spans="1:22">
      <c r="A2184" s="3">
        <v>2182</v>
      </c>
      <c r="B2184" s="3" t="s">
        <v>4334</v>
      </c>
      <c r="C2184" s="3" t="s">
        <v>6092</v>
      </c>
      <c r="D2184" s="3" t="s">
        <v>6001</v>
      </c>
      <c r="E2184" s="3" t="s">
        <v>6212</v>
      </c>
      <c r="F2184" s="3" t="s">
        <v>6213</v>
      </c>
      <c r="G2184" s="3" t="s">
        <v>4210</v>
      </c>
      <c r="H2184" s="3" t="s">
        <v>4393</v>
      </c>
      <c r="I2184" s="3" t="s">
        <v>6207</v>
      </c>
      <c r="J2184" s="8" t="s">
        <v>9124</v>
      </c>
      <c r="L2184" s="3" t="s">
        <v>4352</v>
      </c>
      <c r="M2184" s="3">
        <v>1</v>
      </c>
      <c r="N2184" s="4" t="s">
        <v>4337</v>
      </c>
      <c r="O2184" s="4">
        <v>117</v>
      </c>
      <c r="P2184" s="11" t="s">
        <v>9802</v>
      </c>
      <c r="Q2184" s="11" t="s">
        <v>10466</v>
      </c>
      <c r="S2184" s="4" t="b">
        <f>ISNUMBER(MATCH(Q2184,T:T,0))</f>
        <v>1</v>
      </c>
      <c r="T2184" s="4" t="s">
        <v>10468</v>
      </c>
      <c r="U2184" s="4" t="str">
        <f t="shared" si="102"/>
        <v>睡</v>
      </c>
    </row>
    <row r="2185" spans="1:22">
      <c r="A2185" s="3">
        <v>2183</v>
      </c>
      <c r="B2185" s="3" t="s">
        <v>4334</v>
      </c>
      <c r="C2185" s="3" t="s">
        <v>6089</v>
      </c>
      <c r="D2185" s="3" t="s">
        <v>6001</v>
      </c>
      <c r="E2185" s="3" t="s">
        <v>6212</v>
      </c>
      <c r="F2185" s="3" t="s">
        <v>6213</v>
      </c>
      <c r="G2185" s="3" t="s">
        <v>4210</v>
      </c>
      <c r="H2185" s="3" t="s">
        <v>798</v>
      </c>
      <c r="I2185" s="3" t="s">
        <v>6207</v>
      </c>
      <c r="J2185" s="8" t="s">
        <v>4394</v>
      </c>
      <c r="L2185" s="3" t="s">
        <v>5869</v>
      </c>
      <c r="M2185" s="3">
        <v>1</v>
      </c>
      <c r="N2185" s="4" t="s">
        <v>4337</v>
      </c>
      <c r="O2185" s="4">
        <v>117</v>
      </c>
      <c r="P2185" s="11" t="s">
        <v>9858</v>
      </c>
      <c r="Q2185" s="11" t="s">
        <v>10468</v>
      </c>
      <c r="S2185" s="4" t="b">
        <f>ISNUMBER(MATCH(Q2185,T:T,0))</f>
        <v>1</v>
      </c>
      <c r="T2185" s="4" t="s">
        <v>4394</v>
      </c>
      <c r="U2185" s="4" t="str">
        <f t="shared" si="102"/>
        <v>僞</v>
      </c>
    </row>
    <row r="2186" spans="1:22">
      <c r="A2186" s="3">
        <v>2184</v>
      </c>
      <c r="B2186" s="3" t="s">
        <v>4334</v>
      </c>
      <c r="C2186" s="3" t="s">
        <v>6072</v>
      </c>
      <c r="D2186" s="3" t="s">
        <v>6001</v>
      </c>
      <c r="E2186" s="3" t="s">
        <v>6212</v>
      </c>
      <c r="F2186" s="3" t="s">
        <v>6205</v>
      </c>
      <c r="G2186" s="3" t="s">
        <v>4210</v>
      </c>
      <c r="H2186" s="3" t="s">
        <v>4395</v>
      </c>
      <c r="I2186" s="3" t="s">
        <v>6207</v>
      </c>
      <c r="J2186" s="5" t="s">
        <v>4396</v>
      </c>
      <c r="L2186" s="3" t="s">
        <v>4352</v>
      </c>
      <c r="M2186" s="3">
        <v>2</v>
      </c>
      <c r="N2186" s="4" t="s">
        <v>4337</v>
      </c>
      <c r="O2186" s="4">
        <v>117</v>
      </c>
      <c r="P2186" s="11" t="s">
        <v>9754</v>
      </c>
      <c r="Q2186" s="11" t="s">
        <v>4339</v>
      </c>
      <c r="S2186" s="4" t="b">
        <f>ISNUMBER(MATCH(Q2186,T:T,0))</f>
        <v>1</v>
      </c>
      <c r="T2186" s="4" t="s">
        <v>10476</v>
      </c>
      <c r="U2186" s="4" t="str">
        <f t="shared" si="102"/>
        <v>避</v>
      </c>
    </row>
    <row r="2187" spans="1:22">
      <c r="A2187" s="3">
        <v>2185</v>
      </c>
      <c r="B2187" s="3" t="s">
        <v>4334</v>
      </c>
      <c r="C2187" s="3" t="s">
        <v>6148</v>
      </c>
      <c r="D2187" s="3" t="s">
        <v>6001</v>
      </c>
      <c r="E2187" s="3" t="s">
        <v>6212</v>
      </c>
      <c r="F2187" s="3" t="s">
        <v>6205</v>
      </c>
      <c r="G2187" s="3" t="s">
        <v>4210</v>
      </c>
      <c r="H2187" s="3" t="s">
        <v>799</v>
      </c>
      <c r="I2187" s="3" t="s">
        <v>6207</v>
      </c>
      <c r="J2187" s="5" t="s">
        <v>4397</v>
      </c>
      <c r="L2187" s="3" t="s">
        <v>8868</v>
      </c>
      <c r="M2187" s="3">
        <v>4</v>
      </c>
      <c r="N2187" s="4" t="s">
        <v>4337</v>
      </c>
      <c r="O2187" s="4">
        <v>117</v>
      </c>
      <c r="P2187" s="11" t="s">
        <v>9784</v>
      </c>
      <c r="Q2187" s="11" t="s">
        <v>10468</v>
      </c>
      <c r="S2187" s="4" t="b">
        <f>ISNUMBER(MATCH(Q2187,T:T,0))</f>
        <v>1</v>
      </c>
      <c r="T2187" s="4" t="s">
        <v>10466</v>
      </c>
      <c r="U2187" s="4" t="str">
        <f t="shared" si="102"/>
        <v>僞</v>
      </c>
    </row>
    <row r="2188" spans="1:22">
      <c r="A2188" s="3">
        <v>2186</v>
      </c>
      <c r="B2188" s="3" t="s">
        <v>4334</v>
      </c>
      <c r="C2188" s="3" t="s">
        <v>6025</v>
      </c>
      <c r="D2188" s="3" t="s">
        <v>6001</v>
      </c>
      <c r="E2188" s="3" t="s">
        <v>5991</v>
      </c>
      <c r="F2188" s="3" t="s">
        <v>6205</v>
      </c>
      <c r="G2188" s="3" t="s">
        <v>4210</v>
      </c>
      <c r="H2188" s="3" t="s">
        <v>4398</v>
      </c>
      <c r="I2188" s="3" t="s">
        <v>6207</v>
      </c>
      <c r="J2188" s="8" t="s">
        <v>9125</v>
      </c>
      <c r="L2188" s="3" t="s">
        <v>8786</v>
      </c>
      <c r="M2188" s="3">
        <v>2</v>
      </c>
      <c r="N2188" s="4" t="s">
        <v>4337</v>
      </c>
      <c r="O2188" s="4">
        <v>117</v>
      </c>
      <c r="P2188" s="11" t="s">
        <v>9717</v>
      </c>
      <c r="Q2188" s="11" t="s">
        <v>10475</v>
      </c>
      <c r="S2188" s="4" t="b">
        <f>ISNUMBER(MATCH(Q2188,T:T,0))</f>
        <v>1</v>
      </c>
      <c r="T2188" s="4" t="s">
        <v>12047</v>
      </c>
      <c r="U2188" s="4" t="str">
        <f t="shared" si="102"/>
        <v>企</v>
      </c>
    </row>
    <row r="2189" spans="1:22">
      <c r="A2189" s="3">
        <v>2187</v>
      </c>
      <c r="B2189" s="3" t="s">
        <v>4334</v>
      </c>
      <c r="C2189" s="3" t="s">
        <v>6021</v>
      </c>
      <c r="D2189" s="3" t="s">
        <v>6001</v>
      </c>
      <c r="E2189" s="3" t="s">
        <v>6212</v>
      </c>
      <c r="F2189" s="3" t="s">
        <v>6205</v>
      </c>
      <c r="G2189" s="3" t="s">
        <v>4210</v>
      </c>
      <c r="H2189" s="3" t="s">
        <v>4399</v>
      </c>
      <c r="I2189" s="3" t="s">
        <v>6207</v>
      </c>
      <c r="J2189" s="5" t="s">
        <v>4400</v>
      </c>
      <c r="L2189" s="3" t="s">
        <v>4401</v>
      </c>
      <c r="M2189" s="3">
        <v>1</v>
      </c>
      <c r="N2189" s="4" t="s">
        <v>4337</v>
      </c>
      <c r="O2189" s="4">
        <v>117</v>
      </c>
      <c r="P2189" s="11" t="s">
        <v>9761</v>
      </c>
      <c r="Q2189" s="11" t="s">
        <v>10474</v>
      </c>
      <c r="R2189" s="4" t="s">
        <v>13122</v>
      </c>
      <c r="S2189" s="4" t="b">
        <f>ISNUMBER(MATCH(Q2189,T:T,0))</f>
        <v>0</v>
      </c>
      <c r="T2189" s="4" t="s">
        <v>4400</v>
      </c>
      <c r="U2189" s="4" t="str">
        <f t="shared" si="102"/>
        <v>睡</v>
      </c>
      <c r="V2189" s="4" t="b">
        <f>ISNUMBER(MATCH(R2189,T:T,0))</f>
        <v>1</v>
      </c>
    </row>
    <row r="2190" spans="1:22">
      <c r="A2190" s="3">
        <v>2188</v>
      </c>
      <c r="B2190" s="3" t="s">
        <v>4334</v>
      </c>
      <c r="C2190" s="3" t="s">
        <v>6055</v>
      </c>
      <c r="D2190" s="3" t="s">
        <v>6001</v>
      </c>
      <c r="E2190" s="3" t="s">
        <v>5991</v>
      </c>
      <c r="F2190" s="3" t="s">
        <v>6205</v>
      </c>
      <c r="G2190" s="3" t="s">
        <v>4210</v>
      </c>
      <c r="H2190" s="3" t="s">
        <v>4402</v>
      </c>
      <c r="I2190" s="3" t="s">
        <v>6207</v>
      </c>
      <c r="J2190" s="8" t="s">
        <v>4403</v>
      </c>
      <c r="L2190" s="3" t="s">
        <v>4404</v>
      </c>
      <c r="M2190" s="3">
        <v>1</v>
      </c>
      <c r="N2190" s="4" t="s">
        <v>4337</v>
      </c>
      <c r="O2190" s="4">
        <v>117</v>
      </c>
      <c r="P2190" s="11" t="s">
        <v>9992</v>
      </c>
      <c r="Q2190" s="11" t="s">
        <v>10471</v>
      </c>
      <c r="S2190" s="4" t="b">
        <f>ISNUMBER(MATCH(Q2190,T:T,0))</f>
        <v>1</v>
      </c>
      <c r="T2190" s="4" t="s">
        <v>4403</v>
      </c>
      <c r="U2190" s="4" t="str">
        <f t="shared" si="102"/>
        <v>豉</v>
      </c>
    </row>
    <row r="2191" spans="1:22">
      <c r="A2191" s="3">
        <v>2189</v>
      </c>
      <c r="B2191" s="3" t="s">
        <v>4334</v>
      </c>
      <c r="C2191" s="3" t="s">
        <v>6017</v>
      </c>
      <c r="D2191" s="3" t="s">
        <v>6001</v>
      </c>
      <c r="E2191" s="3" t="s">
        <v>6212</v>
      </c>
      <c r="F2191" s="3" t="s">
        <v>6205</v>
      </c>
      <c r="G2191" s="3" t="s">
        <v>4210</v>
      </c>
      <c r="H2191" s="3" t="s">
        <v>4405</v>
      </c>
      <c r="I2191" s="3" t="s">
        <v>6207</v>
      </c>
      <c r="J2191" s="5" t="s">
        <v>4406</v>
      </c>
      <c r="L2191" s="3" t="s">
        <v>8838</v>
      </c>
      <c r="M2191" s="3">
        <v>2</v>
      </c>
      <c r="N2191" s="4" t="s">
        <v>4337</v>
      </c>
      <c r="O2191" s="4">
        <v>117</v>
      </c>
      <c r="P2191" s="11" t="s">
        <v>9963</v>
      </c>
      <c r="Q2191" s="11" t="s">
        <v>4356</v>
      </c>
      <c r="S2191" s="4" t="b">
        <f>ISNUMBER(MATCH(Q2191,T:T,0))</f>
        <v>1</v>
      </c>
      <c r="T2191" s="4" t="s">
        <v>12048</v>
      </c>
      <c r="U2191" s="4" t="str">
        <f t="shared" si="102"/>
        <v>累</v>
      </c>
    </row>
    <row r="2192" spans="1:22">
      <c r="A2192" s="3">
        <v>2190</v>
      </c>
      <c r="B2192" s="3" t="s">
        <v>4334</v>
      </c>
      <c r="C2192" s="3" t="s">
        <v>6000</v>
      </c>
      <c r="D2192" s="3" t="s">
        <v>6001</v>
      </c>
      <c r="E2192" s="3" t="s">
        <v>6212</v>
      </c>
      <c r="F2192" s="3" t="s">
        <v>6213</v>
      </c>
      <c r="G2192" s="3" t="s">
        <v>4210</v>
      </c>
      <c r="H2192" s="3" t="s">
        <v>4407</v>
      </c>
      <c r="I2192" s="3" t="s">
        <v>6207</v>
      </c>
      <c r="J2192" s="5" t="s">
        <v>4408</v>
      </c>
      <c r="L2192" s="3" t="s">
        <v>4342</v>
      </c>
      <c r="M2192" s="3">
        <v>2</v>
      </c>
      <c r="N2192" s="4" t="s">
        <v>4337</v>
      </c>
      <c r="O2192" s="4">
        <v>117</v>
      </c>
      <c r="P2192" s="11" t="s">
        <v>9803</v>
      </c>
      <c r="Q2192" s="11" t="s">
        <v>10476</v>
      </c>
      <c r="S2192" s="4" t="b">
        <f>ISNUMBER(MATCH(Q2192,T:T,0))</f>
        <v>1</v>
      </c>
      <c r="T2192" s="4" t="s">
        <v>12049</v>
      </c>
      <c r="U2192" s="4" t="str">
        <f t="shared" si="102"/>
        <v>恚</v>
      </c>
    </row>
    <row r="2193" spans="1:22">
      <c r="A2193" s="3">
        <v>2191</v>
      </c>
      <c r="B2193" s="3" t="s">
        <v>4334</v>
      </c>
      <c r="C2193" s="3" t="s">
        <v>6028</v>
      </c>
      <c r="D2193" s="3" t="s">
        <v>6001</v>
      </c>
      <c r="E2193" s="3" t="s">
        <v>6212</v>
      </c>
      <c r="F2193" s="3" t="s">
        <v>6205</v>
      </c>
      <c r="G2193" s="3" t="s">
        <v>4210</v>
      </c>
      <c r="H2193" s="3" t="s">
        <v>4409</v>
      </c>
      <c r="I2193" s="3" t="s">
        <v>6207</v>
      </c>
      <c r="J2193" s="5" t="s">
        <v>4410</v>
      </c>
      <c r="L2193" s="3" t="s">
        <v>4352</v>
      </c>
      <c r="M2193" s="3">
        <v>4</v>
      </c>
      <c r="N2193" s="4" t="s">
        <v>4337</v>
      </c>
      <c r="O2193" s="4">
        <v>117</v>
      </c>
      <c r="P2193" s="11" t="s">
        <v>6028</v>
      </c>
      <c r="Q2193" s="11" t="s">
        <v>10466</v>
      </c>
      <c r="S2193" s="4" t="b">
        <f>ISNUMBER(MATCH(Q2193,T:T,0))</f>
        <v>1</v>
      </c>
      <c r="T2193" s="4" t="s">
        <v>12050</v>
      </c>
      <c r="U2193" s="4" t="str">
        <f t="shared" si="102"/>
        <v>睡</v>
      </c>
    </row>
    <row r="2194" spans="1:22">
      <c r="A2194" s="3">
        <v>2192</v>
      </c>
      <c r="B2194" s="3" t="s">
        <v>4334</v>
      </c>
      <c r="C2194" s="3" t="s">
        <v>6137</v>
      </c>
      <c r="D2194" s="3" t="s">
        <v>6001</v>
      </c>
      <c r="E2194" s="3" t="s">
        <v>6212</v>
      </c>
      <c r="F2194" s="3" t="s">
        <v>6213</v>
      </c>
      <c r="G2194" s="3" t="s">
        <v>4210</v>
      </c>
      <c r="H2194" s="3" t="s">
        <v>4411</v>
      </c>
      <c r="I2194" s="3" t="s">
        <v>6207</v>
      </c>
      <c r="J2194" s="5" t="s">
        <v>4412</v>
      </c>
      <c r="L2194" s="3" t="s">
        <v>4413</v>
      </c>
      <c r="M2194" s="3">
        <v>3</v>
      </c>
      <c r="N2194" s="4" t="s">
        <v>4337</v>
      </c>
      <c r="O2194" s="4">
        <v>117</v>
      </c>
      <c r="P2194" s="11" t="s">
        <v>9755</v>
      </c>
      <c r="Q2194" s="11" t="s">
        <v>10476</v>
      </c>
      <c r="S2194" s="4" t="b">
        <f>ISNUMBER(MATCH(Q2194,T:T,0))</f>
        <v>1</v>
      </c>
      <c r="T2194" s="4" t="s">
        <v>12051</v>
      </c>
      <c r="U2194" s="4" t="str">
        <f t="shared" si="102"/>
        <v>恚</v>
      </c>
    </row>
    <row r="2195" spans="1:22">
      <c r="A2195" s="3">
        <v>2193</v>
      </c>
      <c r="B2195" s="3" t="s">
        <v>4334</v>
      </c>
      <c r="C2195" s="3" t="s">
        <v>6025</v>
      </c>
      <c r="D2195" s="3" t="s">
        <v>6001</v>
      </c>
      <c r="E2195" s="3" t="s">
        <v>6212</v>
      </c>
      <c r="F2195" s="3" t="s">
        <v>6205</v>
      </c>
      <c r="G2195" s="3" t="s">
        <v>4210</v>
      </c>
      <c r="H2195" s="3" t="s">
        <v>4414</v>
      </c>
      <c r="I2195" s="3" t="s">
        <v>6207</v>
      </c>
      <c r="J2195" s="5" t="s">
        <v>4415</v>
      </c>
      <c r="L2195" s="3" t="s">
        <v>8857</v>
      </c>
      <c r="M2195" s="3">
        <v>1</v>
      </c>
      <c r="N2195" s="4" t="s">
        <v>4337</v>
      </c>
      <c r="O2195" s="4">
        <v>117</v>
      </c>
      <c r="P2195" s="11" t="s">
        <v>9782</v>
      </c>
      <c r="Q2195" s="11" t="s">
        <v>10476</v>
      </c>
      <c r="S2195" s="4" t="b">
        <f>ISNUMBER(MATCH(Q2195,T:T,0))</f>
        <v>1</v>
      </c>
      <c r="T2195" s="4" t="s">
        <v>4415</v>
      </c>
      <c r="U2195" s="4" t="str">
        <f t="shared" si="102"/>
        <v>恚</v>
      </c>
    </row>
    <row r="2196" spans="1:22">
      <c r="A2196" s="3">
        <v>2194</v>
      </c>
      <c r="B2196" s="3" t="s">
        <v>4334</v>
      </c>
      <c r="C2196" s="3" t="s">
        <v>6318</v>
      </c>
      <c r="D2196" s="3" t="s">
        <v>6001</v>
      </c>
      <c r="E2196" s="3" t="s">
        <v>5991</v>
      </c>
      <c r="F2196" s="3" t="s">
        <v>6213</v>
      </c>
      <c r="G2196" s="3" t="s">
        <v>4210</v>
      </c>
      <c r="H2196" s="3" t="s">
        <v>4416</v>
      </c>
      <c r="I2196" s="3" t="s">
        <v>6207</v>
      </c>
      <c r="J2196" s="5" t="s">
        <v>4417</v>
      </c>
      <c r="L2196" s="3" t="s">
        <v>8808</v>
      </c>
      <c r="M2196" s="3">
        <v>2</v>
      </c>
      <c r="N2196" s="4" t="s">
        <v>4337</v>
      </c>
      <c r="O2196" s="4">
        <v>117</v>
      </c>
      <c r="P2196" s="11" t="s">
        <v>10477</v>
      </c>
      <c r="Q2196" s="11" t="s">
        <v>10465</v>
      </c>
      <c r="R2196" s="4" t="s">
        <v>13121</v>
      </c>
      <c r="S2196" s="4" t="b">
        <f>ISNUMBER(MATCH(Q2196,T:T,0))</f>
        <v>0</v>
      </c>
      <c r="T2196" s="4" t="s">
        <v>12052</v>
      </c>
      <c r="U2196" s="4" t="str">
        <f t="shared" si="102"/>
        <v>議</v>
      </c>
      <c r="V2196" s="4" t="b">
        <f>ISNUMBER(MATCH(R2196,T:T,0))</f>
        <v>1</v>
      </c>
    </row>
    <row r="2197" spans="1:22">
      <c r="A2197" s="3">
        <v>2195</v>
      </c>
      <c r="B2197" s="3" t="s">
        <v>4334</v>
      </c>
      <c r="C2197" s="3" t="s">
        <v>6089</v>
      </c>
      <c r="D2197" s="3" t="s">
        <v>6001</v>
      </c>
      <c r="E2197" s="3" t="s">
        <v>6212</v>
      </c>
      <c r="F2197" s="3" t="s">
        <v>6205</v>
      </c>
      <c r="G2197" s="3" t="s">
        <v>4210</v>
      </c>
      <c r="H2197" s="3" t="s">
        <v>4418</v>
      </c>
      <c r="I2197" s="3" t="s">
        <v>6207</v>
      </c>
      <c r="J2197" s="5" t="s">
        <v>4419</v>
      </c>
      <c r="L2197" s="3" t="s">
        <v>5869</v>
      </c>
      <c r="M2197" s="3">
        <v>1</v>
      </c>
      <c r="N2197" s="4" t="s">
        <v>4337</v>
      </c>
      <c r="O2197" s="4">
        <v>117</v>
      </c>
      <c r="P2197" s="11" t="s">
        <v>9739</v>
      </c>
      <c r="Q2197" s="11" t="s">
        <v>10476</v>
      </c>
      <c r="S2197" s="4" t="b">
        <f>ISNUMBER(MATCH(Q2197,T:T,0))</f>
        <v>1</v>
      </c>
      <c r="T2197" s="4" t="s">
        <v>4419</v>
      </c>
      <c r="U2197" s="4" t="str">
        <f t="shared" si="102"/>
        <v>恚</v>
      </c>
    </row>
    <row r="2198" spans="1:22">
      <c r="A2198" s="3">
        <v>2196</v>
      </c>
      <c r="B2198" s="3" t="s">
        <v>4334</v>
      </c>
      <c r="C2198" s="3" t="s">
        <v>6038</v>
      </c>
      <c r="D2198" s="3" t="s">
        <v>6001</v>
      </c>
      <c r="E2198" s="3" t="s">
        <v>5991</v>
      </c>
      <c r="F2198" s="3" t="s">
        <v>6213</v>
      </c>
      <c r="G2198" s="3" t="s">
        <v>4210</v>
      </c>
      <c r="H2198" s="3" t="s">
        <v>4420</v>
      </c>
      <c r="I2198" s="3" t="s">
        <v>6207</v>
      </c>
      <c r="J2198" s="5" t="s">
        <v>4421</v>
      </c>
      <c r="L2198" s="3" t="s">
        <v>4384</v>
      </c>
      <c r="M2198" s="3">
        <v>2</v>
      </c>
      <c r="N2198" s="4" t="s">
        <v>4337</v>
      </c>
      <c r="O2198" s="4">
        <v>117</v>
      </c>
      <c r="P2198" s="11" t="s">
        <v>1131</v>
      </c>
      <c r="Q2198" s="11" t="s">
        <v>10465</v>
      </c>
      <c r="R2198" s="4" t="s">
        <v>13121</v>
      </c>
      <c r="S2198" s="4" t="b">
        <f>ISNUMBER(MATCH(Q2198,T:T,0))</f>
        <v>0</v>
      </c>
      <c r="T2198" s="4" t="s">
        <v>12053</v>
      </c>
      <c r="U2198" s="4" t="str">
        <f t="shared" si="102"/>
        <v>議</v>
      </c>
      <c r="V2198" s="4" t="b">
        <f>ISNUMBER(MATCH(R2198,T:T,0))</f>
        <v>1</v>
      </c>
    </row>
    <row r="2199" spans="1:22">
      <c r="A2199" s="3">
        <v>2197</v>
      </c>
      <c r="B2199" s="3" t="s">
        <v>4422</v>
      </c>
      <c r="C2199" s="3" t="s">
        <v>6009</v>
      </c>
      <c r="D2199" s="3" t="s">
        <v>6001</v>
      </c>
      <c r="E2199" s="3" t="s">
        <v>5991</v>
      </c>
      <c r="F2199" s="3" t="s">
        <v>6328</v>
      </c>
      <c r="G2199" s="3" t="s">
        <v>4210</v>
      </c>
      <c r="H2199" s="3" t="s">
        <v>4423</v>
      </c>
      <c r="I2199" s="3" t="s">
        <v>6207</v>
      </c>
      <c r="J2199" s="5" t="s">
        <v>9126</v>
      </c>
      <c r="K2199" s="3" t="s">
        <v>615</v>
      </c>
      <c r="L2199" s="3" t="s">
        <v>8808</v>
      </c>
      <c r="M2199" s="3">
        <v>13</v>
      </c>
      <c r="N2199" s="4" t="s">
        <v>9657</v>
      </c>
      <c r="O2199" s="4">
        <v>118</v>
      </c>
      <c r="P2199" s="11" t="s">
        <v>9629</v>
      </c>
      <c r="Q2199" s="11" t="s">
        <v>10478</v>
      </c>
      <c r="S2199" s="4" t="b">
        <f>ISNUMBER(MATCH(Q2199,T:T,0))</f>
        <v>1</v>
      </c>
      <c r="T2199" s="4" t="s">
        <v>9657</v>
      </c>
      <c r="U2199" s="4" t="str">
        <f t="shared" si="102"/>
        <v>利</v>
      </c>
    </row>
    <row r="2200" spans="1:22">
      <c r="A2200" s="3">
        <v>2198</v>
      </c>
      <c r="B2200" s="3" t="s">
        <v>4422</v>
      </c>
      <c r="C2200" s="3" t="s">
        <v>6032</v>
      </c>
      <c r="D2200" s="3" t="s">
        <v>6001</v>
      </c>
      <c r="E2200" s="3" t="s">
        <v>6212</v>
      </c>
      <c r="F2200" s="3" t="s">
        <v>6332</v>
      </c>
      <c r="G2200" s="3" t="s">
        <v>4210</v>
      </c>
      <c r="H2200" s="3" t="s">
        <v>4424</v>
      </c>
      <c r="I2200" s="3" t="s">
        <v>6207</v>
      </c>
      <c r="J2200" s="5" t="s">
        <v>4425</v>
      </c>
      <c r="L2200" s="3" t="s">
        <v>4352</v>
      </c>
      <c r="M2200" s="3">
        <v>1</v>
      </c>
      <c r="N2200" s="4" t="s">
        <v>9657</v>
      </c>
      <c r="O2200" s="4">
        <v>118</v>
      </c>
      <c r="P2200" s="11" t="s">
        <v>9859</v>
      </c>
      <c r="Q2200" s="11" t="s">
        <v>10479</v>
      </c>
      <c r="S2200" s="4" t="b">
        <f>ISNUMBER(MATCH(Q2200,T:T,0))</f>
        <v>1</v>
      </c>
      <c r="T2200" s="4" t="s">
        <v>4425</v>
      </c>
      <c r="U2200" s="4" t="str">
        <f t="shared" si="102"/>
        <v>愧</v>
      </c>
    </row>
    <row r="2201" spans="1:22">
      <c r="A2201" s="3">
        <v>2199</v>
      </c>
      <c r="B2201" s="3" t="s">
        <v>4422</v>
      </c>
      <c r="C2201" s="3" t="s">
        <v>6035</v>
      </c>
      <c r="D2201" s="3" t="s">
        <v>6001</v>
      </c>
      <c r="E2201" s="3" t="s">
        <v>5991</v>
      </c>
      <c r="F2201" s="3" t="s">
        <v>6332</v>
      </c>
      <c r="G2201" s="3" t="s">
        <v>4210</v>
      </c>
      <c r="H2201" s="3" t="s">
        <v>4426</v>
      </c>
      <c r="I2201" s="3" t="s">
        <v>6207</v>
      </c>
      <c r="J2201" s="5" t="s">
        <v>9127</v>
      </c>
      <c r="L2201" s="3" t="s">
        <v>4427</v>
      </c>
      <c r="M2201" s="3">
        <v>10</v>
      </c>
      <c r="N2201" s="4" t="s">
        <v>9657</v>
      </c>
      <c r="O2201" s="4">
        <v>118</v>
      </c>
      <c r="P2201" s="11" t="s">
        <v>6035</v>
      </c>
      <c r="Q2201" s="11" t="s">
        <v>10480</v>
      </c>
      <c r="S2201" s="4" t="b">
        <f>ISNUMBER(MATCH(Q2201,T:T,0))</f>
        <v>1</v>
      </c>
      <c r="T2201" s="4" t="s">
        <v>12054</v>
      </c>
      <c r="U2201" s="4" t="str">
        <f t="shared" si="102"/>
        <v>祕</v>
      </c>
    </row>
    <row r="2202" spans="1:22" ht="39">
      <c r="A2202" s="3">
        <v>2200</v>
      </c>
      <c r="B2202" s="3" t="s">
        <v>4422</v>
      </c>
      <c r="C2202" s="3" t="s">
        <v>6123</v>
      </c>
      <c r="D2202" s="3" t="s">
        <v>6001</v>
      </c>
      <c r="E2202" s="3" t="s">
        <v>6212</v>
      </c>
      <c r="F2202" s="3" t="s">
        <v>6328</v>
      </c>
      <c r="G2202" s="3" t="s">
        <v>4210</v>
      </c>
      <c r="H2202" s="3" t="s">
        <v>4428</v>
      </c>
      <c r="I2202" s="3" t="s">
        <v>6207</v>
      </c>
      <c r="J2202" s="5" t="s">
        <v>9128</v>
      </c>
      <c r="L2202" s="3" t="s">
        <v>8838</v>
      </c>
      <c r="M2202" s="3">
        <v>24</v>
      </c>
      <c r="N2202" s="4" t="s">
        <v>9657</v>
      </c>
      <c r="O2202" s="4">
        <v>118</v>
      </c>
      <c r="P2202" s="11" t="s">
        <v>10110</v>
      </c>
      <c r="Q2202" s="11" t="s">
        <v>9823</v>
      </c>
      <c r="S2202" s="4" t="b">
        <f>ISNUMBER(MATCH(Q2202,T:T,0))</f>
        <v>1</v>
      </c>
      <c r="T2202" s="4" t="s">
        <v>10481</v>
      </c>
      <c r="U2202" s="4" t="str">
        <f t="shared" si="102"/>
        <v>醉</v>
      </c>
    </row>
    <row r="2203" spans="1:22">
      <c r="A2203" s="3">
        <v>2201</v>
      </c>
      <c r="B2203" s="3" t="s">
        <v>4422</v>
      </c>
      <c r="C2203" s="3" t="s">
        <v>6083</v>
      </c>
      <c r="D2203" s="3" t="s">
        <v>6001</v>
      </c>
      <c r="E2203" s="3" t="s">
        <v>6212</v>
      </c>
      <c r="F2203" s="3" t="s">
        <v>6328</v>
      </c>
      <c r="G2203" s="3" t="s">
        <v>4210</v>
      </c>
      <c r="H2203" s="3" t="s">
        <v>4429</v>
      </c>
      <c r="I2203" s="3" t="s">
        <v>6207</v>
      </c>
      <c r="J2203" s="5" t="s">
        <v>4430</v>
      </c>
      <c r="L2203" s="3" t="s">
        <v>8848</v>
      </c>
      <c r="M2203" s="3">
        <v>2</v>
      </c>
      <c r="N2203" s="4" t="s">
        <v>9657</v>
      </c>
      <c r="O2203" s="4">
        <v>118</v>
      </c>
      <c r="P2203" s="11" t="s">
        <v>9933</v>
      </c>
      <c r="Q2203" s="11" t="s">
        <v>10481</v>
      </c>
      <c r="S2203" s="4" t="b">
        <f>ISNUMBER(MATCH(Q2203,T:T,0))</f>
        <v>1</v>
      </c>
      <c r="T2203" s="4" t="s">
        <v>9823</v>
      </c>
      <c r="U2203" s="4" t="str">
        <f t="shared" si="102"/>
        <v>遂</v>
      </c>
    </row>
    <row r="2204" spans="1:22">
      <c r="A2204" s="3">
        <v>2202</v>
      </c>
      <c r="B2204" s="3" t="s">
        <v>4422</v>
      </c>
      <c r="C2204" s="3" t="s">
        <v>6017</v>
      </c>
      <c r="D2204" s="3" t="s">
        <v>6001</v>
      </c>
      <c r="E2204" s="3" t="s">
        <v>6212</v>
      </c>
      <c r="F2204" s="3" t="s">
        <v>6328</v>
      </c>
      <c r="G2204" s="3" t="s">
        <v>4210</v>
      </c>
      <c r="H2204" s="3" t="s">
        <v>4431</v>
      </c>
      <c r="I2204" s="3" t="s">
        <v>6207</v>
      </c>
      <c r="J2204" s="5" t="s">
        <v>9129</v>
      </c>
      <c r="L2204" s="3" t="s">
        <v>8838</v>
      </c>
      <c r="M2204" s="3">
        <v>9</v>
      </c>
      <c r="N2204" s="4" t="s">
        <v>9657</v>
      </c>
      <c r="O2204" s="4">
        <v>118</v>
      </c>
      <c r="P2204" s="11" t="s">
        <v>10482</v>
      </c>
      <c r="Q2204" s="11" t="s">
        <v>10481</v>
      </c>
      <c r="S2204" s="4" t="b">
        <f>ISNUMBER(MATCH(Q2204,T:T,0))</f>
        <v>1</v>
      </c>
      <c r="T2204" s="4" t="s">
        <v>12055</v>
      </c>
      <c r="U2204" s="4" t="str">
        <f t="shared" si="102"/>
        <v>遂</v>
      </c>
    </row>
    <row r="2205" spans="1:22">
      <c r="A2205" s="3">
        <v>2203</v>
      </c>
      <c r="B2205" s="3" t="s">
        <v>4422</v>
      </c>
      <c r="C2205" s="3" t="s">
        <v>6058</v>
      </c>
      <c r="D2205" s="3" t="s">
        <v>6001</v>
      </c>
      <c r="E2205" s="3" t="s">
        <v>6212</v>
      </c>
      <c r="F2205" s="3" t="s">
        <v>6328</v>
      </c>
      <c r="G2205" s="3" t="s">
        <v>4210</v>
      </c>
      <c r="H2205" s="3" t="s">
        <v>4432</v>
      </c>
      <c r="I2205" s="3" t="s">
        <v>6207</v>
      </c>
      <c r="J2205" s="5" t="s">
        <v>9130</v>
      </c>
      <c r="L2205" s="3" t="s">
        <v>4357</v>
      </c>
      <c r="M2205" s="3">
        <v>9</v>
      </c>
      <c r="N2205" s="4" t="s">
        <v>9657</v>
      </c>
      <c r="O2205" s="4">
        <v>118</v>
      </c>
      <c r="P2205" s="11" t="s">
        <v>9727</v>
      </c>
      <c r="Q2205" s="11" t="s">
        <v>10481</v>
      </c>
      <c r="S2205" s="4" t="b">
        <f>ISNUMBER(MATCH(Q2205,T:T,0))</f>
        <v>1</v>
      </c>
      <c r="T2205" s="4" t="s">
        <v>10485</v>
      </c>
      <c r="U2205" s="4" t="str">
        <f t="shared" si="102"/>
        <v>遂</v>
      </c>
    </row>
    <row r="2206" spans="1:22">
      <c r="A2206" s="3">
        <v>2204</v>
      </c>
      <c r="B2206" s="3" t="s">
        <v>4422</v>
      </c>
      <c r="C2206" s="3" t="s">
        <v>6049</v>
      </c>
      <c r="D2206" s="3" t="s">
        <v>6001</v>
      </c>
      <c r="E2206" s="3" t="s">
        <v>5991</v>
      </c>
      <c r="F2206" s="3" t="s">
        <v>6332</v>
      </c>
      <c r="G2206" s="3" t="s">
        <v>4210</v>
      </c>
      <c r="H2206" s="3" t="s">
        <v>4433</v>
      </c>
      <c r="I2206" s="3" t="s">
        <v>6207</v>
      </c>
      <c r="J2206" s="5" t="s">
        <v>4434</v>
      </c>
      <c r="L2206" s="3" t="s">
        <v>8899</v>
      </c>
      <c r="M2206" s="3">
        <v>15</v>
      </c>
      <c r="N2206" s="4" t="s">
        <v>9657</v>
      </c>
      <c r="O2206" s="4">
        <v>118</v>
      </c>
      <c r="P2206" s="11" t="s">
        <v>1126</v>
      </c>
      <c r="Q2206" s="11" t="s">
        <v>10483</v>
      </c>
      <c r="R2206" s="4" t="s">
        <v>13123</v>
      </c>
      <c r="S2206" s="4" t="b">
        <f>ISNUMBER(MATCH(Q2206,T:T,0))</f>
        <v>0</v>
      </c>
      <c r="T2206" s="4" t="s">
        <v>10480</v>
      </c>
      <c r="U2206" s="4" t="str">
        <f t="shared" si="102"/>
        <v>郿</v>
      </c>
      <c r="V2206" s="4" t="b">
        <f>ISNUMBER(MATCH(R2206,T:T,0))</f>
        <v>1</v>
      </c>
    </row>
    <row r="2207" spans="1:22">
      <c r="A2207" s="3">
        <v>2205</v>
      </c>
      <c r="B2207" s="3" t="s">
        <v>4422</v>
      </c>
      <c r="C2207" s="3" t="s">
        <v>6041</v>
      </c>
      <c r="D2207" s="3" t="s">
        <v>6001</v>
      </c>
      <c r="E2207" s="3" t="s">
        <v>6212</v>
      </c>
      <c r="F2207" s="3" t="s">
        <v>6332</v>
      </c>
      <c r="G2207" s="3" t="s">
        <v>4210</v>
      </c>
      <c r="H2207" s="3" t="s">
        <v>4435</v>
      </c>
      <c r="I2207" s="3" t="s">
        <v>6207</v>
      </c>
      <c r="J2207" s="5" t="s">
        <v>9131</v>
      </c>
      <c r="L2207" s="3" t="s">
        <v>8857</v>
      </c>
      <c r="M2207" s="3">
        <v>11</v>
      </c>
      <c r="N2207" s="4" t="s">
        <v>9657</v>
      </c>
      <c r="O2207" s="4">
        <v>118</v>
      </c>
      <c r="P2207" s="11" t="s">
        <v>10062</v>
      </c>
      <c r="Q2207" s="11" t="s">
        <v>4425</v>
      </c>
      <c r="S2207" s="4" t="b">
        <f>ISNUMBER(MATCH(Q2207,T:T,0))</f>
        <v>1</v>
      </c>
      <c r="T2207" s="4" t="s">
        <v>12056</v>
      </c>
      <c r="U2207" s="4" t="str">
        <f t="shared" si="102"/>
        <v>位</v>
      </c>
    </row>
    <row r="2208" spans="1:22">
      <c r="A2208" s="3">
        <v>2206</v>
      </c>
      <c r="B2208" s="3" t="s">
        <v>4422</v>
      </c>
      <c r="C2208" s="3" t="s">
        <v>6053</v>
      </c>
      <c r="D2208" s="3" t="s">
        <v>6001</v>
      </c>
      <c r="E2208" s="3" t="s">
        <v>5991</v>
      </c>
      <c r="F2208" s="3" t="s">
        <v>6332</v>
      </c>
      <c r="G2208" s="3" t="s">
        <v>4210</v>
      </c>
      <c r="H2208" s="3" t="s">
        <v>4436</v>
      </c>
      <c r="I2208" s="3" t="s">
        <v>6207</v>
      </c>
      <c r="J2208" s="5" t="s">
        <v>9132</v>
      </c>
      <c r="L2208" s="3" t="s">
        <v>8768</v>
      </c>
      <c r="M2208" s="3">
        <v>6</v>
      </c>
      <c r="N2208" s="4" t="s">
        <v>9657</v>
      </c>
      <c r="O2208" s="4">
        <v>118</v>
      </c>
      <c r="P2208" s="11" t="s">
        <v>9772</v>
      </c>
      <c r="Q2208" s="11" t="s">
        <v>10484</v>
      </c>
      <c r="S2208" s="4" t="b">
        <f>ISNUMBER(MATCH(Q2208,T:T,0))</f>
        <v>1</v>
      </c>
      <c r="T2208" s="4" t="s">
        <v>12057</v>
      </c>
      <c r="U2208" s="4" t="str">
        <f t="shared" si="102"/>
        <v>備</v>
      </c>
    </row>
    <row r="2209" spans="1:21">
      <c r="A2209" s="3">
        <v>2207</v>
      </c>
      <c r="B2209" s="3" t="s">
        <v>4422</v>
      </c>
      <c r="C2209" s="3" t="s">
        <v>6045</v>
      </c>
      <c r="D2209" s="3" t="s">
        <v>6001</v>
      </c>
      <c r="E2209" s="3" t="s">
        <v>5991</v>
      </c>
      <c r="F2209" s="3" t="s">
        <v>6332</v>
      </c>
      <c r="G2209" s="3" t="s">
        <v>4210</v>
      </c>
      <c r="H2209" s="3" t="s">
        <v>4437</v>
      </c>
      <c r="I2209" s="3" t="s">
        <v>6207</v>
      </c>
      <c r="J2209" s="5" t="s">
        <v>9133</v>
      </c>
      <c r="L2209" s="3" t="s">
        <v>8899</v>
      </c>
      <c r="M2209" s="3">
        <v>17</v>
      </c>
      <c r="N2209" s="4" t="s">
        <v>9657</v>
      </c>
      <c r="O2209" s="4">
        <v>118</v>
      </c>
      <c r="P2209" s="11" t="s">
        <v>5993</v>
      </c>
      <c r="Q2209" s="11" t="s">
        <v>10480</v>
      </c>
      <c r="S2209" s="4" t="b">
        <f>ISNUMBER(MATCH(Q2209,T:T,0))</f>
        <v>1</v>
      </c>
      <c r="T2209" s="4" t="s">
        <v>10484</v>
      </c>
      <c r="U2209" s="4" t="str">
        <f t="shared" si="102"/>
        <v>祕</v>
      </c>
    </row>
    <row r="2210" spans="1:21">
      <c r="A2210" s="3">
        <v>2208</v>
      </c>
      <c r="B2210" s="3" t="s">
        <v>4422</v>
      </c>
      <c r="C2210" s="3" t="s">
        <v>6025</v>
      </c>
      <c r="D2210" s="3" t="s">
        <v>6001</v>
      </c>
      <c r="E2210" s="3" t="s">
        <v>6212</v>
      </c>
      <c r="F2210" s="3" t="s">
        <v>6332</v>
      </c>
      <c r="G2210" s="3" t="s">
        <v>4210</v>
      </c>
      <c r="H2210" s="3" t="s">
        <v>4438</v>
      </c>
      <c r="I2210" s="3" t="s">
        <v>6207</v>
      </c>
      <c r="J2210" s="5" t="s">
        <v>9134</v>
      </c>
      <c r="L2210" s="3" t="s">
        <v>8857</v>
      </c>
      <c r="M2210" s="3">
        <v>6</v>
      </c>
      <c r="N2210" s="4" t="s">
        <v>9657</v>
      </c>
      <c r="O2210" s="4">
        <v>118</v>
      </c>
      <c r="P2210" s="11" t="s">
        <v>9854</v>
      </c>
      <c r="Q2210" s="11" t="s">
        <v>4425</v>
      </c>
      <c r="S2210" s="4" t="b">
        <f>ISNUMBER(MATCH(Q2210,T:T,0))</f>
        <v>1</v>
      </c>
      <c r="T2210" s="4" t="s">
        <v>10479</v>
      </c>
      <c r="U2210" s="4" t="str">
        <f t="shared" si="102"/>
        <v>位</v>
      </c>
    </row>
    <row r="2211" spans="1:21" ht="28.5">
      <c r="A2211" s="3">
        <v>2209</v>
      </c>
      <c r="B2211" s="3" t="s">
        <v>4422</v>
      </c>
      <c r="C2211" s="3" t="s">
        <v>6180</v>
      </c>
      <c r="D2211" s="3" t="s">
        <v>6001</v>
      </c>
      <c r="E2211" s="3" t="s">
        <v>6212</v>
      </c>
      <c r="F2211" s="3" t="s">
        <v>6332</v>
      </c>
      <c r="G2211" s="3" t="s">
        <v>4210</v>
      </c>
      <c r="H2211" s="3" t="s">
        <v>4439</v>
      </c>
      <c r="I2211" s="3" t="s">
        <v>6207</v>
      </c>
      <c r="J2211" s="5" t="s">
        <v>4440</v>
      </c>
      <c r="L2211" s="3" t="s">
        <v>4441</v>
      </c>
      <c r="M2211" s="3">
        <v>2</v>
      </c>
      <c r="N2211" s="4" t="s">
        <v>9657</v>
      </c>
      <c r="O2211" s="4">
        <v>118</v>
      </c>
      <c r="P2211" s="11" t="s">
        <v>9774</v>
      </c>
      <c r="Q2211" s="11" t="s">
        <v>10485</v>
      </c>
      <c r="S2211" s="4" t="b">
        <f>ISNUMBER(MATCH(Q2211,T:T,0))</f>
        <v>1</v>
      </c>
      <c r="T2211" s="4" t="s">
        <v>12058</v>
      </c>
      <c r="U2211" s="4" t="str">
        <f t="shared" si="102"/>
        <v>類</v>
      </c>
    </row>
    <row r="2212" spans="1:21">
      <c r="A2212" s="3">
        <v>2210</v>
      </c>
      <c r="B2212" s="3" t="s">
        <v>4422</v>
      </c>
      <c r="C2212" s="3" t="s">
        <v>6038</v>
      </c>
      <c r="D2212" s="3" t="s">
        <v>6001</v>
      </c>
      <c r="E2212" s="3" t="s">
        <v>6212</v>
      </c>
      <c r="F2212" s="3" t="s">
        <v>6332</v>
      </c>
      <c r="G2212" s="3" t="s">
        <v>4210</v>
      </c>
      <c r="H2212" s="3" t="s">
        <v>4442</v>
      </c>
      <c r="I2212" s="3" t="s">
        <v>6207</v>
      </c>
      <c r="J2212" s="5" t="s">
        <v>9135</v>
      </c>
      <c r="L2212" s="3" t="s">
        <v>4391</v>
      </c>
      <c r="M2212" s="3">
        <v>9</v>
      </c>
      <c r="N2212" s="4" t="s">
        <v>9657</v>
      </c>
      <c r="O2212" s="4">
        <v>118</v>
      </c>
      <c r="P2212" s="11" t="s">
        <v>9825</v>
      </c>
      <c r="Q2212" s="11" t="s">
        <v>10479</v>
      </c>
      <c r="S2212" s="4" t="b">
        <f>ISNUMBER(MATCH(Q2212,T:T,0))</f>
        <v>1</v>
      </c>
      <c r="T2212" s="4" t="s">
        <v>12059</v>
      </c>
      <c r="U2212" s="4" t="str">
        <f t="shared" si="102"/>
        <v>愧</v>
      </c>
    </row>
    <row r="2213" spans="1:21">
      <c r="A2213" s="3">
        <v>2211</v>
      </c>
      <c r="B2213" s="3" t="s">
        <v>4422</v>
      </c>
      <c r="C2213" s="3" t="s">
        <v>6089</v>
      </c>
      <c r="D2213" s="3" t="s">
        <v>6001</v>
      </c>
      <c r="E2213" s="3" t="s">
        <v>6212</v>
      </c>
      <c r="F2213" s="3" t="s">
        <v>6332</v>
      </c>
      <c r="G2213" s="3" t="s">
        <v>4210</v>
      </c>
      <c r="H2213" s="3" t="s">
        <v>4443</v>
      </c>
      <c r="I2213" s="3" t="s">
        <v>6207</v>
      </c>
      <c r="J2213" s="5" t="s">
        <v>4444</v>
      </c>
      <c r="L2213" s="3" t="s">
        <v>5869</v>
      </c>
      <c r="M2213" s="3">
        <v>2</v>
      </c>
      <c r="N2213" s="4" t="s">
        <v>9657</v>
      </c>
      <c r="O2213" s="4">
        <v>118</v>
      </c>
      <c r="P2213" s="11" t="s">
        <v>9753</v>
      </c>
      <c r="Q2213" s="11" t="s">
        <v>4425</v>
      </c>
      <c r="S2213" s="4" t="b">
        <f>ISNUMBER(MATCH(Q2213,T:T,0))</f>
        <v>1</v>
      </c>
      <c r="T2213" s="4" t="s">
        <v>12060</v>
      </c>
      <c r="U2213" s="4" t="str">
        <f t="shared" si="102"/>
        <v>位</v>
      </c>
    </row>
    <row r="2214" spans="1:21">
      <c r="A2214" s="3">
        <v>2212</v>
      </c>
      <c r="B2214" s="3" t="s">
        <v>4422</v>
      </c>
      <c r="C2214" s="3" t="s">
        <v>6148</v>
      </c>
      <c r="D2214" s="3" t="s">
        <v>6001</v>
      </c>
      <c r="E2214" s="3" t="s">
        <v>5991</v>
      </c>
      <c r="F2214" s="3" t="s">
        <v>6328</v>
      </c>
      <c r="G2214" s="3" t="s">
        <v>4210</v>
      </c>
      <c r="H2214" s="3" t="s">
        <v>4445</v>
      </c>
      <c r="I2214" s="3" t="s">
        <v>6207</v>
      </c>
      <c r="J2214" s="5" t="s">
        <v>9136</v>
      </c>
      <c r="L2214" s="3" t="s">
        <v>8760</v>
      </c>
      <c r="M2214" s="3">
        <v>6</v>
      </c>
      <c r="N2214" s="4" t="s">
        <v>9657</v>
      </c>
      <c r="O2214" s="4">
        <v>118</v>
      </c>
      <c r="P2214" s="11" t="s">
        <v>6148</v>
      </c>
      <c r="Q2214" s="11" t="s">
        <v>10478</v>
      </c>
      <c r="S2214" s="4" t="b">
        <f>ISNUMBER(MATCH(Q2214,T:T,0))</f>
        <v>1</v>
      </c>
      <c r="T2214" s="4" t="s">
        <v>12061</v>
      </c>
      <c r="U2214" s="4" t="str">
        <f t="shared" si="102"/>
        <v>利</v>
      </c>
    </row>
    <row r="2215" spans="1:21">
      <c r="A2215" s="3">
        <v>2213</v>
      </c>
      <c r="B2215" s="3" t="s">
        <v>4422</v>
      </c>
      <c r="C2215" s="3" t="s">
        <v>6058</v>
      </c>
      <c r="D2215" s="3" t="s">
        <v>6001</v>
      </c>
      <c r="E2215" s="3" t="s">
        <v>5991</v>
      </c>
      <c r="F2215" s="3" t="s">
        <v>6328</v>
      </c>
      <c r="G2215" s="3" t="s">
        <v>4210</v>
      </c>
      <c r="H2215" s="3" t="s">
        <v>4446</v>
      </c>
      <c r="I2215" s="3" t="s">
        <v>6207</v>
      </c>
      <c r="J2215" s="5" t="s">
        <v>9137</v>
      </c>
      <c r="L2215" s="3" t="s">
        <v>4344</v>
      </c>
      <c r="M2215" s="3">
        <v>8</v>
      </c>
      <c r="N2215" s="4" t="s">
        <v>9657</v>
      </c>
      <c r="O2215" s="4">
        <v>118</v>
      </c>
      <c r="P2215" s="11" t="s">
        <v>9727</v>
      </c>
      <c r="Q2215" s="11" t="s">
        <v>9657</v>
      </c>
      <c r="S2215" s="4" t="b">
        <f>ISNUMBER(MATCH(Q2215,T:T,0))</f>
        <v>1</v>
      </c>
      <c r="T2215" s="4" t="s">
        <v>10478</v>
      </c>
      <c r="U2215" s="4" t="str">
        <f t="shared" si="102"/>
        <v>至</v>
      </c>
    </row>
    <row r="2216" spans="1:21">
      <c r="A2216" s="3">
        <v>2214</v>
      </c>
      <c r="B2216" s="3" t="s">
        <v>4422</v>
      </c>
      <c r="C2216" s="3" t="s">
        <v>6137</v>
      </c>
      <c r="D2216" s="3" t="s">
        <v>6001</v>
      </c>
      <c r="E2216" s="3" t="s">
        <v>5991</v>
      </c>
      <c r="F2216" s="3" t="s">
        <v>6332</v>
      </c>
      <c r="G2216" s="3" t="s">
        <v>4210</v>
      </c>
      <c r="H2216" s="3" t="s">
        <v>4447</v>
      </c>
      <c r="I2216" s="3" t="s">
        <v>6207</v>
      </c>
      <c r="J2216" s="5" t="s">
        <v>4448</v>
      </c>
      <c r="L2216" s="3" t="s">
        <v>4449</v>
      </c>
      <c r="M2216" s="3">
        <v>4</v>
      </c>
      <c r="N2216" s="4" t="s">
        <v>9657</v>
      </c>
      <c r="O2216" s="4">
        <v>118</v>
      </c>
      <c r="P2216" s="11" t="s">
        <v>9755</v>
      </c>
      <c r="Q2216" s="11" t="s">
        <v>10478</v>
      </c>
      <c r="S2216" s="4" t="b">
        <f>ISNUMBER(MATCH(Q2216,T:T,0))</f>
        <v>1</v>
      </c>
      <c r="T2216" s="4" t="s">
        <v>12062</v>
      </c>
      <c r="U2216" s="4" t="str">
        <f t="shared" si="102"/>
        <v>利</v>
      </c>
    </row>
    <row r="2217" spans="1:21">
      <c r="A2217" s="3">
        <v>2215</v>
      </c>
      <c r="B2217" s="3" t="s">
        <v>4422</v>
      </c>
      <c r="C2217" s="3" t="s">
        <v>6053</v>
      </c>
      <c r="D2217" s="3" t="s">
        <v>6001</v>
      </c>
      <c r="E2217" s="3" t="s">
        <v>5991</v>
      </c>
      <c r="F2217" s="3" t="s">
        <v>6328</v>
      </c>
      <c r="G2217" s="3" t="s">
        <v>4210</v>
      </c>
      <c r="H2217" s="3" t="s">
        <v>4450</v>
      </c>
      <c r="I2217" s="3" t="s">
        <v>6207</v>
      </c>
      <c r="J2217" s="5" t="s">
        <v>4451</v>
      </c>
      <c r="L2217" s="3" t="s">
        <v>8768</v>
      </c>
      <c r="M2217" s="3">
        <v>2</v>
      </c>
      <c r="N2217" s="4" t="s">
        <v>9657</v>
      </c>
      <c r="O2217" s="4">
        <v>118</v>
      </c>
      <c r="P2217" s="11" t="s">
        <v>9772</v>
      </c>
      <c r="Q2217" s="11" t="s">
        <v>10486</v>
      </c>
      <c r="S2217" s="4" t="b">
        <f>ISNUMBER(MATCH(Q2217,T:T,0))</f>
        <v>1</v>
      </c>
      <c r="T2217" s="4" t="s">
        <v>12063</v>
      </c>
      <c r="U2217" s="4" t="str">
        <f t="shared" si="102"/>
        <v>寐</v>
      </c>
    </row>
    <row r="2218" spans="1:21">
      <c r="A2218" s="3">
        <v>2216</v>
      </c>
      <c r="B2218" s="3" t="s">
        <v>4422</v>
      </c>
      <c r="C2218" s="3" t="s">
        <v>6092</v>
      </c>
      <c r="D2218" s="3" t="s">
        <v>6001</v>
      </c>
      <c r="E2218" s="3" t="s">
        <v>5991</v>
      </c>
      <c r="F2218" s="3" t="s">
        <v>6332</v>
      </c>
      <c r="G2218" s="3" t="s">
        <v>4210</v>
      </c>
      <c r="H2218" s="3" t="s">
        <v>4452</v>
      </c>
      <c r="I2218" s="3" t="s">
        <v>6207</v>
      </c>
      <c r="J2218" s="5" t="s">
        <v>4453</v>
      </c>
      <c r="L2218" s="3" t="s">
        <v>4368</v>
      </c>
      <c r="M2218" s="3">
        <v>1</v>
      </c>
      <c r="N2218" s="4" t="s">
        <v>9657</v>
      </c>
      <c r="O2218" s="4">
        <v>118</v>
      </c>
      <c r="P2218" s="11" t="s">
        <v>6462</v>
      </c>
      <c r="Q2218" s="11" t="s">
        <v>4474</v>
      </c>
      <c r="S2218" s="4" t="b">
        <f>ISNUMBER(MATCH(Q2218,T:T,0))</f>
        <v>1</v>
      </c>
      <c r="T2218" s="4" t="s">
        <v>4453</v>
      </c>
      <c r="U2218" s="4" t="str">
        <f t="shared" si="102"/>
        <v>器</v>
      </c>
    </row>
    <row r="2219" spans="1:21">
      <c r="A2219" s="3">
        <v>2217</v>
      </c>
      <c r="B2219" s="3" t="s">
        <v>4422</v>
      </c>
      <c r="C2219" s="3" t="s">
        <v>6000</v>
      </c>
      <c r="D2219" s="3" t="s">
        <v>6001</v>
      </c>
      <c r="E2219" s="3" t="s">
        <v>5991</v>
      </c>
      <c r="F2219" s="3" t="s">
        <v>6332</v>
      </c>
      <c r="G2219" s="3" t="s">
        <v>4210</v>
      </c>
      <c r="H2219" s="3" t="s">
        <v>4454</v>
      </c>
      <c r="I2219" s="3" t="s">
        <v>6207</v>
      </c>
      <c r="J2219" s="5" t="s">
        <v>4455</v>
      </c>
      <c r="L2219" s="3" t="s">
        <v>8808</v>
      </c>
      <c r="M2219" s="3">
        <v>15</v>
      </c>
      <c r="N2219" s="4" t="s">
        <v>9657</v>
      </c>
      <c r="O2219" s="4">
        <v>118</v>
      </c>
      <c r="P2219" s="11" t="s">
        <v>9707</v>
      </c>
      <c r="Q2219" s="11" t="s">
        <v>10478</v>
      </c>
      <c r="S2219" s="4" t="b">
        <f>ISNUMBER(MATCH(Q2219,T:T,0))</f>
        <v>1</v>
      </c>
      <c r="T2219" s="4" t="s">
        <v>12064</v>
      </c>
      <c r="U2219" s="4" t="str">
        <f t="shared" si="102"/>
        <v>利</v>
      </c>
    </row>
    <row r="2220" spans="1:21">
      <c r="A2220" s="3">
        <v>2218</v>
      </c>
      <c r="B2220" s="3" t="s">
        <v>4422</v>
      </c>
      <c r="C2220" s="3" t="s">
        <v>6038</v>
      </c>
      <c r="D2220" s="3" t="s">
        <v>6001</v>
      </c>
      <c r="E2220" s="3" t="s">
        <v>5991</v>
      </c>
      <c r="F2220" s="3" t="s">
        <v>6328</v>
      </c>
      <c r="G2220" s="3" t="s">
        <v>4210</v>
      </c>
      <c r="H2220" s="3" t="s">
        <v>4456</v>
      </c>
      <c r="I2220" s="3" t="s">
        <v>6207</v>
      </c>
      <c r="J2220" s="5" t="s">
        <v>9138</v>
      </c>
      <c r="L2220" s="3" t="s">
        <v>4384</v>
      </c>
      <c r="M2220" s="3">
        <v>5</v>
      </c>
      <c r="N2220" s="4" t="s">
        <v>9657</v>
      </c>
      <c r="O2220" s="4">
        <v>118</v>
      </c>
      <c r="P2220" s="11" t="s">
        <v>10487</v>
      </c>
      <c r="Q2220" s="11" t="s">
        <v>10478</v>
      </c>
      <c r="S2220" s="4" t="b">
        <f>ISNUMBER(MATCH(Q2220,T:T,0))</f>
        <v>1</v>
      </c>
      <c r="T2220" s="4" t="s">
        <v>12065</v>
      </c>
      <c r="U2220" s="4" t="str">
        <f t="shared" si="102"/>
        <v>利</v>
      </c>
    </row>
    <row r="2221" spans="1:21">
      <c r="A2221" s="3">
        <v>2219</v>
      </c>
      <c r="B2221" s="3" t="s">
        <v>4422</v>
      </c>
      <c r="C2221" s="3" t="s">
        <v>6005</v>
      </c>
      <c r="D2221" s="3" t="s">
        <v>6001</v>
      </c>
      <c r="E2221" s="3" t="s">
        <v>5991</v>
      </c>
      <c r="F2221" s="3" t="s">
        <v>6332</v>
      </c>
      <c r="G2221" s="3" t="s">
        <v>4210</v>
      </c>
      <c r="H2221" s="3" t="s">
        <v>4457</v>
      </c>
      <c r="I2221" s="3" t="s">
        <v>6207</v>
      </c>
      <c r="J2221" s="5" t="s">
        <v>9139</v>
      </c>
      <c r="L2221" s="3" t="s">
        <v>8808</v>
      </c>
      <c r="M2221" s="3">
        <v>12</v>
      </c>
      <c r="N2221" s="4" t="s">
        <v>9657</v>
      </c>
      <c r="O2221" s="4">
        <v>118</v>
      </c>
      <c r="P2221" s="11" t="s">
        <v>9709</v>
      </c>
      <c r="Q2221" s="11" t="s">
        <v>10478</v>
      </c>
      <c r="S2221" s="4" t="b">
        <f>ISNUMBER(MATCH(Q2221,T:T,0))</f>
        <v>1</v>
      </c>
      <c r="T2221" s="4" t="s">
        <v>12066</v>
      </c>
      <c r="U2221" s="4" t="str">
        <f t="shared" si="102"/>
        <v>利</v>
      </c>
    </row>
    <row r="2222" spans="1:21">
      <c r="A2222" s="3">
        <v>2220</v>
      </c>
      <c r="B2222" s="3" t="s">
        <v>4422</v>
      </c>
      <c r="C2222" s="3" t="s">
        <v>6035</v>
      </c>
      <c r="D2222" s="3" t="s">
        <v>6001</v>
      </c>
      <c r="E2222" s="3" t="s">
        <v>5991</v>
      </c>
      <c r="F2222" s="3" t="s">
        <v>6328</v>
      </c>
      <c r="G2222" s="3" t="s">
        <v>4210</v>
      </c>
      <c r="H2222" s="3" t="s">
        <v>4458</v>
      </c>
      <c r="I2222" s="3" t="s">
        <v>6207</v>
      </c>
      <c r="J2222" s="5" t="s">
        <v>4459</v>
      </c>
      <c r="L2222" s="3" t="s">
        <v>4427</v>
      </c>
      <c r="M2222" s="3">
        <v>2</v>
      </c>
      <c r="N2222" s="4" t="s">
        <v>9657</v>
      </c>
      <c r="O2222" s="4">
        <v>118</v>
      </c>
      <c r="P2222" s="11" t="s">
        <v>9941</v>
      </c>
      <c r="Q2222" s="11" t="s">
        <v>6157</v>
      </c>
      <c r="S2222" s="4" t="b">
        <f>ISNUMBER(MATCH(Q2222,T:T,0))</f>
        <v>1</v>
      </c>
      <c r="T2222" s="4" t="s">
        <v>10486</v>
      </c>
      <c r="U2222" s="4" t="str">
        <f t="shared" si="102"/>
        <v>二</v>
      </c>
    </row>
    <row r="2223" spans="1:21">
      <c r="A2223" s="3">
        <v>2221</v>
      </c>
      <c r="B2223" s="3" t="s">
        <v>4422</v>
      </c>
      <c r="C2223" s="3" t="s">
        <v>6011</v>
      </c>
      <c r="D2223" s="3" t="s">
        <v>6001</v>
      </c>
      <c r="E2223" s="3" t="s">
        <v>5991</v>
      </c>
      <c r="F2223" s="3" t="s">
        <v>6332</v>
      </c>
      <c r="G2223" s="3" t="s">
        <v>4210</v>
      </c>
      <c r="H2223" s="3" t="s">
        <v>4460</v>
      </c>
      <c r="I2223" s="3" t="s">
        <v>6207</v>
      </c>
      <c r="J2223" s="8" t="s">
        <v>9140</v>
      </c>
      <c r="L2223" s="3" t="s">
        <v>4404</v>
      </c>
      <c r="M2223" s="3">
        <v>8</v>
      </c>
      <c r="N2223" s="4" t="s">
        <v>9657</v>
      </c>
      <c r="O2223" s="4">
        <v>118</v>
      </c>
      <c r="P2223" s="11" t="s">
        <v>9757</v>
      </c>
      <c r="Q2223" s="11" t="s">
        <v>10478</v>
      </c>
      <c r="S2223" s="4" t="b">
        <f>ISNUMBER(MATCH(Q2223,T:T,0))</f>
        <v>1</v>
      </c>
      <c r="T2223" s="4" t="s">
        <v>12067</v>
      </c>
      <c r="U2223" s="4" t="str">
        <f t="shared" si="102"/>
        <v>利</v>
      </c>
    </row>
    <row r="2224" spans="1:21">
      <c r="A2224" s="3">
        <v>2222</v>
      </c>
      <c r="B2224" s="3" t="s">
        <v>4422</v>
      </c>
      <c r="C2224" s="3" t="s">
        <v>6025</v>
      </c>
      <c r="D2224" s="3" t="s">
        <v>6001</v>
      </c>
      <c r="E2224" s="3" t="s">
        <v>5991</v>
      </c>
      <c r="F2224" s="3" t="s">
        <v>6332</v>
      </c>
      <c r="G2224" s="3" t="s">
        <v>4210</v>
      </c>
      <c r="H2224" s="3" t="s">
        <v>4461</v>
      </c>
      <c r="I2224" s="3" t="s">
        <v>6207</v>
      </c>
      <c r="J2224" s="5" t="s">
        <v>9141</v>
      </c>
      <c r="L2224" s="3" t="s">
        <v>8786</v>
      </c>
      <c r="M2224" s="3">
        <v>8</v>
      </c>
      <c r="N2224" s="4" t="s">
        <v>9657</v>
      </c>
      <c r="O2224" s="4">
        <v>118</v>
      </c>
      <c r="P2224" s="11" t="s">
        <v>10222</v>
      </c>
      <c r="Q2224" s="11" t="s">
        <v>10478</v>
      </c>
      <c r="S2224" s="4" t="b">
        <f>ISNUMBER(MATCH(Q2224,T:T,0))</f>
        <v>1</v>
      </c>
      <c r="T2224" s="4" t="s">
        <v>10488</v>
      </c>
      <c r="U2224" s="4" t="str">
        <f t="shared" si="102"/>
        <v>利</v>
      </c>
    </row>
    <row r="2225" spans="1:22">
      <c r="A2225" s="3">
        <v>2223</v>
      </c>
      <c r="B2225" s="3" t="s">
        <v>4422</v>
      </c>
      <c r="C2225" s="3" t="s">
        <v>6041</v>
      </c>
      <c r="D2225" s="3" t="s">
        <v>6001</v>
      </c>
      <c r="E2225" s="3" t="s">
        <v>5991</v>
      </c>
      <c r="F2225" s="3" t="s">
        <v>6332</v>
      </c>
      <c r="G2225" s="3" t="s">
        <v>4210</v>
      </c>
      <c r="H2225" s="3" t="s">
        <v>4462</v>
      </c>
      <c r="I2225" s="3" t="s">
        <v>6207</v>
      </c>
      <c r="J2225" s="5" t="s">
        <v>9142</v>
      </c>
      <c r="L2225" s="3" t="s">
        <v>8786</v>
      </c>
      <c r="M2225" s="3">
        <v>7</v>
      </c>
      <c r="N2225" s="4" t="s">
        <v>9657</v>
      </c>
      <c r="O2225" s="4">
        <v>118</v>
      </c>
      <c r="P2225" s="11" t="s">
        <v>9830</v>
      </c>
      <c r="Q2225" s="11" t="s">
        <v>10488</v>
      </c>
      <c r="S2225" s="4" t="b">
        <f>ISNUMBER(MATCH(Q2225,T:T,0))</f>
        <v>1</v>
      </c>
      <c r="T2225" s="4" t="s">
        <v>12068</v>
      </c>
      <c r="U2225" s="4" t="str">
        <f t="shared" si="102"/>
        <v>冀</v>
      </c>
    </row>
    <row r="2226" spans="1:22">
      <c r="A2226" s="3">
        <v>2224</v>
      </c>
      <c r="B2226" s="3" t="s">
        <v>4422</v>
      </c>
      <c r="C2226" s="3" t="s">
        <v>6041</v>
      </c>
      <c r="D2226" s="3" t="s">
        <v>6001</v>
      </c>
      <c r="E2226" s="3" t="s">
        <v>6212</v>
      </c>
      <c r="F2226" s="3" t="s">
        <v>6328</v>
      </c>
      <c r="G2226" s="3" t="s">
        <v>4210</v>
      </c>
      <c r="H2226" s="3" t="s">
        <v>4463</v>
      </c>
      <c r="I2226" s="3" t="s">
        <v>6207</v>
      </c>
      <c r="J2226" s="5" t="s">
        <v>9143</v>
      </c>
      <c r="L2226" s="3" t="s">
        <v>8857</v>
      </c>
      <c r="M2226" s="3">
        <v>5</v>
      </c>
      <c r="N2226" s="4" t="s">
        <v>9657</v>
      </c>
      <c r="O2226" s="4">
        <v>118</v>
      </c>
      <c r="P2226" s="11" t="s">
        <v>9830</v>
      </c>
      <c r="Q2226" s="11" t="s">
        <v>10489</v>
      </c>
      <c r="S2226" s="4" t="b">
        <f>ISNUMBER(MATCH(Q2226,T:T,0))</f>
        <v>1</v>
      </c>
      <c r="T2226" s="4" t="s">
        <v>10491</v>
      </c>
      <c r="U2226" s="4" t="str">
        <f t="shared" si="102"/>
        <v>季</v>
      </c>
    </row>
    <row r="2227" spans="1:22">
      <c r="A2227" s="3">
        <v>2225</v>
      </c>
      <c r="B2227" s="3" t="s">
        <v>4422</v>
      </c>
      <c r="C2227" s="3" t="s">
        <v>6076</v>
      </c>
      <c r="D2227" s="3" t="s">
        <v>6001</v>
      </c>
      <c r="E2227" s="3" t="s">
        <v>6212</v>
      </c>
      <c r="F2227" s="3" t="s">
        <v>6328</v>
      </c>
      <c r="G2227" s="3" t="s">
        <v>4210</v>
      </c>
      <c r="H2227" s="3" t="s">
        <v>4464</v>
      </c>
      <c r="I2227" s="3" t="s">
        <v>6207</v>
      </c>
      <c r="J2227" s="5" t="s">
        <v>9144</v>
      </c>
      <c r="L2227" s="3" t="s">
        <v>4465</v>
      </c>
      <c r="M2227" s="3">
        <v>3</v>
      </c>
      <c r="N2227" s="4" t="s">
        <v>9657</v>
      </c>
      <c r="O2227" s="4">
        <v>118</v>
      </c>
      <c r="P2227" s="11" t="s">
        <v>9766</v>
      </c>
      <c r="Q2227" s="11" t="s">
        <v>9823</v>
      </c>
      <c r="S2227" s="4" t="b">
        <f>ISNUMBER(MATCH(Q2227,T:T,0))</f>
        <v>1</v>
      </c>
      <c r="T2227" s="4" t="s">
        <v>12069</v>
      </c>
      <c r="U2227" s="4" t="str">
        <f t="shared" si="102"/>
        <v>醉</v>
      </c>
    </row>
    <row r="2228" spans="1:22">
      <c r="A2228" s="3">
        <v>2226</v>
      </c>
      <c r="B2228" s="3" t="s">
        <v>4422</v>
      </c>
      <c r="C2228" s="3" t="s">
        <v>6021</v>
      </c>
      <c r="D2228" s="3" t="s">
        <v>6001</v>
      </c>
      <c r="E2228" s="3" t="s">
        <v>5991</v>
      </c>
      <c r="F2228" s="3" t="s">
        <v>6328</v>
      </c>
      <c r="G2228" s="3" t="s">
        <v>4210</v>
      </c>
      <c r="H2228" s="3" t="s">
        <v>4466</v>
      </c>
      <c r="I2228" s="3" t="s">
        <v>6207</v>
      </c>
      <c r="J2228" s="5" t="s">
        <v>9145</v>
      </c>
      <c r="L2228" s="3" t="s">
        <v>4467</v>
      </c>
      <c r="M2228" s="3">
        <v>5</v>
      </c>
      <c r="N2228" s="4" t="s">
        <v>9657</v>
      </c>
      <c r="O2228" s="4">
        <v>118</v>
      </c>
      <c r="P2228" s="11" t="s">
        <v>9761</v>
      </c>
      <c r="Q2228" s="11" t="s">
        <v>9657</v>
      </c>
      <c r="S2228" s="4" t="b">
        <f>ISNUMBER(MATCH(Q2228,T:T,0))</f>
        <v>1</v>
      </c>
      <c r="T2228" s="4" t="s">
        <v>6157</v>
      </c>
      <c r="U2228" s="4" t="str">
        <f t="shared" si="102"/>
        <v>至</v>
      </c>
    </row>
    <row r="2229" spans="1:22">
      <c r="A2229" s="3">
        <v>2227</v>
      </c>
      <c r="B2229" s="3" t="s">
        <v>4422</v>
      </c>
      <c r="C2229" s="3" t="s">
        <v>6083</v>
      </c>
      <c r="D2229" s="3" t="s">
        <v>6001</v>
      </c>
      <c r="E2229" s="3" t="s">
        <v>5991</v>
      </c>
      <c r="F2229" s="3" t="s">
        <v>6328</v>
      </c>
      <c r="G2229" s="3" t="s">
        <v>4210</v>
      </c>
      <c r="H2229" s="3" t="s">
        <v>4468</v>
      </c>
      <c r="I2229" s="3" t="s">
        <v>6207</v>
      </c>
      <c r="J2229" s="5" t="s">
        <v>4469</v>
      </c>
      <c r="L2229" s="3" t="s">
        <v>4349</v>
      </c>
      <c r="M2229" s="3">
        <v>2</v>
      </c>
      <c r="N2229" s="4" t="s">
        <v>9657</v>
      </c>
      <c r="O2229" s="4">
        <v>118</v>
      </c>
      <c r="P2229" s="11" t="s">
        <v>9811</v>
      </c>
      <c r="Q2229" s="11" t="s">
        <v>2843</v>
      </c>
      <c r="S2229" s="4" t="b">
        <f>ISNUMBER(MATCH(Q2229,T:T,0))</f>
        <v>1</v>
      </c>
      <c r="T2229" s="4" t="s">
        <v>12070</v>
      </c>
      <c r="U2229" s="4" t="str">
        <f t="shared" si="102"/>
        <v>四</v>
      </c>
    </row>
    <row r="2230" spans="1:22">
      <c r="A2230" s="3">
        <v>2228</v>
      </c>
      <c r="B2230" s="3" t="s">
        <v>4422</v>
      </c>
      <c r="C2230" s="3" t="s">
        <v>6076</v>
      </c>
      <c r="D2230" s="3" t="s">
        <v>6001</v>
      </c>
      <c r="E2230" s="3" t="s">
        <v>5991</v>
      </c>
      <c r="F2230" s="3" t="s">
        <v>6328</v>
      </c>
      <c r="G2230" s="3" t="s">
        <v>4210</v>
      </c>
      <c r="H2230" s="3" t="s">
        <v>4470</v>
      </c>
      <c r="I2230" s="3" t="s">
        <v>6207</v>
      </c>
      <c r="J2230" s="5" t="s">
        <v>4471</v>
      </c>
      <c r="L2230" s="3" t="s">
        <v>4365</v>
      </c>
      <c r="M2230" s="3">
        <v>9</v>
      </c>
      <c r="N2230" s="4" t="s">
        <v>9657</v>
      </c>
      <c r="O2230" s="4">
        <v>118</v>
      </c>
      <c r="P2230" s="11" t="s">
        <v>9766</v>
      </c>
      <c r="Q2230" s="11" t="s">
        <v>2843</v>
      </c>
      <c r="S2230" s="4" t="b">
        <f>ISNUMBER(MATCH(Q2230,T:T,0))</f>
        <v>1</v>
      </c>
      <c r="T2230" s="4" t="s">
        <v>12071</v>
      </c>
      <c r="U2230" s="4" t="str">
        <f t="shared" si="102"/>
        <v>四</v>
      </c>
    </row>
    <row r="2231" spans="1:22">
      <c r="A2231" s="3">
        <v>2229</v>
      </c>
      <c r="B2231" s="3" t="s">
        <v>4422</v>
      </c>
      <c r="C2231" s="3" t="s">
        <v>6072</v>
      </c>
      <c r="D2231" s="3" t="s">
        <v>6001</v>
      </c>
      <c r="E2231" s="3" t="s">
        <v>5991</v>
      </c>
      <c r="F2231" s="3" t="s">
        <v>6332</v>
      </c>
      <c r="G2231" s="3" t="s">
        <v>4210</v>
      </c>
      <c r="H2231" s="3" t="s">
        <v>800</v>
      </c>
      <c r="I2231" s="3" t="s">
        <v>6207</v>
      </c>
      <c r="J2231" s="5" t="s">
        <v>9146</v>
      </c>
      <c r="L2231" s="3" t="s">
        <v>4368</v>
      </c>
      <c r="M2231" s="3">
        <v>7</v>
      </c>
      <c r="N2231" s="4" t="s">
        <v>9657</v>
      </c>
      <c r="O2231" s="4">
        <v>118</v>
      </c>
      <c r="P2231" s="11" t="s">
        <v>9907</v>
      </c>
      <c r="Q2231" s="11" t="s">
        <v>10490</v>
      </c>
      <c r="R2231" s="4" t="s">
        <v>13124</v>
      </c>
      <c r="S2231" s="4" t="b">
        <f>ISNUMBER(MATCH(Q2231,T:T,0))</f>
        <v>0</v>
      </c>
      <c r="T2231" s="4" t="s">
        <v>12072</v>
      </c>
      <c r="U2231" s="4" t="str">
        <f t="shared" si="102"/>
        <v>冀</v>
      </c>
      <c r="V2231" s="4" t="b">
        <f>ISNUMBER(MATCH(R2231,T:T,0))</f>
        <v>1</v>
      </c>
    </row>
    <row r="2232" spans="1:22">
      <c r="A2232" s="3">
        <v>2230</v>
      </c>
      <c r="B2232" s="3" t="s">
        <v>4422</v>
      </c>
      <c r="C2232" s="3" t="s">
        <v>6017</v>
      </c>
      <c r="D2232" s="3" t="s">
        <v>6001</v>
      </c>
      <c r="E2232" s="3" t="s">
        <v>5991</v>
      </c>
      <c r="F2232" s="3" t="s">
        <v>6328</v>
      </c>
      <c r="G2232" s="3" t="s">
        <v>4210</v>
      </c>
      <c r="H2232" s="3" t="s">
        <v>4472</v>
      </c>
      <c r="I2232" s="3" t="s">
        <v>6207</v>
      </c>
      <c r="J2232" s="5" t="s">
        <v>9147</v>
      </c>
      <c r="L2232" s="3" t="s">
        <v>8879</v>
      </c>
      <c r="M2232" s="3">
        <v>14</v>
      </c>
      <c r="N2232" s="4" t="s">
        <v>9657</v>
      </c>
      <c r="O2232" s="4">
        <v>118</v>
      </c>
      <c r="P2232" s="11" t="s">
        <v>9714</v>
      </c>
      <c r="Q2232" s="11" t="s">
        <v>10478</v>
      </c>
      <c r="S2232" s="4" t="b">
        <f>ISNUMBER(MATCH(Q2232,T:T,0))</f>
        <v>1</v>
      </c>
      <c r="T2232" s="4" t="s">
        <v>2843</v>
      </c>
      <c r="U2232" s="4" t="str">
        <f t="shared" si="102"/>
        <v>利</v>
      </c>
    </row>
    <row r="2233" spans="1:22">
      <c r="A2233" s="3">
        <v>2231</v>
      </c>
      <c r="B2233" s="3" t="s">
        <v>4422</v>
      </c>
      <c r="C2233" s="3" t="s">
        <v>6038</v>
      </c>
      <c r="D2233" s="3" t="s">
        <v>6001</v>
      </c>
      <c r="E2233" s="3" t="s">
        <v>5991</v>
      </c>
      <c r="F2233" s="3" t="s">
        <v>6332</v>
      </c>
      <c r="G2233" s="3" t="s">
        <v>4210</v>
      </c>
      <c r="H2233" s="3" t="s">
        <v>4473</v>
      </c>
      <c r="I2233" s="3" t="s">
        <v>6207</v>
      </c>
      <c r="J2233" s="5" t="s">
        <v>4474</v>
      </c>
      <c r="L2233" s="3" t="s">
        <v>4384</v>
      </c>
      <c r="M2233" s="3">
        <v>1</v>
      </c>
      <c r="N2233" s="4" t="s">
        <v>9657</v>
      </c>
      <c r="O2233" s="4">
        <v>118</v>
      </c>
      <c r="P2233" s="11" t="s">
        <v>4210</v>
      </c>
      <c r="Q2233" s="11" t="s">
        <v>10488</v>
      </c>
      <c r="S2233" s="4" t="b">
        <f>ISNUMBER(MATCH(Q2233,T:T,0))</f>
        <v>1</v>
      </c>
      <c r="T2233" s="4" t="s">
        <v>4474</v>
      </c>
      <c r="U2233" s="4" t="str">
        <f t="shared" si="102"/>
        <v>冀</v>
      </c>
    </row>
    <row r="2234" spans="1:22">
      <c r="A2234" s="3">
        <v>2232</v>
      </c>
      <c r="B2234" s="3" t="s">
        <v>4422</v>
      </c>
      <c r="C2234" s="3" t="s">
        <v>6025</v>
      </c>
      <c r="D2234" s="3" t="s">
        <v>6001</v>
      </c>
      <c r="E2234" s="3" t="s">
        <v>6212</v>
      </c>
      <c r="F2234" s="3" t="s">
        <v>6328</v>
      </c>
      <c r="G2234" s="3" t="s">
        <v>4210</v>
      </c>
      <c r="H2234" s="3" t="s">
        <v>4475</v>
      </c>
      <c r="I2234" s="3" t="s">
        <v>6207</v>
      </c>
      <c r="J2234" s="5" t="s">
        <v>4476</v>
      </c>
      <c r="L2234" s="3" t="s">
        <v>8857</v>
      </c>
      <c r="M2234" s="3">
        <v>2</v>
      </c>
      <c r="N2234" s="4" t="s">
        <v>9657</v>
      </c>
      <c r="O2234" s="4">
        <v>118</v>
      </c>
      <c r="P2234" s="11" t="s">
        <v>9717</v>
      </c>
      <c r="Q2234" s="11" t="s">
        <v>10491</v>
      </c>
      <c r="S2234" s="4" t="b">
        <f>ISNUMBER(MATCH(Q2234,T:T,0))</f>
        <v>1</v>
      </c>
      <c r="T2234" s="4" t="s">
        <v>10489</v>
      </c>
      <c r="U2234" s="4" t="str">
        <f t="shared" si="102"/>
        <v>悸</v>
      </c>
    </row>
    <row r="2235" spans="1:22">
      <c r="A2235" s="3">
        <v>2233</v>
      </c>
      <c r="B2235" s="3" t="s">
        <v>4422</v>
      </c>
      <c r="C2235" s="3" t="s">
        <v>6045</v>
      </c>
      <c r="D2235" s="3" t="s">
        <v>6001</v>
      </c>
      <c r="E2235" s="3" t="s">
        <v>5991</v>
      </c>
      <c r="F2235" s="3" t="s">
        <v>6328</v>
      </c>
      <c r="G2235" s="3" t="s">
        <v>4210</v>
      </c>
      <c r="H2235" s="3" t="s">
        <v>4477</v>
      </c>
      <c r="I2235" s="3" t="s">
        <v>6207</v>
      </c>
      <c r="J2235" s="5" t="s">
        <v>4478</v>
      </c>
      <c r="L2235" s="3" t="s">
        <v>8899</v>
      </c>
      <c r="M2235" s="3">
        <v>10</v>
      </c>
      <c r="N2235" s="4" t="s">
        <v>9657</v>
      </c>
      <c r="O2235" s="4">
        <v>118</v>
      </c>
      <c r="P2235" s="11" t="s">
        <v>10275</v>
      </c>
      <c r="Q2235" s="11" t="s">
        <v>9657</v>
      </c>
      <c r="S2235" s="4" t="b">
        <f>ISNUMBER(MATCH(Q2235,T:T,0))</f>
        <v>1</v>
      </c>
      <c r="T2235" s="4" t="s">
        <v>12073</v>
      </c>
      <c r="U2235" s="4" t="str">
        <f t="shared" si="102"/>
        <v>至</v>
      </c>
    </row>
    <row r="2236" spans="1:22">
      <c r="A2236" s="3">
        <v>2234</v>
      </c>
      <c r="B2236" s="3" t="s">
        <v>4422</v>
      </c>
      <c r="C2236" s="3" t="s">
        <v>6089</v>
      </c>
      <c r="D2236" s="3" t="s">
        <v>6001</v>
      </c>
      <c r="E2236" s="3" t="s">
        <v>6212</v>
      </c>
      <c r="F2236" s="3" t="s">
        <v>6328</v>
      </c>
      <c r="G2236" s="3" t="s">
        <v>4210</v>
      </c>
      <c r="H2236" s="3" t="s">
        <v>4479</v>
      </c>
      <c r="I2236" s="3" t="s">
        <v>6207</v>
      </c>
      <c r="J2236" s="5" t="s">
        <v>9148</v>
      </c>
      <c r="L2236" s="3" t="s">
        <v>5869</v>
      </c>
      <c r="M2236" s="3">
        <v>3</v>
      </c>
      <c r="N2236" s="4" t="s">
        <v>9657</v>
      </c>
      <c r="O2236" s="4">
        <v>118</v>
      </c>
      <c r="P2236" s="11" t="s">
        <v>9797</v>
      </c>
      <c r="Q2236" s="11" t="s">
        <v>10489</v>
      </c>
      <c r="S2236" s="4" t="b">
        <f>ISNUMBER(MATCH(Q2236,T:T,0))</f>
        <v>1</v>
      </c>
      <c r="T2236" s="4" t="s">
        <v>8933</v>
      </c>
      <c r="U2236" s="4" t="str">
        <f t="shared" si="102"/>
        <v>季</v>
      </c>
    </row>
    <row r="2237" spans="1:22">
      <c r="A2237" s="3">
        <v>2235</v>
      </c>
      <c r="B2237" s="3" t="s">
        <v>4422</v>
      </c>
      <c r="C2237" s="3" t="s">
        <v>6049</v>
      </c>
      <c r="D2237" s="3" t="s">
        <v>6001</v>
      </c>
      <c r="E2237" s="3" t="s">
        <v>5991</v>
      </c>
      <c r="F2237" s="3" t="s">
        <v>6328</v>
      </c>
      <c r="G2237" s="3" t="s">
        <v>4210</v>
      </c>
      <c r="H2237" s="3" t="s">
        <v>4480</v>
      </c>
      <c r="I2237" s="3" t="s">
        <v>6207</v>
      </c>
      <c r="J2237" s="5" t="s">
        <v>4481</v>
      </c>
      <c r="K2237" s="3" t="s">
        <v>616</v>
      </c>
      <c r="L2237" s="3" t="s">
        <v>8899</v>
      </c>
      <c r="M2237" s="3">
        <v>6</v>
      </c>
      <c r="N2237" s="4" t="s">
        <v>9657</v>
      </c>
      <c r="O2237" s="4">
        <v>118</v>
      </c>
      <c r="P2237" s="11" t="s">
        <v>9932</v>
      </c>
      <c r="Q2237" s="11" t="s">
        <v>9657</v>
      </c>
      <c r="S2237" s="4" t="b">
        <f>ISNUMBER(MATCH(Q2237,T:T,0))</f>
        <v>1</v>
      </c>
      <c r="T2237" s="4" t="s">
        <v>12074</v>
      </c>
      <c r="U2237" s="4" t="str">
        <f t="shared" si="102"/>
        <v>至</v>
      </c>
    </row>
    <row r="2238" spans="1:22">
      <c r="A2238" s="3">
        <v>2236</v>
      </c>
      <c r="B2238" s="3" t="s">
        <v>4422</v>
      </c>
      <c r="C2238" s="3" t="s">
        <v>6069</v>
      </c>
      <c r="D2238" s="3" t="s">
        <v>6001</v>
      </c>
      <c r="E2238" s="3" t="s">
        <v>6212</v>
      </c>
      <c r="F2238" s="3" t="s">
        <v>6328</v>
      </c>
      <c r="G2238" s="3" t="s">
        <v>4210</v>
      </c>
      <c r="H2238" s="3" t="s">
        <v>4482</v>
      </c>
      <c r="I2238" s="3" t="s">
        <v>6207</v>
      </c>
      <c r="J2238" s="5" t="s">
        <v>9149</v>
      </c>
      <c r="L2238" s="3" t="s">
        <v>4465</v>
      </c>
      <c r="M2238" s="3">
        <v>6</v>
      </c>
      <c r="N2238" s="4" t="s">
        <v>9657</v>
      </c>
      <c r="O2238" s="4">
        <v>118</v>
      </c>
      <c r="P2238" s="11" t="s">
        <v>10492</v>
      </c>
      <c r="Q2238" s="11" t="s">
        <v>9823</v>
      </c>
      <c r="S2238" s="4" t="b">
        <f>ISNUMBER(MATCH(Q2238,T:T,0))</f>
        <v>1</v>
      </c>
      <c r="T2238" s="4" t="s">
        <v>10493</v>
      </c>
      <c r="U2238" s="4" t="str">
        <f t="shared" si="102"/>
        <v>醉</v>
      </c>
    </row>
    <row r="2239" spans="1:22">
      <c r="A2239" s="3">
        <v>2237</v>
      </c>
      <c r="B2239" s="3" t="s">
        <v>4422</v>
      </c>
      <c r="C2239" s="3" t="s">
        <v>5997</v>
      </c>
      <c r="D2239" s="3" t="s">
        <v>6001</v>
      </c>
      <c r="E2239" s="3" t="s">
        <v>5991</v>
      </c>
      <c r="F2239" s="3" t="s">
        <v>6328</v>
      </c>
      <c r="G2239" s="3" t="s">
        <v>4210</v>
      </c>
      <c r="H2239" s="3" t="s">
        <v>4483</v>
      </c>
      <c r="I2239" s="3" t="s">
        <v>6207</v>
      </c>
      <c r="J2239" s="5" t="s">
        <v>4484</v>
      </c>
      <c r="M2239" s="3">
        <v>2</v>
      </c>
      <c r="N2239" s="4" t="s">
        <v>9657</v>
      </c>
      <c r="O2239" s="4">
        <v>118</v>
      </c>
      <c r="P2239" s="11" t="s">
        <v>9706</v>
      </c>
      <c r="Q2239" s="11" t="s">
        <v>2843</v>
      </c>
      <c r="S2239" s="4" t="b">
        <f>ISNUMBER(MATCH(Q2239,T:T,0))</f>
        <v>1</v>
      </c>
      <c r="T2239" s="4" t="s">
        <v>12075</v>
      </c>
      <c r="U2239" s="4" t="str">
        <f t="shared" si="102"/>
        <v>四</v>
      </c>
    </row>
    <row r="2240" spans="1:22">
      <c r="A2240" s="3">
        <v>2238</v>
      </c>
      <c r="B2240" s="3" t="s">
        <v>4422</v>
      </c>
      <c r="C2240" s="3" t="s">
        <v>6089</v>
      </c>
      <c r="D2240" s="3" t="s">
        <v>6001</v>
      </c>
      <c r="E2240" s="3" t="s">
        <v>5991</v>
      </c>
      <c r="F2240" s="3" t="s">
        <v>6332</v>
      </c>
      <c r="G2240" s="3" t="s">
        <v>4210</v>
      </c>
      <c r="H2240" s="7" t="s">
        <v>801</v>
      </c>
      <c r="I2240" s="3" t="s">
        <v>6207</v>
      </c>
      <c r="J2240" s="5" t="s">
        <v>9150</v>
      </c>
      <c r="L2240" s="3" t="s">
        <v>4381</v>
      </c>
      <c r="M2240" s="3">
        <v>6</v>
      </c>
      <c r="N2240" s="4" t="s">
        <v>9657</v>
      </c>
      <c r="O2240" s="4">
        <v>118</v>
      </c>
      <c r="P2240" s="11" t="s">
        <v>9958</v>
      </c>
      <c r="Q2240" s="11" t="s">
        <v>4474</v>
      </c>
      <c r="S2240" s="4" t="b">
        <f>ISNUMBER(MATCH(Q2240,T:T,0))</f>
        <v>1</v>
      </c>
      <c r="T2240" s="4" t="s">
        <v>12076</v>
      </c>
      <c r="U2240" s="4" t="str">
        <f t="shared" si="102"/>
        <v>器</v>
      </c>
    </row>
    <row r="2241" spans="1:21">
      <c r="A2241" s="3">
        <v>2239</v>
      </c>
      <c r="B2241" s="3" t="s">
        <v>4422</v>
      </c>
      <c r="C2241" s="3" t="s">
        <v>6028</v>
      </c>
      <c r="D2241" s="3" t="s">
        <v>6001</v>
      </c>
      <c r="E2241" s="3" t="s">
        <v>5991</v>
      </c>
      <c r="F2241" s="3" t="s">
        <v>6328</v>
      </c>
      <c r="G2241" s="3" t="s">
        <v>4210</v>
      </c>
      <c r="H2241" s="3" t="s">
        <v>4485</v>
      </c>
      <c r="I2241" s="3" t="s">
        <v>6207</v>
      </c>
      <c r="J2241" s="5" t="s">
        <v>9151</v>
      </c>
      <c r="L2241" s="3" t="s">
        <v>4368</v>
      </c>
      <c r="M2241" s="3">
        <v>8</v>
      </c>
      <c r="N2241" s="4" t="s">
        <v>9657</v>
      </c>
      <c r="O2241" s="4">
        <v>118</v>
      </c>
      <c r="P2241" s="11" t="s">
        <v>9863</v>
      </c>
      <c r="Q2241" s="11" t="s">
        <v>9657</v>
      </c>
      <c r="S2241" s="4" t="b">
        <f>ISNUMBER(MATCH(Q2241,T:T,0))</f>
        <v>1</v>
      </c>
      <c r="T2241" s="4" t="s">
        <v>12077</v>
      </c>
      <c r="U2241" s="4" t="str">
        <f t="shared" si="102"/>
        <v>至</v>
      </c>
    </row>
    <row r="2242" spans="1:21">
      <c r="A2242" s="3">
        <v>2240</v>
      </c>
      <c r="B2242" s="3" t="s">
        <v>4422</v>
      </c>
      <c r="C2242" s="3" t="s">
        <v>3093</v>
      </c>
      <c r="D2242" s="3" t="s">
        <v>6001</v>
      </c>
      <c r="E2242" s="3" t="s">
        <v>5991</v>
      </c>
      <c r="F2242" s="3" t="s">
        <v>6328</v>
      </c>
      <c r="G2242" s="3" t="s">
        <v>4210</v>
      </c>
      <c r="H2242" s="3" t="s">
        <v>4486</v>
      </c>
      <c r="I2242" s="3" t="s">
        <v>6207</v>
      </c>
      <c r="J2242" s="5" t="s">
        <v>9152</v>
      </c>
      <c r="L2242" s="3" t="s">
        <v>8760</v>
      </c>
      <c r="M2242" s="3">
        <v>5</v>
      </c>
      <c r="N2242" s="4" t="s">
        <v>9657</v>
      </c>
      <c r="O2242" s="4">
        <v>118</v>
      </c>
      <c r="P2242" s="11" t="s">
        <v>10211</v>
      </c>
      <c r="Q2242" s="11" t="s">
        <v>9657</v>
      </c>
      <c r="S2242" s="4" t="b">
        <f>ISNUMBER(MATCH(Q2242,T:T,0))</f>
        <v>1</v>
      </c>
      <c r="T2242" s="4" t="s">
        <v>12078</v>
      </c>
      <c r="U2242" s="4" t="str">
        <f t="shared" si="102"/>
        <v>至</v>
      </c>
    </row>
    <row r="2243" spans="1:21">
      <c r="A2243" s="3">
        <v>2241</v>
      </c>
      <c r="B2243" s="3" t="s">
        <v>4422</v>
      </c>
      <c r="C2243" s="3" t="s">
        <v>6069</v>
      </c>
      <c r="D2243" s="3" t="s">
        <v>6001</v>
      </c>
      <c r="E2243" s="3" t="s">
        <v>5991</v>
      </c>
      <c r="F2243" s="3" t="s">
        <v>6328</v>
      </c>
      <c r="G2243" s="3" t="s">
        <v>4210</v>
      </c>
      <c r="H2243" s="3" t="s">
        <v>4487</v>
      </c>
      <c r="I2243" s="3" t="s">
        <v>6207</v>
      </c>
      <c r="J2243" s="5" t="s">
        <v>4488</v>
      </c>
      <c r="L2243" s="3" t="s">
        <v>4349</v>
      </c>
      <c r="M2243" s="3">
        <v>2</v>
      </c>
      <c r="N2243" s="4" t="s">
        <v>9657</v>
      </c>
      <c r="O2243" s="4">
        <v>118</v>
      </c>
      <c r="P2243" s="11" t="s">
        <v>9756</v>
      </c>
      <c r="Q2243" s="11" t="s">
        <v>6157</v>
      </c>
      <c r="S2243" s="4" t="b">
        <f>ISNUMBER(MATCH(Q2243,T:T,0))</f>
        <v>1</v>
      </c>
      <c r="T2243" s="4" t="s">
        <v>10139</v>
      </c>
      <c r="U2243" s="4" t="str">
        <f t="shared" ref="U2243:U2306" si="103">IF(ISBLANK(R2243),Q2243,R2243)</f>
        <v>二</v>
      </c>
    </row>
    <row r="2244" spans="1:21">
      <c r="A2244" s="3">
        <v>2242</v>
      </c>
      <c r="B2244" s="3" t="s">
        <v>4422</v>
      </c>
      <c r="C2244" s="3" t="s">
        <v>6005</v>
      </c>
      <c r="D2244" s="3" t="s">
        <v>6001</v>
      </c>
      <c r="E2244" s="3" t="s">
        <v>6212</v>
      </c>
      <c r="F2244" s="3" t="s">
        <v>6332</v>
      </c>
      <c r="G2244" s="3" t="s">
        <v>4210</v>
      </c>
      <c r="H2244" s="3" t="s">
        <v>4489</v>
      </c>
      <c r="I2244" s="3" t="s">
        <v>6207</v>
      </c>
      <c r="J2244" s="5" t="s">
        <v>4490</v>
      </c>
      <c r="L2244" s="3" t="s">
        <v>4342</v>
      </c>
      <c r="M2244" s="3">
        <v>3</v>
      </c>
      <c r="N2244" s="4" t="s">
        <v>9657</v>
      </c>
      <c r="O2244" s="4">
        <v>118</v>
      </c>
      <c r="P2244" s="11" t="s">
        <v>9709</v>
      </c>
      <c r="Q2244" s="11" t="s">
        <v>10485</v>
      </c>
      <c r="S2244" s="4" t="b">
        <f>ISNUMBER(MATCH(Q2244,T:T,0))</f>
        <v>1</v>
      </c>
      <c r="T2244" s="4" t="s">
        <v>9994</v>
      </c>
      <c r="U2244" s="4" t="str">
        <f t="shared" si="103"/>
        <v>類</v>
      </c>
    </row>
    <row r="2245" spans="1:21">
      <c r="A2245" s="3">
        <v>2243</v>
      </c>
      <c r="B2245" s="3" t="s">
        <v>4422</v>
      </c>
      <c r="C2245" s="3" t="s">
        <v>6055</v>
      </c>
      <c r="D2245" s="3" t="s">
        <v>6001</v>
      </c>
      <c r="E2245" s="3" t="s">
        <v>6212</v>
      </c>
      <c r="F2245" s="3" t="s">
        <v>6328</v>
      </c>
      <c r="G2245" s="3" t="s">
        <v>4210</v>
      </c>
      <c r="H2245" s="3" t="s">
        <v>4491</v>
      </c>
      <c r="I2245" s="3" t="s">
        <v>6207</v>
      </c>
      <c r="J2245" s="5" t="s">
        <v>4492</v>
      </c>
      <c r="L2245" s="3" t="s">
        <v>4379</v>
      </c>
      <c r="M2245" s="3">
        <v>1</v>
      </c>
      <c r="N2245" s="4" t="s">
        <v>9657</v>
      </c>
      <c r="O2245" s="4">
        <v>118</v>
      </c>
      <c r="P2245" s="11" t="s">
        <v>9749</v>
      </c>
      <c r="Q2245" s="11" t="s">
        <v>10485</v>
      </c>
      <c r="S2245" s="4" t="b">
        <f>ISNUMBER(MATCH(Q2245,T:T,0))</f>
        <v>1</v>
      </c>
      <c r="T2245" s="4" t="s">
        <v>4492</v>
      </c>
      <c r="U2245" s="4" t="str">
        <f t="shared" si="103"/>
        <v>類</v>
      </c>
    </row>
    <row r="2246" spans="1:21">
      <c r="A2246" s="3">
        <v>2244</v>
      </c>
      <c r="B2246" s="3" t="s">
        <v>4422</v>
      </c>
      <c r="C2246" s="3" t="s">
        <v>6028</v>
      </c>
      <c r="D2246" s="3" t="s">
        <v>6001</v>
      </c>
      <c r="E2246" s="3" t="s">
        <v>6212</v>
      </c>
      <c r="F2246" s="3" t="s">
        <v>6328</v>
      </c>
      <c r="G2246" s="3" t="s">
        <v>4210</v>
      </c>
      <c r="H2246" s="3" t="s">
        <v>4493</v>
      </c>
      <c r="I2246" s="3" t="s">
        <v>6207</v>
      </c>
      <c r="J2246" s="5" t="s">
        <v>4494</v>
      </c>
      <c r="L2246" s="3" t="s">
        <v>4352</v>
      </c>
      <c r="M2246" s="3">
        <v>7</v>
      </c>
      <c r="N2246" s="4" t="s">
        <v>9657</v>
      </c>
      <c r="O2246" s="4">
        <v>118</v>
      </c>
      <c r="P2246" s="11" t="s">
        <v>6028</v>
      </c>
      <c r="Q2246" s="11" t="s">
        <v>9823</v>
      </c>
      <c r="S2246" s="4" t="b">
        <f>ISNUMBER(MATCH(Q2246,T:T,0))</f>
        <v>1</v>
      </c>
      <c r="T2246" s="4" t="s">
        <v>9816</v>
      </c>
      <c r="U2246" s="4" t="str">
        <f t="shared" si="103"/>
        <v>醉</v>
      </c>
    </row>
    <row r="2247" spans="1:21">
      <c r="A2247" s="3">
        <v>2245</v>
      </c>
      <c r="B2247" s="3" t="s">
        <v>4422</v>
      </c>
      <c r="C2247" s="3" t="s">
        <v>6089</v>
      </c>
      <c r="D2247" s="3" t="s">
        <v>6001</v>
      </c>
      <c r="E2247" s="3" t="s">
        <v>6212</v>
      </c>
      <c r="F2247" s="3" t="s">
        <v>6328</v>
      </c>
      <c r="G2247" s="3" t="s">
        <v>4210</v>
      </c>
      <c r="H2247" s="3" t="s">
        <v>4495</v>
      </c>
      <c r="I2247" s="3" t="s">
        <v>6207</v>
      </c>
      <c r="J2247" s="5" t="s">
        <v>4496</v>
      </c>
      <c r="L2247" s="3" t="s">
        <v>5869</v>
      </c>
      <c r="M2247" s="3">
        <v>1</v>
      </c>
      <c r="N2247" s="4" t="s">
        <v>9657</v>
      </c>
      <c r="O2247" s="4">
        <v>118</v>
      </c>
      <c r="P2247" s="11" t="s">
        <v>9904</v>
      </c>
      <c r="Q2247" s="11" t="s">
        <v>10489</v>
      </c>
      <c r="S2247" s="4" t="b">
        <f>ISNUMBER(MATCH(Q2247,T:T,0))</f>
        <v>1</v>
      </c>
      <c r="T2247" s="4" t="s">
        <v>4496</v>
      </c>
      <c r="U2247" s="4" t="str">
        <f t="shared" si="103"/>
        <v>季</v>
      </c>
    </row>
    <row r="2248" spans="1:21">
      <c r="A2248" s="3">
        <v>2246</v>
      </c>
      <c r="B2248" s="3" t="s">
        <v>4422</v>
      </c>
      <c r="C2248" s="3" t="s">
        <v>6000</v>
      </c>
      <c r="D2248" s="3" t="s">
        <v>6001</v>
      </c>
      <c r="E2248" s="3" t="s">
        <v>6212</v>
      </c>
      <c r="F2248" s="3" t="s">
        <v>6332</v>
      </c>
      <c r="G2248" s="3" t="s">
        <v>4210</v>
      </c>
      <c r="H2248" s="3" t="s">
        <v>4497</v>
      </c>
      <c r="I2248" s="3" t="s">
        <v>6207</v>
      </c>
      <c r="J2248" s="5" t="s">
        <v>4498</v>
      </c>
      <c r="L2248" s="3" t="s">
        <v>4342</v>
      </c>
      <c r="M2248" s="3">
        <v>1</v>
      </c>
      <c r="N2248" s="4" t="s">
        <v>9657</v>
      </c>
      <c r="O2248" s="4">
        <v>118</v>
      </c>
      <c r="P2248" s="11" t="s">
        <v>9814</v>
      </c>
      <c r="Q2248" s="11" t="s">
        <v>10493</v>
      </c>
      <c r="S2248" s="4" t="b">
        <f>ISNUMBER(MATCH(Q2248,T:T,0))</f>
        <v>1</v>
      </c>
      <c r="T2248" s="4" t="s">
        <v>4498</v>
      </c>
      <c r="U2248" s="4" t="str">
        <f t="shared" si="103"/>
        <v>萃</v>
      </c>
    </row>
    <row r="2249" spans="1:21">
      <c r="A2249" s="3">
        <v>2247</v>
      </c>
      <c r="B2249" s="3" t="s">
        <v>4422</v>
      </c>
      <c r="C2249" s="3" t="s">
        <v>6055</v>
      </c>
      <c r="D2249" s="3" t="s">
        <v>6001</v>
      </c>
      <c r="E2249" s="3" t="s">
        <v>5991</v>
      </c>
      <c r="F2249" s="3" t="s">
        <v>6328</v>
      </c>
      <c r="G2249" s="3" t="s">
        <v>4210</v>
      </c>
      <c r="H2249" s="3" t="s">
        <v>4499</v>
      </c>
      <c r="I2249" s="3" t="s">
        <v>6207</v>
      </c>
      <c r="J2249" s="8" t="s">
        <v>4500</v>
      </c>
      <c r="L2249" s="3" t="s">
        <v>4404</v>
      </c>
      <c r="M2249" s="3">
        <v>1</v>
      </c>
      <c r="N2249" s="4" t="s">
        <v>9657</v>
      </c>
      <c r="O2249" s="4">
        <v>118</v>
      </c>
      <c r="P2249" s="11" t="s">
        <v>9992</v>
      </c>
      <c r="Q2249" s="11" t="s">
        <v>10139</v>
      </c>
      <c r="S2249" s="4" t="b">
        <f>ISNUMBER(MATCH(Q2249,T:T,0))</f>
        <v>1</v>
      </c>
      <c r="T2249" s="4" t="s">
        <v>4500</v>
      </c>
      <c r="U2249" s="4" t="str">
        <f t="shared" si="103"/>
        <v>自</v>
      </c>
    </row>
    <row r="2250" spans="1:21">
      <c r="A2250" s="3">
        <v>2248</v>
      </c>
      <c r="B2250" s="3" t="s">
        <v>4422</v>
      </c>
      <c r="C2250" s="3" t="s">
        <v>6120</v>
      </c>
      <c r="D2250" s="3" t="s">
        <v>6001</v>
      </c>
      <c r="E2250" s="3" t="s">
        <v>5991</v>
      </c>
      <c r="F2250" s="3" t="s">
        <v>6328</v>
      </c>
      <c r="G2250" s="3" t="s">
        <v>4210</v>
      </c>
      <c r="H2250" s="3" t="s">
        <v>4501</v>
      </c>
      <c r="I2250" s="3" t="s">
        <v>6207</v>
      </c>
      <c r="J2250" s="5" t="s">
        <v>4502</v>
      </c>
      <c r="L2250" s="3" t="s">
        <v>8760</v>
      </c>
      <c r="M2250" s="3">
        <v>2</v>
      </c>
      <c r="N2250" s="4" t="s">
        <v>9657</v>
      </c>
      <c r="O2250" s="4">
        <v>118</v>
      </c>
      <c r="P2250" s="11" t="s">
        <v>10219</v>
      </c>
      <c r="Q2250" s="11" t="s">
        <v>10478</v>
      </c>
      <c r="S2250" s="4" t="b">
        <f>ISNUMBER(MATCH(Q2250,T:T,0))</f>
        <v>1</v>
      </c>
      <c r="T2250" s="4" t="s">
        <v>12079</v>
      </c>
      <c r="U2250" s="4" t="str">
        <f t="shared" si="103"/>
        <v>利</v>
      </c>
    </row>
    <row r="2251" spans="1:21" ht="28.5">
      <c r="A2251" s="3">
        <v>2249</v>
      </c>
      <c r="B2251" s="3" t="s">
        <v>4422</v>
      </c>
      <c r="C2251" s="3" t="s">
        <v>6167</v>
      </c>
      <c r="D2251" s="3" t="s">
        <v>6001</v>
      </c>
      <c r="E2251" s="3" t="s">
        <v>6212</v>
      </c>
      <c r="F2251" s="3" t="s">
        <v>6332</v>
      </c>
      <c r="G2251" s="3" t="s">
        <v>4210</v>
      </c>
      <c r="H2251" s="3" t="s">
        <v>4503</v>
      </c>
      <c r="I2251" s="3" t="s">
        <v>6207</v>
      </c>
      <c r="J2251" s="5" t="s">
        <v>4504</v>
      </c>
      <c r="L2251" s="3" t="s">
        <v>4505</v>
      </c>
      <c r="M2251" s="3">
        <v>1</v>
      </c>
      <c r="N2251" s="4" t="s">
        <v>9657</v>
      </c>
      <c r="O2251" s="4">
        <v>118</v>
      </c>
      <c r="P2251" s="11" t="s">
        <v>9769</v>
      </c>
      <c r="Q2251" s="11" t="s">
        <v>10479</v>
      </c>
      <c r="S2251" s="4" t="b">
        <f>ISNUMBER(MATCH(Q2251,T:T,0))</f>
        <v>1</v>
      </c>
      <c r="T2251" s="4" t="s">
        <v>4504</v>
      </c>
      <c r="U2251" s="4" t="str">
        <f t="shared" si="103"/>
        <v>愧</v>
      </c>
    </row>
    <row r="2252" spans="1:21">
      <c r="A2252" s="3">
        <v>2250</v>
      </c>
      <c r="B2252" s="3" t="s">
        <v>4422</v>
      </c>
      <c r="C2252" s="3" t="s">
        <v>6120</v>
      </c>
      <c r="D2252" s="3" t="s">
        <v>6001</v>
      </c>
      <c r="E2252" s="3" t="s">
        <v>6212</v>
      </c>
      <c r="F2252" s="3" t="s">
        <v>6328</v>
      </c>
      <c r="G2252" s="3" t="s">
        <v>4210</v>
      </c>
      <c r="H2252" s="3" t="s">
        <v>4506</v>
      </c>
      <c r="I2252" s="3" t="s">
        <v>6207</v>
      </c>
      <c r="J2252" s="5" t="s">
        <v>4507</v>
      </c>
      <c r="L2252" s="3" t="s">
        <v>8868</v>
      </c>
      <c r="M2252" s="3">
        <v>2</v>
      </c>
      <c r="N2252" s="4" t="s">
        <v>9657</v>
      </c>
      <c r="O2252" s="4">
        <v>118</v>
      </c>
      <c r="P2252" s="11" t="s">
        <v>10494</v>
      </c>
      <c r="Q2252" s="11" t="s">
        <v>10485</v>
      </c>
      <c r="S2252" s="4" t="b">
        <f>ISNUMBER(MATCH(Q2252,T:T,0))</f>
        <v>1</v>
      </c>
      <c r="T2252" s="4" t="s">
        <v>12080</v>
      </c>
      <c r="U2252" s="4" t="str">
        <f t="shared" si="103"/>
        <v>類</v>
      </c>
    </row>
    <row r="2253" spans="1:21">
      <c r="A2253" s="3">
        <v>2251</v>
      </c>
      <c r="B2253" s="3" t="s">
        <v>4508</v>
      </c>
      <c r="C2253" s="3" t="s">
        <v>6009</v>
      </c>
      <c r="D2253" s="3" t="s">
        <v>6001</v>
      </c>
      <c r="E2253" s="3" t="s">
        <v>5991</v>
      </c>
      <c r="F2253" s="3" t="s">
        <v>6396</v>
      </c>
      <c r="G2253" s="3" t="s">
        <v>4210</v>
      </c>
      <c r="H2253" s="3" t="s">
        <v>4509</v>
      </c>
      <c r="I2253" s="3" t="s">
        <v>6207</v>
      </c>
      <c r="J2253" s="5" t="s">
        <v>9153</v>
      </c>
      <c r="L2253" s="3" t="s">
        <v>8808</v>
      </c>
      <c r="M2253" s="3">
        <v>7</v>
      </c>
      <c r="N2253" s="4" t="s">
        <v>9658</v>
      </c>
      <c r="O2253" s="4">
        <v>119</v>
      </c>
      <c r="P2253" s="11" t="s">
        <v>1726</v>
      </c>
      <c r="Q2253" s="11" t="s">
        <v>10495</v>
      </c>
      <c r="S2253" s="4" t="b">
        <f>ISNUMBER(MATCH(Q2253,T:T,0))</f>
        <v>1</v>
      </c>
      <c r="T2253" s="4" t="s">
        <v>9658</v>
      </c>
      <c r="U2253" s="4" t="str">
        <f t="shared" si="103"/>
        <v>吏</v>
      </c>
    </row>
    <row r="2254" spans="1:21">
      <c r="A2254" s="3">
        <v>2252</v>
      </c>
      <c r="B2254" s="3" t="s">
        <v>4508</v>
      </c>
      <c r="C2254" s="3" t="s">
        <v>6005</v>
      </c>
      <c r="D2254" s="3" t="s">
        <v>6001</v>
      </c>
      <c r="E2254" s="3" t="s">
        <v>5991</v>
      </c>
      <c r="F2254" s="3" t="s">
        <v>6396</v>
      </c>
      <c r="G2254" s="3" t="s">
        <v>4210</v>
      </c>
      <c r="H2254" s="3" t="s">
        <v>4510</v>
      </c>
      <c r="I2254" s="3" t="s">
        <v>6207</v>
      </c>
      <c r="J2254" s="5" t="s">
        <v>4511</v>
      </c>
      <c r="L2254" s="3" t="s">
        <v>8808</v>
      </c>
      <c r="M2254" s="3">
        <v>5</v>
      </c>
      <c r="N2254" s="4" t="s">
        <v>9658</v>
      </c>
      <c r="O2254" s="4">
        <v>119</v>
      </c>
      <c r="P2254" s="11" t="s">
        <v>9709</v>
      </c>
      <c r="Q2254" s="11" t="s">
        <v>10495</v>
      </c>
      <c r="S2254" s="4" t="b">
        <f>ISNUMBER(MATCH(Q2254,T:T,0))</f>
        <v>1</v>
      </c>
      <c r="T2254" s="4" t="s">
        <v>12081</v>
      </c>
      <c r="U2254" s="4" t="str">
        <f t="shared" si="103"/>
        <v>吏</v>
      </c>
    </row>
    <row r="2255" spans="1:21">
      <c r="A2255" s="3">
        <v>2253</v>
      </c>
      <c r="B2255" s="3" t="s">
        <v>4508</v>
      </c>
      <c r="C2255" s="3" t="s">
        <v>6123</v>
      </c>
      <c r="D2255" s="3" t="s">
        <v>6001</v>
      </c>
      <c r="E2255" s="3" t="s">
        <v>5991</v>
      </c>
      <c r="F2255" s="3" t="s">
        <v>6396</v>
      </c>
      <c r="G2255" s="3" t="s">
        <v>4210</v>
      </c>
      <c r="H2255" s="3" t="s">
        <v>1326</v>
      </c>
      <c r="I2255" s="3" t="s">
        <v>6207</v>
      </c>
      <c r="J2255" s="5" t="s">
        <v>9154</v>
      </c>
      <c r="L2255" s="3" t="s">
        <v>8879</v>
      </c>
      <c r="M2255" s="3">
        <v>5</v>
      </c>
      <c r="N2255" s="4" t="s">
        <v>9658</v>
      </c>
      <c r="O2255" s="4">
        <v>119</v>
      </c>
      <c r="P2255" s="11" t="s">
        <v>9748</v>
      </c>
      <c r="Q2255" s="11" t="s">
        <v>10495</v>
      </c>
      <c r="S2255" s="4" t="b">
        <f>ISNUMBER(MATCH(Q2255,T:T,0))</f>
        <v>1</v>
      </c>
      <c r="T2255" s="4" t="s">
        <v>10825</v>
      </c>
      <c r="U2255" s="4" t="str">
        <f t="shared" si="103"/>
        <v>吏</v>
      </c>
    </row>
    <row r="2256" spans="1:21">
      <c r="A2256" s="3">
        <v>2254</v>
      </c>
      <c r="B2256" s="3" t="s">
        <v>4508</v>
      </c>
      <c r="C2256" s="3" t="s">
        <v>6076</v>
      </c>
      <c r="D2256" s="3" t="s">
        <v>6001</v>
      </c>
      <c r="E2256" s="3" t="s">
        <v>5991</v>
      </c>
      <c r="F2256" s="3" t="s">
        <v>6396</v>
      </c>
      <c r="G2256" s="3" t="s">
        <v>4210</v>
      </c>
      <c r="H2256" s="3" t="s">
        <v>1327</v>
      </c>
      <c r="I2256" s="3" t="s">
        <v>6207</v>
      </c>
      <c r="J2256" s="5" t="s">
        <v>9155</v>
      </c>
      <c r="L2256" s="3" t="s">
        <v>4365</v>
      </c>
      <c r="M2256" s="3">
        <v>4</v>
      </c>
      <c r="N2256" s="4" t="s">
        <v>9658</v>
      </c>
      <c r="O2256" s="4">
        <v>119</v>
      </c>
      <c r="P2256" s="11" t="s">
        <v>9766</v>
      </c>
      <c r="Q2256" s="11" t="s">
        <v>10495</v>
      </c>
      <c r="S2256" s="4" t="b">
        <f>ISNUMBER(MATCH(Q2256,T:T,0))</f>
        <v>1</v>
      </c>
      <c r="T2256" s="4" t="s">
        <v>12082</v>
      </c>
      <c r="U2256" s="4" t="str">
        <f t="shared" si="103"/>
        <v>吏</v>
      </c>
    </row>
    <row r="2257" spans="1:21">
      <c r="A2257" s="3">
        <v>2255</v>
      </c>
      <c r="B2257" s="3" t="s">
        <v>4508</v>
      </c>
      <c r="C2257" s="3" t="s">
        <v>6017</v>
      </c>
      <c r="D2257" s="3" t="s">
        <v>6001</v>
      </c>
      <c r="E2257" s="3" t="s">
        <v>5991</v>
      </c>
      <c r="F2257" s="3" t="s">
        <v>6396</v>
      </c>
      <c r="G2257" s="3" t="s">
        <v>4210</v>
      </c>
      <c r="H2257" s="3" t="s">
        <v>1328</v>
      </c>
      <c r="I2257" s="3" t="s">
        <v>6207</v>
      </c>
      <c r="J2257" s="5" t="s">
        <v>1329</v>
      </c>
      <c r="L2257" s="3" t="s">
        <v>8879</v>
      </c>
      <c r="M2257" s="3">
        <v>4</v>
      </c>
      <c r="N2257" s="4" t="s">
        <v>9658</v>
      </c>
      <c r="O2257" s="4">
        <v>119</v>
      </c>
      <c r="P2257" s="11" t="s">
        <v>2555</v>
      </c>
      <c r="Q2257" s="11" t="s">
        <v>10495</v>
      </c>
      <c r="S2257" s="4" t="b">
        <f>ISNUMBER(MATCH(Q2257,T:T,0))</f>
        <v>1</v>
      </c>
      <c r="T2257" s="4" t="s">
        <v>12083</v>
      </c>
      <c r="U2257" s="4" t="str">
        <f t="shared" si="103"/>
        <v>吏</v>
      </c>
    </row>
    <row r="2258" spans="1:21">
      <c r="A2258" s="3">
        <v>2256</v>
      </c>
      <c r="B2258" s="3" t="s">
        <v>4508</v>
      </c>
      <c r="C2258" s="3" t="s">
        <v>6120</v>
      </c>
      <c r="D2258" s="3" t="s">
        <v>6001</v>
      </c>
      <c r="E2258" s="3" t="s">
        <v>5991</v>
      </c>
      <c r="F2258" s="3" t="s">
        <v>6396</v>
      </c>
      <c r="G2258" s="3" t="s">
        <v>4210</v>
      </c>
      <c r="H2258" s="3" t="s">
        <v>1330</v>
      </c>
      <c r="I2258" s="3" t="s">
        <v>6207</v>
      </c>
      <c r="J2258" s="5" t="s">
        <v>9156</v>
      </c>
      <c r="L2258" s="3" t="s">
        <v>8760</v>
      </c>
      <c r="M2258" s="3">
        <v>4</v>
      </c>
      <c r="N2258" s="4" t="s">
        <v>9658</v>
      </c>
      <c r="O2258" s="4">
        <v>119</v>
      </c>
      <c r="P2258" s="11" t="s">
        <v>9793</v>
      </c>
      <c r="Q2258" s="11" t="s">
        <v>10495</v>
      </c>
      <c r="S2258" s="4" t="b">
        <f>ISNUMBER(MATCH(Q2258,T:T,0))</f>
        <v>1</v>
      </c>
      <c r="T2258" s="4" t="s">
        <v>10579</v>
      </c>
      <c r="U2258" s="4" t="str">
        <f t="shared" si="103"/>
        <v>吏</v>
      </c>
    </row>
    <row r="2259" spans="1:21">
      <c r="A2259" s="3">
        <v>2257</v>
      </c>
      <c r="B2259" s="3" t="s">
        <v>4508</v>
      </c>
      <c r="C2259" s="3" t="s">
        <v>6318</v>
      </c>
      <c r="D2259" s="3" t="s">
        <v>6001</v>
      </c>
      <c r="E2259" s="3" t="s">
        <v>5991</v>
      </c>
      <c r="F2259" s="3" t="s">
        <v>6396</v>
      </c>
      <c r="G2259" s="3" t="s">
        <v>4210</v>
      </c>
      <c r="H2259" s="3" t="s">
        <v>1331</v>
      </c>
      <c r="I2259" s="3" t="s">
        <v>6207</v>
      </c>
      <c r="J2259" s="5" t="s">
        <v>1332</v>
      </c>
      <c r="L2259" s="3" t="s">
        <v>8808</v>
      </c>
      <c r="M2259" s="3">
        <v>6</v>
      </c>
      <c r="N2259" s="4" t="s">
        <v>9658</v>
      </c>
      <c r="O2259" s="4">
        <v>119</v>
      </c>
      <c r="P2259" s="11" t="s">
        <v>9804</v>
      </c>
      <c r="Q2259" s="11" t="s">
        <v>10495</v>
      </c>
      <c r="S2259" s="4" t="b">
        <f>ISNUMBER(MATCH(Q2259,T:T,0))</f>
        <v>1</v>
      </c>
      <c r="T2259" s="4" t="s">
        <v>12084</v>
      </c>
      <c r="U2259" s="4" t="str">
        <f t="shared" si="103"/>
        <v>吏</v>
      </c>
    </row>
    <row r="2260" spans="1:21">
      <c r="A2260" s="3">
        <v>2258</v>
      </c>
      <c r="B2260" s="3" t="s">
        <v>4508</v>
      </c>
      <c r="C2260" s="3" t="s">
        <v>6058</v>
      </c>
      <c r="D2260" s="3" t="s">
        <v>6001</v>
      </c>
      <c r="E2260" s="3" t="s">
        <v>5991</v>
      </c>
      <c r="F2260" s="3" t="s">
        <v>6396</v>
      </c>
      <c r="G2260" s="3" t="s">
        <v>4210</v>
      </c>
      <c r="H2260" s="3" t="s">
        <v>1333</v>
      </c>
      <c r="I2260" s="3" t="s">
        <v>6207</v>
      </c>
      <c r="J2260" s="5" t="s">
        <v>1334</v>
      </c>
      <c r="L2260" s="3" t="s">
        <v>4344</v>
      </c>
      <c r="M2260" s="3">
        <v>2</v>
      </c>
      <c r="N2260" s="4" t="s">
        <v>9658</v>
      </c>
      <c r="O2260" s="4">
        <v>119</v>
      </c>
      <c r="P2260" s="11" t="s">
        <v>9727</v>
      </c>
      <c r="Q2260" s="11" t="s">
        <v>10496</v>
      </c>
      <c r="S2260" s="4" t="b">
        <f>ISNUMBER(MATCH(Q2260,T:T,0))</f>
        <v>1</v>
      </c>
      <c r="T2260" s="4" t="s">
        <v>10495</v>
      </c>
      <c r="U2260" s="4" t="str">
        <f t="shared" si="103"/>
        <v>置</v>
      </c>
    </row>
    <row r="2261" spans="1:21">
      <c r="A2261" s="3">
        <v>2259</v>
      </c>
      <c r="B2261" s="3" t="s">
        <v>4508</v>
      </c>
      <c r="C2261" s="3" t="s">
        <v>6069</v>
      </c>
      <c r="D2261" s="3" t="s">
        <v>6001</v>
      </c>
      <c r="E2261" s="3" t="s">
        <v>5991</v>
      </c>
      <c r="F2261" s="3" t="s">
        <v>6396</v>
      </c>
      <c r="G2261" s="3" t="s">
        <v>4210</v>
      </c>
      <c r="H2261" s="3" t="s">
        <v>1335</v>
      </c>
      <c r="I2261" s="3" t="s">
        <v>6207</v>
      </c>
      <c r="J2261" s="5" t="s">
        <v>9157</v>
      </c>
      <c r="L2261" s="3" t="s">
        <v>4349</v>
      </c>
      <c r="M2261" s="3">
        <v>6</v>
      </c>
      <c r="N2261" s="4" t="s">
        <v>9658</v>
      </c>
      <c r="O2261" s="4">
        <v>119</v>
      </c>
      <c r="P2261" s="11" t="s">
        <v>9756</v>
      </c>
      <c r="Q2261" s="11" t="s">
        <v>10496</v>
      </c>
      <c r="S2261" s="4" t="b">
        <f>ISNUMBER(MATCH(Q2261,T:T,0))</f>
        <v>1</v>
      </c>
      <c r="T2261" s="4" t="s">
        <v>12085</v>
      </c>
      <c r="U2261" s="4" t="str">
        <f t="shared" si="103"/>
        <v>置</v>
      </c>
    </row>
    <row r="2262" spans="1:21">
      <c r="A2262" s="3">
        <v>2260</v>
      </c>
      <c r="B2262" s="3" t="s">
        <v>4508</v>
      </c>
      <c r="C2262" s="3" t="s">
        <v>6011</v>
      </c>
      <c r="D2262" s="3" t="s">
        <v>6001</v>
      </c>
      <c r="E2262" s="3" t="s">
        <v>5991</v>
      </c>
      <c r="F2262" s="3" t="s">
        <v>6396</v>
      </c>
      <c r="G2262" s="3" t="s">
        <v>4210</v>
      </c>
      <c r="H2262" s="3" t="s">
        <v>1336</v>
      </c>
      <c r="I2262" s="3" t="s">
        <v>6207</v>
      </c>
      <c r="J2262" s="5" t="s">
        <v>1337</v>
      </c>
      <c r="L2262" s="3" t="s">
        <v>4404</v>
      </c>
      <c r="M2262" s="3">
        <v>5</v>
      </c>
      <c r="N2262" s="4" t="s">
        <v>9658</v>
      </c>
      <c r="O2262" s="4">
        <v>119</v>
      </c>
      <c r="P2262" s="11" t="s">
        <v>9757</v>
      </c>
      <c r="Q2262" s="11" t="s">
        <v>10495</v>
      </c>
      <c r="S2262" s="4" t="b">
        <f>ISNUMBER(MATCH(Q2262,T:T,0))</f>
        <v>1</v>
      </c>
      <c r="T2262" s="4" t="s">
        <v>12086</v>
      </c>
      <c r="U2262" s="4" t="str">
        <f t="shared" si="103"/>
        <v>吏</v>
      </c>
    </row>
    <row r="2263" spans="1:21">
      <c r="A2263" s="3">
        <v>2261</v>
      </c>
      <c r="B2263" s="3" t="s">
        <v>4508</v>
      </c>
      <c r="C2263" s="3" t="s">
        <v>6021</v>
      </c>
      <c r="D2263" s="3" t="s">
        <v>6001</v>
      </c>
      <c r="E2263" s="3" t="s">
        <v>5991</v>
      </c>
      <c r="F2263" s="3" t="s">
        <v>6396</v>
      </c>
      <c r="G2263" s="3" t="s">
        <v>4210</v>
      </c>
      <c r="H2263" s="3" t="s">
        <v>1338</v>
      </c>
      <c r="I2263" s="3" t="s">
        <v>6207</v>
      </c>
      <c r="J2263" s="5" t="s">
        <v>9158</v>
      </c>
      <c r="L2263" s="3" t="s">
        <v>4467</v>
      </c>
      <c r="M2263" s="3">
        <v>16</v>
      </c>
      <c r="N2263" s="4" t="s">
        <v>9658</v>
      </c>
      <c r="O2263" s="4">
        <v>119</v>
      </c>
      <c r="P2263" s="11" t="s">
        <v>10119</v>
      </c>
      <c r="Q2263" s="11" t="s">
        <v>10495</v>
      </c>
      <c r="S2263" s="4" t="b">
        <f>ISNUMBER(MATCH(Q2263,T:T,0))</f>
        <v>1</v>
      </c>
      <c r="T2263" s="4" t="s">
        <v>12087</v>
      </c>
      <c r="U2263" s="4" t="str">
        <f t="shared" si="103"/>
        <v>吏</v>
      </c>
    </row>
    <row r="2264" spans="1:21">
      <c r="A2264" s="3">
        <v>2262</v>
      </c>
      <c r="B2264" s="3" t="s">
        <v>4508</v>
      </c>
      <c r="C2264" s="3" t="s">
        <v>6180</v>
      </c>
      <c r="D2264" s="3" t="s">
        <v>6001</v>
      </c>
      <c r="E2264" s="3" t="s">
        <v>5991</v>
      </c>
      <c r="F2264" s="3" t="s">
        <v>6396</v>
      </c>
      <c r="G2264" s="3" t="s">
        <v>4210</v>
      </c>
      <c r="H2264" s="7" t="s">
        <v>802</v>
      </c>
      <c r="I2264" s="3" t="s">
        <v>6207</v>
      </c>
      <c r="J2264" s="5" t="s">
        <v>1339</v>
      </c>
      <c r="L2264" s="3" t="s">
        <v>8760</v>
      </c>
      <c r="M2264" s="3">
        <v>7</v>
      </c>
      <c r="N2264" s="4" t="s">
        <v>9658</v>
      </c>
      <c r="O2264" s="4">
        <v>119</v>
      </c>
      <c r="P2264" s="11" t="s">
        <v>10230</v>
      </c>
      <c r="Q2264" s="11" t="s">
        <v>10495</v>
      </c>
      <c r="S2264" s="4" t="b">
        <f>ISNUMBER(MATCH(Q2264,T:T,0))</f>
        <v>1</v>
      </c>
      <c r="T2264" s="4" t="s">
        <v>12088</v>
      </c>
      <c r="U2264" s="4" t="str">
        <f t="shared" si="103"/>
        <v>吏</v>
      </c>
    </row>
    <row r="2265" spans="1:21">
      <c r="A2265" s="3">
        <v>2263</v>
      </c>
      <c r="B2265" s="3" t="s">
        <v>4508</v>
      </c>
      <c r="C2265" s="3" t="s">
        <v>6167</v>
      </c>
      <c r="D2265" s="3" t="s">
        <v>6001</v>
      </c>
      <c r="E2265" s="3" t="s">
        <v>5991</v>
      </c>
      <c r="F2265" s="3" t="s">
        <v>6396</v>
      </c>
      <c r="G2265" s="3" t="s">
        <v>4210</v>
      </c>
      <c r="H2265" s="3" t="s">
        <v>1340</v>
      </c>
      <c r="I2265" s="3" t="s">
        <v>6207</v>
      </c>
      <c r="J2265" s="5" t="s">
        <v>1341</v>
      </c>
      <c r="L2265" s="3" t="s">
        <v>4404</v>
      </c>
      <c r="M2265" s="3">
        <v>1</v>
      </c>
      <c r="N2265" s="4" t="s">
        <v>9658</v>
      </c>
      <c r="O2265" s="4">
        <v>119</v>
      </c>
      <c r="P2265" s="11" t="s">
        <v>6167</v>
      </c>
      <c r="Q2265" s="11" t="s">
        <v>10495</v>
      </c>
      <c r="S2265" s="4" t="b">
        <f>ISNUMBER(MATCH(Q2265,T:T,0))</f>
        <v>1</v>
      </c>
      <c r="T2265" s="4" t="s">
        <v>1341</v>
      </c>
      <c r="U2265" s="4" t="str">
        <f t="shared" si="103"/>
        <v>吏</v>
      </c>
    </row>
    <row r="2266" spans="1:21">
      <c r="A2266" s="3">
        <v>2264</v>
      </c>
      <c r="B2266" s="3" t="s">
        <v>4508</v>
      </c>
      <c r="C2266" s="3" t="s">
        <v>6028</v>
      </c>
      <c r="D2266" s="3" t="s">
        <v>6001</v>
      </c>
      <c r="E2266" s="3" t="s">
        <v>5991</v>
      </c>
      <c r="F2266" s="3" t="s">
        <v>6396</v>
      </c>
      <c r="G2266" s="3" t="s">
        <v>4210</v>
      </c>
      <c r="H2266" s="3" t="s">
        <v>1342</v>
      </c>
      <c r="I2266" s="3" t="s">
        <v>6207</v>
      </c>
      <c r="J2266" s="5" t="s">
        <v>1343</v>
      </c>
      <c r="L2266" s="3" t="s">
        <v>4368</v>
      </c>
      <c r="M2266" s="3">
        <v>7</v>
      </c>
      <c r="N2266" s="4" t="s">
        <v>9658</v>
      </c>
      <c r="O2266" s="4">
        <v>119</v>
      </c>
      <c r="P2266" s="11" t="s">
        <v>9863</v>
      </c>
      <c r="Q2266" s="11" t="s">
        <v>10495</v>
      </c>
      <c r="S2266" s="4" t="b">
        <f>ISNUMBER(MATCH(Q2266,T:T,0))</f>
        <v>1</v>
      </c>
      <c r="T2266" s="4" t="s">
        <v>12089</v>
      </c>
      <c r="U2266" s="4" t="str">
        <f t="shared" si="103"/>
        <v>吏</v>
      </c>
    </row>
    <row r="2267" spans="1:21">
      <c r="A2267" s="3">
        <v>2265</v>
      </c>
      <c r="B2267" s="3" t="s">
        <v>4508</v>
      </c>
      <c r="C2267" s="3" t="s">
        <v>6000</v>
      </c>
      <c r="D2267" s="3" t="s">
        <v>6001</v>
      </c>
      <c r="E2267" s="3" t="s">
        <v>5991</v>
      </c>
      <c r="F2267" s="3" t="s">
        <v>6396</v>
      </c>
      <c r="G2267" s="3" t="s">
        <v>4210</v>
      </c>
      <c r="H2267" s="3" t="s">
        <v>1344</v>
      </c>
      <c r="I2267" s="3" t="s">
        <v>6207</v>
      </c>
      <c r="J2267" s="5" t="s">
        <v>1345</v>
      </c>
      <c r="L2267" s="3" t="s">
        <v>8808</v>
      </c>
      <c r="M2267" s="3">
        <v>2</v>
      </c>
      <c r="N2267" s="4" t="s">
        <v>9658</v>
      </c>
      <c r="O2267" s="4">
        <v>119</v>
      </c>
      <c r="P2267" s="11" t="s">
        <v>9707</v>
      </c>
      <c r="Q2267" s="11" t="s">
        <v>10495</v>
      </c>
      <c r="S2267" s="4" t="b">
        <f>ISNUMBER(MATCH(Q2267,T:T,0))</f>
        <v>1</v>
      </c>
      <c r="T2267" s="4" t="s">
        <v>10496</v>
      </c>
      <c r="U2267" s="4" t="str">
        <f t="shared" si="103"/>
        <v>吏</v>
      </c>
    </row>
    <row r="2268" spans="1:21">
      <c r="A2268" s="3">
        <v>2266</v>
      </c>
      <c r="B2268" s="3" t="s">
        <v>4508</v>
      </c>
      <c r="C2268" s="3" t="s">
        <v>6148</v>
      </c>
      <c r="D2268" s="3" t="s">
        <v>6001</v>
      </c>
      <c r="E2268" s="3" t="s">
        <v>5991</v>
      </c>
      <c r="F2268" s="3" t="s">
        <v>6396</v>
      </c>
      <c r="G2268" s="3" t="s">
        <v>4210</v>
      </c>
      <c r="H2268" s="3" t="s">
        <v>1346</v>
      </c>
      <c r="I2268" s="3" t="s">
        <v>6207</v>
      </c>
      <c r="J2268" s="5" t="s">
        <v>9159</v>
      </c>
      <c r="L2268" s="3" t="s">
        <v>8760</v>
      </c>
      <c r="M2268" s="3">
        <v>3</v>
      </c>
      <c r="N2268" s="4" t="s">
        <v>9658</v>
      </c>
      <c r="O2268" s="4">
        <v>119</v>
      </c>
      <c r="P2268" s="11" t="s">
        <v>10190</v>
      </c>
      <c r="Q2268" s="11" t="s">
        <v>10495</v>
      </c>
      <c r="S2268" s="4" t="b">
        <f>ISNUMBER(MATCH(Q2268,T:T,0))</f>
        <v>1</v>
      </c>
      <c r="T2268" s="4" t="s">
        <v>12090</v>
      </c>
      <c r="U2268" s="4" t="str">
        <f t="shared" si="103"/>
        <v>吏</v>
      </c>
    </row>
    <row r="2269" spans="1:21">
      <c r="A2269" s="3">
        <v>2267</v>
      </c>
      <c r="B2269" s="3" t="s">
        <v>4508</v>
      </c>
      <c r="C2269" s="3" t="s">
        <v>6015</v>
      </c>
      <c r="D2269" s="3" t="s">
        <v>6001</v>
      </c>
      <c r="E2269" s="3" t="s">
        <v>5991</v>
      </c>
      <c r="F2269" s="3" t="s">
        <v>6396</v>
      </c>
      <c r="G2269" s="3" t="s">
        <v>4210</v>
      </c>
      <c r="H2269" s="3" t="s">
        <v>1347</v>
      </c>
      <c r="I2269" s="3" t="s">
        <v>6207</v>
      </c>
      <c r="J2269" s="5" t="s">
        <v>1348</v>
      </c>
      <c r="L2269" s="3" t="s">
        <v>8760</v>
      </c>
      <c r="M2269" s="3">
        <v>2</v>
      </c>
      <c r="N2269" s="4" t="s">
        <v>9658</v>
      </c>
      <c r="O2269" s="4">
        <v>119</v>
      </c>
      <c r="P2269" s="11" t="s">
        <v>10041</v>
      </c>
      <c r="Q2269" s="11" t="s">
        <v>10495</v>
      </c>
      <c r="S2269" s="4" t="b">
        <f>ISNUMBER(MATCH(Q2269,T:T,0))</f>
        <v>1</v>
      </c>
      <c r="T2269" s="4" t="s">
        <v>12091</v>
      </c>
      <c r="U2269" s="4" t="str">
        <f t="shared" si="103"/>
        <v>吏</v>
      </c>
    </row>
    <row r="2270" spans="1:21">
      <c r="A2270" s="3">
        <v>2268</v>
      </c>
      <c r="B2270" s="3" t="s">
        <v>4508</v>
      </c>
      <c r="C2270" s="3" t="s">
        <v>6041</v>
      </c>
      <c r="D2270" s="3" t="s">
        <v>6001</v>
      </c>
      <c r="E2270" s="3" t="s">
        <v>5991</v>
      </c>
      <c r="F2270" s="3" t="s">
        <v>6396</v>
      </c>
      <c r="G2270" s="3" t="s">
        <v>4210</v>
      </c>
      <c r="H2270" s="3" t="s">
        <v>1349</v>
      </c>
      <c r="I2270" s="3" t="s">
        <v>6207</v>
      </c>
      <c r="J2270" s="5" t="s">
        <v>9160</v>
      </c>
      <c r="L2270" s="3" t="s">
        <v>8786</v>
      </c>
      <c r="M2270" s="3">
        <v>13</v>
      </c>
      <c r="N2270" s="4" t="s">
        <v>9658</v>
      </c>
      <c r="O2270" s="4">
        <v>119</v>
      </c>
      <c r="P2270" s="11" t="s">
        <v>9721</v>
      </c>
      <c r="Q2270" s="11" t="s">
        <v>1354</v>
      </c>
      <c r="S2270" s="4" t="b">
        <f>ISNUMBER(MATCH(Q2270,T:T,0))</f>
        <v>1</v>
      </c>
      <c r="T2270" s="4" t="s">
        <v>12092</v>
      </c>
      <c r="U2270" s="4" t="str">
        <f t="shared" si="103"/>
        <v>記</v>
      </c>
    </row>
    <row r="2271" spans="1:21" ht="28.5">
      <c r="A2271" s="3">
        <v>2269</v>
      </c>
      <c r="B2271" s="3" t="s">
        <v>4508</v>
      </c>
      <c r="C2271" s="3" t="s">
        <v>6055</v>
      </c>
      <c r="D2271" s="3" t="s">
        <v>6001</v>
      </c>
      <c r="E2271" s="3" t="s">
        <v>5991</v>
      </c>
      <c r="F2271" s="3" t="s">
        <v>6396</v>
      </c>
      <c r="G2271" s="3" t="s">
        <v>4210</v>
      </c>
      <c r="H2271" s="3" t="s">
        <v>1350</v>
      </c>
      <c r="I2271" s="3" t="s">
        <v>6207</v>
      </c>
      <c r="J2271" s="5" t="s">
        <v>9161</v>
      </c>
      <c r="K2271" s="3" t="s">
        <v>617</v>
      </c>
      <c r="L2271" s="3" t="s">
        <v>4404</v>
      </c>
      <c r="M2271" s="3">
        <v>8</v>
      </c>
      <c r="N2271" s="4" t="s">
        <v>9658</v>
      </c>
      <c r="O2271" s="4">
        <v>119</v>
      </c>
      <c r="P2271" s="11" t="s">
        <v>6055</v>
      </c>
      <c r="Q2271" s="11" t="s">
        <v>9658</v>
      </c>
      <c r="S2271" s="4" t="b">
        <f>ISNUMBER(MATCH(Q2271,T:T,0))</f>
        <v>1</v>
      </c>
      <c r="T2271" s="4" t="s">
        <v>12093</v>
      </c>
      <c r="U2271" s="4" t="str">
        <f t="shared" si="103"/>
        <v>志</v>
      </c>
    </row>
    <row r="2272" spans="1:21">
      <c r="A2272" s="3">
        <v>2270</v>
      </c>
      <c r="B2272" s="3" t="s">
        <v>4508</v>
      </c>
      <c r="C2272" s="3" t="s">
        <v>6072</v>
      </c>
      <c r="D2272" s="3" t="s">
        <v>6001</v>
      </c>
      <c r="E2272" s="3" t="s">
        <v>5991</v>
      </c>
      <c r="F2272" s="3" t="s">
        <v>6396</v>
      </c>
      <c r="G2272" s="3" t="s">
        <v>4210</v>
      </c>
      <c r="H2272" s="3" t="s">
        <v>1351</v>
      </c>
      <c r="I2272" s="3" t="s">
        <v>6207</v>
      </c>
      <c r="J2272" s="5" t="s">
        <v>1352</v>
      </c>
      <c r="L2272" s="3" t="s">
        <v>4368</v>
      </c>
      <c r="M2272" s="3">
        <v>4</v>
      </c>
      <c r="N2272" s="4" t="s">
        <v>9658</v>
      </c>
      <c r="O2272" s="4">
        <v>119</v>
      </c>
      <c r="P2272" s="11" t="s">
        <v>9754</v>
      </c>
      <c r="Q2272" s="11" t="s">
        <v>1354</v>
      </c>
      <c r="S2272" s="4" t="b">
        <f>ISNUMBER(MATCH(Q2272,T:T,0))</f>
        <v>1</v>
      </c>
      <c r="T2272" s="4" t="s">
        <v>12094</v>
      </c>
      <c r="U2272" s="4" t="str">
        <f t="shared" si="103"/>
        <v>記</v>
      </c>
    </row>
    <row r="2273" spans="1:22">
      <c r="A2273" s="3">
        <v>2271</v>
      </c>
      <c r="B2273" s="3" t="s">
        <v>4508</v>
      </c>
      <c r="C2273" s="3" t="s">
        <v>6025</v>
      </c>
      <c r="D2273" s="3" t="s">
        <v>6001</v>
      </c>
      <c r="E2273" s="3" t="s">
        <v>5991</v>
      </c>
      <c r="F2273" s="3" t="s">
        <v>6396</v>
      </c>
      <c r="G2273" s="3" t="s">
        <v>4210</v>
      </c>
      <c r="H2273" s="3" t="s">
        <v>1353</v>
      </c>
      <c r="I2273" s="3" t="s">
        <v>6207</v>
      </c>
      <c r="J2273" s="5" t="s">
        <v>1354</v>
      </c>
      <c r="L2273" s="3" t="s">
        <v>8786</v>
      </c>
      <c r="M2273" s="3">
        <v>1</v>
      </c>
      <c r="N2273" s="4" t="s">
        <v>9658</v>
      </c>
      <c r="O2273" s="4">
        <v>119</v>
      </c>
      <c r="P2273" s="11" t="s">
        <v>9717</v>
      </c>
      <c r="Q2273" s="11" t="s">
        <v>10495</v>
      </c>
      <c r="S2273" s="4" t="b">
        <f>ISNUMBER(MATCH(Q2273,T:T,0))</f>
        <v>1</v>
      </c>
      <c r="T2273" s="4" t="s">
        <v>1354</v>
      </c>
      <c r="U2273" s="4" t="str">
        <f t="shared" si="103"/>
        <v>吏</v>
      </c>
    </row>
    <row r="2274" spans="1:22">
      <c r="A2274" s="3">
        <v>2272</v>
      </c>
      <c r="B2274" s="3" t="s">
        <v>4508</v>
      </c>
      <c r="C2274" s="3" t="s">
        <v>6089</v>
      </c>
      <c r="D2274" s="3" t="s">
        <v>6001</v>
      </c>
      <c r="E2274" s="3" t="s">
        <v>5991</v>
      </c>
      <c r="F2274" s="3" t="s">
        <v>6396</v>
      </c>
      <c r="G2274" s="3" t="s">
        <v>4210</v>
      </c>
      <c r="H2274" s="3" t="s">
        <v>1355</v>
      </c>
      <c r="I2274" s="3" t="s">
        <v>6207</v>
      </c>
      <c r="J2274" s="8" t="s">
        <v>9162</v>
      </c>
      <c r="L2274" s="3" t="s">
        <v>4381</v>
      </c>
      <c r="M2274" s="3">
        <v>2</v>
      </c>
      <c r="N2274" s="4" t="s">
        <v>9658</v>
      </c>
      <c r="O2274" s="4">
        <v>119</v>
      </c>
      <c r="P2274" s="11" t="s">
        <v>9753</v>
      </c>
      <c r="Q2274" s="11" t="s">
        <v>1354</v>
      </c>
      <c r="S2274" s="4" t="b">
        <f>ISNUMBER(MATCH(Q2274,T:T,0))</f>
        <v>1</v>
      </c>
      <c r="T2274" s="4" t="s">
        <v>12095</v>
      </c>
      <c r="U2274" s="4" t="str">
        <f t="shared" si="103"/>
        <v>記</v>
      </c>
    </row>
    <row r="2275" spans="1:22">
      <c r="A2275" s="3">
        <v>2273</v>
      </c>
      <c r="B2275" s="3" t="s">
        <v>4508</v>
      </c>
      <c r="C2275" s="3" t="s">
        <v>6092</v>
      </c>
      <c r="D2275" s="3" t="s">
        <v>6001</v>
      </c>
      <c r="E2275" s="3" t="s">
        <v>5991</v>
      </c>
      <c r="F2275" s="3" t="s">
        <v>6396</v>
      </c>
      <c r="G2275" s="3" t="s">
        <v>4210</v>
      </c>
      <c r="H2275" s="3" t="s">
        <v>1356</v>
      </c>
      <c r="I2275" s="3" t="s">
        <v>6207</v>
      </c>
      <c r="J2275" s="5" t="s">
        <v>9163</v>
      </c>
      <c r="L2275" s="3" t="s">
        <v>4368</v>
      </c>
      <c r="M2275" s="3">
        <v>6</v>
      </c>
      <c r="N2275" s="4" t="s">
        <v>9658</v>
      </c>
      <c r="O2275" s="4">
        <v>119</v>
      </c>
      <c r="P2275" s="11" t="s">
        <v>6462</v>
      </c>
      <c r="Q2275" s="11" t="s">
        <v>1354</v>
      </c>
      <c r="S2275" s="4" t="b">
        <f>ISNUMBER(MATCH(Q2275,T:T,0))</f>
        <v>1</v>
      </c>
      <c r="T2275" s="4" t="s">
        <v>12096</v>
      </c>
      <c r="U2275" s="4" t="str">
        <f t="shared" si="103"/>
        <v>記</v>
      </c>
    </row>
    <row r="2276" spans="1:22">
      <c r="A2276" s="3">
        <v>2274</v>
      </c>
      <c r="B2276" s="3" t="s">
        <v>4508</v>
      </c>
      <c r="C2276" s="3" t="s">
        <v>6038</v>
      </c>
      <c r="D2276" s="3" t="s">
        <v>6001</v>
      </c>
      <c r="E2276" s="3" t="s">
        <v>5991</v>
      </c>
      <c r="F2276" s="3" t="s">
        <v>6396</v>
      </c>
      <c r="G2276" s="3" t="s">
        <v>4210</v>
      </c>
      <c r="H2276" s="3" t="s">
        <v>1357</v>
      </c>
      <c r="I2276" s="3" t="s">
        <v>6207</v>
      </c>
      <c r="J2276" s="5" t="s">
        <v>1358</v>
      </c>
      <c r="L2276" s="3" t="s">
        <v>4384</v>
      </c>
      <c r="M2276" s="3">
        <v>3</v>
      </c>
      <c r="N2276" s="4" t="s">
        <v>9658</v>
      </c>
      <c r="O2276" s="4">
        <v>119</v>
      </c>
      <c r="P2276" s="11" t="s">
        <v>4210</v>
      </c>
      <c r="Q2276" s="11" t="s">
        <v>10495</v>
      </c>
      <c r="S2276" s="4" t="b">
        <f>ISNUMBER(MATCH(Q2276,T:T,0))</f>
        <v>1</v>
      </c>
      <c r="T2276" s="4" t="s">
        <v>12097</v>
      </c>
      <c r="U2276" s="4" t="str">
        <f t="shared" si="103"/>
        <v>吏</v>
      </c>
    </row>
    <row r="2277" spans="1:22">
      <c r="A2277" s="3">
        <v>2275</v>
      </c>
      <c r="B2277" s="3" t="s">
        <v>1359</v>
      </c>
      <c r="C2277" s="3" t="s">
        <v>6035</v>
      </c>
      <c r="D2277" s="3" t="s">
        <v>6001</v>
      </c>
      <c r="E2277" s="3" t="s">
        <v>6212</v>
      </c>
      <c r="F2277" s="3" t="s">
        <v>6436</v>
      </c>
      <c r="G2277" s="3" t="s">
        <v>4210</v>
      </c>
      <c r="H2277" s="3" t="s">
        <v>1360</v>
      </c>
      <c r="I2277" s="3" t="s">
        <v>6207</v>
      </c>
      <c r="J2277" s="5" t="s">
        <v>1361</v>
      </c>
      <c r="L2277" s="3" t="s">
        <v>4352</v>
      </c>
      <c r="M2277" s="3">
        <v>8</v>
      </c>
      <c r="N2277" s="4" t="s">
        <v>1362</v>
      </c>
      <c r="O2277" s="4">
        <v>120</v>
      </c>
      <c r="P2277" s="11" t="s">
        <v>9837</v>
      </c>
      <c r="Q2277" s="11" t="s">
        <v>10497</v>
      </c>
      <c r="S2277" s="4" t="b">
        <f>ISNUMBER(MATCH(Q2277,T:T,0))</f>
        <v>1</v>
      </c>
      <c r="T2277" s="4" t="s">
        <v>1362</v>
      </c>
      <c r="U2277" s="4" t="str">
        <f t="shared" si="103"/>
        <v>沸</v>
      </c>
    </row>
    <row r="2278" spans="1:22">
      <c r="A2278" s="3">
        <v>2276</v>
      </c>
      <c r="B2278" s="3" t="s">
        <v>1359</v>
      </c>
      <c r="C2278" s="3" t="s">
        <v>6025</v>
      </c>
      <c r="D2278" s="3" t="s">
        <v>6001</v>
      </c>
      <c r="E2278" s="3" t="s">
        <v>6212</v>
      </c>
      <c r="F2278" s="3" t="s">
        <v>6436</v>
      </c>
      <c r="G2278" s="3" t="s">
        <v>4210</v>
      </c>
      <c r="H2278" s="3" t="s">
        <v>1363</v>
      </c>
      <c r="I2278" s="3" t="s">
        <v>6207</v>
      </c>
      <c r="J2278" s="5" t="s">
        <v>1364</v>
      </c>
      <c r="L2278" s="3" t="s">
        <v>8857</v>
      </c>
      <c r="M2278" s="3">
        <v>3</v>
      </c>
      <c r="N2278" s="4" t="s">
        <v>1362</v>
      </c>
      <c r="O2278" s="4">
        <v>120</v>
      </c>
      <c r="P2278" s="11" t="s">
        <v>9717</v>
      </c>
      <c r="Q2278" s="11" t="s">
        <v>10498</v>
      </c>
      <c r="S2278" s="4" t="b">
        <f>ISNUMBER(MATCH(Q2278,T:T,0))</f>
        <v>1</v>
      </c>
      <c r="T2278" s="4" t="s">
        <v>10499</v>
      </c>
      <c r="U2278" s="4" t="str">
        <f t="shared" si="103"/>
        <v>胃</v>
      </c>
    </row>
    <row r="2279" spans="1:22" ht="39">
      <c r="A2279" s="3">
        <v>2277</v>
      </c>
      <c r="B2279" s="3" t="s">
        <v>1359</v>
      </c>
      <c r="C2279" s="3" t="s">
        <v>6032</v>
      </c>
      <c r="D2279" s="3" t="s">
        <v>6001</v>
      </c>
      <c r="E2279" s="3" t="s">
        <v>6212</v>
      </c>
      <c r="F2279" s="3" t="s">
        <v>6436</v>
      </c>
      <c r="G2279" s="3" t="s">
        <v>4210</v>
      </c>
      <c r="H2279" s="3" t="s">
        <v>1365</v>
      </c>
      <c r="I2279" s="3" t="s">
        <v>6207</v>
      </c>
      <c r="J2279" s="5" t="s">
        <v>9164</v>
      </c>
      <c r="L2279" s="3" t="s">
        <v>4352</v>
      </c>
      <c r="M2279" s="3">
        <v>17</v>
      </c>
      <c r="N2279" s="4" t="s">
        <v>1362</v>
      </c>
      <c r="O2279" s="4">
        <v>120</v>
      </c>
      <c r="P2279" s="11" t="s">
        <v>9859</v>
      </c>
      <c r="Q2279" s="11" t="s">
        <v>10499</v>
      </c>
      <c r="S2279" s="4" t="b">
        <f>ISNUMBER(MATCH(Q2279,T:T,0))</f>
        <v>1</v>
      </c>
      <c r="T2279" s="4" t="s">
        <v>10498</v>
      </c>
      <c r="U2279" s="4" t="str">
        <f t="shared" si="103"/>
        <v>貴</v>
      </c>
    </row>
    <row r="2280" spans="1:22">
      <c r="A2280" s="3">
        <v>2278</v>
      </c>
      <c r="B2280" s="3" t="s">
        <v>1359</v>
      </c>
      <c r="C2280" s="3" t="s">
        <v>6092</v>
      </c>
      <c r="D2280" s="3" t="s">
        <v>6001</v>
      </c>
      <c r="E2280" s="3" t="s">
        <v>6212</v>
      </c>
      <c r="F2280" s="3" t="s">
        <v>6436</v>
      </c>
      <c r="G2280" s="3" t="s">
        <v>4210</v>
      </c>
      <c r="H2280" s="3" t="s">
        <v>1366</v>
      </c>
      <c r="I2280" s="3" t="s">
        <v>6207</v>
      </c>
      <c r="J2280" s="5" t="s">
        <v>1367</v>
      </c>
      <c r="L2280" s="3" t="s">
        <v>4352</v>
      </c>
      <c r="M2280" s="3">
        <v>2</v>
      </c>
      <c r="N2280" s="4" t="s">
        <v>1362</v>
      </c>
      <c r="O2280" s="4">
        <v>120</v>
      </c>
      <c r="P2280" s="11" t="s">
        <v>6462</v>
      </c>
      <c r="Q2280" s="11" t="s">
        <v>10499</v>
      </c>
      <c r="S2280" s="4" t="b">
        <f>ISNUMBER(MATCH(Q2280,T:T,0))</f>
        <v>1</v>
      </c>
      <c r="T2280" s="4" t="s">
        <v>12098</v>
      </c>
      <c r="U2280" s="4" t="str">
        <f t="shared" si="103"/>
        <v>貴</v>
      </c>
    </row>
    <row r="2281" spans="1:22">
      <c r="A2281" s="3">
        <v>2279</v>
      </c>
      <c r="B2281" s="3" t="s">
        <v>1359</v>
      </c>
      <c r="C2281" s="3" t="s">
        <v>6049</v>
      </c>
      <c r="D2281" s="3" t="s">
        <v>6001</v>
      </c>
      <c r="E2281" s="3" t="s">
        <v>6212</v>
      </c>
      <c r="F2281" s="3" t="s">
        <v>6436</v>
      </c>
      <c r="G2281" s="3" t="s">
        <v>4210</v>
      </c>
      <c r="H2281" s="3" t="s">
        <v>1368</v>
      </c>
      <c r="I2281" s="3" t="s">
        <v>6207</v>
      </c>
      <c r="J2281" s="5" t="s">
        <v>1369</v>
      </c>
      <c r="L2281" s="3" t="s">
        <v>8997</v>
      </c>
      <c r="M2281" s="3">
        <v>11</v>
      </c>
      <c r="N2281" s="4" t="s">
        <v>1362</v>
      </c>
      <c r="O2281" s="4">
        <v>120</v>
      </c>
      <c r="P2281" s="11" t="s">
        <v>9723</v>
      </c>
      <c r="Q2281" s="11" t="s">
        <v>10500</v>
      </c>
      <c r="R2281" s="4" t="s">
        <v>13125</v>
      </c>
      <c r="S2281" s="4" t="b">
        <f>ISNUMBER(MATCH(Q2281,T:T,0))</f>
        <v>0</v>
      </c>
      <c r="T2281" s="4" t="s">
        <v>10497</v>
      </c>
      <c r="U2281" s="4" t="str">
        <f t="shared" si="103"/>
        <v>未</v>
      </c>
      <c r="V2281" s="4" t="b">
        <f>ISNUMBER(MATCH(R2281,T:T,0))</f>
        <v>1</v>
      </c>
    </row>
    <row r="2282" spans="1:22">
      <c r="A2282" s="3">
        <v>2280</v>
      </c>
      <c r="B2282" s="3" t="s">
        <v>1359</v>
      </c>
      <c r="C2282" s="3" t="s">
        <v>6053</v>
      </c>
      <c r="D2282" s="3" t="s">
        <v>6001</v>
      </c>
      <c r="E2282" s="3" t="s">
        <v>6212</v>
      </c>
      <c r="F2282" s="3" t="s">
        <v>6436</v>
      </c>
      <c r="G2282" s="3" t="s">
        <v>4210</v>
      </c>
      <c r="H2282" s="3" t="s">
        <v>1370</v>
      </c>
      <c r="I2282" s="3" t="s">
        <v>6207</v>
      </c>
      <c r="J2282" s="5" t="s">
        <v>9165</v>
      </c>
      <c r="L2282" s="3" t="s">
        <v>8997</v>
      </c>
      <c r="M2282" s="3">
        <v>6</v>
      </c>
      <c r="N2282" s="4" t="s">
        <v>1362</v>
      </c>
      <c r="O2282" s="4">
        <v>120</v>
      </c>
      <c r="P2282" s="11" t="s">
        <v>9841</v>
      </c>
      <c r="Q2282" s="11" t="s">
        <v>1362</v>
      </c>
      <c r="S2282" s="4" t="b">
        <f>ISNUMBER(MATCH(Q2282,T:T,0))</f>
        <v>1</v>
      </c>
      <c r="T2282" s="4" t="s">
        <v>12099</v>
      </c>
      <c r="U2282" s="4" t="str">
        <f t="shared" si="103"/>
        <v>未</v>
      </c>
    </row>
    <row r="2283" spans="1:22">
      <c r="A2283" s="3">
        <v>2281</v>
      </c>
      <c r="B2283" s="3" t="s">
        <v>1359</v>
      </c>
      <c r="C2283" s="3" t="s">
        <v>6038</v>
      </c>
      <c r="D2283" s="3" t="s">
        <v>6001</v>
      </c>
      <c r="E2283" s="3" t="s">
        <v>6212</v>
      </c>
      <c r="F2283" s="3" t="s">
        <v>6436</v>
      </c>
      <c r="G2283" s="3" t="s">
        <v>4210</v>
      </c>
      <c r="H2283" s="3" t="s">
        <v>1371</v>
      </c>
      <c r="I2283" s="3" t="s">
        <v>6207</v>
      </c>
      <c r="J2283" s="5" t="s">
        <v>1372</v>
      </c>
      <c r="L2283" s="3" t="s">
        <v>4391</v>
      </c>
      <c r="M2283" s="3">
        <v>3</v>
      </c>
      <c r="N2283" s="4" t="s">
        <v>1362</v>
      </c>
      <c r="O2283" s="4">
        <v>120</v>
      </c>
      <c r="P2283" s="11" t="s">
        <v>9825</v>
      </c>
      <c r="Q2283" s="11" t="s">
        <v>10501</v>
      </c>
      <c r="R2283" s="4" t="s">
        <v>13126</v>
      </c>
      <c r="S2283" s="4" t="b">
        <f>ISNUMBER(MATCH(Q2283,T:T,0))</f>
        <v>0</v>
      </c>
      <c r="T2283" s="4" t="s">
        <v>12100</v>
      </c>
      <c r="U2283" s="4" t="str">
        <f t="shared" si="103"/>
        <v>尉</v>
      </c>
      <c r="V2283" s="4" t="b">
        <f>ISNUMBER(MATCH(R2283,T:T,0))</f>
        <v>1</v>
      </c>
    </row>
    <row r="2284" spans="1:22">
      <c r="A2284" s="3">
        <v>2282</v>
      </c>
      <c r="B2284" s="3" t="s">
        <v>1359</v>
      </c>
      <c r="C2284" s="3" t="s">
        <v>6072</v>
      </c>
      <c r="D2284" s="3" t="s">
        <v>6001</v>
      </c>
      <c r="E2284" s="3" t="s">
        <v>6212</v>
      </c>
      <c r="F2284" s="3" t="s">
        <v>6436</v>
      </c>
      <c r="G2284" s="3" t="s">
        <v>4210</v>
      </c>
      <c r="H2284" s="3" t="s">
        <v>1373</v>
      </c>
      <c r="I2284" s="3" t="s">
        <v>6207</v>
      </c>
      <c r="J2284" s="5" t="s">
        <v>9166</v>
      </c>
      <c r="L2284" s="3" t="s">
        <v>4352</v>
      </c>
      <c r="M2284" s="3">
        <v>12</v>
      </c>
      <c r="N2284" s="4" t="s">
        <v>1362</v>
      </c>
      <c r="O2284" s="4">
        <v>120</v>
      </c>
      <c r="P2284" s="11" t="s">
        <v>9754</v>
      </c>
      <c r="Q2284" s="11" t="s">
        <v>10498</v>
      </c>
      <c r="S2284" s="4" t="b">
        <f>ISNUMBER(MATCH(Q2284,T:T,0))</f>
        <v>1</v>
      </c>
      <c r="T2284" s="4" t="s">
        <v>12101</v>
      </c>
      <c r="U2284" s="4" t="str">
        <f t="shared" si="103"/>
        <v>胃</v>
      </c>
    </row>
    <row r="2285" spans="1:22">
      <c r="A2285" s="3">
        <v>2283</v>
      </c>
      <c r="B2285" s="3" t="s">
        <v>1359</v>
      </c>
      <c r="C2285" s="3" t="s">
        <v>6089</v>
      </c>
      <c r="D2285" s="3" t="s">
        <v>6001</v>
      </c>
      <c r="E2285" s="3" t="s">
        <v>6212</v>
      </c>
      <c r="F2285" s="3" t="s">
        <v>6436</v>
      </c>
      <c r="G2285" s="3" t="s">
        <v>4210</v>
      </c>
      <c r="H2285" s="3" t="s">
        <v>1374</v>
      </c>
      <c r="I2285" s="3" t="s">
        <v>6207</v>
      </c>
      <c r="J2285" s="5" t="s">
        <v>9167</v>
      </c>
      <c r="L2285" s="3" t="s">
        <v>5869</v>
      </c>
      <c r="M2285" s="3">
        <v>4</v>
      </c>
      <c r="N2285" s="4" t="s">
        <v>1362</v>
      </c>
      <c r="O2285" s="4">
        <v>120</v>
      </c>
      <c r="P2285" s="11" t="s">
        <v>9753</v>
      </c>
      <c r="Q2285" s="11" t="s">
        <v>10499</v>
      </c>
      <c r="S2285" s="4" t="b">
        <f>ISNUMBER(MATCH(Q2285,T:T,0))</f>
        <v>1</v>
      </c>
      <c r="T2285" s="4" t="s">
        <v>12102</v>
      </c>
      <c r="U2285" s="4" t="str">
        <f t="shared" si="103"/>
        <v>貴</v>
      </c>
    </row>
    <row r="2286" spans="1:22" ht="39">
      <c r="A2286" s="3">
        <v>2284</v>
      </c>
      <c r="B2286" s="3" t="s">
        <v>1359</v>
      </c>
      <c r="C2286" s="3" t="s">
        <v>6045</v>
      </c>
      <c r="D2286" s="3" t="s">
        <v>6001</v>
      </c>
      <c r="E2286" s="3" t="s">
        <v>6212</v>
      </c>
      <c r="F2286" s="3" t="s">
        <v>6436</v>
      </c>
      <c r="G2286" s="3" t="s">
        <v>4210</v>
      </c>
      <c r="H2286" s="3" t="s">
        <v>1375</v>
      </c>
      <c r="I2286" s="3" t="s">
        <v>6207</v>
      </c>
      <c r="J2286" s="5" t="s">
        <v>1376</v>
      </c>
      <c r="L2286" s="3" t="s">
        <v>8997</v>
      </c>
      <c r="M2286" s="3">
        <v>24</v>
      </c>
      <c r="N2286" s="4" t="s">
        <v>1362</v>
      </c>
      <c r="O2286" s="4">
        <v>120</v>
      </c>
      <c r="P2286" s="11" t="s">
        <v>9926</v>
      </c>
      <c r="Q2286" s="11" t="s">
        <v>10497</v>
      </c>
      <c r="S2286" s="4" t="b">
        <f>ISNUMBER(MATCH(Q2286,T:T,0))</f>
        <v>1</v>
      </c>
      <c r="T2286" s="4" t="s">
        <v>12103</v>
      </c>
      <c r="U2286" s="4" t="str">
        <f t="shared" si="103"/>
        <v>沸</v>
      </c>
    </row>
    <row r="2287" spans="1:22">
      <c r="A2287" s="3">
        <v>2285</v>
      </c>
      <c r="B2287" s="3" t="s">
        <v>1359</v>
      </c>
      <c r="C2287" s="3" t="s">
        <v>6025</v>
      </c>
      <c r="D2287" s="3" t="s">
        <v>6001</v>
      </c>
      <c r="E2287" s="3" t="s">
        <v>5991</v>
      </c>
      <c r="F2287" s="3" t="s">
        <v>6436</v>
      </c>
      <c r="G2287" s="3" t="s">
        <v>4210</v>
      </c>
      <c r="H2287" s="3" t="s">
        <v>803</v>
      </c>
      <c r="I2287" s="3" t="s">
        <v>6207</v>
      </c>
      <c r="J2287" s="8" t="s">
        <v>9168</v>
      </c>
      <c r="L2287" s="3" t="s">
        <v>8786</v>
      </c>
      <c r="M2287" s="3">
        <v>7</v>
      </c>
      <c r="N2287" s="4" t="s">
        <v>1362</v>
      </c>
      <c r="O2287" s="4">
        <v>120</v>
      </c>
      <c r="P2287" s="11" t="s">
        <v>9717</v>
      </c>
      <c r="Q2287" s="11" t="s">
        <v>10502</v>
      </c>
      <c r="R2287" s="4" t="s">
        <v>13127</v>
      </c>
      <c r="S2287" s="4" t="b">
        <f>ISNUMBER(MATCH(Q2287,T:T,0))</f>
        <v>0</v>
      </c>
      <c r="T2287" s="4" t="s">
        <v>10503</v>
      </c>
      <c r="U2287" s="4" t="str">
        <f t="shared" si="103"/>
        <v>毅</v>
      </c>
      <c r="V2287" s="4" t="b">
        <f>ISNUMBER(MATCH(R2287,T:T,0))</f>
        <v>1</v>
      </c>
    </row>
    <row r="2288" spans="1:22">
      <c r="A2288" s="3">
        <v>2286</v>
      </c>
      <c r="B2288" s="3" t="s">
        <v>1359</v>
      </c>
      <c r="C2288" s="3" t="s">
        <v>6092</v>
      </c>
      <c r="D2288" s="3" t="s">
        <v>6001</v>
      </c>
      <c r="E2288" s="3" t="s">
        <v>5991</v>
      </c>
      <c r="F2288" s="3" t="s">
        <v>6436</v>
      </c>
      <c r="G2288" s="3" t="s">
        <v>4210</v>
      </c>
      <c r="H2288" s="3" t="s">
        <v>804</v>
      </c>
      <c r="I2288" s="3" t="s">
        <v>6207</v>
      </c>
      <c r="J2288" s="5" t="s">
        <v>9169</v>
      </c>
      <c r="L2288" s="3" t="s">
        <v>4368</v>
      </c>
      <c r="M2288" s="3">
        <v>7</v>
      </c>
      <c r="N2288" s="4" t="s">
        <v>1362</v>
      </c>
      <c r="O2288" s="4">
        <v>120</v>
      </c>
      <c r="P2288" s="11" t="s">
        <v>6462</v>
      </c>
      <c r="Q2288" s="11" t="s">
        <v>10503</v>
      </c>
      <c r="S2288" s="4" t="b">
        <f>ISNUMBER(MATCH(Q2288,T:T,0))</f>
        <v>1</v>
      </c>
      <c r="T2288" s="4" t="s">
        <v>12104</v>
      </c>
      <c r="U2288" s="4" t="str">
        <f t="shared" si="103"/>
        <v>旣</v>
      </c>
    </row>
    <row r="2289" spans="1:22">
      <c r="A2289" s="3">
        <v>2287</v>
      </c>
      <c r="B2289" s="3" t="s">
        <v>1359</v>
      </c>
      <c r="C2289" s="3" t="s">
        <v>6038</v>
      </c>
      <c r="D2289" s="3" t="s">
        <v>6001</v>
      </c>
      <c r="E2289" s="3" t="s">
        <v>5991</v>
      </c>
      <c r="F2289" s="3" t="s">
        <v>6436</v>
      </c>
      <c r="G2289" s="3" t="s">
        <v>4210</v>
      </c>
      <c r="H2289" s="3" t="s">
        <v>805</v>
      </c>
      <c r="I2289" s="3" t="s">
        <v>6207</v>
      </c>
      <c r="J2289" s="5" t="s">
        <v>9170</v>
      </c>
      <c r="L2289" s="3" t="s">
        <v>4384</v>
      </c>
      <c r="M2289" s="3">
        <v>5</v>
      </c>
      <c r="N2289" s="4" t="s">
        <v>1362</v>
      </c>
      <c r="O2289" s="4">
        <v>120</v>
      </c>
      <c r="P2289" s="11" t="s">
        <v>4210</v>
      </c>
      <c r="Q2289" s="11" t="s">
        <v>10503</v>
      </c>
      <c r="S2289" s="4" t="b">
        <f>ISNUMBER(MATCH(Q2289,T:T,0))</f>
        <v>1</v>
      </c>
      <c r="T2289" s="4" t="s">
        <v>12105</v>
      </c>
      <c r="U2289" s="4" t="str">
        <f t="shared" si="103"/>
        <v>旣</v>
      </c>
    </row>
    <row r="2290" spans="1:22">
      <c r="A2290" s="3">
        <v>2288</v>
      </c>
      <c r="B2290" s="3" t="s">
        <v>1359</v>
      </c>
      <c r="C2290" s="3" t="s">
        <v>6089</v>
      </c>
      <c r="D2290" s="3" t="s">
        <v>6001</v>
      </c>
      <c r="E2290" s="3" t="s">
        <v>5991</v>
      </c>
      <c r="F2290" s="3" t="s">
        <v>6436</v>
      </c>
      <c r="G2290" s="3" t="s">
        <v>4210</v>
      </c>
      <c r="H2290" s="3" t="s">
        <v>806</v>
      </c>
      <c r="I2290" s="3" t="s">
        <v>6207</v>
      </c>
      <c r="J2290" s="5" t="s">
        <v>9171</v>
      </c>
      <c r="L2290" s="3" t="s">
        <v>4381</v>
      </c>
      <c r="M2290" s="3">
        <v>18</v>
      </c>
      <c r="N2290" s="4" t="s">
        <v>1362</v>
      </c>
      <c r="O2290" s="4">
        <v>120</v>
      </c>
      <c r="P2290" s="11" t="s">
        <v>9753</v>
      </c>
      <c r="Q2290" s="11" t="s">
        <v>10503</v>
      </c>
      <c r="S2290" s="4" t="b">
        <f>ISNUMBER(MATCH(Q2290,T:T,0))</f>
        <v>1</v>
      </c>
      <c r="T2290" s="4" t="s">
        <v>12106</v>
      </c>
      <c r="U2290" s="4" t="str">
        <f t="shared" si="103"/>
        <v>旣</v>
      </c>
    </row>
    <row r="2291" spans="1:22">
      <c r="A2291" s="3">
        <v>2289</v>
      </c>
      <c r="B2291" s="3" t="s">
        <v>1359</v>
      </c>
      <c r="C2291" s="3" t="s">
        <v>6041</v>
      </c>
      <c r="D2291" s="3" t="s">
        <v>6001</v>
      </c>
      <c r="E2291" s="3" t="s">
        <v>5991</v>
      </c>
      <c r="F2291" s="3" t="s">
        <v>6436</v>
      </c>
      <c r="G2291" s="3" t="s">
        <v>4210</v>
      </c>
      <c r="H2291" s="3" t="s">
        <v>807</v>
      </c>
      <c r="I2291" s="3" t="s">
        <v>6207</v>
      </c>
      <c r="J2291" s="5" t="s">
        <v>1377</v>
      </c>
      <c r="L2291" s="3" t="s">
        <v>8786</v>
      </c>
      <c r="M2291" s="3">
        <v>2</v>
      </c>
      <c r="N2291" s="4" t="s">
        <v>1362</v>
      </c>
      <c r="O2291" s="4">
        <v>120</v>
      </c>
      <c r="P2291" s="11" t="s">
        <v>9830</v>
      </c>
      <c r="Q2291" s="11" t="s">
        <v>10503</v>
      </c>
      <c r="S2291" s="4" t="b">
        <f>ISNUMBER(MATCH(Q2291,T:T,0))</f>
        <v>1</v>
      </c>
      <c r="T2291" s="4" t="s">
        <v>12107</v>
      </c>
      <c r="U2291" s="4" t="str">
        <f t="shared" si="103"/>
        <v>旣</v>
      </c>
    </row>
    <row r="2292" spans="1:22">
      <c r="A2292" s="3">
        <v>2290</v>
      </c>
      <c r="B2292" s="3" t="s">
        <v>1359</v>
      </c>
      <c r="C2292" s="3" t="s">
        <v>6072</v>
      </c>
      <c r="D2292" s="3" t="s">
        <v>6001</v>
      </c>
      <c r="E2292" s="3" t="s">
        <v>5991</v>
      </c>
      <c r="F2292" s="3" t="s">
        <v>6436</v>
      </c>
      <c r="G2292" s="3" t="s">
        <v>4210</v>
      </c>
      <c r="H2292" s="3" t="s">
        <v>808</v>
      </c>
      <c r="I2292" s="3" t="s">
        <v>6207</v>
      </c>
      <c r="J2292" s="5" t="s">
        <v>1378</v>
      </c>
      <c r="L2292" s="3" t="s">
        <v>4368</v>
      </c>
      <c r="M2292" s="3">
        <v>1</v>
      </c>
      <c r="N2292" s="4" t="s">
        <v>1362</v>
      </c>
      <c r="O2292" s="4">
        <v>120</v>
      </c>
      <c r="P2292" s="11" t="s">
        <v>9754</v>
      </c>
      <c r="Q2292" s="11" t="s">
        <v>10503</v>
      </c>
      <c r="S2292" s="4" t="b">
        <f>ISNUMBER(MATCH(Q2292,T:T,0))</f>
        <v>1</v>
      </c>
      <c r="T2292" s="4" t="s">
        <v>1378</v>
      </c>
      <c r="U2292" s="4" t="str">
        <f t="shared" si="103"/>
        <v>旣</v>
      </c>
    </row>
    <row r="2293" spans="1:22">
      <c r="A2293" s="3">
        <v>2291</v>
      </c>
      <c r="B2293" s="3" t="s">
        <v>1379</v>
      </c>
      <c r="C2293" s="3" t="s">
        <v>6092</v>
      </c>
      <c r="D2293" s="3" t="s">
        <v>6001</v>
      </c>
      <c r="E2293" s="3" t="s">
        <v>5991</v>
      </c>
      <c r="F2293" s="3" t="s">
        <v>6462</v>
      </c>
      <c r="G2293" s="3" t="s">
        <v>4210</v>
      </c>
      <c r="H2293" s="3" t="s">
        <v>1380</v>
      </c>
      <c r="I2293" s="3" t="s">
        <v>6464</v>
      </c>
      <c r="J2293" s="5" t="s">
        <v>1381</v>
      </c>
      <c r="L2293" s="3" t="s">
        <v>1382</v>
      </c>
      <c r="M2293" s="3">
        <v>3</v>
      </c>
      <c r="N2293" s="4" t="s">
        <v>1383</v>
      </c>
      <c r="O2293" s="4">
        <v>121</v>
      </c>
      <c r="P2293" s="11" t="s">
        <v>5008</v>
      </c>
      <c r="Q2293" s="11" t="s">
        <v>10504</v>
      </c>
      <c r="R2293" s="4" t="s">
        <v>13128</v>
      </c>
      <c r="S2293" s="4" t="b">
        <f>ISNUMBER(MATCH(Q2293,T:T,0))</f>
        <v>0</v>
      </c>
      <c r="T2293" s="4" t="s">
        <v>1383</v>
      </c>
      <c r="U2293" s="4" t="str">
        <f t="shared" si="103"/>
        <v>據</v>
      </c>
      <c r="V2293" s="4" t="b">
        <f t="shared" ref="V2293:V2294" si="104">ISNUMBER(MATCH(R2293,T:T,0))</f>
        <v>1</v>
      </c>
    </row>
    <row r="2294" spans="1:22">
      <c r="A2294" s="3">
        <v>2292</v>
      </c>
      <c r="B2294" s="3" t="s">
        <v>1379</v>
      </c>
      <c r="C2294" s="3" t="s">
        <v>6058</v>
      </c>
      <c r="D2294" s="3" t="s">
        <v>6001</v>
      </c>
      <c r="E2294" s="3" t="s">
        <v>5991</v>
      </c>
      <c r="F2294" s="3" t="s">
        <v>6462</v>
      </c>
      <c r="G2294" s="3" t="s">
        <v>4210</v>
      </c>
      <c r="H2294" s="3" t="s">
        <v>1384</v>
      </c>
      <c r="I2294" s="3" t="s">
        <v>6464</v>
      </c>
      <c r="J2294" s="5" t="s">
        <v>9172</v>
      </c>
      <c r="L2294" s="3" t="s">
        <v>1385</v>
      </c>
      <c r="M2294" s="3">
        <v>9</v>
      </c>
      <c r="N2294" s="4" t="s">
        <v>1383</v>
      </c>
      <c r="O2294" s="4">
        <v>121</v>
      </c>
      <c r="P2294" s="11" t="s">
        <v>10084</v>
      </c>
      <c r="Q2294" s="11" t="s">
        <v>10504</v>
      </c>
      <c r="R2294" s="4" t="s">
        <v>13128</v>
      </c>
      <c r="S2294" s="4" t="b">
        <f>ISNUMBER(MATCH(Q2294,T:T,0))</f>
        <v>0</v>
      </c>
      <c r="T2294" s="4" t="s">
        <v>10505</v>
      </c>
      <c r="U2294" s="4" t="str">
        <f t="shared" si="103"/>
        <v>據</v>
      </c>
      <c r="V2294" s="4" t="b">
        <f t="shared" si="104"/>
        <v>1</v>
      </c>
    </row>
    <row r="2295" spans="1:22">
      <c r="A2295" s="3">
        <v>2293</v>
      </c>
      <c r="B2295" s="3" t="s">
        <v>1379</v>
      </c>
      <c r="C2295" s="3" t="s">
        <v>6025</v>
      </c>
      <c r="D2295" s="3" t="s">
        <v>6001</v>
      </c>
      <c r="E2295" s="3" t="s">
        <v>5991</v>
      </c>
      <c r="F2295" s="3" t="s">
        <v>6462</v>
      </c>
      <c r="G2295" s="3" t="s">
        <v>4210</v>
      </c>
      <c r="H2295" s="3" t="s">
        <v>1386</v>
      </c>
      <c r="I2295" s="3" t="s">
        <v>6464</v>
      </c>
      <c r="J2295" s="5" t="s">
        <v>1387</v>
      </c>
      <c r="L2295" s="3" t="s">
        <v>9021</v>
      </c>
      <c r="M2295" s="3">
        <v>10</v>
      </c>
      <c r="N2295" s="4" t="s">
        <v>1383</v>
      </c>
      <c r="O2295" s="4">
        <v>121</v>
      </c>
      <c r="P2295" s="11" t="s">
        <v>9717</v>
      </c>
      <c r="Q2295" s="11" t="s">
        <v>1383</v>
      </c>
      <c r="S2295" s="4" t="b">
        <f>ISNUMBER(MATCH(Q2295,T:T,0))</f>
        <v>1</v>
      </c>
      <c r="T2295" s="4" t="s">
        <v>10509</v>
      </c>
      <c r="U2295" s="4" t="str">
        <f t="shared" si="103"/>
        <v>御</v>
      </c>
    </row>
    <row r="2296" spans="1:22">
      <c r="A2296" s="3">
        <v>2294</v>
      </c>
      <c r="B2296" s="3" t="s">
        <v>1379</v>
      </c>
      <c r="C2296" s="3" t="s">
        <v>6076</v>
      </c>
      <c r="D2296" s="3" t="s">
        <v>6001</v>
      </c>
      <c r="E2296" s="3" t="s">
        <v>5991</v>
      </c>
      <c r="F2296" s="3" t="s">
        <v>6462</v>
      </c>
      <c r="G2296" s="3" t="s">
        <v>4210</v>
      </c>
      <c r="H2296" s="3" t="s">
        <v>1388</v>
      </c>
      <c r="I2296" s="3" t="s">
        <v>6464</v>
      </c>
      <c r="J2296" s="8" t="s">
        <v>9173</v>
      </c>
      <c r="L2296" s="3" t="s">
        <v>1389</v>
      </c>
      <c r="M2296" s="3">
        <v>6</v>
      </c>
      <c r="N2296" s="4" t="s">
        <v>1383</v>
      </c>
      <c r="O2296" s="4">
        <v>121</v>
      </c>
      <c r="P2296" s="11" t="s">
        <v>9766</v>
      </c>
      <c r="Q2296" s="11" t="s">
        <v>10505</v>
      </c>
      <c r="S2296" s="4" t="b">
        <f>ISNUMBER(MATCH(Q2296,T:T,0))</f>
        <v>1</v>
      </c>
      <c r="T2296" s="4" t="s">
        <v>12108</v>
      </c>
      <c r="U2296" s="4" t="str">
        <f t="shared" si="103"/>
        <v>慮</v>
      </c>
    </row>
    <row r="2297" spans="1:22">
      <c r="A2297" s="3">
        <v>2295</v>
      </c>
      <c r="B2297" s="3" t="s">
        <v>1379</v>
      </c>
      <c r="C2297" s="3" t="s">
        <v>6038</v>
      </c>
      <c r="D2297" s="3" t="s">
        <v>6001</v>
      </c>
      <c r="E2297" s="3" t="s">
        <v>5991</v>
      </c>
      <c r="F2297" s="3" t="s">
        <v>6462</v>
      </c>
      <c r="G2297" s="3" t="s">
        <v>4210</v>
      </c>
      <c r="H2297" s="3" t="s">
        <v>1390</v>
      </c>
      <c r="I2297" s="3" t="s">
        <v>6464</v>
      </c>
      <c r="J2297" s="5" t="s">
        <v>1391</v>
      </c>
      <c r="L2297" s="3" t="s">
        <v>1389</v>
      </c>
      <c r="M2297" s="3">
        <v>9</v>
      </c>
      <c r="N2297" s="4" t="s">
        <v>1383</v>
      </c>
      <c r="O2297" s="4">
        <v>121</v>
      </c>
      <c r="P2297" s="11" t="s">
        <v>9825</v>
      </c>
      <c r="Q2297" s="11" t="s">
        <v>10504</v>
      </c>
      <c r="R2297" s="4" t="s">
        <v>13128</v>
      </c>
      <c r="S2297" s="4" t="b">
        <f>ISNUMBER(MATCH(Q2297,T:T,0))</f>
        <v>0</v>
      </c>
      <c r="T2297" s="4" t="s">
        <v>12109</v>
      </c>
      <c r="U2297" s="4" t="str">
        <f t="shared" si="103"/>
        <v>據</v>
      </c>
      <c r="V2297" s="4" t="b">
        <f>ISNUMBER(MATCH(R2297,T:T,0))</f>
        <v>1</v>
      </c>
    </row>
    <row r="2298" spans="1:22">
      <c r="A2298" s="3">
        <v>2296</v>
      </c>
      <c r="B2298" s="3" t="s">
        <v>1379</v>
      </c>
      <c r="C2298" s="3" t="s">
        <v>6148</v>
      </c>
      <c r="D2298" s="3" t="s">
        <v>6001</v>
      </c>
      <c r="E2298" s="3" t="s">
        <v>5991</v>
      </c>
      <c r="F2298" s="3" t="s">
        <v>6462</v>
      </c>
      <c r="G2298" s="3" t="s">
        <v>4210</v>
      </c>
      <c r="H2298" s="3" t="s">
        <v>1392</v>
      </c>
      <c r="I2298" s="3" t="s">
        <v>6464</v>
      </c>
      <c r="J2298" s="5" t="s">
        <v>1393</v>
      </c>
      <c r="L2298" s="3" t="s">
        <v>9026</v>
      </c>
      <c r="M2298" s="3">
        <v>4</v>
      </c>
      <c r="N2298" s="4" t="s">
        <v>1383</v>
      </c>
      <c r="O2298" s="4">
        <v>121</v>
      </c>
      <c r="P2298" s="11" t="s">
        <v>6148</v>
      </c>
      <c r="Q2298" s="11" t="s">
        <v>10506</v>
      </c>
      <c r="S2298" s="4" t="b">
        <f>ISNUMBER(MATCH(Q2298,T:T,0))</f>
        <v>1</v>
      </c>
      <c r="T2298" s="4" t="s">
        <v>9853</v>
      </c>
      <c r="U2298" s="4" t="str">
        <f t="shared" si="103"/>
        <v>恕</v>
      </c>
    </row>
    <row r="2299" spans="1:22">
      <c r="A2299" s="3">
        <v>2297</v>
      </c>
      <c r="B2299" s="3" t="s">
        <v>1379</v>
      </c>
      <c r="C2299" s="3" t="s">
        <v>6120</v>
      </c>
      <c r="D2299" s="3" t="s">
        <v>6001</v>
      </c>
      <c r="E2299" s="3" t="s">
        <v>5991</v>
      </c>
      <c r="F2299" s="3" t="s">
        <v>6462</v>
      </c>
      <c r="G2299" s="3" t="s">
        <v>4210</v>
      </c>
      <c r="H2299" s="3" t="s">
        <v>1394</v>
      </c>
      <c r="I2299" s="3" t="s">
        <v>6464</v>
      </c>
      <c r="J2299" s="5" t="s">
        <v>9174</v>
      </c>
      <c r="L2299" s="3" t="s">
        <v>9026</v>
      </c>
      <c r="M2299" s="3">
        <v>4</v>
      </c>
      <c r="N2299" s="4" t="s">
        <v>1383</v>
      </c>
      <c r="O2299" s="4">
        <v>121</v>
      </c>
      <c r="P2299" s="11" t="s">
        <v>10507</v>
      </c>
      <c r="Q2299" s="11" t="s">
        <v>9853</v>
      </c>
      <c r="S2299" s="4" t="b">
        <f>ISNUMBER(MATCH(Q2299,T:T,0))</f>
        <v>1</v>
      </c>
      <c r="T2299" s="4" t="s">
        <v>10506</v>
      </c>
      <c r="U2299" s="4" t="str">
        <f t="shared" si="103"/>
        <v>署</v>
      </c>
    </row>
    <row r="2300" spans="1:22">
      <c r="A2300" s="3">
        <v>2298</v>
      </c>
      <c r="B2300" s="3" t="s">
        <v>1379</v>
      </c>
      <c r="C2300" s="3" t="s">
        <v>6000</v>
      </c>
      <c r="D2300" s="3" t="s">
        <v>6001</v>
      </c>
      <c r="E2300" s="3" t="s">
        <v>5991</v>
      </c>
      <c r="F2300" s="3" t="s">
        <v>6462</v>
      </c>
      <c r="G2300" s="3" t="s">
        <v>4210</v>
      </c>
      <c r="H2300" s="3" t="s">
        <v>1395</v>
      </c>
      <c r="I2300" s="3" t="s">
        <v>6464</v>
      </c>
      <c r="J2300" s="5" t="s">
        <v>1396</v>
      </c>
      <c r="L2300" s="3" t="s">
        <v>9004</v>
      </c>
      <c r="M2300" s="3">
        <v>2</v>
      </c>
      <c r="N2300" s="4" t="s">
        <v>1383</v>
      </c>
      <c r="O2300" s="4">
        <v>121</v>
      </c>
      <c r="P2300" s="11" t="s">
        <v>9707</v>
      </c>
      <c r="Q2300" s="11" t="s">
        <v>10505</v>
      </c>
      <c r="S2300" s="4" t="b">
        <f>ISNUMBER(MATCH(Q2300,T:T,0))</f>
        <v>1</v>
      </c>
      <c r="T2300" s="4" t="s">
        <v>1526</v>
      </c>
      <c r="U2300" s="4" t="str">
        <f t="shared" si="103"/>
        <v>慮</v>
      </c>
    </row>
    <row r="2301" spans="1:22">
      <c r="A2301" s="3">
        <v>2299</v>
      </c>
      <c r="B2301" s="3" t="s">
        <v>1379</v>
      </c>
      <c r="C2301" s="3" t="s">
        <v>6009</v>
      </c>
      <c r="D2301" s="3" t="s">
        <v>6001</v>
      </c>
      <c r="E2301" s="3" t="s">
        <v>5991</v>
      </c>
      <c r="F2301" s="3" t="s">
        <v>6462</v>
      </c>
      <c r="G2301" s="3" t="s">
        <v>4210</v>
      </c>
      <c r="H2301" s="3" t="s">
        <v>1397</v>
      </c>
      <c r="I2301" s="3" t="s">
        <v>6464</v>
      </c>
      <c r="J2301" s="5" t="s">
        <v>1398</v>
      </c>
      <c r="L2301" s="3" t="s">
        <v>9004</v>
      </c>
      <c r="M2301" s="3">
        <v>9</v>
      </c>
      <c r="N2301" s="4" t="s">
        <v>1383</v>
      </c>
      <c r="O2301" s="4">
        <v>121</v>
      </c>
      <c r="P2301" s="11" t="s">
        <v>6009</v>
      </c>
      <c r="Q2301" s="11" t="s">
        <v>10506</v>
      </c>
      <c r="S2301" s="4" t="b">
        <f>ISNUMBER(MATCH(Q2301,T:T,0))</f>
        <v>1</v>
      </c>
      <c r="T2301" s="4" t="s">
        <v>12110</v>
      </c>
      <c r="U2301" s="4" t="str">
        <f t="shared" si="103"/>
        <v>恕</v>
      </c>
    </row>
    <row r="2302" spans="1:22">
      <c r="A2302" s="3">
        <v>2300</v>
      </c>
      <c r="B2302" s="3" t="s">
        <v>1379</v>
      </c>
      <c r="C2302" s="3" t="s">
        <v>6180</v>
      </c>
      <c r="D2302" s="3" t="s">
        <v>6001</v>
      </c>
      <c r="E2302" s="3" t="s">
        <v>5991</v>
      </c>
      <c r="F2302" s="3" t="s">
        <v>6462</v>
      </c>
      <c r="G2302" s="3" t="s">
        <v>4210</v>
      </c>
      <c r="H2302" s="3" t="s">
        <v>1399</v>
      </c>
      <c r="I2302" s="3" t="s">
        <v>6464</v>
      </c>
      <c r="J2302" s="5" t="s">
        <v>9175</v>
      </c>
      <c r="L2302" s="3" t="s">
        <v>9026</v>
      </c>
      <c r="M2302" s="3">
        <v>3</v>
      </c>
      <c r="N2302" s="4" t="s">
        <v>1383</v>
      </c>
      <c r="O2302" s="4">
        <v>121</v>
      </c>
      <c r="P2302" s="11" t="s">
        <v>9774</v>
      </c>
      <c r="Q2302" s="11" t="s">
        <v>4210</v>
      </c>
      <c r="S2302" s="4" t="b">
        <f>ISNUMBER(MATCH(Q2302,T:T,0))</f>
        <v>1</v>
      </c>
      <c r="T2302" s="4" t="s">
        <v>12111</v>
      </c>
      <c r="U2302" s="4" t="str">
        <f t="shared" si="103"/>
        <v>去</v>
      </c>
    </row>
    <row r="2303" spans="1:22">
      <c r="A2303" s="3">
        <v>2301</v>
      </c>
      <c r="B2303" s="3" t="s">
        <v>1379</v>
      </c>
      <c r="C2303" s="3" t="s">
        <v>6072</v>
      </c>
      <c r="D2303" s="3" t="s">
        <v>6001</v>
      </c>
      <c r="E2303" s="3" t="s">
        <v>5991</v>
      </c>
      <c r="F2303" s="3" t="s">
        <v>6462</v>
      </c>
      <c r="G2303" s="3" t="s">
        <v>4210</v>
      </c>
      <c r="H2303" s="3" t="s">
        <v>1400</v>
      </c>
      <c r="I2303" s="3" t="s">
        <v>6464</v>
      </c>
      <c r="J2303" s="5" t="s">
        <v>1401</v>
      </c>
      <c r="L2303" s="3" t="s">
        <v>1382</v>
      </c>
      <c r="M2303" s="3">
        <v>10</v>
      </c>
      <c r="N2303" s="4" t="s">
        <v>1383</v>
      </c>
      <c r="O2303" s="4">
        <v>121</v>
      </c>
      <c r="P2303" s="11" t="s">
        <v>9844</v>
      </c>
      <c r="Q2303" s="11" t="s">
        <v>10504</v>
      </c>
      <c r="R2303" s="4" t="s">
        <v>13128</v>
      </c>
      <c r="S2303" s="4" t="b">
        <f>ISNUMBER(MATCH(Q2303,T:T,0))</f>
        <v>0</v>
      </c>
      <c r="T2303" s="4" t="s">
        <v>12112</v>
      </c>
      <c r="U2303" s="4" t="str">
        <f t="shared" si="103"/>
        <v>據</v>
      </c>
      <c r="V2303" s="4" t="b">
        <f t="shared" ref="V2303:V2304" si="105">ISNUMBER(MATCH(R2303,T:T,0))</f>
        <v>1</v>
      </c>
    </row>
    <row r="2304" spans="1:22">
      <c r="A2304" s="3">
        <v>2302</v>
      </c>
      <c r="B2304" s="3" t="s">
        <v>1379</v>
      </c>
      <c r="C2304" s="3" t="s">
        <v>6005</v>
      </c>
      <c r="D2304" s="3" t="s">
        <v>6001</v>
      </c>
      <c r="E2304" s="3" t="s">
        <v>5991</v>
      </c>
      <c r="F2304" s="3" t="s">
        <v>6462</v>
      </c>
      <c r="G2304" s="3" t="s">
        <v>4210</v>
      </c>
      <c r="H2304" s="7" t="s">
        <v>809</v>
      </c>
      <c r="I2304" s="3" t="s">
        <v>6464</v>
      </c>
      <c r="J2304" s="5" t="s">
        <v>9176</v>
      </c>
      <c r="L2304" s="3" t="s">
        <v>9004</v>
      </c>
      <c r="M2304" s="3">
        <v>4</v>
      </c>
      <c r="N2304" s="4" t="s">
        <v>1383</v>
      </c>
      <c r="O2304" s="4">
        <v>121</v>
      </c>
      <c r="P2304" s="11" t="s">
        <v>10508</v>
      </c>
      <c r="Q2304" s="11" t="s">
        <v>10504</v>
      </c>
      <c r="R2304" s="4" t="s">
        <v>13128</v>
      </c>
      <c r="S2304" s="4" t="b">
        <f>ISNUMBER(MATCH(Q2304,T:T,0))</f>
        <v>0</v>
      </c>
      <c r="T2304" s="4" t="s">
        <v>12113</v>
      </c>
      <c r="U2304" s="4" t="str">
        <f t="shared" si="103"/>
        <v>據</v>
      </c>
      <c r="V2304" s="4" t="b">
        <f t="shared" si="105"/>
        <v>1</v>
      </c>
    </row>
    <row r="2305" spans="1:22">
      <c r="A2305" s="3">
        <v>2303</v>
      </c>
      <c r="B2305" s="3" t="s">
        <v>1379</v>
      </c>
      <c r="C2305" s="3" t="s">
        <v>6041</v>
      </c>
      <c r="D2305" s="3" t="s">
        <v>6001</v>
      </c>
      <c r="E2305" s="3" t="s">
        <v>5991</v>
      </c>
      <c r="F2305" s="3" t="s">
        <v>6462</v>
      </c>
      <c r="G2305" s="3" t="s">
        <v>4210</v>
      </c>
      <c r="H2305" s="3" t="s">
        <v>1402</v>
      </c>
      <c r="I2305" s="3" t="s">
        <v>6464</v>
      </c>
      <c r="J2305" s="5" t="s">
        <v>9177</v>
      </c>
      <c r="L2305" s="3" t="s">
        <v>9021</v>
      </c>
      <c r="M2305" s="3">
        <v>5</v>
      </c>
      <c r="N2305" s="4" t="s">
        <v>1383</v>
      </c>
      <c r="O2305" s="4">
        <v>121</v>
      </c>
      <c r="P2305" s="11" t="s">
        <v>9830</v>
      </c>
      <c r="Q2305" s="11" t="s">
        <v>10509</v>
      </c>
      <c r="S2305" s="4" t="b">
        <f>ISNUMBER(MATCH(Q2305,T:T,0))</f>
        <v>1</v>
      </c>
      <c r="T2305" s="4" t="s">
        <v>12114</v>
      </c>
      <c r="U2305" s="4" t="str">
        <f t="shared" si="103"/>
        <v>據</v>
      </c>
    </row>
    <row r="2306" spans="1:22">
      <c r="A2306" s="3">
        <v>2304</v>
      </c>
      <c r="B2306" s="3" t="s">
        <v>1379</v>
      </c>
      <c r="C2306" s="3" t="s">
        <v>6017</v>
      </c>
      <c r="D2306" s="3" t="s">
        <v>6001</v>
      </c>
      <c r="E2306" s="3" t="s">
        <v>5991</v>
      </c>
      <c r="F2306" s="3" t="s">
        <v>6462</v>
      </c>
      <c r="G2306" s="3" t="s">
        <v>4210</v>
      </c>
      <c r="H2306" s="3" t="s">
        <v>1403</v>
      </c>
      <c r="I2306" s="3" t="s">
        <v>6464</v>
      </c>
      <c r="J2306" s="5" t="s">
        <v>1404</v>
      </c>
      <c r="L2306" s="3" t="s">
        <v>5674</v>
      </c>
      <c r="M2306" s="3">
        <v>1</v>
      </c>
      <c r="N2306" s="4" t="s">
        <v>1383</v>
      </c>
      <c r="O2306" s="4">
        <v>121</v>
      </c>
      <c r="P2306" s="11" t="s">
        <v>9714</v>
      </c>
      <c r="Q2306" s="11" t="s">
        <v>10509</v>
      </c>
      <c r="S2306" s="4" t="b">
        <f>ISNUMBER(MATCH(Q2306,T:T,0))</f>
        <v>1</v>
      </c>
      <c r="T2306" s="4" t="s">
        <v>1404</v>
      </c>
      <c r="U2306" s="4" t="str">
        <f t="shared" si="103"/>
        <v>據</v>
      </c>
    </row>
    <row r="2307" spans="1:22">
      <c r="A2307" s="3">
        <v>2305</v>
      </c>
      <c r="B2307" s="3" t="s">
        <v>1379</v>
      </c>
      <c r="C2307" s="3" t="s">
        <v>6015</v>
      </c>
      <c r="D2307" s="3" t="s">
        <v>6001</v>
      </c>
      <c r="E2307" s="3" t="s">
        <v>5991</v>
      </c>
      <c r="F2307" s="3" t="s">
        <v>6462</v>
      </c>
      <c r="G2307" s="3" t="s">
        <v>4210</v>
      </c>
      <c r="H2307" s="7" t="s">
        <v>810</v>
      </c>
      <c r="I2307" s="3" t="s">
        <v>6464</v>
      </c>
      <c r="J2307" s="5" t="s">
        <v>1405</v>
      </c>
      <c r="L2307" s="3" t="s">
        <v>9004</v>
      </c>
      <c r="M2307" s="3">
        <v>3</v>
      </c>
      <c r="N2307" s="4" t="s">
        <v>1383</v>
      </c>
      <c r="O2307" s="4">
        <v>121</v>
      </c>
      <c r="P2307" s="11" t="s">
        <v>10233</v>
      </c>
      <c r="Q2307" s="11" t="s">
        <v>10509</v>
      </c>
      <c r="S2307" s="4" t="b">
        <f>ISNUMBER(MATCH(Q2307,T:T,0))</f>
        <v>1</v>
      </c>
      <c r="T2307" s="4" t="s">
        <v>10095</v>
      </c>
      <c r="U2307" s="4" t="str">
        <f t="shared" ref="U2307:U2370" si="106">IF(ISBLANK(R2307),Q2307,R2307)</f>
        <v>據</v>
      </c>
    </row>
    <row r="2308" spans="1:22">
      <c r="A2308" s="3">
        <v>2306</v>
      </c>
      <c r="B2308" s="3" t="s">
        <v>1379</v>
      </c>
      <c r="C2308" s="3" t="s">
        <v>6083</v>
      </c>
      <c r="D2308" s="3" t="s">
        <v>6001</v>
      </c>
      <c r="E2308" s="3" t="s">
        <v>5991</v>
      </c>
      <c r="F2308" s="3" t="s">
        <v>6462</v>
      </c>
      <c r="G2308" s="3" t="s">
        <v>4210</v>
      </c>
      <c r="H2308" s="3" t="s">
        <v>1406</v>
      </c>
      <c r="I2308" s="3" t="s">
        <v>6464</v>
      </c>
      <c r="J2308" s="5" t="s">
        <v>1407</v>
      </c>
      <c r="L2308" s="3" t="s">
        <v>9021</v>
      </c>
      <c r="M2308" s="3">
        <v>2</v>
      </c>
      <c r="N2308" s="4" t="s">
        <v>1383</v>
      </c>
      <c r="O2308" s="4">
        <v>121</v>
      </c>
      <c r="P2308" s="11" t="s">
        <v>9933</v>
      </c>
      <c r="Q2308" s="11" t="s">
        <v>10510</v>
      </c>
      <c r="S2308" s="4" t="b">
        <f>ISNUMBER(MATCH(Q2308,T:T,0))</f>
        <v>1</v>
      </c>
      <c r="T2308" s="4" t="s">
        <v>12115</v>
      </c>
      <c r="U2308" s="4" t="str">
        <f t="shared" si="106"/>
        <v>預</v>
      </c>
    </row>
    <row r="2309" spans="1:22">
      <c r="A2309" s="3">
        <v>2307</v>
      </c>
      <c r="B2309" s="3" t="s">
        <v>1379</v>
      </c>
      <c r="C2309" s="3" t="s">
        <v>6318</v>
      </c>
      <c r="D2309" s="3" t="s">
        <v>6001</v>
      </c>
      <c r="E2309" s="3" t="s">
        <v>5991</v>
      </c>
      <c r="F2309" s="3" t="s">
        <v>6462</v>
      </c>
      <c r="G2309" s="3" t="s">
        <v>4210</v>
      </c>
      <c r="H2309" s="3" t="s">
        <v>1408</v>
      </c>
      <c r="I2309" s="3" t="s">
        <v>6464</v>
      </c>
      <c r="J2309" s="5" t="s">
        <v>1409</v>
      </c>
      <c r="L2309" s="3" t="s">
        <v>9004</v>
      </c>
      <c r="M2309" s="3">
        <v>2</v>
      </c>
      <c r="N2309" s="4" t="s">
        <v>1383</v>
      </c>
      <c r="O2309" s="4">
        <v>121</v>
      </c>
      <c r="P2309" s="11" t="s">
        <v>6318</v>
      </c>
      <c r="Q2309" s="11" t="s">
        <v>10095</v>
      </c>
      <c r="S2309" s="4" t="b">
        <f>ISNUMBER(MATCH(Q2309,T:T,0))</f>
        <v>1</v>
      </c>
      <c r="T2309" s="4" t="s">
        <v>12116</v>
      </c>
      <c r="U2309" s="4" t="str">
        <f t="shared" si="106"/>
        <v>助</v>
      </c>
    </row>
    <row r="2310" spans="1:22">
      <c r="A2310" s="3">
        <v>2308</v>
      </c>
      <c r="B2310" s="3" t="s">
        <v>1379</v>
      </c>
      <c r="C2310" s="3" t="s">
        <v>6021</v>
      </c>
      <c r="D2310" s="3" t="s">
        <v>6001</v>
      </c>
      <c r="E2310" s="3" t="s">
        <v>5991</v>
      </c>
      <c r="F2310" s="3" t="s">
        <v>6462</v>
      </c>
      <c r="G2310" s="3" t="s">
        <v>4210</v>
      </c>
      <c r="H2310" s="3" t="s">
        <v>1410</v>
      </c>
      <c r="I2310" s="3" t="s">
        <v>6464</v>
      </c>
      <c r="J2310" s="5" t="s">
        <v>1411</v>
      </c>
      <c r="L2310" s="3" t="s">
        <v>1412</v>
      </c>
      <c r="M2310" s="3">
        <v>3</v>
      </c>
      <c r="N2310" s="4" t="s">
        <v>1383</v>
      </c>
      <c r="O2310" s="4">
        <v>121</v>
      </c>
      <c r="P2310" s="11" t="s">
        <v>9798</v>
      </c>
      <c r="Q2310" s="11" t="s">
        <v>10506</v>
      </c>
      <c r="S2310" s="4" t="b">
        <f>ISNUMBER(MATCH(Q2310,T:T,0))</f>
        <v>1</v>
      </c>
      <c r="T2310" s="4" t="s">
        <v>10511</v>
      </c>
      <c r="U2310" s="4" t="str">
        <f t="shared" si="106"/>
        <v>恕</v>
      </c>
    </row>
    <row r="2311" spans="1:22" ht="39">
      <c r="A2311" s="3">
        <v>2309</v>
      </c>
      <c r="B2311" s="3" t="s">
        <v>1379</v>
      </c>
      <c r="C2311" s="3" t="s">
        <v>6028</v>
      </c>
      <c r="D2311" s="3" t="s">
        <v>6001</v>
      </c>
      <c r="E2311" s="3" t="s">
        <v>5991</v>
      </c>
      <c r="F2311" s="3" t="s">
        <v>6462</v>
      </c>
      <c r="G2311" s="3" t="s">
        <v>4210</v>
      </c>
      <c r="H2311" s="3" t="s">
        <v>1413</v>
      </c>
      <c r="I2311" s="3" t="s">
        <v>6464</v>
      </c>
      <c r="J2311" s="5" t="s">
        <v>9178</v>
      </c>
      <c r="L2311" s="3" t="s">
        <v>1382</v>
      </c>
      <c r="M2311" s="3">
        <v>20</v>
      </c>
      <c r="N2311" s="4" t="s">
        <v>1383</v>
      </c>
      <c r="O2311" s="4">
        <v>121</v>
      </c>
      <c r="P2311" s="11" t="s">
        <v>9863</v>
      </c>
      <c r="Q2311" s="11" t="s">
        <v>10511</v>
      </c>
      <c r="S2311" s="4" t="b">
        <f>ISNUMBER(MATCH(Q2311,T:T,0))</f>
        <v>1</v>
      </c>
      <c r="T2311" s="4" t="s">
        <v>10510</v>
      </c>
      <c r="U2311" s="4" t="str">
        <f t="shared" si="106"/>
        <v>洳</v>
      </c>
    </row>
    <row r="2312" spans="1:22">
      <c r="A2312" s="3">
        <v>2310</v>
      </c>
      <c r="B2312" s="3" t="s">
        <v>1379</v>
      </c>
      <c r="C2312" s="3" t="s">
        <v>6089</v>
      </c>
      <c r="D2312" s="3" t="s">
        <v>6001</v>
      </c>
      <c r="E2312" s="3" t="s">
        <v>5991</v>
      </c>
      <c r="F2312" s="3" t="s">
        <v>6462</v>
      </c>
      <c r="G2312" s="3" t="s">
        <v>4210</v>
      </c>
      <c r="H2312" s="3" t="s">
        <v>1414</v>
      </c>
      <c r="I2312" s="3" t="s">
        <v>6464</v>
      </c>
      <c r="J2312" s="5" t="s">
        <v>1415</v>
      </c>
      <c r="L2312" s="3" t="s">
        <v>5674</v>
      </c>
      <c r="M2312" s="3">
        <v>1</v>
      </c>
      <c r="N2312" s="4" t="s">
        <v>1383</v>
      </c>
      <c r="O2312" s="4">
        <v>121</v>
      </c>
      <c r="P2312" s="11" t="s">
        <v>9753</v>
      </c>
      <c r="Q2312" s="11" t="s">
        <v>1383</v>
      </c>
      <c r="S2312" s="4" t="b">
        <f>ISNUMBER(MATCH(Q2312,T:T,0))</f>
        <v>1</v>
      </c>
      <c r="T2312" s="4" t="s">
        <v>1415</v>
      </c>
      <c r="U2312" s="4" t="str">
        <f t="shared" si="106"/>
        <v>御</v>
      </c>
    </row>
    <row r="2313" spans="1:22">
      <c r="A2313" s="3">
        <v>2311</v>
      </c>
      <c r="B2313" s="3" t="s">
        <v>1379</v>
      </c>
      <c r="C2313" s="3" t="s">
        <v>6137</v>
      </c>
      <c r="D2313" s="3" t="s">
        <v>6001</v>
      </c>
      <c r="E2313" s="3" t="s">
        <v>5991</v>
      </c>
      <c r="F2313" s="3" t="s">
        <v>6462</v>
      </c>
      <c r="G2313" s="3" t="s">
        <v>4210</v>
      </c>
      <c r="H2313" s="3" t="s">
        <v>1416</v>
      </c>
      <c r="I2313" s="3" t="s">
        <v>6464</v>
      </c>
      <c r="J2313" s="5" t="s">
        <v>1417</v>
      </c>
      <c r="L2313" s="3" t="s">
        <v>1418</v>
      </c>
      <c r="M2313" s="3">
        <v>2</v>
      </c>
      <c r="N2313" s="4" t="s">
        <v>1383</v>
      </c>
      <c r="O2313" s="4">
        <v>121</v>
      </c>
      <c r="P2313" s="11" t="s">
        <v>9812</v>
      </c>
      <c r="Q2313" s="11" t="s">
        <v>10509</v>
      </c>
      <c r="S2313" s="4" t="b">
        <f>ISNUMBER(MATCH(Q2313,T:T,0))</f>
        <v>1</v>
      </c>
      <c r="T2313" s="4" t="s">
        <v>9755</v>
      </c>
      <c r="U2313" s="4" t="str">
        <f t="shared" si="106"/>
        <v>據</v>
      </c>
    </row>
    <row r="2314" spans="1:22">
      <c r="A2314" s="3">
        <v>2312</v>
      </c>
      <c r="B2314" s="3" t="s">
        <v>1379</v>
      </c>
      <c r="C2314" s="3" t="s">
        <v>6167</v>
      </c>
      <c r="D2314" s="3" t="s">
        <v>6001</v>
      </c>
      <c r="E2314" s="3" t="s">
        <v>5991</v>
      </c>
      <c r="F2314" s="3" t="s">
        <v>6462</v>
      </c>
      <c r="G2314" s="3" t="s">
        <v>4210</v>
      </c>
      <c r="H2314" s="3" t="s">
        <v>1419</v>
      </c>
      <c r="I2314" s="3" t="s">
        <v>6464</v>
      </c>
      <c r="J2314" s="5" t="s">
        <v>1420</v>
      </c>
      <c r="L2314" s="3" t="s">
        <v>1421</v>
      </c>
      <c r="M2314" s="3">
        <v>2</v>
      </c>
      <c r="N2314" s="4" t="s">
        <v>1383</v>
      </c>
      <c r="O2314" s="4">
        <v>121</v>
      </c>
      <c r="P2314" s="11" t="s">
        <v>10512</v>
      </c>
      <c r="Q2314" s="11" t="s">
        <v>10509</v>
      </c>
      <c r="S2314" s="4" t="b">
        <f>ISNUMBER(MATCH(Q2314,T:T,0))</f>
        <v>1</v>
      </c>
      <c r="T2314" s="4" t="s">
        <v>9769</v>
      </c>
      <c r="U2314" s="4" t="str">
        <f t="shared" si="106"/>
        <v>據</v>
      </c>
    </row>
    <row r="2315" spans="1:22">
      <c r="A2315" s="3">
        <v>2313</v>
      </c>
      <c r="B2315" s="3" t="s">
        <v>1379</v>
      </c>
      <c r="C2315" s="3" t="s">
        <v>6055</v>
      </c>
      <c r="D2315" s="3" t="s">
        <v>6001</v>
      </c>
      <c r="E2315" s="3" t="s">
        <v>5991</v>
      </c>
      <c r="F2315" s="3" t="s">
        <v>6462</v>
      </c>
      <c r="G2315" s="3" t="s">
        <v>4210</v>
      </c>
      <c r="H2315" s="3" t="s">
        <v>1422</v>
      </c>
      <c r="I2315" s="3" t="s">
        <v>6464</v>
      </c>
      <c r="J2315" s="5" t="s">
        <v>1423</v>
      </c>
      <c r="L2315" s="3" t="s">
        <v>1421</v>
      </c>
      <c r="M2315" s="3">
        <v>2</v>
      </c>
      <c r="N2315" s="4" t="s">
        <v>1383</v>
      </c>
      <c r="O2315" s="4">
        <v>121</v>
      </c>
      <c r="P2315" s="11" t="s">
        <v>6055</v>
      </c>
      <c r="Q2315" s="11" t="s">
        <v>10509</v>
      </c>
      <c r="S2315" s="4" t="b">
        <f>ISNUMBER(MATCH(Q2315,T:T,0))</f>
        <v>1</v>
      </c>
      <c r="T2315" s="4" t="s">
        <v>9809</v>
      </c>
      <c r="U2315" s="4" t="str">
        <f t="shared" si="106"/>
        <v>據</v>
      </c>
    </row>
    <row r="2316" spans="1:22">
      <c r="A2316" s="3">
        <v>2314</v>
      </c>
      <c r="B2316" s="3" t="s">
        <v>1379</v>
      </c>
      <c r="C2316" s="3" t="s">
        <v>6011</v>
      </c>
      <c r="D2316" s="3" t="s">
        <v>6001</v>
      </c>
      <c r="E2316" s="3" t="s">
        <v>5991</v>
      </c>
      <c r="F2316" s="3" t="s">
        <v>6462</v>
      </c>
      <c r="G2316" s="3" t="s">
        <v>4210</v>
      </c>
      <c r="H2316" s="3" t="s">
        <v>1424</v>
      </c>
      <c r="I2316" s="3" t="s">
        <v>6464</v>
      </c>
      <c r="J2316" s="5" t="s">
        <v>1425</v>
      </c>
      <c r="L2316" s="3" t="s">
        <v>1421</v>
      </c>
      <c r="M2316" s="3">
        <v>3</v>
      </c>
      <c r="N2316" s="4" t="s">
        <v>1383</v>
      </c>
      <c r="O2316" s="4">
        <v>121</v>
      </c>
      <c r="P2316" s="11" t="s">
        <v>10513</v>
      </c>
      <c r="Q2316" s="11" t="s">
        <v>10509</v>
      </c>
      <c r="S2316" s="4" t="b">
        <f>ISNUMBER(MATCH(Q2316,T:T,0))</f>
        <v>1</v>
      </c>
      <c r="T2316" s="4" t="s">
        <v>1404</v>
      </c>
      <c r="U2316" s="4" t="str">
        <f t="shared" si="106"/>
        <v>據</v>
      </c>
    </row>
    <row r="2317" spans="1:22">
      <c r="A2317" s="3">
        <v>2315</v>
      </c>
      <c r="B2317" s="3" t="s">
        <v>1379</v>
      </c>
      <c r="C2317" s="3" t="s">
        <v>6123</v>
      </c>
      <c r="D2317" s="3" t="s">
        <v>6001</v>
      </c>
      <c r="E2317" s="3" t="s">
        <v>5991</v>
      </c>
      <c r="F2317" s="3" t="s">
        <v>6462</v>
      </c>
      <c r="G2317" s="3" t="s">
        <v>4210</v>
      </c>
      <c r="H2317" s="3" t="s">
        <v>1426</v>
      </c>
      <c r="I2317" s="3" t="s">
        <v>6464</v>
      </c>
      <c r="J2317" s="5" t="s">
        <v>1427</v>
      </c>
      <c r="L2317" s="3" t="s">
        <v>5674</v>
      </c>
      <c r="M2317" s="3">
        <v>1</v>
      </c>
      <c r="N2317" s="4" t="s">
        <v>1383</v>
      </c>
      <c r="O2317" s="4">
        <v>121</v>
      </c>
      <c r="P2317" s="11" t="s">
        <v>10110</v>
      </c>
      <c r="Q2317" s="11" t="s">
        <v>10510</v>
      </c>
      <c r="S2317" s="4" t="b">
        <f>ISNUMBER(MATCH(Q2317,T:T,0))</f>
        <v>1</v>
      </c>
      <c r="T2317" s="4" t="s">
        <v>1427</v>
      </c>
      <c r="U2317" s="4" t="str">
        <f t="shared" si="106"/>
        <v>預</v>
      </c>
    </row>
    <row r="2318" spans="1:22">
      <c r="A2318" s="3">
        <v>2316</v>
      </c>
      <c r="B2318" s="3" t="s">
        <v>1428</v>
      </c>
      <c r="C2318" s="3" t="s">
        <v>6092</v>
      </c>
      <c r="D2318" s="3" t="s">
        <v>6001</v>
      </c>
      <c r="E2318" s="3" t="s">
        <v>6212</v>
      </c>
      <c r="F2318" s="3" t="s">
        <v>2741</v>
      </c>
      <c r="G2318" s="3" t="s">
        <v>4210</v>
      </c>
      <c r="H2318" s="3" t="s">
        <v>1429</v>
      </c>
      <c r="I2318" s="3" t="s">
        <v>6464</v>
      </c>
      <c r="J2318" s="5" t="s">
        <v>9179</v>
      </c>
      <c r="L2318" s="3" t="s">
        <v>1382</v>
      </c>
      <c r="M2318" s="3">
        <v>7</v>
      </c>
      <c r="N2318" s="4" t="s">
        <v>6464</v>
      </c>
      <c r="O2318" s="4">
        <v>122</v>
      </c>
      <c r="P2318" s="11" t="s">
        <v>5008</v>
      </c>
      <c r="Q2318" s="11" t="s">
        <v>10514</v>
      </c>
      <c r="R2318" s="4" t="s">
        <v>13129</v>
      </c>
      <c r="S2318" s="4" t="b">
        <f>ISNUMBER(MATCH(Q2318,T:T,0))</f>
        <v>0</v>
      </c>
      <c r="T2318" s="4" t="s">
        <v>6464</v>
      </c>
      <c r="U2318" s="4" t="str">
        <f t="shared" si="106"/>
        <v>懼</v>
      </c>
      <c r="V2318" s="4" t="b">
        <f>ISNUMBER(MATCH(R2318,T:T,0))</f>
        <v>1</v>
      </c>
    </row>
    <row r="2319" spans="1:22">
      <c r="A2319" s="3">
        <v>2317</v>
      </c>
      <c r="B2319" s="3" t="s">
        <v>1428</v>
      </c>
      <c r="C2319" s="3" t="s">
        <v>6072</v>
      </c>
      <c r="D2319" s="3" t="s">
        <v>6001</v>
      </c>
      <c r="E2319" s="3" t="s">
        <v>6212</v>
      </c>
      <c r="F2319" s="3" t="s">
        <v>2741</v>
      </c>
      <c r="G2319" s="3" t="s">
        <v>4210</v>
      </c>
      <c r="H2319" s="3" t="s">
        <v>1430</v>
      </c>
      <c r="I2319" s="3" t="s">
        <v>6464</v>
      </c>
      <c r="J2319" s="5" t="s">
        <v>1431</v>
      </c>
      <c r="L2319" s="3" t="s">
        <v>1382</v>
      </c>
      <c r="M2319" s="3">
        <v>3</v>
      </c>
      <c r="N2319" s="4" t="s">
        <v>6464</v>
      </c>
      <c r="O2319" s="4">
        <v>122</v>
      </c>
      <c r="P2319" s="11" t="s">
        <v>1378</v>
      </c>
      <c r="Q2319" s="11" t="s">
        <v>6464</v>
      </c>
      <c r="S2319" s="4" t="b">
        <f>ISNUMBER(MATCH(Q2319,T:T,0))</f>
        <v>1</v>
      </c>
      <c r="T2319" s="4" t="s">
        <v>12117</v>
      </c>
      <c r="U2319" s="4" t="str">
        <f t="shared" si="106"/>
        <v>遇</v>
      </c>
    </row>
    <row r="2320" spans="1:22">
      <c r="A2320" s="3">
        <v>2318</v>
      </c>
      <c r="B2320" s="3" t="s">
        <v>1428</v>
      </c>
      <c r="C2320" s="3" t="s">
        <v>6148</v>
      </c>
      <c r="D2320" s="3" t="s">
        <v>6001</v>
      </c>
      <c r="E2320" s="3" t="s">
        <v>6212</v>
      </c>
      <c r="F2320" s="3" t="s">
        <v>2741</v>
      </c>
      <c r="G2320" s="3" t="s">
        <v>4210</v>
      </c>
      <c r="H2320" s="3" t="s">
        <v>1432</v>
      </c>
      <c r="I2320" s="3" t="s">
        <v>6464</v>
      </c>
      <c r="J2320" s="5" t="s">
        <v>1433</v>
      </c>
      <c r="L2320" s="3" t="s">
        <v>9026</v>
      </c>
      <c r="M2320" s="3">
        <v>5</v>
      </c>
      <c r="N2320" s="4" t="s">
        <v>6464</v>
      </c>
      <c r="O2320" s="4">
        <v>122</v>
      </c>
      <c r="P2320" s="11" t="s">
        <v>6148</v>
      </c>
      <c r="Q2320" s="11" t="s">
        <v>10515</v>
      </c>
      <c r="R2320" s="4" t="s">
        <v>13130</v>
      </c>
      <c r="S2320" s="4" t="b">
        <f>ISNUMBER(MATCH(Q2320,T:T,0))</f>
        <v>0</v>
      </c>
      <c r="T2320" s="4" t="s">
        <v>12118</v>
      </c>
      <c r="U2320" s="4" t="str">
        <f t="shared" si="106"/>
        <v>屨</v>
      </c>
      <c r="V2320" s="4" t="b">
        <f>ISNUMBER(MATCH(R2320,T:T,0))</f>
        <v>1</v>
      </c>
    </row>
    <row r="2321" spans="1:22">
      <c r="A2321" s="3">
        <v>2319</v>
      </c>
      <c r="B2321" s="3" t="s">
        <v>1428</v>
      </c>
      <c r="C2321" s="3" t="s">
        <v>6005</v>
      </c>
      <c r="D2321" s="3" t="s">
        <v>6001</v>
      </c>
      <c r="E2321" s="3" t="s">
        <v>6212</v>
      </c>
      <c r="F2321" s="3" t="s">
        <v>2741</v>
      </c>
      <c r="G2321" s="3" t="s">
        <v>4210</v>
      </c>
      <c r="H2321" s="3" t="s">
        <v>1434</v>
      </c>
      <c r="I2321" s="3" t="s">
        <v>6464</v>
      </c>
      <c r="J2321" s="5" t="s">
        <v>1435</v>
      </c>
      <c r="L2321" s="3" t="s">
        <v>9004</v>
      </c>
      <c r="M2321" s="3">
        <v>3</v>
      </c>
      <c r="N2321" s="4" t="s">
        <v>6464</v>
      </c>
      <c r="O2321" s="4">
        <v>122</v>
      </c>
      <c r="P2321" s="11" t="s">
        <v>9832</v>
      </c>
      <c r="Q2321" s="11" t="s">
        <v>6464</v>
      </c>
      <c r="S2321" s="4" t="b">
        <f>ISNUMBER(MATCH(Q2321,T:T,0))</f>
        <v>1</v>
      </c>
      <c r="T2321" s="4" t="s">
        <v>12119</v>
      </c>
      <c r="U2321" s="4" t="str">
        <f t="shared" si="106"/>
        <v>遇</v>
      </c>
    </row>
    <row r="2322" spans="1:22">
      <c r="A2322" s="3">
        <v>2320</v>
      </c>
      <c r="B2322" s="3" t="s">
        <v>1428</v>
      </c>
      <c r="C2322" s="3" t="s">
        <v>6045</v>
      </c>
      <c r="D2322" s="3" t="s">
        <v>6001</v>
      </c>
      <c r="E2322" s="3" t="s">
        <v>6212</v>
      </c>
      <c r="F2322" s="3" t="s">
        <v>2741</v>
      </c>
      <c r="G2322" s="3" t="s">
        <v>4210</v>
      </c>
      <c r="H2322" s="3" t="s">
        <v>1436</v>
      </c>
      <c r="I2322" s="3" t="s">
        <v>6464</v>
      </c>
      <c r="J2322" s="5" t="s">
        <v>9180</v>
      </c>
      <c r="L2322" s="3" t="s">
        <v>5697</v>
      </c>
      <c r="M2322" s="3">
        <v>11</v>
      </c>
      <c r="N2322" s="4" t="s">
        <v>6464</v>
      </c>
      <c r="O2322" s="4">
        <v>122</v>
      </c>
      <c r="P2322" s="11" t="s">
        <v>9759</v>
      </c>
      <c r="Q2322" s="11" t="s">
        <v>6464</v>
      </c>
      <c r="S2322" s="4" t="b">
        <f>ISNUMBER(MATCH(Q2322,T:T,0))</f>
        <v>1</v>
      </c>
      <c r="T2322" s="4" t="s">
        <v>9954</v>
      </c>
      <c r="U2322" s="4" t="str">
        <f t="shared" si="106"/>
        <v>遇</v>
      </c>
    </row>
    <row r="2323" spans="1:22">
      <c r="A2323" s="3">
        <v>2321</v>
      </c>
      <c r="B2323" s="3" t="s">
        <v>1428</v>
      </c>
      <c r="C2323" s="3" t="s">
        <v>6009</v>
      </c>
      <c r="D2323" s="3" t="s">
        <v>6001</v>
      </c>
      <c r="E2323" s="3" t="s">
        <v>6212</v>
      </c>
      <c r="F2323" s="3" t="s">
        <v>2741</v>
      </c>
      <c r="G2323" s="3" t="s">
        <v>4210</v>
      </c>
      <c r="H2323" s="3" t="s">
        <v>1437</v>
      </c>
      <c r="I2323" s="3" t="s">
        <v>6464</v>
      </c>
      <c r="J2323" s="5" t="s">
        <v>9181</v>
      </c>
      <c r="L2323" s="3" t="s">
        <v>9004</v>
      </c>
      <c r="M2323" s="3">
        <v>16</v>
      </c>
      <c r="N2323" s="4" t="s">
        <v>6464</v>
      </c>
      <c r="O2323" s="4">
        <v>122</v>
      </c>
      <c r="P2323" s="11" t="s">
        <v>6396</v>
      </c>
      <c r="Q2323" s="11" t="s">
        <v>10516</v>
      </c>
      <c r="S2323" s="4" t="b">
        <f>ISNUMBER(MATCH(Q2323,T:T,0))</f>
        <v>1</v>
      </c>
      <c r="T2323" s="4" t="s">
        <v>10517</v>
      </c>
      <c r="U2323" s="4" t="str">
        <f t="shared" si="106"/>
        <v>戍</v>
      </c>
    </row>
    <row r="2324" spans="1:22">
      <c r="A2324" s="3">
        <v>2322</v>
      </c>
      <c r="B2324" s="3" t="s">
        <v>1428</v>
      </c>
      <c r="C2324" s="3" t="s">
        <v>6025</v>
      </c>
      <c r="D2324" s="3" t="s">
        <v>6001</v>
      </c>
      <c r="E2324" s="3" t="s">
        <v>6212</v>
      </c>
      <c r="F2324" s="3" t="s">
        <v>2741</v>
      </c>
      <c r="G2324" s="3" t="s">
        <v>4210</v>
      </c>
      <c r="H2324" s="3" t="s">
        <v>1438</v>
      </c>
      <c r="I2324" s="3" t="s">
        <v>6464</v>
      </c>
      <c r="J2324" s="5" t="s">
        <v>9182</v>
      </c>
      <c r="L2324" s="3" t="s">
        <v>9021</v>
      </c>
      <c r="M2324" s="3">
        <v>10</v>
      </c>
      <c r="N2324" s="4" t="s">
        <v>6464</v>
      </c>
      <c r="O2324" s="4">
        <v>122</v>
      </c>
      <c r="P2324" s="11" t="s">
        <v>9764</v>
      </c>
      <c r="Q2324" s="11" t="s">
        <v>6464</v>
      </c>
      <c r="S2324" s="4" t="b">
        <f>ISNUMBER(MATCH(Q2324,T:T,0))</f>
        <v>1</v>
      </c>
      <c r="T2324" s="4" t="s">
        <v>12120</v>
      </c>
      <c r="U2324" s="4" t="str">
        <f t="shared" si="106"/>
        <v>遇</v>
      </c>
    </row>
    <row r="2325" spans="1:22">
      <c r="A2325" s="3">
        <v>2323</v>
      </c>
      <c r="B2325" s="3" t="s">
        <v>1428</v>
      </c>
      <c r="C2325" s="3" t="s">
        <v>6089</v>
      </c>
      <c r="D2325" s="3" t="s">
        <v>6001</v>
      </c>
      <c r="E2325" s="3" t="s">
        <v>6212</v>
      </c>
      <c r="F2325" s="3" t="s">
        <v>2741</v>
      </c>
      <c r="G2325" s="3" t="s">
        <v>4210</v>
      </c>
      <c r="H2325" s="3" t="s">
        <v>1439</v>
      </c>
      <c r="I2325" s="3" t="s">
        <v>6464</v>
      </c>
      <c r="J2325" s="5" t="s">
        <v>1440</v>
      </c>
      <c r="L2325" s="3" t="s">
        <v>5674</v>
      </c>
      <c r="M2325" s="3">
        <v>6</v>
      </c>
      <c r="N2325" s="4" t="s">
        <v>6464</v>
      </c>
      <c r="O2325" s="4">
        <v>122</v>
      </c>
      <c r="P2325" s="11" t="s">
        <v>9797</v>
      </c>
      <c r="Q2325" s="11" t="s">
        <v>10515</v>
      </c>
      <c r="R2325" s="4" t="s">
        <v>13130</v>
      </c>
      <c r="S2325" s="4" t="b">
        <f>ISNUMBER(MATCH(Q2325,T:T,0))</f>
        <v>0</v>
      </c>
      <c r="T2325" s="4" t="s">
        <v>12121</v>
      </c>
      <c r="U2325" s="4" t="str">
        <f t="shared" si="106"/>
        <v>屨</v>
      </c>
      <c r="V2325" s="4" t="b">
        <f>ISNUMBER(MATCH(R2325,T:T,0))</f>
        <v>1</v>
      </c>
    </row>
    <row r="2326" spans="1:22">
      <c r="A2326" s="3">
        <v>2324</v>
      </c>
      <c r="B2326" s="3" t="s">
        <v>1428</v>
      </c>
      <c r="C2326" s="3" t="s">
        <v>6120</v>
      </c>
      <c r="D2326" s="3" t="s">
        <v>6001</v>
      </c>
      <c r="E2326" s="3" t="s">
        <v>6212</v>
      </c>
      <c r="F2326" s="3" t="s">
        <v>2741</v>
      </c>
      <c r="G2326" s="3" t="s">
        <v>4210</v>
      </c>
      <c r="H2326" s="3" t="s">
        <v>5152</v>
      </c>
      <c r="I2326" s="3" t="s">
        <v>6464</v>
      </c>
      <c r="J2326" s="5" t="s">
        <v>5153</v>
      </c>
      <c r="L2326" s="3" t="s">
        <v>9026</v>
      </c>
      <c r="M2326" s="3">
        <v>8</v>
      </c>
      <c r="N2326" s="4" t="s">
        <v>6464</v>
      </c>
      <c r="O2326" s="4">
        <v>122</v>
      </c>
      <c r="P2326" s="11" t="s">
        <v>9847</v>
      </c>
      <c r="Q2326" s="11" t="s">
        <v>6464</v>
      </c>
      <c r="S2326" s="4" t="b">
        <f>ISNUMBER(MATCH(Q2326,T:T,0))</f>
        <v>1</v>
      </c>
      <c r="T2326" s="4" t="s">
        <v>10516</v>
      </c>
      <c r="U2326" s="4" t="str">
        <f t="shared" si="106"/>
        <v>遇</v>
      </c>
    </row>
    <row r="2327" spans="1:22">
      <c r="A2327" s="3">
        <v>2325</v>
      </c>
      <c r="B2327" s="3" t="s">
        <v>1428</v>
      </c>
      <c r="C2327" s="3" t="s">
        <v>6028</v>
      </c>
      <c r="D2327" s="3" t="s">
        <v>6001</v>
      </c>
      <c r="E2327" s="3" t="s">
        <v>6212</v>
      </c>
      <c r="F2327" s="3" t="s">
        <v>2741</v>
      </c>
      <c r="G2327" s="3" t="s">
        <v>4210</v>
      </c>
      <c r="H2327" s="3" t="s">
        <v>5154</v>
      </c>
      <c r="I2327" s="3" t="s">
        <v>6464</v>
      </c>
      <c r="J2327" s="5" t="s">
        <v>5155</v>
      </c>
      <c r="L2327" s="3" t="s">
        <v>1382</v>
      </c>
      <c r="M2327" s="3">
        <v>7</v>
      </c>
      <c r="N2327" s="4" t="s">
        <v>6464</v>
      </c>
      <c r="O2327" s="4">
        <v>122</v>
      </c>
      <c r="P2327" s="11" t="s">
        <v>9863</v>
      </c>
      <c r="Q2327" s="11" t="s">
        <v>10516</v>
      </c>
      <c r="S2327" s="4" t="b">
        <f>ISNUMBER(MATCH(Q2327,T:T,0))</f>
        <v>1</v>
      </c>
      <c r="T2327" s="4" t="s">
        <v>12122</v>
      </c>
      <c r="U2327" s="4" t="str">
        <f t="shared" si="106"/>
        <v>戍</v>
      </c>
    </row>
    <row r="2328" spans="1:22">
      <c r="A2328" s="3">
        <v>2326</v>
      </c>
      <c r="B2328" s="3" t="s">
        <v>1428</v>
      </c>
      <c r="C2328" s="3" t="s">
        <v>6021</v>
      </c>
      <c r="D2328" s="3" t="s">
        <v>6001</v>
      </c>
      <c r="E2328" s="3" t="s">
        <v>6212</v>
      </c>
      <c r="F2328" s="3" t="s">
        <v>2741</v>
      </c>
      <c r="G2328" s="3" t="s">
        <v>4210</v>
      </c>
      <c r="H2328" s="3" t="s">
        <v>5156</v>
      </c>
      <c r="I2328" s="3" t="s">
        <v>6464</v>
      </c>
      <c r="J2328" s="5" t="s">
        <v>5157</v>
      </c>
      <c r="K2328" s="3" t="s">
        <v>5158</v>
      </c>
      <c r="L2328" s="3" t="s">
        <v>1412</v>
      </c>
      <c r="M2328" s="3">
        <v>4</v>
      </c>
      <c r="N2328" s="4" t="s">
        <v>6464</v>
      </c>
      <c r="O2328" s="4">
        <v>122</v>
      </c>
      <c r="P2328" s="11" t="s">
        <v>9761</v>
      </c>
      <c r="Q2328" s="11" t="s">
        <v>6464</v>
      </c>
      <c r="S2328" s="4" t="b">
        <f>ISNUMBER(MATCH(Q2328,T:T,0))</f>
        <v>1</v>
      </c>
      <c r="T2328" s="4" t="s">
        <v>12123</v>
      </c>
      <c r="U2328" s="4" t="str">
        <f t="shared" si="106"/>
        <v>遇</v>
      </c>
    </row>
    <row r="2329" spans="1:22">
      <c r="A2329" s="3">
        <v>2327</v>
      </c>
      <c r="B2329" s="3" t="s">
        <v>1428</v>
      </c>
      <c r="C2329" s="3" t="s">
        <v>6053</v>
      </c>
      <c r="D2329" s="3" t="s">
        <v>6001</v>
      </c>
      <c r="E2329" s="3" t="s">
        <v>6212</v>
      </c>
      <c r="F2329" s="3" t="s">
        <v>2741</v>
      </c>
      <c r="G2329" s="3" t="s">
        <v>4210</v>
      </c>
      <c r="H2329" s="3" t="s">
        <v>5159</v>
      </c>
      <c r="I2329" s="3" t="s">
        <v>6464</v>
      </c>
      <c r="J2329" s="5" t="s">
        <v>9183</v>
      </c>
      <c r="L2329" s="3" t="s">
        <v>5697</v>
      </c>
      <c r="M2329" s="3">
        <v>11</v>
      </c>
      <c r="N2329" s="4" t="s">
        <v>6464</v>
      </c>
      <c r="O2329" s="4">
        <v>122</v>
      </c>
      <c r="P2329" s="11" t="s">
        <v>9841</v>
      </c>
      <c r="Q2329" s="11" t="s">
        <v>6464</v>
      </c>
      <c r="S2329" s="4" t="b">
        <f>ISNUMBER(MATCH(Q2329,T:T,0))</f>
        <v>1</v>
      </c>
      <c r="T2329" s="4" t="s">
        <v>12124</v>
      </c>
      <c r="U2329" s="4" t="str">
        <f t="shared" si="106"/>
        <v>遇</v>
      </c>
    </row>
    <row r="2330" spans="1:22">
      <c r="A2330" s="3">
        <v>2328</v>
      </c>
      <c r="B2330" s="3" t="s">
        <v>1428</v>
      </c>
      <c r="C2330" s="3" t="s">
        <v>6035</v>
      </c>
      <c r="D2330" s="3" t="s">
        <v>6001</v>
      </c>
      <c r="E2330" s="3" t="s">
        <v>6212</v>
      </c>
      <c r="F2330" s="3" t="s">
        <v>2741</v>
      </c>
      <c r="G2330" s="3" t="s">
        <v>4210</v>
      </c>
      <c r="H2330" s="3" t="s">
        <v>5160</v>
      </c>
      <c r="I2330" s="3" t="s">
        <v>6464</v>
      </c>
      <c r="J2330" s="5" t="s">
        <v>9184</v>
      </c>
      <c r="L2330" s="3" t="s">
        <v>5161</v>
      </c>
      <c r="M2330" s="3">
        <v>14</v>
      </c>
      <c r="N2330" s="4" t="s">
        <v>6464</v>
      </c>
      <c r="O2330" s="4">
        <v>122</v>
      </c>
      <c r="P2330" s="11" t="s">
        <v>10151</v>
      </c>
      <c r="Q2330" s="11" t="s">
        <v>6464</v>
      </c>
      <c r="S2330" s="4" t="b">
        <f>ISNUMBER(MATCH(Q2330,T:T,0))</f>
        <v>1</v>
      </c>
      <c r="T2330" s="4" t="s">
        <v>12125</v>
      </c>
      <c r="U2330" s="4" t="str">
        <f t="shared" si="106"/>
        <v>遇</v>
      </c>
    </row>
    <row r="2331" spans="1:22">
      <c r="A2331" s="3">
        <v>2329</v>
      </c>
      <c r="B2331" s="3" t="s">
        <v>1428</v>
      </c>
      <c r="C2331" s="3" t="s">
        <v>6083</v>
      </c>
      <c r="D2331" s="3" t="s">
        <v>6001</v>
      </c>
      <c r="E2331" s="3" t="s">
        <v>6212</v>
      </c>
      <c r="F2331" s="3" t="s">
        <v>2741</v>
      </c>
      <c r="G2331" s="3" t="s">
        <v>4210</v>
      </c>
      <c r="H2331" s="3" t="s">
        <v>5162</v>
      </c>
      <c r="I2331" s="3" t="s">
        <v>6464</v>
      </c>
      <c r="J2331" s="5" t="s">
        <v>5163</v>
      </c>
      <c r="L2331" s="3" t="s">
        <v>9021</v>
      </c>
      <c r="M2331" s="3">
        <v>2</v>
      </c>
      <c r="N2331" s="4" t="s">
        <v>6464</v>
      </c>
      <c r="O2331" s="4">
        <v>122</v>
      </c>
      <c r="P2331" s="11" t="s">
        <v>9737</v>
      </c>
      <c r="Q2331" s="11" t="s">
        <v>10515</v>
      </c>
      <c r="R2331" s="4" t="s">
        <v>13130</v>
      </c>
      <c r="S2331" s="4" t="b">
        <f>ISNUMBER(MATCH(Q2331,T:T,0))</f>
        <v>0</v>
      </c>
      <c r="T2331" s="4" t="s">
        <v>12126</v>
      </c>
      <c r="U2331" s="4" t="str">
        <f t="shared" si="106"/>
        <v>屨</v>
      </c>
      <c r="V2331" s="4" t="b">
        <f>ISNUMBER(MATCH(R2331,T:T,0))</f>
        <v>1</v>
      </c>
    </row>
    <row r="2332" spans="1:22">
      <c r="A2332" s="3">
        <v>2330</v>
      </c>
      <c r="B2332" s="3" t="s">
        <v>1428</v>
      </c>
      <c r="C2332" s="3" t="s">
        <v>6041</v>
      </c>
      <c r="D2332" s="3" t="s">
        <v>6001</v>
      </c>
      <c r="E2332" s="3" t="s">
        <v>6212</v>
      </c>
      <c r="F2332" s="3" t="s">
        <v>2741</v>
      </c>
      <c r="G2332" s="3" t="s">
        <v>4210</v>
      </c>
      <c r="H2332" s="3" t="s">
        <v>5164</v>
      </c>
      <c r="I2332" s="3" t="s">
        <v>6464</v>
      </c>
      <c r="J2332" s="5" t="s">
        <v>5165</v>
      </c>
      <c r="L2332" s="3" t="s">
        <v>9021</v>
      </c>
      <c r="M2332" s="3">
        <v>4</v>
      </c>
      <c r="N2332" s="4" t="s">
        <v>6464</v>
      </c>
      <c r="O2332" s="4">
        <v>122</v>
      </c>
      <c r="P2332" s="11" t="s">
        <v>9830</v>
      </c>
      <c r="Q2332" s="11" t="s">
        <v>6464</v>
      </c>
      <c r="S2332" s="4" t="b">
        <f>ISNUMBER(MATCH(Q2332,T:T,0))</f>
        <v>1</v>
      </c>
      <c r="T2332" s="4" t="s">
        <v>12127</v>
      </c>
      <c r="U2332" s="4" t="str">
        <f t="shared" si="106"/>
        <v>遇</v>
      </c>
    </row>
    <row r="2333" spans="1:22">
      <c r="A2333" s="3">
        <v>2331</v>
      </c>
      <c r="B2333" s="3" t="s">
        <v>1428</v>
      </c>
      <c r="C2333" s="3" t="s">
        <v>6032</v>
      </c>
      <c r="D2333" s="3" t="s">
        <v>6001</v>
      </c>
      <c r="E2333" s="3" t="s">
        <v>6212</v>
      </c>
      <c r="F2333" s="3" t="s">
        <v>2741</v>
      </c>
      <c r="G2333" s="3" t="s">
        <v>4210</v>
      </c>
      <c r="H2333" s="3" t="s">
        <v>5166</v>
      </c>
      <c r="I2333" s="3" t="s">
        <v>6464</v>
      </c>
      <c r="J2333" s="5" t="s">
        <v>5167</v>
      </c>
      <c r="L2333" s="3" t="s">
        <v>1382</v>
      </c>
      <c r="M2333" s="3">
        <v>5</v>
      </c>
      <c r="N2333" s="4" t="s">
        <v>6464</v>
      </c>
      <c r="O2333" s="4">
        <v>122</v>
      </c>
      <c r="P2333" s="11" t="s">
        <v>9949</v>
      </c>
      <c r="Q2333" s="11" t="s">
        <v>6464</v>
      </c>
      <c r="S2333" s="4" t="b">
        <f>ISNUMBER(MATCH(Q2333,T:T,0))</f>
        <v>1</v>
      </c>
      <c r="T2333" s="4" t="s">
        <v>12128</v>
      </c>
      <c r="U2333" s="4" t="str">
        <f t="shared" si="106"/>
        <v>遇</v>
      </c>
    </row>
    <row r="2334" spans="1:22">
      <c r="A2334" s="3">
        <v>2332</v>
      </c>
      <c r="B2334" s="3" t="s">
        <v>1428</v>
      </c>
      <c r="C2334" s="3" t="s">
        <v>6069</v>
      </c>
      <c r="D2334" s="3" t="s">
        <v>6001</v>
      </c>
      <c r="E2334" s="3" t="s">
        <v>6212</v>
      </c>
      <c r="F2334" s="3" t="s">
        <v>2741</v>
      </c>
      <c r="G2334" s="3" t="s">
        <v>4210</v>
      </c>
      <c r="H2334" s="3" t="s">
        <v>5168</v>
      </c>
      <c r="I2334" s="3" t="s">
        <v>6464</v>
      </c>
      <c r="J2334" s="8" t="s">
        <v>9185</v>
      </c>
      <c r="L2334" s="3" t="s">
        <v>9021</v>
      </c>
      <c r="M2334" s="3">
        <v>2</v>
      </c>
      <c r="N2334" s="4" t="s">
        <v>6464</v>
      </c>
      <c r="O2334" s="4">
        <v>122</v>
      </c>
      <c r="P2334" s="11" t="s">
        <v>9925</v>
      </c>
      <c r="Q2334" s="11" t="s">
        <v>10515</v>
      </c>
      <c r="R2334" s="4" t="s">
        <v>13130</v>
      </c>
      <c r="S2334" s="4" t="b">
        <f>ISNUMBER(MATCH(Q2334,T:T,0))</f>
        <v>0</v>
      </c>
      <c r="T2334" s="4" t="s">
        <v>12129</v>
      </c>
      <c r="U2334" s="4" t="str">
        <f t="shared" si="106"/>
        <v>屨</v>
      </c>
      <c r="V2334" s="4" t="b">
        <f t="shared" ref="V2334:V2335" si="107">ISNUMBER(MATCH(R2334,T:T,0))</f>
        <v>1</v>
      </c>
    </row>
    <row r="2335" spans="1:22">
      <c r="A2335" s="3">
        <v>2333</v>
      </c>
      <c r="B2335" s="3" t="s">
        <v>1428</v>
      </c>
      <c r="C2335" s="3" t="s">
        <v>6180</v>
      </c>
      <c r="D2335" s="3" t="s">
        <v>6001</v>
      </c>
      <c r="E2335" s="3" t="s">
        <v>6212</v>
      </c>
      <c r="F2335" s="3" t="s">
        <v>2741</v>
      </c>
      <c r="G2335" s="3" t="s">
        <v>4210</v>
      </c>
      <c r="H2335" s="3" t="s">
        <v>5169</v>
      </c>
      <c r="I2335" s="3" t="s">
        <v>6464</v>
      </c>
      <c r="J2335" s="8" t="s">
        <v>9186</v>
      </c>
      <c r="L2335" s="3" t="s">
        <v>9026</v>
      </c>
      <c r="M2335" s="3">
        <v>3</v>
      </c>
      <c r="N2335" s="4" t="s">
        <v>6464</v>
      </c>
      <c r="O2335" s="4">
        <v>122</v>
      </c>
      <c r="P2335" s="11" t="s">
        <v>10085</v>
      </c>
      <c r="Q2335" s="11" t="s">
        <v>10515</v>
      </c>
      <c r="R2335" s="4" t="s">
        <v>13130</v>
      </c>
      <c r="S2335" s="4" t="b">
        <f>ISNUMBER(MATCH(Q2335,T:T,0))</f>
        <v>0</v>
      </c>
      <c r="T2335" s="4" t="s">
        <v>12130</v>
      </c>
      <c r="U2335" s="4" t="str">
        <f t="shared" si="106"/>
        <v>屨</v>
      </c>
      <c r="V2335" s="4" t="b">
        <f t="shared" si="107"/>
        <v>1</v>
      </c>
    </row>
    <row r="2336" spans="1:22">
      <c r="A2336" s="3">
        <v>2334</v>
      </c>
      <c r="B2336" s="3" t="s">
        <v>1428</v>
      </c>
      <c r="C2336" s="3" t="s">
        <v>6049</v>
      </c>
      <c r="D2336" s="3" t="s">
        <v>6001</v>
      </c>
      <c r="E2336" s="3" t="s">
        <v>6212</v>
      </c>
      <c r="F2336" s="3" t="s">
        <v>2741</v>
      </c>
      <c r="G2336" s="3" t="s">
        <v>4210</v>
      </c>
      <c r="H2336" s="3" t="s">
        <v>5170</v>
      </c>
      <c r="I2336" s="3" t="s">
        <v>6464</v>
      </c>
      <c r="J2336" s="5" t="s">
        <v>9187</v>
      </c>
      <c r="L2336" s="3" t="s">
        <v>5697</v>
      </c>
      <c r="M2336" s="3">
        <v>6</v>
      </c>
      <c r="N2336" s="4" t="s">
        <v>6464</v>
      </c>
      <c r="O2336" s="4">
        <v>122</v>
      </c>
      <c r="P2336" s="11" t="s">
        <v>9723</v>
      </c>
      <c r="Q2336" s="11" t="s">
        <v>6464</v>
      </c>
      <c r="S2336" s="4" t="b">
        <f>ISNUMBER(MATCH(Q2336,T:T,0))</f>
        <v>1</v>
      </c>
      <c r="T2336" s="4" t="s">
        <v>12131</v>
      </c>
      <c r="U2336" s="4" t="str">
        <f t="shared" si="106"/>
        <v>遇</v>
      </c>
    </row>
    <row r="2337" spans="1:22">
      <c r="A2337" s="3">
        <v>2335</v>
      </c>
      <c r="B2337" s="3" t="s">
        <v>1428</v>
      </c>
      <c r="C2337" s="3" t="s">
        <v>6076</v>
      </c>
      <c r="D2337" s="3" t="s">
        <v>6001</v>
      </c>
      <c r="E2337" s="3" t="s">
        <v>6212</v>
      </c>
      <c r="F2337" s="3" t="s">
        <v>2741</v>
      </c>
      <c r="G2337" s="3" t="s">
        <v>4210</v>
      </c>
      <c r="H2337" s="3" t="s">
        <v>5171</v>
      </c>
      <c r="I2337" s="3" t="s">
        <v>6464</v>
      </c>
      <c r="J2337" s="5" t="s">
        <v>5172</v>
      </c>
      <c r="L2337" s="3" t="s">
        <v>1389</v>
      </c>
      <c r="M2337" s="3">
        <v>2</v>
      </c>
      <c r="N2337" s="4" t="s">
        <v>6464</v>
      </c>
      <c r="O2337" s="4">
        <v>122</v>
      </c>
      <c r="P2337" s="11" t="s">
        <v>9766</v>
      </c>
      <c r="Q2337" s="11" t="s">
        <v>10515</v>
      </c>
      <c r="R2337" s="4" t="s">
        <v>13130</v>
      </c>
      <c r="S2337" s="4" t="b">
        <f>ISNUMBER(MATCH(Q2337,T:T,0))</f>
        <v>0</v>
      </c>
      <c r="T2337" s="4" t="s">
        <v>12132</v>
      </c>
      <c r="U2337" s="4" t="str">
        <f t="shared" si="106"/>
        <v>屨</v>
      </c>
      <c r="V2337" s="4" t="b">
        <f t="shared" ref="V2337:V2338" si="108">ISNUMBER(MATCH(R2337,T:T,0))</f>
        <v>1</v>
      </c>
    </row>
    <row r="2338" spans="1:22">
      <c r="A2338" s="3">
        <v>2336</v>
      </c>
      <c r="B2338" s="3" t="s">
        <v>1428</v>
      </c>
      <c r="C2338" s="3" t="s">
        <v>6000</v>
      </c>
      <c r="D2338" s="3" t="s">
        <v>6001</v>
      </c>
      <c r="E2338" s="3" t="s">
        <v>6212</v>
      </c>
      <c r="F2338" s="3" t="s">
        <v>2741</v>
      </c>
      <c r="G2338" s="3" t="s">
        <v>4210</v>
      </c>
      <c r="H2338" s="3" t="s">
        <v>5173</v>
      </c>
      <c r="I2338" s="3" t="s">
        <v>6464</v>
      </c>
      <c r="J2338" s="5" t="s">
        <v>5174</v>
      </c>
      <c r="L2338" s="3" t="s">
        <v>9004</v>
      </c>
      <c r="M2338" s="3">
        <v>9</v>
      </c>
      <c r="N2338" s="4" t="s">
        <v>6464</v>
      </c>
      <c r="O2338" s="4">
        <v>122</v>
      </c>
      <c r="P2338" s="11" t="s">
        <v>9712</v>
      </c>
      <c r="Q2338" s="11" t="s">
        <v>10515</v>
      </c>
      <c r="R2338" s="4" t="s">
        <v>13130</v>
      </c>
      <c r="S2338" s="4" t="b">
        <f>ISNUMBER(MATCH(Q2338,T:T,0))</f>
        <v>0</v>
      </c>
      <c r="T2338" s="4" t="s">
        <v>12133</v>
      </c>
      <c r="U2338" s="4" t="str">
        <f t="shared" si="106"/>
        <v>屨</v>
      </c>
      <c r="V2338" s="4" t="b">
        <f t="shared" si="108"/>
        <v>1</v>
      </c>
    </row>
    <row r="2339" spans="1:22">
      <c r="A2339" s="3">
        <v>2337</v>
      </c>
      <c r="B2339" s="3" t="s">
        <v>1428</v>
      </c>
      <c r="C2339" s="3" t="s">
        <v>6038</v>
      </c>
      <c r="D2339" s="3" t="s">
        <v>6001</v>
      </c>
      <c r="E2339" s="3" t="s">
        <v>6212</v>
      </c>
      <c r="F2339" s="3" t="s">
        <v>2741</v>
      </c>
      <c r="G2339" s="3" t="s">
        <v>4210</v>
      </c>
      <c r="H2339" s="3" t="s">
        <v>5175</v>
      </c>
      <c r="I2339" s="3" t="s">
        <v>6464</v>
      </c>
      <c r="J2339" s="5" t="s">
        <v>5176</v>
      </c>
      <c r="L2339" s="3" t="s">
        <v>1389</v>
      </c>
      <c r="M2339" s="3">
        <v>2</v>
      </c>
      <c r="N2339" s="4" t="s">
        <v>6464</v>
      </c>
      <c r="O2339" s="4">
        <v>122</v>
      </c>
      <c r="P2339" s="11" t="s">
        <v>10461</v>
      </c>
      <c r="Q2339" s="11" t="s">
        <v>6464</v>
      </c>
      <c r="S2339" s="4" t="b">
        <f>ISNUMBER(MATCH(Q2339,T:T,0))</f>
        <v>1</v>
      </c>
      <c r="T2339" s="4" t="s">
        <v>10250</v>
      </c>
      <c r="U2339" s="4" t="str">
        <f t="shared" si="106"/>
        <v>遇</v>
      </c>
    </row>
    <row r="2340" spans="1:22">
      <c r="A2340" s="3">
        <v>2338</v>
      </c>
      <c r="B2340" s="3" t="s">
        <v>1428</v>
      </c>
      <c r="C2340" s="3" t="s">
        <v>6167</v>
      </c>
      <c r="D2340" s="3" t="s">
        <v>6001</v>
      </c>
      <c r="E2340" s="3" t="s">
        <v>6212</v>
      </c>
      <c r="F2340" s="3" t="s">
        <v>2741</v>
      </c>
      <c r="G2340" s="3" t="s">
        <v>4210</v>
      </c>
      <c r="H2340" s="3" t="s">
        <v>5177</v>
      </c>
      <c r="I2340" s="3" t="s">
        <v>6464</v>
      </c>
      <c r="J2340" s="5" t="s">
        <v>5178</v>
      </c>
      <c r="L2340" s="3" t="s">
        <v>1421</v>
      </c>
      <c r="M2340" s="3">
        <v>3</v>
      </c>
      <c r="N2340" s="4" t="s">
        <v>6464</v>
      </c>
      <c r="O2340" s="4">
        <v>122</v>
      </c>
      <c r="P2340" s="11" t="s">
        <v>9869</v>
      </c>
      <c r="Q2340" s="11" t="s">
        <v>10517</v>
      </c>
      <c r="S2340" s="4" t="b">
        <f>ISNUMBER(MATCH(Q2340,T:T,0))</f>
        <v>1</v>
      </c>
      <c r="T2340" s="4" t="s">
        <v>12134</v>
      </c>
      <c r="U2340" s="4" t="str">
        <f t="shared" si="106"/>
        <v>注</v>
      </c>
    </row>
    <row r="2341" spans="1:22">
      <c r="A2341" s="3">
        <v>2339</v>
      </c>
      <c r="B2341" s="3" t="s">
        <v>1428</v>
      </c>
      <c r="C2341" s="3" t="s">
        <v>6011</v>
      </c>
      <c r="D2341" s="3" t="s">
        <v>6001</v>
      </c>
      <c r="E2341" s="3" t="s">
        <v>6212</v>
      </c>
      <c r="F2341" s="3" t="s">
        <v>2741</v>
      </c>
      <c r="G2341" s="3" t="s">
        <v>4210</v>
      </c>
      <c r="H2341" s="3" t="s">
        <v>5179</v>
      </c>
      <c r="I2341" s="3" t="s">
        <v>6464</v>
      </c>
      <c r="J2341" s="5" t="s">
        <v>5180</v>
      </c>
      <c r="L2341" s="3" t="s">
        <v>1421</v>
      </c>
      <c r="M2341" s="3">
        <v>2</v>
      </c>
      <c r="N2341" s="4" t="s">
        <v>6464</v>
      </c>
      <c r="O2341" s="4">
        <v>122</v>
      </c>
      <c r="P2341" s="11" t="s">
        <v>9757</v>
      </c>
      <c r="Q2341" s="11" t="s">
        <v>10517</v>
      </c>
      <c r="S2341" s="4" t="b">
        <f>ISNUMBER(MATCH(Q2341,T:T,0))</f>
        <v>1</v>
      </c>
      <c r="T2341" s="4" t="s">
        <v>12135</v>
      </c>
      <c r="U2341" s="4" t="str">
        <f t="shared" si="106"/>
        <v>注</v>
      </c>
    </row>
    <row r="2342" spans="1:22">
      <c r="A2342" s="3">
        <v>2340</v>
      </c>
      <c r="B2342" s="3" t="s">
        <v>1428</v>
      </c>
      <c r="C2342" s="3" t="s">
        <v>6017</v>
      </c>
      <c r="D2342" s="3" t="s">
        <v>6001</v>
      </c>
      <c r="E2342" s="3" t="s">
        <v>6212</v>
      </c>
      <c r="F2342" s="3" t="s">
        <v>2741</v>
      </c>
      <c r="G2342" s="3" t="s">
        <v>4210</v>
      </c>
      <c r="H2342" s="3" t="s">
        <v>5181</v>
      </c>
      <c r="I2342" s="3" t="s">
        <v>6464</v>
      </c>
      <c r="J2342" s="8" t="s">
        <v>5182</v>
      </c>
      <c r="L2342" s="3" t="s">
        <v>5674</v>
      </c>
      <c r="M2342" s="3">
        <v>1</v>
      </c>
      <c r="N2342" s="4" t="s">
        <v>6464</v>
      </c>
      <c r="O2342" s="4">
        <v>122</v>
      </c>
      <c r="P2342" s="11" t="s">
        <v>9963</v>
      </c>
      <c r="Q2342" s="11" t="s">
        <v>10515</v>
      </c>
      <c r="R2342" s="4" t="s">
        <v>13130</v>
      </c>
      <c r="S2342" s="4" t="b">
        <f>ISNUMBER(MATCH(Q2342,T:T,0))</f>
        <v>0</v>
      </c>
      <c r="T2342" s="4" t="s">
        <v>5182</v>
      </c>
      <c r="U2342" s="4" t="str">
        <f t="shared" si="106"/>
        <v>屨</v>
      </c>
      <c r="V2342" s="4" t="b">
        <f>ISNUMBER(MATCH(R2342,T:T,0))</f>
        <v>1</v>
      </c>
    </row>
    <row r="2343" spans="1:22">
      <c r="A2343" s="3">
        <v>2341</v>
      </c>
      <c r="B2343" s="3" t="s">
        <v>1428</v>
      </c>
      <c r="C2343" s="3" t="s">
        <v>6058</v>
      </c>
      <c r="D2343" s="3" t="s">
        <v>6001</v>
      </c>
      <c r="E2343" s="3" t="s">
        <v>6212</v>
      </c>
      <c r="F2343" s="3" t="s">
        <v>2741</v>
      </c>
      <c r="G2343" s="3" t="s">
        <v>4210</v>
      </c>
      <c r="H2343" s="3" t="s">
        <v>5183</v>
      </c>
      <c r="I2343" s="3" t="s">
        <v>6464</v>
      </c>
      <c r="J2343" s="5" t="s">
        <v>5184</v>
      </c>
      <c r="L2343" s="3" t="s">
        <v>1385</v>
      </c>
      <c r="M2343" s="3">
        <v>2</v>
      </c>
      <c r="N2343" s="4" t="s">
        <v>6464</v>
      </c>
      <c r="O2343" s="4">
        <v>122</v>
      </c>
      <c r="P2343" s="11" t="s">
        <v>10084</v>
      </c>
      <c r="Q2343" s="11" t="s">
        <v>6464</v>
      </c>
      <c r="S2343" s="4" t="b">
        <f>ISNUMBER(MATCH(Q2343,T:T,0))</f>
        <v>1</v>
      </c>
      <c r="T2343" s="4" t="s">
        <v>12136</v>
      </c>
      <c r="U2343" s="4" t="str">
        <f t="shared" si="106"/>
        <v>遇</v>
      </c>
    </row>
    <row r="2344" spans="1:22">
      <c r="A2344" s="3">
        <v>2342</v>
      </c>
      <c r="B2344" s="3" t="s">
        <v>5185</v>
      </c>
      <c r="C2344" s="3" t="s">
        <v>6035</v>
      </c>
      <c r="D2344" s="3" t="s">
        <v>5990</v>
      </c>
      <c r="E2344" s="3" t="s">
        <v>5991</v>
      </c>
      <c r="F2344" s="3" t="s">
        <v>2788</v>
      </c>
      <c r="G2344" s="3" t="s">
        <v>4210</v>
      </c>
      <c r="H2344" s="3" t="s">
        <v>5186</v>
      </c>
      <c r="I2344" s="3" t="s">
        <v>6464</v>
      </c>
      <c r="J2344" s="5" t="s">
        <v>5187</v>
      </c>
      <c r="L2344" s="3" t="s">
        <v>5188</v>
      </c>
      <c r="M2344" s="3">
        <v>6</v>
      </c>
      <c r="N2344" s="4" t="s">
        <v>9659</v>
      </c>
      <c r="O2344" s="4">
        <v>123</v>
      </c>
      <c r="P2344" s="11" t="s">
        <v>9719</v>
      </c>
      <c r="Q2344" s="11" t="s">
        <v>10518</v>
      </c>
      <c r="R2344" s="4" t="s">
        <v>13131</v>
      </c>
      <c r="S2344" s="4" t="b">
        <f>ISNUMBER(MATCH(Q2344,T:T,0))</f>
        <v>0</v>
      </c>
      <c r="T2344" s="4" t="s">
        <v>9659</v>
      </c>
      <c r="U2344" s="4" t="str">
        <f t="shared" si="106"/>
        <v>顧</v>
      </c>
      <c r="V2344" s="4" t="b">
        <f t="shared" ref="V2344:V2348" si="109">ISNUMBER(MATCH(R2344,T:T,0))</f>
        <v>1</v>
      </c>
    </row>
    <row r="2345" spans="1:22">
      <c r="A2345" s="3">
        <v>2343</v>
      </c>
      <c r="B2345" s="3" t="s">
        <v>5185</v>
      </c>
      <c r="C2345" s="3" t="s">
        <v>5997</v>
      </c>
      <c r="D2345" s="3" t="s">
        <v>5990</v>
      </c>
      <c r="E2345" s="3" t="s">
        <v>5991</v>
      </c>
      <c r="F2345" s="3" t="s">
        <v>2788</v>
      </c>
      <c r="G2345" s="3" t="s">
        <v>4210</v>
      </c>
      <c r="H2345" s="3" t="s">
        <v>5189</v>
      </c>
      <c r="I2345" s="3" t="s">
        <v>6464</v>
      </c>
      <c r="J2345" s="5" t="s">
        <v>5190</v>
      </c>
      <c r="L2345" s="3" t="s">
        <v>5735</v>
      </c>
      <c r="M2345" s="3">
        <v>5</v>
      </c>
      <c r="N2345" s="4" t="s">
        <v>9659</v>
      </c>
      <c r="O2345" s="4">
        <v>123</v>
      </c>
      <c r="P2345" s="11" t="s">
        <v>9706</v>
      </c>
      <c r="Q2345" s="11" t="s">
        <v>10518</v>
      </c>
      <c r="R2345" s="4" t="s">
        <v>13131</v>
      </c>
      <c r="S2345" s="4" t="b">
        <f>ISNUMBER(MATCH(Q2345,T:T,0))</f>
        <v>0</v>
      </c>
      <c r="T2345" s="4" t="s">
        <v>12137</v>
      </c>
      <c r="U2345" s="4" t="str">
        <f t="shared" si="106"/>
        <v>顧</v>
      </c>
      <c r="V2345" s="4" t="b">
        <f t="shared" si="109"/>
        <v>1</v>
      </c>
    </row>
    <row r="2346" spans="1:22">
      <c r="A2346" s="3">
        <v>2344</v>
      </c>
      <c r="B2346" s="3" t="s">
        <v>5185</v>
      </c>
      <c r="C2346" s="3" t="s">
        <v>6058</v>
      </c>
      <c r="D2346" s="3" t="s">
        <v>5990</v>
      </c>
      <c r="E2346" s="3" t="s">
        <v>5991</v>
      </c>
      <c r="F2346" s="3" t="s">
        <v>2788</v>
      </c>
      <c r="G2346" s="3" t="s">
        <v>4210</v>
      </c>
      <c r="H2346" s="3" t="s">
        <v>5191</v>
      </c>
      <c r="I2346" s="3" t="s">
        <v>6464</v>
      </c>
      <c r="J2346" s="5" t="s">
        <v>9188</v>
      </c>
      <c r="L2346" s="3" t="s">
        <v>5192</v>
      </c>
      <c r="M2346" s="3">
        <v>13</v>
      </c>
      <c r="N2346" s="4" t="s">
        <v>9659</v>
      </c>
      <c r="O2346" s="4">
        <v>123</v>
      </c>
      <c r="P2346" s="11" t="s">
        <v>9924</v>
      </c>
      <c r="Q2346" s="11" t="s">
        <v>10518</v>
      </c>
      <c r="R2346" s="4" t="s">
        <v>13131</v>
      </c>
      <c r="S2346" s="4" t="b">
        <f>ISNUMBER(MATCH(Q2346,T:T,0))</f>
        <v>0</v>
      </c>
      <c r="T2346" s="4" t="s">
        <v>10521</v>
      </c>
      <c r="U2346" s="4" t="str">
        <f t="shared" si="106"/>
        <v>顧</v>
      </c>
      <c r="V2346" s="4" t="b">
        <f t="shared" si="109"/>
        <v>1</v>
      </c>
    </row>
    <row r="2347" spans="1:22">
      <c r="A2347" s="3">
        <v>2345</v>
      </c>
      <c r="B2347" s="3" t="s">
        <v>5185</v>
      </c>
      <c r="C2347" s="3" t="s">
        <v>5989</v>
      </c>
      <c r="D2347" s="3" t="s">
        <v>5990</v>
      </c>
      <c r="E2347" s="3" t="s">
        <v>5991</v>
      </c>
      <c r="F2347" s="3" t="s">
        <v>2788</v>
      </c>
      <c r="G2347" s="3" t="s">
        <v>4210</v>
      </c>
      <c r="H2347" s="3" t="s">
        <v>5193</v>
      </c>
      <c r="I2347" s="3" t="s">
        <v>6464</v>
      </c>
      <c r="J2347" s="8" t="s">
        <v>9189</v>
      </c>
      <c r="L2347" s="3" t="s">
        <v>5735</v>
      </c>
      <c r="M2347" s="3">
        <v>12</v>
      </c>
      <c r="N2347" s="4" t="s">
        <v>9659</v>
      </c>
      <c r="O2347" s="4">
        <v>123</v>
      </c>
      <c r="P2347" s="11" t="s">
        <v>9883</v>
      </c>
      <c r="Q2347" s="11" t="s">
        <v>10518</v>
      </c>
      <c r="R2347" s="4" t="s">
        <v>13131</v>
      </c>
      <c r="S2347" s="4" t="b">
        <f>ISNUMBER(MATCH(Q2347,T:T,0))</f>
        <v>0</v>
      </c>
      <c r="T2347" s="4" t="s">
        <v>12138</v>
      </c>
      <c r="U2347" s="4" t="str">
        <f t="shared" si="106"/>
        <v>顧</v>
      </c>
      <c r="V2347" s="4" t="b">
        <f t="shared" si="109"/>
        <v>1</v>
      </c>
    </row>
    <row r="2348" spans="1:22">
      <c r="A2348" s="3">
        <v>2346</v>
      </c>
      <c r="B2348" s="3" t="s">
        <v>5185</v>
      </c>
      <c r="C2348" s="3" t="s">
        <v>6079</v>
      </c>
      <c r="D2348" s="3" t="s">
        <v>5990</v>
      </c>
      <c r="E2348" s="3" t="s">
        <v>5991</v>
      </c>
      <c r="F2348" s="3" t="s">
        <v>2788</v>
      </c>
      <c r="G2348" s="3" t="s">
        <v>4210</v>
      </c>
      <c r="H2348" s="3" t="s">
        <v>5194</v>
      </c>
      <c r="I2348" s="3" t="s">
        <v>6464</v>
      </c>
      <c r="J2348" s="5" t="s">
        <v>5195</v>
      </c>
      <c r="L2348" s="3" t="s">
        <v>5196</v>
      </c>
      <c r="M2348" s="3">
        <v>4</v>
      </c>
      <c r="N2348" s="4" t="s">
        <v>9659</v>
      </c>
      <c r="O2348" s="4">
        <v>123</v>
      </c>
      <c r="P2348" s="11" t="s">
        <v>10519</v>
      </c>
      <c r="Q2348" s="11" t="s">
        <v>10518</v>
      </c>
      <c r="R2348" s="4" t="s">
        <v>13131</v>
      </c>
      <c r="S2348" s="4" t="b">
        <f>ISNUMBER(MATCH(Q2348,T:T,0))</f>
        <v>0</v>
      </c>
      <c r="T2348" s="4" t="s">
        <v>12139</v>
      </c>
      <c r="U2348" s="4" t="str">
        <f t="shared" si="106"/>
        <v>顧</v>
      </c>
      <c r="V2348" s="4" t="b">
        <f t="shared" si="109"/>
        <v>1</v>
      </c>
    </row>
    <row r="2349" spans="1:22">
      <c r="A2349" s="3">
        <v>2347</v>
      </c>
      <c r="B2349" s="3" t="s">
        <v>5185</v>
      </c>
      <c r="C2349" s="3" t="s">
        <v>6025</v>
      </c>
      <c r="D2349" s="3" t="s">
        <v>5990</v>
      </c>
      <c r="E2349" s="3" t="s">
        <v>5991</v>
      </c>
      <c r="F2349" s="3" t="s">
        <v>2788</v>
      </c>
      <c r="G2349" s="3" t="s">
        <v>4210</v>
      </c>
      <c r="H2349" s="3" t="s">
        <v>5197</v>
      </c>
      <c r="I2349" s="3" t="s">
        <v>6464</v>
      </c>
      <c r="J2349" s="5" t="s">
        <v>9190</v>
      </c>
      <c r="L2349" s="3" t="s">
        <v>5198</v>
      </c>
      <c r="M2349" s="3">
        <v>15</v>
      </c>
      <c r="N2349" s="4" t="s">
        <v>9659</v>
      </c>
      <c r="O2349" s="4">
        <v>123</v>
      </c>
      <c r="P2349" s="11" t="s">
        <v>9729</v>
      </c>
      <c r="Q2349" s="11" t="s">
        <v>9659</v>
      </c>
      <c r="S2349" s="4" t="b">
        <f>ISNUMBER(MATCH(Q2349,T:T,0))</f>
        <v>1</v>
      </c>
      <c r="T2349" s="4" t="s">
        <v>12140</v>
      </c>
      <c r="U2349" s="4" t="str">
        <f t="shared" si="106"/>
        <v>暮</v>
      </c>
    </row>
    <row r="2350" spans="1:22">
      <c r="A2350" s="3">
        <v>2348</v>
      </c>
      <c r="B2350" s="3" t="s">
        <v>5185</v>
      </c>
      <c r="C2350" s="3" t="s">
        <v>6092</v>
      </c>
      <c r="D2350" s="3" t="s">
        <v>5990</v>
      </c>
      <c r="E2350" s="3" t="s">
        <v>5991</v>
      </c>
      <c r="F2350" s="3" t="s">
        <v>2788</v>
      </c>
      <c r="G2350" s="3" t="s">
        <v>4210</v>
      </c>
      <c r="H2350" s="3" t="s">
        <v>5199</v>
      </c>
      <c r="I2350" s="3" t="s">
        <v>6464</v>
      </c>
      <c r="J2350" s="5" t="s">
        <v>9191</v>
      </c>
      <c r="L2350" s="3" t="s">
        <v>5161</v>
      </c>
      <c r="M2350" s="3">
        <v>14</v>
      </c>
      <c r="N2350" s="4" t="s">
        <v>9659</v>
      </c>
      <c r="O2350" s="4">
        <v>123</v>
      </c>
      <c r="P2350" s="11" t="s">
        <v>9740</v>
      </c>
      <c r="Q2350" s="11" t="s">
        <v>10518</v>
      </c>
      <c r="R2350" s="4" t="s">
        <v>13131</v>
      </c>
      <c r="S2350" s="4" t="b">
        <f>ISNUMBER(MATCH(Q2350,T:T,0))</f>
        <v>0</v>
      </c>
      <c r="T2350" s="4" t="s">
        <v>10520</v>
      </c>
      <c r="U2350" s="4" t="str">
        <f t="shared" si="106"/>
        <v>顧</v>
      </c>
      <c r="V2350" s="4" t="b">
        <f>ISNUMBER(MATCH(R2350,T:T,0))</f>
        <v>1</v>
      </c>
    </row>
    <row r="2351" spans="1:22">
      <c r="A2351" s="3">
        <v>2349</v>
      </c>
      <c r="B2351" s="3" t="s">
        <v>5185</v>
      </c>
      <c r="C2351" s="3" t="s">
        <v>6067</v>
      </c>
      <c r="D2351" s="3" t="s">
        <v>5990</v>
      </c>
      <c r="E2351" s="3" t="s">
        <v>5991</v>
      </c>
      <c r="F2351" s="3" t="s">
        <v>2788</v>
      </c>
      <c r="G2351" s="3" t="s">
        <v>4210</v>
      </c>
      <c r="H2351" s="3" t="s">
        <v>5200</v>
      </c>
      <c r="I2351" s="3" t="s">
        <v>6464</v>
      </c>
      <c r="J2351" s="5" t="s">
        <v>9192</v>
      </c>
      <c r="L2351" s="3" t="s">
        <v>5764</v>
      </c>
      <c r="M2351" s="3">
        <v>17</v>
      </c>
      <c r="N2351" s="4" t="s">
        <v>9659</v>
      </c>
      <c r="O2351" s="4">
        <v>123</v>
      </c>
      <c r="P2351" s="11" t="s">
        <v>9870</v>
      </c>
      <c r="Q2351" s="11" t="s">
        <v>10520</v>
      </c>
      <c r="S2351" s="4" t="b">
        <f>ISNUMBER(MATCH(Q2351,T:T,0))</f>
        <v>1</v>
      </c>
      <c r="T2351" s="4" t="s">
        <v>12141</v>
      </c>
      <c r="U2351" s="4" t="str">
        <f t="shared" si="106"/>
        <v>誤</v>
      </c>
    </row>
    <row r="2352" spans="1:22" ht="39">
      <c r="A2352" s="3">
        <v>2350</v>
      </c>
      <c r="B2352" s="3" t="s">
        <v>5185</v>
      </c>
      <c r="C2352" s="3" t="s">
        <v>6017</v>
      </c>
      <c r="D2352" s="3" t="s">
        <v>5990</v>
      </c>
      <c r="E2352" s="3" t="s">
        <v>5991</v>
      </c>
      <c r="F2352" s="3" t="s">
        <v>2788</v>
      </c>
      <c r="G2352" s="3" t="s">
        <v>4210</v>
      </c>
      <c r="H2352" s="3" t="s">
        <v>5201</v>
      </c>
      <c r="I2352" s="3" t="s">
        <v>6464</v>
      </c>
      <c r="J2352" s="5" t="s">
        <v>9193</v>
      </c>
      <c r="L2352" s="3" t="s">
        <v>5202</v>
      </c>
      <c r="M2352" s="3">
        <v>15</v>
      </c>
      <c r="N2352" s="4" t="s">
        <v>9659</v>
      </c>
      <c r="O2352" s="4">
        <v>123</v>
      </c>
      <c r="P2352" s="11" t="s">
        <v>10115</v>
      </c>
      <c r="Q2352" s="11" t="s">
        <v>10518</v>
      </c>
      <c r="R2352" s="4" t="s">
        <v>13131</v>
      </c>
      <c r="S2352" s="4" t="b">
        <f>ISNUMBER(MATCH(Q2352,T:T,0))</f>
        <v>0</v>
      </c>
      <c r="T2352" s="4" t="s">
        <v>12142</v>
      </c>
      <c r="U2352" s="4" t="str">
        <f t="shared" si="106"/>
        <v>顧</v>
      </c>
      <c r="V2352" s="4" t="b">
        <f>ISNUMBER(MATCH(R2352,T:T,0))</f>
        <v>1</v>
      </c>
    </row>
    <row r="2353" spans="1:22">
      <c r="A2353" s="3">
        <v>2351</v>
      </c>
      <c r="B2353" s="3" t="s">
        <v>5185</v>
      </c>
      <c r="C2353" s="3" t="s">
        <v>6069</v>
      </c>
      <c r="D2353" s="3" t="s">
        <v>5990</v>
      </c>
      <c r="E2353" s="3" t="s">
        <v>5991</v>
      </c>
      <c r="F2353" s="3" t="s">
        <v>2788</v>
      </c>
      <c r="G2353" s="3" t="s">
        <v>4210</v>
      </c>
      <c r="H2353" s="3" t="s">
        <v>5203</v>
      </c>
      <c r="I2353" s="3" t="s">
        <v>6464</v>
      </c>
      <c r="J2353" s="5" t="s">
        <v>9194</v>
      </c>
      <c r="L2353" s="3" t="s">
        <v>5750</v>
      </c>
      <c r="M2353" s="3">
        <v>7</v>
      </c>
      <c r="N2353" s="4" t="s">
        <v>9659</v>
      </c>
      <c r="O2353" s="4">
        <v>123</v>
      </c>
      <c r="P2353" s="11" t="s">
        <v>9880</v>
      </c>
      <c r="Q2353" s="11" t="s">
        <v>10520</v>
      </c>
      <c r="S2353" s="4" t="b">
        <f>ISNUMBER(MATCH(Q2353,T:T,0))</f>
        <v>1</v>
      </c>
      <c r="T2353" s="4" t="s">
        <v>10522</v>
      </c>
      <c r="U2353" s="4" t="str">
        <f t="shared" si="106"/>
        <v>誤</v>
      </c>
    </row>
    <row r="2354" spans="1:22">
      <c r="A2354" s="3">
        <v>2352</v>
      </c>
      <c r="B2354" s="3" t="s">
        <v>5185</v>
      </c>
      <c r="C2354" s="3" t="s">
        <v>6102</v>
      </c>
      <c r="D2354" s="3" t="s">
        <v>5990</v>
      </c>
      <c r="E2354" s="3" t="s">
        <v>5991</v>
      </c>
      <c r="F2354" s="3" t="s">
        <v>2788</v>
      </c>
      <c r="G2354" s="3" t="s">
        <v>4210</v>
      </c>
      <c r="H2354" s="3" t="s">
        <v>5204</v>
      </c>
      <c r="I2354" s="3" t="s">
        <v>6464</v>
      </c>
      <c r="J2354" s="5" t="s">
        <v>5205</v>
      </c>
      <c r="L2354" s="3" t="s">
        <v>5206</v>
      </c>
      <c r="M2354" s="3">
        <v>2</v>
      </c>
      <c r="N2354" s="4" t="s">
        <v>9659</v>
      </c>
      <c r="O2354" s="4">
        <v>123</v>
      </c>
      <c r="P2354" s="11" t="s">
        <v>9873</v>
      </c>
      <c r="Q2354" s="11" t="s">
        <v>10518</v>
      </c>
      <c r="R2354" s="4" t="s">
        <v>13131</v>
      </c>
      <c r="S2354" s="4" t="b">
        <f>ISNUMBER(MATCH(Q2354,T:T,0))</f>
        <v>0</v>
      </c>
      <c r="T2354" s="4" t="s">
        <v>12143</v>
      </c>
      <c r="U2354" s="4" t="str">
        <f t="shared" si="106"/>
        <v>顧</v>
      </c>
      <c r="V2354" s="4" t="b">
        <f t="shared" ref="V2354:V2355" si="110">ISNUMBER(MATCH(R2354,T:T,0))</f>
        <v>1</v>
      </c>
    </row>
    <row r="2355" spans="1:22">
      <c r="A2355" s="3">
        <v>2353</v>
      </c>
      <c r="B2355" s="3" t="s">
        <v>5185</v>
      </c>
      <c r="C2355" s="3" t="s">
        <v>6049</v>
      </c>
      <c r="D2355" s="3" t="s">
        <v>5990</v>
      </c>
      <c r="E2355" s="3" t="s">
        <v>5991</v>
      </c>
      <c r="F2355" s="3" t="s">
        <v>2788</v>
      </c>
      <c r="G2355" s="3" t="s">
        <v>4210</v>
      </c>
      <c r="H2355" s="7" t="s">
        <v>811</v>
      </c>
      <c r="I2355" s="3" t="s">
        <v>6464</v>
      </c>
      <c r="J2355" s="5" t="s">
        <v>5207</v>
      </c>
      <c r="L2355" s="3" t="s">
        <v>5748</v>
      </c>
      <c r="M2355" s="3">
        <v>6</v>
      </c>
      <c r="N2355" s="4" t="s">
        <v>9659</v>
      </c>
      <c r="O2355" s="4">
        <v>123</v>
      </c>
      <c r="P2355" s="11" t="s">
        <v>10368</v>
      </c>
      <c r="Q2355" s="11" t="s">
        <v>10518</v>
      </c>
      <c r="R2355" s="4" t="s">
        <v>13131</v>
      </c>
      <c r="S2355" s="4" t="b">
        <f>ISNUMBER(MATCH(Q2355,T:T,0))</f>
        <v>0</v>
      </c>
      <c r="T2355" s="4" t="s">
        <v>9921</v>
      </c>
      <c r="U2355" s="4" t="str">
        <f t="shared" si="106"/>
        <v>顧</v>
      </c>
      <c r="V2355" s="4" t="b">
        <f t="shared" si="110"/>
        <v>1</v>
      </c>
    </row>
    <row r="2356" spans="1:22">
      <c r="A2356" s="3">
        <v>2354</v>
      </c>
      <c r="B2356" s="3" t="s">
        <v>5185</v>
      </c>
      <c r="C2356" s="3" t="s">
        <v>6072</v>
      </c>
      <c r="D2356" s="3" t="s">
        <v>5990</v>
      </c>
      <c r="E2356" s="3" t="s">
        <v>5991</v>
      </c>
      <c r="F2356" s="3" t="s">
        <v>2788</v>
      </c>
      <c r="G2356" s="3" t="s">
        <v>4210</v>
      </c>
      <c r="H2356" s="3" t="s">
        <v>5208</v>
      </c>
      <c r="I2356" s="3" t="s">
        <v>6464</v>
      </c>
      <c r="J2356" s="5" t="s">
        <v>5209</v>
      </c>
      <c r="L2356" s="3" t="s">
        <v>5161</v>
      </c>
      <c r="M2356" s="3">
        <v>4</v>
      </c>
      <c r="N2356" s="4" t="s">
        <v>9659</v>
      </c>
      <c r="O2356" s="4">
        <v>123</v>
      </c>
      <c r="P2356" s="11" t="s">
        <v>9734</v>
      </c>
      <c r="Q2356" s="11" t="s">
        <v>10521</v>
      </c>
      <c r="S2356" s="4" t="b">
        <f>ISNUMBER(MATCH(Q2356,T:T,0))</f>
        <v>1</v>
      </c>
      <c r="T2356" s="4" t="s">
        <v>12144</v>
      </c>
      <c r="U2356" s="4" t="str">
        <f t="shared" si="106"/>
        <v>路</v>
      </c>
    </row>
    <row r="2357" spans="1:22">
      <c r="A2357" s="3">
        <v>2355</v>
      </c>
      <c r="B2357" s="3" t="s">
        <v>5185</v>
      </c>
      <c r="C2357" s="3" t="s">
        <v>6053</v>
      </c>
      <c r="D2357" s="3" t="s">
        <v>5990</v>
      </c>
      <c r="E2357" s="3" t="s">
        <v>5991</v>
      </c>
      <c r="F2357" s="3" t="s">
        <v>2788</v>
      </c>
      <c r="G2357" s="3" t="s">
        <v>4210</v>
      </c>
      <c r="H2357" s="3" t="s">
        <v>5210</v>
      </c>
      <c r="I2357" s="3" t="s">
        <v>6464</v>
      </c>
      <c r="J2357" s="5" t="s">
        <v>9195</v>
      </c>
      <c r="L2357" s="3" t="s">
        <v>5211</v>
      </c>
      <c r="M2357" s="3">
        <v>5</v>
      </c>
      <c r="N2357" s="4" t="s">
        <v>9659</v>
      </c>
      <c r="O2357" s="4">
        <v>123</v>
      </c>
      <c r="P2357" s="11" t="s">
        <v>9884</v>
      </c>
      <c r="Q2357" s="11" t="s">
        <v>10518</v>
      </c>
      <c r="R2357" s="4" t="s">
        <v>13131</v>
      </c>
      <c r="S2357" s="4" t="b">
        <f>ISNUMBER(MATCH(Q2357,T:T,0))</f>
        <v>0</v>
      </c>
      <c r="T2357" s="4" t="s">
        <v>3613</v>
      </c>
      <c r="U2357" s="4" t="str">
        <f t="shared" si="106"/>
        <v>顧</v>
      </c>
      <c r="V2357" s="4" t="b">
        <f t="shared" ref="V2357:V2361" si="111">ISNUMBER(MATCH(R2357,T:T,0))</f>
        <v>1</v>
      </c>
    </row>
    <row r="2358" spans="1:22">
      <c r="A2358" s="3">
        <v>2356</v>
      </c>
      <c r="B2358" s="3" t="s">
        <v>5185</v>
      </c>
      <c r="C2358" s="3" t="s">
        <v>6076</v>
      </c>
      <c r="D2358" s="3" t="s">
        <v>5990</v>
      </c>
      <c r="E2358" s="3" t="s">
        <v>5991</v>
      </c>
      <c r="F2358" s="3" t="s">
        <v>2788</v>
      </c>
      <c r="G2358" s="3" t="s">
        <v>4210</v>
      </c>
      <c r="H2358" s="3" t="s">
        <v>5212</v>
      </c>
      <c r="I2358" s="3" t="s">
        <v>6464</v>
      </c>
      <c r="J2358" s="5" t="s">
        <v>5213</v>
      </c>
      <c r="L2358" s="3" t="s">
        <v>5214</v>
      </c>
      <c r="M2358" s="3">
        <v>5</v>
      </c>
      <c r="N2358" s="4" t="s">
        <v>9659</v>
      </c>
      <c r="O2358" s="4">
        <v>123</v>
      </c>
      <c r="P2358" s="11" t="s">
        <v>9735</v>
      </c>
      <c r="Q2358" s="11" t="s">
        <v>10518</v>
      </c>
      <c r="R2358" s="4" t="s">
        <v>13131</v>
      </c>
      <c r="S2358" s="4" t="b">
        <f>ISNUMBER(MATCH(Q2358,T:T,0))</f>
        <v>0</v>
      </c>
      <c r="T2358" s="4" t="s">
        <v>12145</v>
      </c>
      <c r="U2358" s="4" t="str">
        <f t="shared" si="106"/>
        <v>顧</v>
      </c>
      <c r="V2358" s="4" t="b">
        <f t="shared" si="111"/>
        <v>1</v>
      </c>
    </row>
    <row r="2359" spans="1:22">
      <c r="A2359" s="3">
        <v>2357</v>
      </c>
      <c r="B2359" s="3" t="s">
        <v>5185</v>
      </c>
      <c r="C2359" s="3" t="s">
        <v>6038</v>
      </c>
      <c r="D2359" s="3" t="s">
        <v>5990</v>
      </c>
      <c r="E2359" s="3" t="s">
        <v>5991</v>
      </c>
      <c r="F2359" s="3" t="s">
        <v>2788</v>
      </c>
      <c r="G2359" s="3" t="s">
        <v>4210</v>
      </c>
      <c r="H2359" s="3" t="s">
        <v>5215</v>
      </c>
      <c r="I2359" s="3" t="s">
        <v>6464</v>
      </c>
      <c r="J2359" s="8" t="s">
        <v>9196</v>
      </c>
      <c r="L2359" s="3" t="s">
        <v>5216</v>
      </c>
      <c r="M2359" s="3">
        <v>7</v>
      </c>
      <c r="N2359" s="4" t="s">
        <v>9659</v>
      </c>
      <c r="O2359" s="4">
        <v>123</v>
      </c>
      <c r="P2359" s="11" t="s">
        <v>9728</v>
      </c>
      <c r="Q2359" s="11" t="s">
        <v>10518</v>
      </c>
      <c r="R2359" s="4" t="s">
        <v>13131</v>
      </c>
      <c r="S2359" s="4" t="b">
        <f>ISNUMBER(MATCH(Q2359,T:T,0))</f>
        <v>0</v>
      </c>
      <c r="T2359" s="4" t="s">
        <v>12146</v>
      </c>
      <c r="U2359" s="4" t="str">
        <f t="shared" si="106"/>
        <v>顧</v>
      </c>
      <c r="V2359" s="4" t="b">
        <f t="shared" si="111"/>
        <v>1</v>
      </c>
    </row>
    <row r="2360" spans="1:22">
      <c r="A2360" s="3">
        <v>2358</v>
      </c>
      <c r="B2360" s="3" t="s">
        <v>5185</v>
      </c>
      <c r="C2360" s="3" t="s">
        <v>6045</v>
      </c>
      <c r="D2360" s="3" t="s">
        <v>5990</v>
      </c>
      <c r="E2360" s="3" t="s">
        <v>5991</v>
      </c>
      <c r="F2360" s="3" t="s">
        <v>2788</v>
      </c>
      <c r="G2360" s="3" t="s">
        <v>4210</v>
      </c>
      <c r="H2360" s="3" t="s">
        <v>5217</v>
      </c>
      <c r="I2360" s="3" t="s">
        <v>6464</v>
      </c>
      <c r="J2360" s="5" t="s">
        <v>9197</v>
      </c>
      <c r="L2360" s="3" t="s">
        <v>5748</v>
      </c>
      <c r="M2360" s="3">
        <v>13</v>
      </c>
      <c r="N2360" s="4" t="s">
        <v>9659</v>
      </c>
      <c r="O2360" s="4">
        <v>123</v>
      </c>
      <c r="P2360" s="11" t="s">
        <v>9738</v>
      </c>
      <c r="Q2360" s="11" t="s">
        <v>10518</v>
      </c>
      <c r="R2360" s="4" t="s">
        <v>13131</v>
      </c>
      <c r="S2360" s="4" t="b">
        <f>ISNUMBER(MATCH(Q2360,T:T,0))</f>
        <v>0</v>
      </c>
      <c r="T2360" s="4" t="s">
        <v>9908</v>
      </c>
      <c r="U2360" s="4" t="str">
        <f t="shared" si="106"/>
        <v>顧</v>
      </c>
      <c r="V2360" s="4" t="b">
        <f t="shared" si="111"/>
        <v>1</v>
      </c>
    </row>
    <row r="2361" spans="1:22">
      <c r="A2361" s="3">
        <v>2359</v>
      </c>
      <c r="B2361" s="3" t="s">
        <v>5185</v>
      </c>
      <c r="C2361" s="3" t="s">
        <v>6089</v>
      </c>
      <c r="D2361" s="3" t="s">
        <v>5990</v>
      </c>
      <c r="E2361" s="3" t="s">
        <v>5991</v>
      </c>
      <c r="F2361" s="3" t="s">
        <v>2788</v>
      </c>
      <c r="G2361" s="3" t="s">
        <v>4210</v>
      </c>
      <c r="H2361" s="3" t="s">
        <v>5218</v>
      </c>
      <c r="I2361" s="3" t="s">
        <v>6464</v>
      </c>
      <c r="J2361" s="5" t="s">
        <v>5219</v>
      </c>
      <c r="L2361" s="3" t="s">
        <v>5764</v>
      </c>
      <c r="M2361" s="3">
        <v>2</v>
      </c>
      <c r="N2361" s="4" t="s">
        <v>9659</v>
      </c>
      <c r="O2361" s="4">
        <v>123</v>
      </c>
      <c r="P2361" s="11" t="s">
        <v>2607</v>
      </c>
      <c r="Q2361" s="11" t="s">
        <v>10518</v>
      </c>
      <c r="R2361" s="4" t="s">
        <v>13131</v>
      </c>
      <c r="S2361" s="4" t="b">
        <f>ISNUMBER(MATCH(Q2361,T:T,0))</f>
        <v>0</v>
      </c>
      <c r="T2361" s="4" t="s">
        <v>12147</v>
      </c>
      <c r="U2361" s="4" t="str">
        <f t="shared" si="106"/>
        <v>顧</v>
      </c>
      <c r="V2361" s="4" t="b">
        <f t="shared" si="111"/>
        <v>1</v>
      </c>
    </row>
    <row r="2362" spans="1:22">
      <c r="A2362" s="3">
        <v>2360</v>
      </c>
      <c r="B2362" s="3" t="s">
        <v>5185</v>
      </c>
      <c r="C2362" s="3" t="s">
        <v>6083</v>
      </c>
      <c r="D2362" s="3" t="s">
        <v>5990</v>
      </c>
      <c r="E2362" s="3" t="s">
        <v>5991</v>
      </c>
      <c r="F2362" s="3" t="s">
        <v>2788</v>
      </c>
      <c r="G2362" s="3" t="s">
        <v>4210</v>
      </c>
      <c r="H2362" s="3" t="s">
        <v>5220</v>
      </c>
      <c r="I2362" s="3" t="s">
        <v>6464</v>
      </c>
      <c r="J2362" s="5" t="s">
        <v>5221</v>
      </c>
      <c r="L2362" s="3" t="s">
        <v>5750</v>
      </c>
      <c r="M2362" s="3">
        <v>1</v>
      </c>
      <c r="N2362" s="4" t="s">
        <v>9659</v>
      </c>
      <c r="O2362" s="4">
        <v>123</v>
      </c>
      <c r="P2362" s="11" t="s">
        <v>9922</v>
      </c>
      <c r="Q2362" s="11" t="s">
        <v>10522</v>
      </c>
      <c r="S2362" s="4" t="b">
        <f>ISNUMBER(MATCH(Q2362,T:T,0))</f>
        <v>1</v>
      </c>
      <c r="T2362" s="4" t="s">
        <v>9745</v>
      </c>
      <c r="U2362" s="4" t="str">
        <f t="shared" si="106"/>
        <v>祚</v>
      </c>
    </row>
    <row r="2363" spans="1:22">
      <c r="A2363" s="3">
        <v>2361</v>
      </c>
      <c r="B2363" s="3" t="s">
        <v>5222</v>
      </c>
      <c r="C2363" s="3" t="s">
        <v>6083</v>
      </c>
      <c r="D2363" s="3" t="s">
        <v>2843</v>
      </c>
      <c r="E2363" s="3" t="s">
        <v>5991</v>
      </c>
      <c r="F2363" s="3" t="s">
        <v>2844</v>
      </c>
      <c r="G2363" s="3" t="s">
        <v>4210</v>
      </c>
      <c r="H2363" s="3" t="s">
        <v>5223</v>
      </c>
      <c r="I2363" s="3" t="s">
        <v>2846</v>
      </c>
      <c r="J2363" s="5" t="s">
        <v>5224</v>
      </c>
      <c r="L2363" s="3" t="s">
        <v>8786</v>
      </c>
      <c r="M2363" s="3">
        <v>8</v>
      </c>
      <c r="N2363" s="4" t="s">
        <v>5225</v>
      </c>
      <c r="O2363" s="4">
        <v>124</v>
      </c>
      <c r="P2363" s="11" t="s">
        <v>9737</v>
      </c>
      <c r="Q2363" s="11" t="s">
        <v>10523</v>
      </c>
      <c r="S2363" s="4" t="b">
        <f>ISNUMBER(MATCH(Q2363,T:T,0))</f>
        <v>1</v>
      </c>
      <c r="T2363" s="4" t="s">
        <v>5225</v>
      </c>
      <c r="U2363" s="4" t="str">
        <f t="shared" si="106"/>
        <v>計</v>
      </c>
    </row>
    <row r="2364" spans="1:22" ht="39">
      <c r="A2364" s="3">
        <v>2362</v>
      </c>
      <c r="B2364" s="3" t="s">
        <v>5222</v>
      </c>
      <c r="C2364" s="3" t="s">
        <v>5989</v>
      </c>
      <c r="D2364" s="3" t="s">
        <v>2843</v>
      </c>
      <c r="E2364" s="3" t="s">
        <v>5991</v>
      </c>
      <c r="F2364" s="3" t="s">
        <v>2844</v>
      </c>
      <c r="G2364" s="3" t="s">
        <v>4210</v>
      </c>
      <c r="H2364" s="3" t="s">
        <v>5226</v>
      </c>
      <c r="I2364" s="3" t="s">
        <v>2846</v>
      </c>
      <c r="J2364" s="5" t="s">
        <v>9198</v>
      </c>
      <c r="K2364" s="3" t="s">
        <v>618</v>
      </c>
      <c r="L2364" s="3" t="s">
        <v>5785</v>
      </c>
      <c r="M2364" s="3">
        <v>23</v>
      </c>
      <c r="N2364" s="4" t="s">
        <v>5225</v>
      </c>
      <c r="O2364" s="4">
        <v>124</v>
      </c>
      <c r="P2364" s="11" t="s">
        <v>9742</v>
      </c>
      <c r="Q2364" s="11" t="s">
        <v>10523</v>
      </c>
      <c r="S2364" s="4" t="b">
        <f>ISNUMBER(MATCH(Q2364,T:T,0))</f>
        <v>1</v>
      </c>
      <c r="T2364" s="4" t="s">
        <v>12148</v>
      </c>
      <c r="U2364" s="4" t="str">
        <f t="shared" si="106"/>
        <v>計</v>
      </c>
    </row>
    <row r="2365" spans="1:22">
      <c r="A2365" s="3">
        <v>2363</v>
      </c>
      <c r="B2365" s="3" t="s">
        <v>5222</v>
      </c>
      <c r="C2365" s="3" t="s">
        <v>6069</v>
      </c>
      <c r="D2365" s="3" t="s">
        <v>2843</v>
      </c>
      <c r="E2365" s="3" t="s">
        <v>5991</v>
      </c>
      <c r="F2365" s="3" t="s">
        <v>2844</v>
      </c>
      <c r="G2365" s="3" t="s">
        <v>4210</v>
      </c>
      <c r="H2365" s="3" t="s">
        <v>5227</v>
      </c>
      <c r="I2365" s="3" t="s">
        <v>2846</v>
      </c>
      <c r="J2365" s="5" t="s">
        <v>5228</v>
      </c>
      <c r="L2365" s="3" t="s">
        <v>8786</v>
      </c>
      <c r="M2365" s="3">
        <v>10</v>
      </c>
      <c r="N2365" s="4" t="s">
        <v>5225</v>
      </c>
      <c r="O2365" s="4">
        <v>124</v>
      </c>
      <c r="P2365" s="11" t="s">
        <v>5919</v>
      </c>
      <c r="Q2365" s="11" t="s">
        <v>10524</v>
      </c>
      <c r="S2365" s="4" t="b">
        <f>ISNUMBER(MATCH(Q2365,T:T,0))</f>
        <v>1</v>
      </c>
      <c r="T2365" s="4" t="s">
        <v>10990</v>
      </c>
      <c r="U2365" s="4" t="str">
        <f t="shared" si="106"/>
        <v>詣</v>
      </c>
    </row>
    <row r="2366" spans="1:22" ht="39">
      <c r="A2366" s="3">
        <v>2364</v>
      </c>
      <c r="B2366" s="3" t="s">
        <v>5222</v>
      </c>
      <c r="C2366" s="3" t="s">
        <v>6079</v>
      </c>
      <c r="D2366" s="3" t="s">
        <v>2843</v>
      </c>
      <c r="E2366" s="3" t="s">
        <v>5991</v>
      </c>
      <c r="F2366" s="3" t="s">
        <v>2844</v>
      </c>
      <c r="G2366" s="3" t="s">
        <v>4210</v>
      </c>
      <c r="H2366" s="3" t="s">
        <v>5229</v>
      </c>
      <c r="I2366" s="3" t="s">
        <v>2846</v>
      </c>
      <c r="J2366" s="5" t="s">
        <v>9199</v>
      </c>
      <c r="L2366" s="3" t="s">
        <v>5230</v>
      </c>
      <c r="M2366" s="3">
        <v>20</v>
      </c>
      <c r="N2366" s="4" t="s">
        <v>5225</v>
      </c>
      <c r="O2366" s="4">
        <v>124</v>
      </c>
      <c r="P2366" s="11" t="s">
        <v>9736</v>
      </c>
      <c r="Q2366" s="11" t="s">
        <v>10523</v>
      </c>
      <c r="S2366" s="4" t="b">
        <f>ISNUMBER(MATCH(Q2366,T:T,0))</f>
        <v>1</v>
      </c>
      <c r="T2366" s="4" t="s">
        <v>12149</v>
      </c>
      <c r="U2366" s="4" t="str">
        <f t="shared" si="106"/>
        <v>計</v>
      </c>
    </row>
    <row r="2367" spans="1:22" ht="39">
      <c r="A2367" s="3">
        <v>2365</v>
      </c>
      <c r="B2367" s="3" t="s">
        <v>5222</v>
      </c>
      <c r="C2367" s="3" t="s">
        <v>5997</v>
      </c>
      <c r="D2367" s="3" t="s">
        <v>2843</v>
      </c>
      <c r="E2367" s="3" t="s">
        <v>5991</v>
      </c>
      <c r="F2367" s="3" t="s">
        <v>2844</v>
      </c>
      <c r="G2367" s="3" t="s">
        <v>4210</v>
      </c>
      <c r="H2367" s="3" t="s">
        <v>5231</v>
      </c>
      <c r="I2367" s="3" t="s">
        <v>2846</v>
      </c>
      <c r="J2367" s="5" t="s">
        <v>9200</v>
      </c>
      <c r="K2367" s="3" t="s">
        <v>618</v>
      </c>
      <c r="L2367" s="3" t="s">
        <v>5785</v>
      </c>
      <c r="M2367" s="3">
        <v>29</v>
      </c>
      <c r="N2367" s="4" t="s">
        <v>5225</v>
      </c>
      <c r="O2367" s="4">
        <v>124</v>
      </c>
      <c r="P2367" s="11" t="s">
        <v>10113</v>
      </c>
      <c r="Q2367" s="11" t="s">
        <v>10523</v>
      </c>
      <c r="S2367" s="4" t="b">
        <f>ISNUMBER(MATCH(Q2367,T:T,0))</f>
        <v>1</v>
      </c>
      <c r="T2367" s="4" t="s">
        <v>12150</v>
      </c>
      <c r="U2367" s="4" t="str">
        <f t="shared" si="106"/>
        <v>計</v>
      </c>
    </row>
    <row r="2368" spans="1:22">
      <c r="A2368" s="3">
        <v>2366</v>
      </c>
      <c r="B2368" s="3" t="s">
        <v>5222</v>
      </c>
      <c r="C2368" s="3" t="s">
        <v>6076</v>
      </c>
      <c r="D2368" s="3" t="s">
        <v>2843</v>
      </c>
      <c r="E2368" s="3" t="s">
        <v>5991</v>
      </c>
      <c r="F2368" s="3" t="s">
        <v>2844</v>
      </c>
      <c r="G2368" s="3" t="s">
        <v>4210</v>
      </c>
      <c r="H2368" s="3" t="s">
        <v>5232</v>
      </c>
      <c r="I2368" s="3" t="s">
        <v>2846</v>
      </c>
      <c r="J2368" s="5" t="s">
        <v>9201</v>
      </c>
      <c r="L2368" s="3" t="s">
        <v>4384</v>
      </c>
      <c r="M2368" s="3">
        <v>8</v>
      </c>
      <c r="N2368" s="4" t="s">
        <v>5225</v>
      </c>
      <c r="O2368" s="4">
        <v>124</v>
      </c>
      <c r="P2368" s="11" t="s">
        <v>9766</v>
      </c>
      <c r="Q2368" s="11" t="s">
        <v>10523</v>
      </c>
      <c r="S2368" s="4" t="b">
        <f>ISNUMBER(MATCH(Q2368,T:T,0))</f>
        <v>1</v>
      </c>
      <c r="T2368" s="4" t="s">
        <v>12151</v>
      </c>
      <c r="U2368" s="4" t="str">
        <f t="shared" si="106"/>
        <v>計</v>
      </c>
    </row>
    <row r="2369" spans="1:22">
      <c r="A2369" s="3">
        <v>2367</v>
      </c>
      <c r="B2369" s="3" t="s">
        <v>5222</v>
      </c>
      <c r="C2369" s="3" t="s">
        <v>6017</v>
      </c>
      <c r="D2369" s="3" t="s">
        <v>2843</v>
      </c>
      <c r="E2369" s="3" t="s">
        <v>5991</v>
      </c>
      <c r="F2369" s="3" t="s">
        <v>2844</v>
      </c>
      <c r="G2369" s="3" t="s">
        <v>4210</v>
      </c>
      <c r="H2369" s="3" t="s">
        <v>5233</v>
      </c>
      <c r="I2369" s="3" t="s">
        <v>2846</v>
      </c>
      <c r="J2369" s="5" t="s">
        <v>9202</v>
      </c>
      <c r="L2369" s="3" t="s">
        <v>4381</v>
      </c>
      <c r="M2369" s="3">
        <v>6</v>
      </c>
      <c r="N2369" s="4" t="s">
        <v>5225</v>
      </c>
      <c r="O2369" s="4">
        <v>124</v>
      </c>
      <c r="P2369" s="11" t="s">
        <v>9741</v>
      </c>
      <c r="Q2369" s="11" t="s">
        <v>10523</v>
      </c>
      <c r="S2369" s="4" t="b">
        <f>ISNUMBER(MATCH(Q2369,T:T,0))</f>
        <v>1</v>
      </c>
      <c r="T2369" s="4" t="s">
        <v>12152</v>
      </c>
      <c r="U2369" s="4" t="str">
        <f t="shared" si="106"/>
        <v>計</v>
      </c>
    </row>
    <row r="2370" spans="1:22">
      <c r="A2370" s="3">
        <v>2368</v>
      </c>
      <c r="B2370" s="3" t="s">
        <v>5222</v>
      </c>
      <c r="C2370" s="3" t="s">
        <v>6092</v>
      </c>
      <c r="D2370" s="3" t="s">
        <v>2843</v>
      </c>
      <c r="E2370" s="3" t="s">
        <v>5991</v>
      </c>
      <c r="F2370" s="3" t="s">
        <v>2844</v>
      </c>
      <c r="G2370" s="3" t="s">
        <v>4210</v>
      </c>
      <c r="H2370" s="3" t="s">
        <v>5234</v>
      </c>
      <c r="I2370" s="3" t="s">
        <v>2846</v>
      </c>
      <c r="J2370" s="5" t="s">
        <v>5235</v>
      </c>
      <c r="L2370" s="3" t="s">
        <v>4368</v>
      </c>
      <c r="M2370" s="3">
        <v>11</v>
      </c>
      <c r="N2370" s="4" t="s">
        <v>5225</v>
      </c>
      <c r="O2370" s="4">
        <v>124</v>
      </c>
      <c r="P2370" s="11" t="s">
        <v>9740</v>
      </c>
      <c r="Q2370" s="11" t="s">
        <v>10523</v>
      </c>
      <c r="S2370" s="4" t="b">
        <f>ISNUMBER(MATCH(Q2370,T:T,0))</f>
        <v>1</v>
      </c>
      <c r="T2370" s="4" t="s">
        <v>10524</v>
      </c>
      <c r="U2370" s="4" t="str">
        <f t="shared" si="106"/>
        <v>計</v>
      </c>
    </row>
    <row r="2371" spans="1:22">
      <c r="A2371" s="3">
        <v>2369</v>
      </c>
      <c r="B2371" s="3" t="s">
        <v>5222</v>
      </c>
      <c r="C2371" s="3" t="s">
        <v>6025</v>
      </c>
      <c r="D2371" s="3" t="s">
        <v>2843</v>
      </c>
      <c r="E2371" s="3" t="s">
        <v>5991</v>
      </c>
      <c r="F2371" s="3" t="s">
        <v>2844</v>
      </c>
      <c r="G2371" s="3" t="s">
        <v>4210</v>
      </c>
      <c r="H2371" s="3" t="s">
        <v>5236</v>
      </c>
      <c r="I2371" s="3" t="s">
        <v>2846</v>
      </c>
      <c r="J2371" s="5" t="s">
        <v>9203</v>
      </c>
      <c r="L2371" s="3" t="s">
        <v>8786</v>
      </c>
      <c r="M2371" s="3">
        <v>12</v>
      </c>
      <c r="N2371" s="4" t="s">
        <v>5225</v>
      </c>
      <c r="O2371" s="4">
        <v>124</v>
      </c>
      <c r="P2371" s="11" t="s">
        <v>9729</v>
      </c>
      <c r="Q2371" s="11" t="s">
        <v>10524</v>
      </c>
      <c r="S2371" s="4" t="b">
        <f>ISNUMBER(MATCH(Q2371,T:T,0))</f>
        <v>1</v>
      </c>
      <c r="T2371" s="4" t="s">
        <v>10523</v>
      </c>
      <c r="U2371" s="4" t="str">
        <f t="shared" ref="U2371:U2434" si="112">IF(ISBLANK(R2371),Q2371,R2371)</f>
        <v>詣</v>
      </c>
    </row>
    <row r="2372" spans="1:22">
      <c r="A2372" s="3">
        <v>2370</v>
      </c>
      <c r="B2372" s="3" t="s">
        <v>5222</v>
      </c>
      <c r="C2372" s="3" t="s">
        <v>6067</v>
      </c>
      <c r="D2372" s="3" t="s">
        <v>2843</v>
      </c>
      <c r="E2372" s="3" t="s">
        <v>5991</v>
      </c>
      <c r="F2372" s="3" t="s">
        <v>2844</v>
      </c>
      <c r="G2372" s="3" t="s">
        <v>4210</v>
      </c>
      <c r="H2372" s="3" t="s">
        <v>5237</v>
      </c>
      <c r="I2372" s="3" t="s">
        <v>2846</v>
      </c>
      <c r="J2372" s="8" t="s">
        <v>9204</v>
      </c>
      <c r="L2372" s="3" t="s">
        <v>4381</v>
      </c>
      <c r="M2372" s="3">
        <v>14</v>
      </c>
      <c r="N2372" s="4" t="s">
        <v>5225</v>
      </c>
      <c r="O2372" s="4">
        <v>124</v>
      </c>
      <c r="P2372" s="11" t="s">
        <v>9870</v>
      </c>
      <c r="Q2372" s="11" t="s">
        <v>10523</v>
      </c>
      <c r="S2372" s="4" t="b">
        <f>ISNUMBER(MATCH(Q2372,T:T,0))</f>
        <v>1</v>
      </c>
      <c r="T2372" s="4" t="s">
        <v>12153</v>
      </c>
      <c r="U2372" s="4" t="str">
        <f t="shared" si="112"/>
        <v>計</v>
      </c>
    </row>
    <row r="2373" spans="1:22">
      <c r="A2373" s="3">
        <v>2371</v>
      </c>
      <c r="B2373" s="3" t="s">
        <v>5222</v>
      </c>
      <c r="C2373" s="3" t="s">
        <v>6038</v>
      </c>
      <c r="D2373" s="3" t="s">
        <v>2843</v>
      </c>
      <c r="E2373" s="3" t="s">
        <v>5991</v>
      </c>
      <c r="F2373" s="3" t="s">
        <v>2844</v>
      </c>
      <c r="G2373" s="3" t="s">
        <v>4210</v>
      </c>
      <c r="H2373" s="3" t="s">
        <v>5238</v>
      </c>
      <c r="I2373" s="3" t="s">
        <v>2846</v>
      </c>
      <c r="J2373" s="5" t="s">
        <v>5239</v>
      </c>
      <c r="L2373" s="3" t="s">
        <v>4384</v>
      </c>
      <c r="M2373" s="3">
        <v>10</v>
      </c>
      <c r="N2373" s="4" t="s">
        <v>5225</v>
      </c>
      <c r="O2373" s="4">
        <v>124</v>
      </c>
      <c r="P2373" s="11" t="s">
        <v>9728</v>
      </c>
      <c r="Q2373" s="11" t="s">
        <v>10523</v>
      </c>
      <c r="S2373" s="4" t="b">
        <f>ISNUMBER(MATCH(Q2373,T:T,0))</f>
        <v>1</v>
      </c>
      <c r="T2373" s="4" t="s">
        <v>12154</v>
      </c>
      <c r="U2373" s="4" t="str">
        <f t="shared" si="112"/>
        <v>計</v>
      </c>
    </row>
    <row r="2374" spans="1:22">
      <c r="A2374" s="3">
        <v>2372</v>
      </c>
      <c r="B2374" s="3" t="s">
        <v>5222</v>
      </c>
      <c r="C2374" s="3" t="s">
        <v>6072</v>
      </c>
      <c r="D2374" s="3" t="s">
        <v>2843</v>
      </c>
      <c r="E2374" s="3" t="s">
        <v>5991</v>
      </c>
      <c r="F2374" s="3" t="s">
        <v>2844</v>
      </c>
      <c r="G2374" s="3" t="s">
        <v>4210</v>
      </c>
      <c r="H2374" s="3" t="s">
        <v>5240</v>
      </c>
      <c r="I2374" s="3" t="s">
        <v>2846</v>
      </c>
      <c r="J2374" s="5" t="s">
        <v>9205</v>
      </c>
      <c r="L2374" s="3" t="s">
        <v>4368</v>
      </c>
      <c r="M2374" s="3">
        <v>17</v>
      </c>
      <c r="N2374" s="4" t="s">
        <v>5225</v>
      </c>
      <c r="O2374" s="4">
        <v>124</v>
      </c>
      <c r="P2374" s="11" t="s">
        <v>9754</v>
      </c>
      <c r="Q2374" s="11" t="s">
        <v>10523</v>
      </c>
      <c r="S2374" s="4" t="b">
        <f>ISNUMBER(MATCH(Q2374,T:T,0))</f>
        <v>1</v>
      </c>
      <c r="T2374" s="4" t="s">
        <v>12155</v>
      </c>
      <c r="U2374" s="4" t="str">
        <f t="shared" si="112"/>
        <v>計</v>
      </c>
    </row>
    <row r="2375" spans="1:22">
      <c r="A2375" s="3">
        <v>2373</v>
      </c>
      <c r="B2375" s="3" t="s">
        <v>5222</v>
      </c>
      <c r="C2375" s="3" t="s">
        <v>6035</v>
      </c>
      <c r="D2375" s="3" t="s">
        <v>2843</v>
      </c>
      <c r="E2375" s="3" t="s">
        <v>5991</v>
      </c>
      <c r="F2375" s="3" t="s">
        <v>2844</v>
      </c>
      <c r="G2375" s="3" t="s">
        <v>4210</v>
      </c>
      <c r="H2375" s="3" t="s">
        <v>5241</v>
      </c>
      <c r="I2375" s="3" t="s">
        <v>2846</v>
      </c>
      <c r="J2375" s="5" t="s">
        <v>5242</v>
      </c>
      <c r="L2375" s="3" t="s">
        <v>4427</v>
      </c>
      <c r="M2375" s="3">
        <v>2</v>
      </c>
      <c r="N2375" s="4" t="s">
        <v>5225</v>
      </c>
      <c r="O2375" s="4">
        <v>124</v>
      </c>
      <c r="P2375" s="11" t="s">
        <v>9719</v>
      </c>
      <c r="Q2375" s="11" t="s">
        <v>10523</v>
      </c>
      <c r="S2375" s="4" t="b">
        <f>ISNUMBER(MATCH(Q2375,T:T,0))</f>
        <v>1</v>
      </c>
      <c r="T2375" s="4" t="s">
        <v>12156</v>
      </c>
      <c r="U2375" s="4" t="str">
        <f t="shared" si="112"/>
        <v>計</v>
      </c>
    </row>
    <row r="2376" spans="1:22">
      <c r="A2376" s="3">
        <v>2374</v>
      </c>
      <c r="B2376" s="3" t="s">
        <v>5222</v>
      </c>
      <c r="C2376" s="3" t="s">
        <v>6049</v>
      </c>
      <c r="D2376" s="3" t="s">
        <v>2843</v>
      </c>
      <c r="E2376" s="3" t="s">
        <v>5991</v>
      </c>
      <c r="F2376" s="3" t="s">
        <v>2844</v>
      </c>
      <c r="G2376" s="3" t="s">
        <v>4210</v>
      </c>
      <c r="H2376" s="3" t="s">
        <v>5243</v>
      </c>
      <c r="I2376" s="3" t="s">
        <v>2846</v>
      </c>
      <c r="J2376" s="5" t="s">
        <v>9206</v>
      </c>
      <c r="L2376" s="3" t="s">
        <v>8899</v>
      </c>
      <c r="M2376" s="3">
        <v>5</v>
      </c>
      <c r="N2376" s="4" t="s">
        <v>5225</v>
      </c>
      <c r="O2376" s="4">
        <v>124</v>
      </c>
      <c r="P2376" s="11" t="s">
        <v>9770</v>
      </c>
      <c r="Q2376" s="11" t="s">
        <v>10523</v>
      </c>
      <c r="S2376" s="4" t="b">
        <f>ISNUMBER(MATCH(Q2376,T:T,0))</f>
        <v>1</v>
      </c>
      <c r="T2376" s="4" t="s">
        <v>12157</v>
      </c>
      <c r="U2376" s="4" t="str">
        <f t="shared" si="112"/>
        <v>計</v>
      </c>
    </row>
    <row r="2377" spans="1:22">
      <c r="A2377" s="3">
        <v>2375</v>
      </c>
      <c r="B2377" s="3" t="s">
        <v>5222</v>
      </c>
      <c r="C2377" s="3" t="s">
        <v>6067</v>
      </c>
      <c r="D2377" s="3" t="s">
        <v>2843</v>
      </c>
      <c r="E2377" s="3" t="s">
        <v>6212</v>
      </c>
      <c r="F2377" s="3" t="s">
        <v>2844</v>
      </c>
      <c r="G2377" s="3" t="s">
        <v>4210</v>
      </c>
      <c r="H2377" s="3" t="s">
        <v>5244</v>
      </c>
      <c r="I2377" s="3" t="s">
        <v>2846</v>
      </c>
      <c r="J2377" s="5" t="s">
        <v>9207</v>
      </c>
      <c r="K2377" s="3" t="s">
        <v>5245</v>
      </c>
      <c r="L2377" s="3" t="s">
        <v>5869</v>
      </c>
      <c r="M2377" s="3">
        <v>13</v>
      </c>
      <c r="N2377" s="4" t="s">
        <v>5225</v>
      </c>
      <c r="O2377" s="4">
        <v>124</v>
      </c>
      <c r="P2377" s="11" t="s">
        <v>9870</v>
      </c>
      <c r="Q2377" s="11" t="s">
        <v>10525</v>
      </c>
      <c r="S2377" s="4" t="b">
        <f>ISNUMBER(MATCH(Q2377,T:T,0))</f>
        <v>1</v>
      </c>
      <c r="T2377" s="4" t="s">
        <v>12158</v>
      </c>
      <c r="U2377" s="4" t="str">
        <f t="shared" si="112"/>
        <v>桂</v>
      </c>
    </row>
    <row r="2378" spans="1:22">
      <c r="A2378" s="3">
        <v>2376</v>
      </c>
      <c r="B2378" s="3" t="s">
        <v>5222</v>
      </c>
      <c r="C2378" s="3" t="s">
        <v>6025</v>
      </c>
      <c r="D2378" s="3" t="s">
        <v>2843</v>
      </c>
      <c r="E2378" s="3" t="s">
        <v>6212</v>
      </c>
      <c r="F2378" s="3" t="s">
        <v>2844</v>
      </c>
      <c r="G2378" s="3" t="s">
        <v>4210</v>
      </c>
      <c r="H2378" s="3" t="s">
        <v>5246</v>
      </c>
      <c r="I2378" s="3" t="s">
        <v>2846</v>
      </c>
      <c r="J2378" s="5" t="s">
        <v>5247</v>
      </c>
      <c r="L2378" s="3" t="s">
        <v>8857</v>
      </c>
      <c r="M2378" s="3">
        <v>9</v>
      </c>
      <c r="N2378" s="4" t="s">
        <v>5225</v>
      </c>
      <c r="O2378" s="4">
        <v>124</v>
      </c>
      <c r="P2378" s="11" t="s">
        <v>9729</v>
      </c>
      <c r="Q2378" s="11" t="s">
        <v>10526</v>
      </c>
      <c r="R2378" s="4" t="s">
        <v>13132</v>
      </c>
      <c r="S2378" s="4" t="b">
        <f>ISNUMBER(MATCH(Q2378,T:T,0))</f>
        <v>0</v>
      </c>
      <c r="T2378" s="4" t="s">
        <v>10525</v>
      </c>
      <c r="U2378" s="4" t="str">
        <f t="shared" si="112"/>
        <v>慧</v>
      </c>
      <c r="V2378" s="4" t="b">
        <f t="shared" ref="V2378:V2379" si="113">ISNUMBER(MATCH(R2378,T:T,0))</f>
        <v>1</v>
      </c>
    </row>
    <row r="2379" spans="1:22">
      <c r="A2379" s="3">
        <v>2377</v>
      </c>
      <c r="B2379" s="3" t="s">
        <v>5222</v>
      </c>
      <c r="C2379" s="3" t="s">
        <v>6089</v>
      </c>
      <c r="D2379" s="3" t="s">
        <v>2843</v>
      </c>
      <c r="E2379" s="3" t="s">
        <v>6212</v>
      </c>
      <c r="F2379" s="3" t="s">
        <v>2844</v>
      </c>
      <c r="G2379" s="3" t="s">
        <v>4210</v>
      </c>
      <c r="H2379" s="3" t="s">
        <v>5248</v>
      </c>
      <c r="I2379" s="3" t="s">
        <v>2846</v>
      </c>
      <c r="J2379" s="5" t="s">
        <v>9208</v>
      </c>
      <c r="L2379" s="3" t="s">
        <v>5869</v>
      </c>
      <c r="M2379" s="3">
        <v>3</v>
      </c>
      <c r="N2379" s="4" t="s">
        <v>5225</v>
      </c>
      <c r="O2379" s="4">
        <v>124</v>
      </c>
      <c r="P2379" s="11" t="s">
        <v>9739</v>
      </c>
      <c r="Q2379" s="11" t="s">
        <v>10526</v>
      </c>
      <c r="R2379" s="4" t="s">
        <v>13132</v>
      </c>
      <c r="S2379" s="4" t="b">
        <f>ISNUMBER(MATCH(Q2379,T:T,0))</f>
        <v>0</v>
      </c>
      <c r="T2379" s="4" t="s">
        <v>12159</v>
      </c>
      <c r="U2379" s="4" t="str">
        <f t="shared" si="112"/>
        <v>慧</v>
      </c>
      <c r="V2379" s="4" t="b">
        <f t="shared" si="113"/>
        <v>1</v>
      </c>
    </row>
    <row r="2380" spans="1:22">
      <c r="A2380" s="3">
        <v>2378</v>
      </c>
      <c r="B2380" s="3" t="s">
        <v>5222</v>
      </c>
      <c r="C2380" s="3" t="s">
        <v>6053</v>
      </c>
      <c r="D2380" s="3" t="s">
        <v>2843</v>
      </c>
      <c r="E2380" s="3" t="s">
        <v>5991</v>
      </c>
      <c r="F2380" s="3" t="s">
        <v>2844</v>
      </c>
      <c r="G2380" s="3" t="s">
        <v>4210</v>
      </c>
      <c r="H2380" s="3" t="s">
        <v>5249</v>
      </c>
      <c r="I2380" s="3" t="s">
        <v>2846</v>
      </c>
      <c r="J2380" s="5" t="s">
        <v>9209</v>
      </c>
      <c r="L2380" s="3" t="s">
        <v>8768</v>
      </c>
      <c r="M2380" s="3">
        <v>7</v>
      </c>
      <c r="N2380" s="4" t="s">
        <v>5225</v>
      </c>
      <c r="O2380" s="4">
        <v>124</v>
      </c>
      <c r="P2380" s="11" t="s">
        <v>9772</v>
      </c>
      <c r="Q2380" s="11" t="s">
        <v>10524</v>
      </c>
      <c r="S2380" s="4" t="b">
        <f>ISNUMBER(MATCH(Q2380,T:T,0))</f>
        <v>1</v>
      </c>
      <c r="T2380" s="4" t="s">
        <v>12160</v>
      </c>
      <c r="U2380" s="4" t="str">
        <f t="shared" si="112"/>
        <v>詣</v>
      </c>
    </row>
    <row r="2381" spans="1:22">
      <c r="A2381" s="3">
        <v>2379</v>
      </c>
      <c r="B2381" s="3" t="s">
        <v>5222</v>
      </c>
      <c r="C2381" s="3" t="s">
        <v>6045</v>
      </c>
      <c r="D2381" s="3" t="s">
        <v>2843</v>
      </c>
      <c r="E2381" s="3" t="s">
        <v>5991</v>
      </c>
      <c r="F2381" s="3" t="s">
        <v>2844</v>
      </c>
      <c r="G2381" s="3" t="s">
        <v>4210</v>
      </c>
      <c r="H2381" s="3" t="s">
        <v>5250</v>
      </c>
      <c r="I2381" s="3" t="s">
        <v>2846</v>
      </c>
      <c r="J2381" s="5" t="s">
        <v>9210</v>
      </c>
      <c r="L2381" s="3" t="s">
        <v>8899</v>
      </c>
      <c r="M2381" s="3">
        <v>5</v>
      </c>
      <c r="N2381" s="4" t="s">
        <v>5225</v>
      </c>
      <c r="O2381" s="4">
        <v>124</v>
      </c>
      <c r="P2381" s="11" t="s">
        <v>9965</v>
      </c>
      <c r="Q2381" s="11" t="s">
        <v>10523</v>
      </c>
      <c r="S2381" s="4" t="b">
        <f>ISNUMBER(MATCH(Q2381,T:T,0))</f>
        <v>1</v>
      </c>
      <c r="T2381" s="4" t="s">
        <v>12161</v>
      </c>
      <c r="U2381" s="4" t="str">
        <f t="shared" si="112"/>
        <v>計</v>
      </c>
    </row>
    <row r="2382" spans="1:22" ht="39">
      <c r="A2382" s="3">
        <v>2380</v>
      </c>
      <c r="B2382" s="3" t="s">
        <v>5222</v>
      </c>
      <c r="C2382" s="3" t="s">
        <v>6058</v>
      </c>
      <c r="D2382" s="3" t="s">
        <v>2843</v>
      </c>
      <c r="E2382" s="3" t="s">
        <v>5991</v>
      </c>
      <c r="F2382" s="3" t="s">
        <v>2844</v>
      </c>
      <c r="G2382" s="3" t="s">
        <v>4210</v>
      </c>
      <c r="H2382" s="3" t="s">
        <v>5251</v>
      </c>
      <c r="I2382" s="3" t="s">
        <v>2846</v>
      </c>
      <c r="J2382" s="5" t="s">
        <v>9211</v>
      </c>
      <c r="L2382" s="3" t="s">
        <v>4344</v>
      </c>
      <c r="M2382" s="3">
        <v>33</v>
      </c>
      <c r="N2382" s="4" t="s">
        <v>5225</v>
      </c>
      <c r="O2382" s="4">
        <v>124</v>
      </c>
      <c r="P2382" s="11" t="s">
        <v>9886</v>
      </c>
      <c r="Q2382" s="11" t="s">
        <v>10523</v>
      </c>
      <c r="S2382" s="4" t="b">
        <f>ISNUMBER(MATCH(Q2382,T:T,0))</f>
        <v>1</v>
      </c>
      <c r="T2382" s="4" t="s">
        <v>12162</v>
      </c>
      <c r="U2382" s="4" t="str">
        <f t="shared" si="112"/>
        <v>計</v>
      </c>
    </row>
    <row r="2383" spans="1:22">
      <c r="A2383" s="3">
        <v>2381</v>
      </c>
      <c r="B2383" s="3" t="s">
        <v>5222</v>
      </c>
      <c r="C2383" s="3" t="s">
        <v>6102</v>
      </c>
      <c r="D2383" s="3" t="s">
        <v>2843</v>
      </c>
      <c r="E2383" s="3" t="s">
        <v>5991</v>
      </c>
      <c r="F2383" s="3" t="s">
        <v>2844</v>
      </c>
      <c r="G2383" s="3" t="s">
        <v>4210</v>
      </c>
      <c r="H2383" s="3" t="s">
        <v>5252</v>
      </c>
      <c r="I2383" s="3" t="s">
        <v>2846</v>
      </c>
      <c r="J2383" s="5" t="s">
        <v>9212</v>
      </c>
      <c r="L2383" s="3" t="s">
        <v>4449</v>
      </c>
      <c r="M2383" s="3">
        <v>5</v>
      </c>
      <c r="N2383" s="4" t="s">
        <v>5225</v>
      </c>
      <c r="O2383" s="4">
        <v>124</v>
      </c>
      <c r="P2383" s="11" t="s">
        <v>9744</v>
      </c>
      <c r="Q2383" s="11" t="s">
        <v>10523</v>
      </c>
      <c r="S2383" s="4" t="b">
        <f>ISNUMBER(MATCH(Q2383,T:T,0))</f>
        <v>1</v>
      </c>
      <c r="T2383" s="4" t="s">
        <v>6102</v>
      </c>
      <c r="U2383" s="4" t="str">
        <f t="shared" si="112"/>
        <v>計</v>
      </c>
    </row>
    <row r="2384" spans="1:22">
      <c r="A2384" s="3">
        <v>2382</v>
      </c>
      <c r="B2384" s="3" t="s">
        <v>5222</v>
      </c>
      <c r="C2384" s="3" t="s">
        <v>6089</v>
      </c>
      <c r="D2384" s="3" t="s">
        <v>2843</v>
      </c>
      <c r="E2384" s="3" t="s">
        <v>5991</v>
      </c>
      <c r="F2384" s="3" t="s">
        <v>2844</v>
      </c>
      <c r="G2384" s="3" t="s">
        <v>4210</v>
      </c>
      <c r="H2384" s="3" t="s">
        <v>5253</v>
      </c>
      <c r="I2384" s="3" t="s">
        <v>2846</v>
      </c>
      <c r="J2384" s="5" t="s">
        <v>5254</v>
      </c>
      <c r="L2384" s="3" t="s">
        <v>4381</v>
      </c>
      <c r="M2384" s="3">
        <v>3</v>
      </c>
      <c r="N2384" s="4" t="s">
        <v>5225</v>
      </c>
      <c r="O2384" s="4">
        <v>124</v>
      </c>
      <c r="P2384" s="11" t="s">
        <v>9739</v>
      </c>
      <c r="Q2384" s="11" t="s">
        <v>10523</v>
      </c>
      <c r="S2384" s="4" t="b">
        <f>ISNUMBER(MATCH(Q2384,T:T,0))</f>
        <v>1</v>
      </c>
      <c r="T2384" s="4" t="s">
        <v>12163</v>
      </c>
      <c r="U2384" s="4" t="str">
        <f t="shared" si="112"/>
        <v>計</v>
      </c>
    </row>
    <row r="2385" spans="1:22">
      <c r="A2385" s="3">
        <v>2383</v>
      </c>
      <c r="B2385" s="3" t="s">
        <v>5255</v>
      </c>
      <c r="C2385" s="3" t="s">
        <v>6083</v>
      </c>
      <c r="D2385" s="3" t="s">
        <v>6001</v>
      </c>
      <c r="E2385" s="3" t="s">
        <v>5991</v>
      </c>
      <c r="F2385" s="3" t="s">
        <v>5256</v>
      </c>
      <c r="G2385" s="3" t="s">
        <v>4210</v>
      </c>
      <c r="H2385" s="3" t="s">
        <v>5257</v>
      </c>
      <c r="I2385" s="3" t="s">
        <v>2846</v>
      </c>
      <c r="J2385" s="5" t="s">
        <v>5258</v>
      </c>
      <c r="L2385" s="3" t="s">
        <v>8786</v>
      </c>
      <c r="M2385" s="3">
        <v>7</v>
      </c>
      <c r="N2385" s="4" t="s">
        <v>9660</v>
      </c>
      <c r="O2385" s="4">
        <v>125</v>
      </c>
      <c r="P2385" s="11" t="s">
        <v>9737</v>
      </c>
      <c r="Q2385" s="11" t="s">
        <v>10527</v>
      </c>
      <c r="S2385" s="4" t="b">
        <f>ISNUMBER(MATCH(Q2385,T:T,0))</f>
        <v>1</v>
      </c>
      <c r="T2385" s="4" t="s">
        <v>9660</v>
      </c>
      <c r="U2385" s="4" t="str">
        <f t="shared" si="112"/>
        <v>例</v>
      </c>
    </row>
    <row r="2386" spans="1:22">
      <c r="A2386" s="3">
        <v>2384</v>
      </c>
      <c r="B2386" s="3" t="s">
        <v>5255</v>
      </c>
      <c r="C2386" s="3" t="s">
        <v>6017</v>
      </c>
      <c r="D2386" s="3" t="s">
        <v>6001</v>
      </c>
      <c r="E2386" s="3" t="s">
        <v>6212</v>
      </c>
      <c r="F2386" s="3" t="s">
        <v>5256</v>
      </c>
      <c r="G2386" s="3" t="s">
        <v>4210</v>
      </c>
      <c r="H2386" s="3" t="s">
        <v>5259</v>
      </c>
      <c r="I2386" s="3" t="s">
        <v>2846</v>
      </c>
      <c r="J2386" s="5" t="s">
        <v>9213</v>
      </c>
      <c r="L2386" s="3" t="s">
        <v>8838</v>
      </c>
      <c r="M2386" s="3">
        <v>4</v>
      </c>
      <c r="N2386" s="4" t="s">
        <v>9660</v>
      </c>
      <c r="O2386" s="4">
        <v>125</v>
      </c>
      <c r="P2386" s="11" t="s">
        <v>2555</v>
      </c>
      <c r="Q2386" s="11" t="s">
        <v>10528</v>
      </c>
      <c r="S2386" s="4" t="b">
        <f>ISNUMBER(MATCH(Q2386,T:T,0))</f>
        <v>1</v>
      </c>
      <c r="T2386" s="4" t="s">
        <v>10529</v>
      </c>
      <c r="U2386" s="4" t="str">
        <f t="shared" si="112"/>
        <v>銳</v>
      </c>
    </row>
    <row r="2387" spans="1:22">
      <c r="A2387" s="3">
        <v>2385</v>
      </c>
      <c r="B2387" s="3" t="s">
        <v>5255</v>
      </c>
      <c r="C2387" s="3" t="s">
        <v>6032</v>
      </c>
      <c r="D2387" s="3" t="s">
        <v>6001</v>
      </c>
      <c r="E2387" s="3" t="s">
        <v>6212</v>
      </c>
      <c r="F2387" s="3" t="s">
        <v>5260</v>
      </c>
      <c r="G2387" s="3" t="s">
        <v>4210</v>
      </c>
      <c r="H2387" s="3" t="s">
        <v>5261</v>
      </c>
      <c r="I2387" s="3" t="s">
        <v>2846</v>
      </c>
      <c r="J2387" s="8" t="s">
        <v>9214</v>
      </c>
      <c r="L2387" s="3" t="s">
        <v>4352</v>
      </c>
      <c r="M2387" s="3">
        <v>13</v>
      </c>
      <c r="N2387" s="4" t="s">
        <v>9660</v>
      </c>
      <c r="O2387" s="4">
        <v>125</v>
      </c>
      <c r="P2387" s="11" t="s">
        <v>9859</v>
      </c>
      <c r="Q2387" s="11" t="s">
        <v>10529</v>
      </c>
      <c r="S2387" s="4" t="b">
        <f>ISNUMBER(MATCH(Q2387,T:T,0))</f>
        <v>1</v>
      </c>
      <c r="T2387" s="4" t="s">
        <v>12164</v>
      </c>
      <c r="U2387" s="4" t="str">
        <f t="shared" si="112"/>
        <v>歲</v>
      </c>
    </row>
    <row r="2388" spans="1:22">
      <c r="A2388" s="3">
        <v>2386</v>
      </c>
      <c r="B2388" s="3" t="s">
        <v>5255</v>
      </c>
      <c r="C2388" s="3" t="s">
        <v>6021</v>
      </c>
      <c r="D2388" s="3" t="s">
        <v>6001</v>
      </c>
      <c r="E2388" s="3" t="s">
        <v>6212</v>
      </c>
      <c r="F2388" s="3" t="s">
        <v>5256</v>
      </c>
      <c r="G2388" s="3" t="s">
        <v>4210</v>
      </c>
      <c r="H2388" s="3" t="s">
        <v>5262</v>
      </c>
      <c r="I2388" s="3" t="s">
        <v>2846</v>
      </c>
      <c r="J2388" s="5" t="s">
        <v>9215</v>
      </c>
      <c r="L2388" s="3" t="s">
        <v>4401</v>
      </c>
      <c r="M2388" s="3">
        <v>6</v>
      </c>
      <c r="N2388" s="4" t="s">
        <v>9660</v>
      </c>
      <c r="O2388" s="4">
        <v>125</v>
      </c>
      <c r="P2388" s="11" t="s">
        <v>9761</v>
      </c>
      <c r="Q2388" s="11" t="s">
        <v>10528</v>
      </c>
      <c r="S2388" s="4" t="b">
        <f>ISNUMBER(MATCH(Q2388,T:T,0))</f>
        <v>1</v>
      </c>
      <c r="T2388" s="4" t="s">
        <v>10530</v>
      </c>
      <c r="U2388" s="4" t="str">
        <f t="shared" si="112"/>
        <v>銳</v>
      </c>
    </row>
    <row r="2389" spans="1:22">
      <c r="A2389" s="3">
        <v>2387</v>
      </c>
      <c r="B2389" s="3" t="s">
        <v>5255</v>
      </c>
      <c r="C2389" s="3" t="s">
        <v>6009</v>
      </c>
      <c r="D2389" s="3" t="s">
        <v>6001</v>
      </c>
      <c r="E2389" s="3" t="s">
        <v>6212</v>
      </c>
      <c r="F2389" s="3" t="s">
        <v>5256</v>
      </c>
      <c r="G2389" s="3" t="s">
        <v>4210</v>
      </c>
      <c r="H2389" s="3" t="s">
        <v>5263</v>
      </c>
      <c r="I2389" s="3" t="s">
        <v>2846</v>
      </c>
      <c r="J2389" s="5" t="s">
        <v>5264</v>
      </c>
      <c r="L2389" s="3" t="s">
        <v>4342</v>
      </c>
      <c r="M2389" s="3">
        <v>2</v>
      </c>
      <c r="N2389" s="4" t="s">
        <v>9660</v>
      </c>
      <c r="O2389" s="4">
        <v>125</v>
      </c>
      <c r="P2389" s="11" t="s">
        <v>6396</v>
      </c>
      <c r="Q2389" s="11" t="s">
        <v>10528</v>
      </c>
      <c r="S2389" s="4" t="b">
        <f>ISNUMBER(MATCH(Q2389,T:T,0))</f>
        <v>1</v>
      </c>
      <c r="T2389" s="4" t="s">
        <v>12165</v>
      </c>
      <c r="U2389" s="4" t="str">
        <f t="shared" si="112"/>
        <v>銳</v>
      </c>
    </row>
    <row r="2390" spans="1:22" ht="28.5">
      <c r="A2390" s="3">
        <v>2388</v>
      </c>
      <c r="B2390" s="3" t="s">
        <v>5255</v>
      </c>
      <c r="C2390" s="3" t="s">
        <v>6180</v>
      </c>
      <c r="D2390" s="3" t="s">
        <v>6001</v>
      </c>
      <c r="E2390" s="3" t="s">
        <v>6212</v>
      </c>
      <c r="F2390" s="3" t="s">
        <v>5260</v>
      </c>
      <c r="G2390" s="3" t="s">
        <v>4210</v>
      </c>
      <c r="H2390" s="3" t="s">
        <v>5265</v>
      </c>
      <c r="I2390" s="3" t="s">
        <v>2846</v>
      </c>
      <c r="J2390" s="5" t="s">
        <v>5266</v>
      </c>
      <c r="L2390" s="3" t="s">
        <v>4441</v>
      </c>
      <c r="M2390" s="3">
        <v>1</v>
      </c>
      <c r="N2390" s="4" t="s">
        <v>9660</v>
      </c>
      <c r="O2390" s="4">
        <v>125</v>
      </c>
      <c r="P2390" s="11" t="s">
        <v>6836</v>
      </c>
      <c r="Q2390" s="11" t="s">
        <v>10530</v>
      </c>
      <c r="S2390" s="4" t="b">
        <f>ISNUMBER(MATCH(Q2390,T:T,0))</f>
        <v>1</v>
      </c>
      <c r="T2390" s="4" t="s">
        <v>5266</v>
      </c>
      <c r="U2390" s="4" t="str">
        <f t="shared" si="112"/>
        <v>芮</v>
      </c>
    </row>
    <row r="2391" spans="1:22">
      <c r="A2391" s="3">
        <v>2389</v>
      </c>
      <c r="B2391" s="3" t="s">
        <v>5255</v>
      </c>
      <c r="C2391" s="3" t="s">
        <v>6076</v>
      </c>
      <c r="D2391" s="3" t="s">
        <v>6001</v>
      </c>
      <c r="E2391" s="3" t="s">
        <v>6212</v>
      </c>
      <c r="F2391" s="3" t="s">
        <v>5256</v>
      </c>
      <c r="G2391" s="3" t="s">
        <v>4210</v>
      </c>
      <c r="H2391" s="3" t="s">
        <v>5267</v>
      </c>
      <c r="I2391" s="3" t="s">
        <v>2846</v>
      </c>
      <c r="J2391" s="5" t="s">
        <v>9216</v>
      </c>
      <c r="L2391" s="3" t="s">
        <v>4465</v>
      </c>
      <c r="M2391" s="3">
        <v>12</v>
      </c>
      <c r="N2391" s="4" t="s">
        <v>9660</v>
      </c>
      <c r="O2391" s="4">
        <v>125</v>
      </c>
      <c r="P2391" s="11" t="s">
        <v>9795</v>
      </c>
      <c r="Q2391" s="11" t="s">
        <v>10530</v>
      </c>
      <c r="S2391" s="4" t="b">
        <f>ISNUMBER(MATCH(Q2391,T:T,0))</f>
        <v>1</v>
      </c>
      <c r="T2391" s="4" t="s">
        <v>12166</v>
      </c>
      <c r="U2391" s="4" t="str">
        <f t="shared" si="112"/>
        <v>芮</v>
      </c>
    </row>
    <row r="2392" spans="1:22">
      <c r="A2392" s="3">
        <v>2390</v>
      </c>
      <c r="B2392" s="3" t="s">
        <v>5255</v>
      </c>
      <c r="C2392" s="3" t="s">
        <v>6028</v>
      </c>
      <c r="D2392" s="3" t="s">
        <v>6001</v>
      </c>
      <c r="E2392" s="3" t="s">
        <v>6212</v>
      </c>
      <c r="F2392" s="3" t="s">
        <v>5256</v>
      </c>
      <c r="G2392" s="3" t="s">
        <v>4210</v>
      </c>
      <c r="H2392" s="3" t="s">
        <v>5268</v>
      </c>
      <c r="I2392" s="3" t="s">
        <v>2846</v>
      </c>
      <c r="J2392" s="5" t="s">
        <v>9217</v>
      </c>
      <c r="L2392" s="3" t="s">
        <v>4352</v>
      </c>
      <c r="M2392" s="3">
        <v>6</v>
      </c>
      <c r="N2392" s="4" t="s">
        <v>9660</v>
      </c>
      <c r="O2392" s="4">
        <v>125</v>
      </c>
      <c r="P2392" s="11" t="s">
        <v>6028</v>
      </c>
      <c r="Q2392" s="11" t="s">
        <v>10530</v>
      </c>
      <c r="S2392" s="4" t="b">
        <f>ISNUMBER(MATCH(Q2392,T:T,0))</f>
        <v>1</v>
      </c>
      <c r="T2392" s="4" t="s">
        <v>10528</v>
      </c>
      <c r="U2392" s="4" t="str">
        <f t="shared" si="112"/>
        <v>芮</v>
      </c>
    </row>
    <row r="2393" spans="1:22">
      <c r="A2393" s="3">
        <v>2391</v>
      </c>
      <c r="B2393" s="3" t="s">
        <v>5255</v>
      </c>
      <c r="C2393" s="3" t="s">
        <v>6000</v>
      </c>
      <c r="D2393" s="3" t="s">
        <v>6001</v>
      </c>
      <c r="E2393" s="3" t="s">
        <v>6212</v>
      </c>
      <c r="F2393" s="3" t="s">
        <v>5260</v>
      </c>
      <c r="G2393" s="3" t="s">
        <v>4210</v>
      </c>
      <c r="H2393" s="3" t="s">
        <v>5269</v>
      </c>
      <c r="I2393" s="3" t="s">
        <v>2846</v>
      </c>
      <c r="J2393" s="5" t="s">
        <v>9218</v>
      </c>
      <c r="L2393" s="3" t="s">
        <v>4342</v>
      </c>
      <c r="M2393" s="3">
        <v>11</v>
      </c>
      <c r="N2393" s="4" t="s">
        <v>9660</v>
      </c>
      <c r="O2393" s="4">
        <v>125</v>
      </c>
      <c r="P2393" s="11" t="s">
        <v>9707</v>
      </c>
      <c r="Q2393" s="11" t="s">
        <v>10531</v>
      </c>
      <c r="R2393" s="4" t="s">
        <v>13133</v>
      </c>
      <c r="S2393" s="4" t="b">
        <f>ISNUMBER(MATCH(Q2393,T:T,0))</f>
        <v>0</v>
      </c>
      <c r="T2393" s="4" t="s">
        <v>12167</v>
      </c>
      <c r="U2393" s="4" t="str">
        <f t="shared" si="112"/>
        <v>衞</v>
      </c>
      <c r="V2393" s="4" t="b">
        <f>ISNUMBER(MATCH(R2393,T:T,0))</f>
        <v>1</v>
      </c>
    </row>
    <row r="2394" spans="1:22">
      <c r="A2394" s="3">
        <v>2392</v>
      </c>
      <c r="B2394" s="3" t="s">
        <v>5255</v>
      </c>
      <c r="C2394" s="3" t="s">
        <v>6120</v>
      </c>
      <c r="D2394" s="3" t="s">
        <v>6001</v>
      </c>
      <c r="E2394" s="3" t="s">
        <v>6212</v>
      </c>
      <c r="F2394" s="3" t="s">
        <v>5256</v>
      </c>
      <c r="G2394" s="3" t="s">
        <v>4210</v>
      </c>
      <c r="H2394" s="3" t="s">
        <v>5270</v>
      </c>
      <c r="I2394" s="3" t="s">
        <v>2846</v>
      </c>
      <c r="J2394" s="5" t="s">
        <v>5271</v>
      </c>
      <c r="L2394" s="3" t="s">
        <v>8868</v>
      </c>
      <c r="M2394" s="3">
        <v>9</v>
      </c>
      <c r="N2394" s="4" t="s">
        <v>9660</v>
      </c>
      <c r="O2394" s="4">
        <v>125</v>
      </c>
      <c r="P2394" s="11" t="s">
        <v>10242</v>
      </c>
      <c r="Q2394" s="11" t="s">
        <v>10530</v>
      </c>
      <c r="S2394" s="4" t="b">
        <f>ISNUMBER(MATCH(Q2394,T:T,0))</f>
        <v>1</v>
      </c>
      <c r="T2394" s="4" t="s">
        <v>10532</v>
      </c>
      <c r="U2394" s="4" t="str">
        <f t="shared" si="112"/>
        <v>芮</v>
      </c>
    </row>
    <row r="2395" spans="1:22">
      <c r="A2395" s="3">
        <v>2393</v>
      </c>
      <c r="B2395" s="3" t="s">
        <v>5255</v>
      </c>
      <c r="C2395" s="3" t="s">
        <v>6045</v>
      </c>
      <c r="D2395" s="3" t="s">
        <v>6001</v>
      </c>
      <c r="E2395" s="3" t="s">
        <v>5991</v>
      </c>
      <c r="F2395" s="3" t="s">
        <v>5256</v>
      </c>
      <c r="G2395" s="3" t="s">
        <v>4210</v>
      </c>
      <c r="H2395" s="3" t="s">
        <v>5272</v>
      </c>
      <c r="I2395" s="3" t="s">
        <v>2846</v>
      </c>
      <c r="J2395" s="5" t="s">
        <v>5273</v>
      </c>
      <c r="L2395" s="3" t="s">
        <v>8899</v>
      </c>
      <c r="M2395" s="3">
        <v>5</v>
      </c>
      <c r="N2395" s="4" t="s">
        <v>9660</v>
      </c>
      <c r="O2395" s="4">
        <v>125</v>
      </c>
      <c r="P2395" s="11" t="s">
        <v>10275</v>
      </c>
      <c r="Q2395" s="11" t="s">
        <v>9660</v>
      </c>
      <c r="S2395" s="4" t="b">
        <f>ISNUMBER(MATCH(Q2395,T:T,0))</f>
        <v>1</v>
      </c>
      <c r="T2395" s="4" t="s">
        <v>10533</v>
      </c>
      <c r="U2395" s="4" t="str">
        <f t="shared" si="112"/>
        <v>祭</v>
      </c>
    </row>
    <row r="2396" spans="1:22" ht="28.5">
      <c r="A2396" s="3">
        <v>2394</v>
      </c>
      <c r="B2396" s="3" t="s">
        <v>5255</v>
      </c>
      <c r="C2396" s="3" t="s">
        <v>6167</v>
      </c>
      <c r="D2396" s="3" t="s">
        <v>6001</v>
      </c>
      <c r="E2396" s="3" t="s">
        <v>6212</v>
      </c>
      <c r="F2396" s="3" t="s">
        <v>5260</v>
      </c>
      <c r="G2396" s="3" t="s">
        <v>4210</v>
      </c>
      <c r="H2396" s="3" t="s">
        <v>5274</v>
      </c>
      <c r="I2396" s="3" t="s">
        <v>2846</v>
      </c>
      <c r="J2396" s="5" t="s">
        <v>5275</v>
      </c>
      <c r="L2396" s="3" t="s">
        <v>4505</v>
      </c>
      <c r="M2396" s="3">
        <v>4</v>
      </c>
      <c r="N2396" s="4" t="s">
        <v>9660</v>
      </c>
      <c r="O2396" s="4">
        <v>125</v>
      </c>
      <c r="P2396" s="11" t="s">
        <v>9769</v>
      </c>
      <c r="Q2396" s="11" t="s">
        <v>10532</v>
      </c>
      <c r="S2396" s="4" t="b">
        <f>ISNUMBER(MATCH(Q2396,T:T,0))</f>
        <v>1</v>
      </c>
      <c r="T2396" s="4" t="s">
        <v>12168</v>
      </c>
      <c r="U2396" s="4" t="str">
        <f t="shared" si="112"/>
        <v>稅</v>
      </c>
    </row>
    <row r="2397" spans="1:22">
      <c r="A2397" s="3">
        <v>2395</v>
      </c>
      <c r="B2397" s="3" t="s">
        <v>5255</v>
      </c>
      <c r="C2397" s="3" t="s">
        <v>6123</v>
      </c>
      <c r="D2397" s="3" t="s">
        <v>6001</v>
      </c>
      <c r="E2397" s="3" t="s">
        <v>6212</v>
      </c>
      <c r="F2397" s="3" t="s">
        <v>5256</v>
      </c>
      <c r="G2397" s="3" t="s">
        <v>4210</v>
      </c>
      <c r="H2397" s="3" t="s">
        <v>5276</v>
      </c>
      <c r="I2397" s="3" t="s">
        <v>2846</v>
      </c>
      <c r="J2397" s="5" t="s">
        <v>9219</v>
      </c>
      <c r="L2397" s="3" t="s">
        <v>8838</v>
      </c>
      <c r="M2397" s="3">
        <v>9</v>
      </c>
      <c r="N2397" s="4" t="s">
        <v>9660</v>
      </c>
      <c r="O2397" s="4">
        <v>125</v>
      </c>
      <c r="P2397" s="11" t="s">
        <v>9748</v>
      </c>
      <c r="Q2397" s="11" t="s">
        <v>10529</v>
      </c>
      <c r="S2397" s="4" t="b">
        <f>ISNUMBER(MATCH(Q2397,T:T,0))</f>
        <v>1</v>
      </c>
      <c r="T2397" s="4" t="s">
        <v>12169</v>
      </c>
      <c r="U2397" s="4" t="str">
        <f t="shared" si="112"/>
        <v>歲</v>
      </c>
    </row>
    <row r="2398" spans="1:22">
      <c r="A2398" s="3">
        <v>2396</v>
      </c>
      <c r="B2398" s="3" t="s">
        <v>5255</v>
      </c>
      <c r="C2398" s="3" t="s">
        <v>6049</v>
      </c>
      <c r="D2398" s="3" t="s">
        <v>6001</v>
      </c>
      <c r="E2398" s="3" t="s">
        <v>5991</v>
      </c>
      <c r="F2398" s="3" t="s">
        <v>5256</v>
      </c>
      <c r="G2398" s="3" t="s">
        <v>4210</v>
      </c>
      <c r="H2398" s="3" t="s">
        <v>5277</v>
      </c>
      <c r="I2398" s="3" t="s">
        <v>2846</v>
      </c>
      <c r="J2398" s="5" t="s">
        <v>5278</v>
      </c>
      <c r="L2398" s="3" t="s">
        <v>8899</v>
      </c>
      <c r="M2398" s="3">
        <v>4</v>
      </c>
      <c r="N2398" s="4" t="s">
        <v>9660</v>
      </c>
      <c r="O2398" s="4">
        <v>125</v>
      </c>
      <c r="P2398" s="11" t="s">
        <v>9932</v>
      </c>
      <c r="Q2398" s="11" t="s">
        <v>5282</v>
      </c>
      <c r="S2398" s="4" t="b">
        <f>ISNUMBER(MATCH(Q2398,T:T,0))</f>
        <v>1</v>
      </c>
      <c r="T2398" s="4" t="s">
        <v>10538</v>
      </c>
      <c r="U2398" s="4" t="str">
        <f t="shared" si="112"/>
        <v>袂</v>
      </c>
    </row>
    <row r="2399" spans="1:22">
      <c r="A2399" s="3">
        <v>2397</v>
      </c>
      <c r="B2399" s="3" t="s">
        <v>5255</v>
      </c>
      <c r="C2399" s="3" t="s">
        <v>6025</v>
      </c>
      <c r="D2399" s="3" t="s">
        <v>6001</v>
      </c>
      <c r="E2399" s="3" t="s">
        <v>6212</v>
      </c>
      <c r="F2399" s="3" t="s">
        <v>5260</v>
      </c>
      <c r="G2399" s="3" t="s">
        <v>4210</v>
      </c>
      <c r="H2399" s="3" t="s">
        <v>5279</v>
      </c>
      <c r="I2399" s="3" t="s">
        <v>2846</v>
      </c>
      <c r="J2399" s="5" t="s">
        <v>5280</v>
      </c>
      <c r="L2399" s="3" t="s">
        <v>8857</v>
      </c>
      <c r="M2399" s="3">
        <v>6</v>
      </c>
      <c r="N2399" s="4" t="s">
        <v>9660</v>
      </c>
      <c r="O2399" s="4">
        <v>125</v>
      </c>
      <c r="P2399" s="11" t="s">
        <v>9717</v>
      </c>
      <c r="Q2399" s="11" t="s">
        <v>10531</v>
      </c>
      <c r="R2399" s="4" t="s">
        <v>13133</v>
      </c>
      <c r="S2399" s="4" t="b">
        <f>ISNUMBER(MATCH(Q2399,T:T,0))</f>
        <v>0</v>
      </c>
      <c r="T2399" s="4" t="s">
        <v>12170</v>
      </c>
      <c r="U2399" s="4" t="str">
        <f t="shared" si="112"/>
        <v>衞</v>
      </c>
      <c r="V2399" s="4" t="b">
        <f>ISNUMBER(MATCH(R2399,T:T,0))</f>
        <v>1</v>
      </c>
    </row>
    <row r="2400" spans="1:22">
      <c r="A2400" s="3">
        <v>2398</v>
      </c>
      <c r="B2400" s="3" t="s">
        <v>5255</v>
      </c>
      <c r="C2400" s="3" t="s">
        <v>6035</v>
      </c>
      <c r="D2400" s="3" t="s">
        <v>6001</v>
      </c>
      <c r="E2400" s="3" t="s">
        <v>5991</v>
      </c>
      <c r="F2400" s="3" t="s">
        <v>5256</v>
      </c>
      <c r="G2400" s="3" t="s">
        <v>4210</v>
      </c>
      <c r="H2400" s="3" t="s">
        <v>5281</v>
      </c>
      <c r="I2400" s="3" t="s">
        <v>2846</v>
      </c>
      <c r="J2400" s="5" t="s">
        <v>5282</v>
      </c>
      <c r="L2400" s="3" t="s">
        <v>4427</v>
      </c>
      <c r="M2400" s="3">
        <v>1</v>
      </c>
      <c r="N2400" s="4" t="s">
        <v>9660</v>
      </c>
      <c r="O2400" s="4">
        <v>125</v>
      </c>
      <c r="P2400" s="11" t="s">
        <v>9941</v>
      </c>
      <c r="Q2400" s="11" t="s">
        <v>10533</v>
      </c>
      <c r="S2400" s="4" t="b">
        <f>ISNUMBER(MATCH(Q2400,T:T,0))</f>
        <v>1</v>
      </c>
      <c r="T2400" s="4" t="s">
        <v>5282</v>
      </c>
      <c r="U2400" s="4" t="str">
        <f t="shared" si="112"/>
        <v>獘</v>
      </c>
    </row>
    <row r="2401" spans="1:22">
      <c r="A2401" s="3">
        <v>2399</v>
      </c>
      <c r="B2401" s="3" t="s">
        <v>5255</v>
      </c>
      <c r="C2401" s="3" t="s">
        <v>6180</v>
      </c>
      <c r="D2401" s="3" t="s">
        <v>6001</v>
      </c>
      <c r="E2401" s="3" t="s">
        <v>5991</v>
      </c>
      <c r="F2401" s="3" t="s">
        <v>5260</v>
      </c>
      <c r="G2401" s="3" t="s">
        <v>4210</v>
      </c>
      <c r="H2401" s="3" t="s">
        <v>5283</v>
      </c>
      <c r="I2401" s="3" t="s">
        <v>2846</v>
      </c>
      <c r="J2401" s="5" t="s">
        <v>5284</v>
      </c>
      <c r="L2401" s="3" t="s">
        <v>8760</v>
      </c>
      <c r="M2401" s="3">
        <v>3</v>
      </c>
      <c r="N2401" s="4" t="s">
        <v>9660</v>
      </c>
      <c r="O2401" s="4">
        <v>125</v>
      </c>
      <c r="P2401" s="11" t="s">
        <v>9774</v>
      </c>
      <c r="Q2401" s="11" t="s">
        <v>10527</v>
      </c>
      <c r="S2401" s="4" t="b">
        <f>ISNUMBER(MATCH(Q2401,T:T,0))</f>
        <v>1</v>
      </c>
      <c r="T2401" s="4" t="s">
        <v>12171</v>
      </c>
      <c r="U2401" s="4" t="str">
        <f t="shared" si="112"/>
        <v>例</v>
      </c>
    </row>
    <row r="2402" spans="1:22">
      <c r="A2402" s="3">
        <v>2400</v>
      </c>
      <c r="B2402" s="3" t="s">
        <v>5255</v>
      </c>
      <c r="C2402" s="3" t="s">
        <v>6055</v>
      </c>
      <c r="D2402" s="3" t="s">
        <v>6001</v>
      </c>
      <c r="E2402" s="3" t="s">
        <v>5991</v>
      </c>
      <c r="F2402" s="3" t="s">
        <v>5256</v>
      </c>
      <c r="G2402" s="3" t="s">
        <v>4210</v>
      </c>
      <c r="H2402" s="3" t="s">
        <v>5285</v>
      </c>
      <c r="I2402" s="3" t="s">
        <v>2846</v>
      </c>
      <c r="J2402" s="5" t="s">
        <v>9220</v>
      </c>
      <c r="L2402" s="3" t="s">
        <v>4404</v>
      </c>
      <c r="M2402" s="3">
        <v>8</v>
      </c>
      <c r="N2402" s="4" t="s">
        <v>9660</v>
      </c>
      <c r="O2402" s="4">
        <v>125</v>
      </c>
      <c r="P2402" s="11" t="s">
        <v>9749</v>
      </c>
      <c r="Q2402" s="11" t="s">
        <v>10534</v>
      </c>
      <c r="S2402" s="4" t="b">
        <f>ISNUMBER(MATCH(Q2402,T:T,0))</f>
        <v>1</v>
      </c>
      <c r="T2402" s="4" t="s">
        <v>12172</v>
      </c>
      <c r="U2402" s="4" t="str">
        <f t="shared" si="112"/>
        <v>制</v>
      </c>
    </row>
    <row r="2403" spans="1:22">
      <c r="A2403" s="3">
        <v>2401</v>
      </c>
      <c r="B2403" s="3" t="s">
        <v>5255</v>
      </c>
      <c r="C2403" s="3" t="s">
        <v>6009</v>
      </c>
      <c r="D2403" s="3" t="s">
        <v>6001</v>
      </c>
      <c r="E2403" s="3" t="s">
        <v>5991</v>
      </c>
      <c r="F2403" s="3" t="s">
        <v>5256</v>
      </c>
      <c r="G2403" s="3" t="s">
        <v>4210</v>
      </c>
      <c r="H2403" s="3" t="s">
        <v>5286</v>
      </c>
      <c r="I2403" s="3" t="s">
        <v>2846</v>
      </c>
      <c r="J2403" s="5" t="s">
        <v>5287</v>
      </c>
      <c r="L2403" s="3" t="s">
        <v>8808</v>
      </c>
      <c r="M2403" s="3">
        <v>18</v>
      </c>
      <c r="N2403" s="4" t="s">
        <v>9660</v>
      </c>
      <c r="O2403" s="4">
        <v>125</v>
      </c>
      <c r="P2403" s="11" t="s">
        <v>10107</v>
      </c>
      <c r="Q2403" s="11" t="s">
        <v>10527</v>
      </c>
      <c r="S2403" s="4" t="b">
        <f>ISNUMBER(MATCH(Q2403,T:T,0))</f>
        <v>1</v>
      </c>
      <c r="T2403" s="4" t="s">
        <v>10534</v>
      </c>
      <c r="U2403" s="4" t="str">
        <f t="shared" si="112"/>
        <v>例</v>
      </c>
    </row>
    <row r="2404" spans="1:22">
      <c r="A2404" s="3">
        <v>2402</v>
      </c>
      <c r="B2404" s="3" t="s">
        <v>5255</v>
      </c>
      <c r="C2404" s="3" t="s">
        <v>6148</v>
      </c>
      <c r="D2404" s="3" t="s">
        <v>6001</v>
      </c>
      <c r="E2404" s="3" t="s">
        <v>5991</v>
      </c>
      <c r="F2404" s="3" t="s">
        <v>5256</v>
      </c>
      <c r="G2404" s="3" t="s">
        <v>4210</v>
      </c>
      <c r="H2404" s="3" t="s">
        <v>5288</v>
      </c>
      <c r="I2404" s="3" t="s">
        <v>2846</v>
      </c>
      <c r="J2404" s="5" t="s">
        <v>5289</v>
      </c>
      <c r="L2404" s="3" t="s">
        <v>8760</v>
      </c>
      <c r="M2404" s="3">
        <v>13</v>
      </c>
      <c r="N2404" s="4" t="s">
        <v>9660</v>
      </c>
      <c r="O2404" s="4">
        <v>125</v>
      </c>
      <c r="P2404" s="11" t="s">
        <v>10190</v>
      </c>
      <c r="Q2404" s="11" t="s">
        <v>10534</v>
      </c>
      <c r="S2404" s="4" t="b">
        <f>ISNUMBER(MATCH(Q2404,T:T,0))</f>
        <v>1</v>
      </c>
      <c r="T2404" s="4" t="s">
        <v>12173</v>
      </c>
      <c r="U2404" s="4" t="str">
        <f t="shared" si="112"/>
        <v>制</v>
      </c>
    </row>
    <row r="2405" spans="1:22" ht="39">
      <c r="A2405" s="3">
        <v>2403</v>
      </c>
      <c r="B2405" s="3" t="s">
        <v>5255</v>
      </c>
      <c r="C2405" s="3" t="s">
        <v>6028</v>
      </c>
      <c r="D2405" s="3" t="s">
        <v>6001</v>
      </c>
      <c r="E2405" s="3" t="s">
        <v>5991</v>
      </c>
      <c r="F2405" s="3" t="s">
        <v>5256</v>
      </c>
      <c r="G2405" s="3" t="s">
        <v>4210</v>
      </c>
      <c r="H2405" s="3" t="s">
        <v>5290</v>
      </c>
      <c r="I2405" s="3" t="s">
        <v>2846</v>
      </c>
      <c r="J2405" s="8" t="s">
        <v>9221</v>
      </c>
      <c r="L2405" s="3" t="s">
        <v>4368</v>
      </c>
      <c r="M2405" s="3">
        <v>29</v>
      </c>
      <c r="N2405" s="4" t="s">
        <v>9660</v>
      </c>
      <c r="O2405" s="4">
        <v>125</v>
      </c>
      <c r="P2405" s="11" t="s">
        <v>9750</v>
      </c>
      <c r="Q2405" s="11" t="s">
        <v>10534</v>
      </c>
      <c r="S2405" s="4" t="b">
        <f>ISNUMBER(MATCH(Q2405,T:T,0))</f>
        <v>1</v>
      </c>
      <c r="T2405" s="4" t="s">
        <v>12174</v>
      </c>
      <c r="U2405" s="4" t="str">
        <f t="shared" si="112"/>
        <v>制</v>
      </c>
    </row>
    <row r="2406" spans="1:22">
      <c r="A2406" s="3">
        <v>2404</v>
      </c>
      <c r="B2406" s="3" t="s">
        <v>5255</v>
      </c>
      <c r="C2406" s="3" t="s">
        <v>6072</v>
      </c>
      <c r="D2406" s="3" t="s">
        <v>6001</v>
      </c>
      <c r="E2406" s="3" t="s">
        <v>5991</v>
      </c>
      <c r="F2406" s="3" t="s">
        <v>5260</v>
      </c>
      <c r="G2406" s="3" t="s">
        <v>4210</v>
      </c>
      <c r="H2406" s="3" t="s">
        <v>5291</v>
      </c>
      <c r="I2406" s="3" t="s">
        <v>2846</v>
      </c>
      <c r="J2406" s="5" t="s">
        <v>5292</v>
      </c>
      <c r="L2406" s="3" t="s">
        <v>4368</v>
      </c>
      <c r="M2406" s="3">
        <v>5</v>
      </c>
      <c r="N2406" s="4" t="s">
        <v>9660</v>
      </c>
      <c r="O2406" s="4">
        <v>125</v>
      </c>
      <c r="P2406" s="11" t="s">
        <v>9754</v>
      </c>
      <c r="Q2406" s="11" t="s">
        <v>10535</v>
      </c>
      <c r="R2406" s="4" t="s">
        <v>13134</v>
      </c>
      <c r="S2406" s="4" t="b">
        <f>ISNUMBER(MATCH(Q2406,T:T,0))</f>
        <v>0</v>
      </c>
      <c r="T2406" s="4" t="s">
        <v>12175</v>
      </c>
      <c r="U2406" s="4" t="str">
        <f t="shared" si="112"/>
        <v>猘</v>
      </c>
      <c r="V2406" s="4" t="b">
        <f>ISNUMBER(MATCH(R2406,T:T,0))</f>
        <v>1</v>
      </c>
    </row>
    <row r="2407" spans="1:22">
      <c r="A2407" s="3">
        <v>2405</v>
      </c>
      <c r="B2407" s="3" t="s">
        <v>5255</v>
      </c>
      <c r="C2407" s="3" t="s">
        <v>6092</v>
      </c>
      <c r="D2407" s="3" t="s">
        <v>6001</v>
      </c>
      <c r="E2407" s="3" t="s">
        <v>5991</v>
      </c>
      <c r="F2407" s="3" t="s">
        <v>5256</v>
      </c>
      <c r="G2407" s="3" t="s">
        <v>4210</v>
      </c>
      <c r="H2407" s="3" t="s">
        <v>5293</v>
      </c>
      <c r="I2407" s="3" t="s">
        <v>2846</v>
      </c>
      <c r="J2407" s="5" t="s">
        <v>9222</v>
      </c>
      <c r="L2407" s="3" t="s">
        <v>4368</v>
      </c>
      <c r="M2407" s="3">
        <v>8</v>
      </c>
      <c r="N2407" s="4" t="s">
        <v>9660</v>
      </c>
      <c r="O2407" s="4">
        <v>125</v>
      </c>
      <c r="P2407" s="11" t="s">
        <v>6462</v>
      </c>
      <c r="Q2407" s="11" t="s">
        <v>9660</v>
      </c>
      <c r="S2407" s="4" t="b">
        <f>ISNUMBER(MATCH(Q2407,T:T,0))</f>
        <v>1</v>
      </c>
      <c r="T2407" s="4" t="s">
        <v>12176</v>
      </c>
      <c r="U2407" s="4" t="str">
        <f t="shared" si="112"/>
        <v>祭</v>
      </c>
    </row>
    <row r="2408" spans="1:22">
      <c r="A2408" s="3">
        <v>2406</v>
      </c>
      <c r="B2408" s="3" t="s">
        <v>5255</v>
      </c>
      <c r="C2408" s="3" t="s">
        <v>6005</v>
      </c>
      <c r="D2408" s="3" t="s">
        <v>6001</v>
      </c>
      <c r="E2408" s="3" t="s">
        <v>5991</v>
      </c>
      <c r="F2408" s="3" t="s">
        <v>5260</v>
      </c>
      <c r="G2408" s="3" t="s">
        <v>4210</v>
      </c>
      <c r="H2408" s="3" t="s">
        <v>5294</v>
      </c>
      <c r="I2408" s="3" t="s">
        <v>2846</v>
      </c>
      <c r="J2408" s="5" t="s">
        <v>9223</v>
      </c>
      <c r="L2408" s="3" t="s">
        <v>8808</v>
      </c>
      <c r="M2408" s="3">
        <v>7</v>
      </c>
      <c r="N2408" s="4" t="s">
        <v>9660</v>
      </c>
      <c r="O2408" s="4">
        <v>125</v>
      </c>
      <c r="P2408" s="11" t="s">
        <v>9709</v>
      </c>
      <c r="Q2408" s="11" t="s">
        <v>10527</v>
      </c>
      <c r="S2408" s="4" t="b">
        <f>ISNUMBER(MATCH(Q2408,T:T,0))</f>
        <v>1</v>
      </c>
      <c r="T2408" s="4" t="s">
        <v>12177</v>
      </c>
      <c r="U2408" s="4" t="str">
        <f t="shared" si="112"/>
        <v>例</v>
      </c>
    </row>
    <row r="2409" spans="1:22" ht="39">
      <c r="A2409" s="3">
        <v>2407</v>
      </c>
      <c r="B2409" s="3" t="s">
        <v>5255</v>
      </c>
      <c r="C2409" s="3" t="s">
        <v>6058</v>
      </c>
      <c r="D2409" s="3" t="s">
        <v>6001</v>
      </c>
      <c r="E2409" s="3" t="s">
        <v>5991</v>
      </c>
      <c r="F2409" s="3" t="s">
        <v>5256</v>
      </c>
      <c r="G2409" s="3" t="s">
        <v>4210</v>
      </c>
      <c r="H2409" s="3" t="s">
        <v>5295</v>
      </c>
      <c r="I2409" s="3" t="s">
        <v>2846</v>
      </c>
      <c r="J2409" s="5" t="s">
        <v>9224</v>
      </c>
      <c r="L2409" s="3" t="s">
        <v>4344</v>
      </c>
      <c r="M2409" s="3">
        <v>25</v>
      </c>
      <c r="N2409" s="4" t="s">
        <v>9660</v>
      </c>
      <c r="O2409" s="4">
        <v>125</v>
      </c>
      <c r="P2409" s="11" t="s">
        <v>9727</v>
      </c>
      <c r="Q2409" s="11" t="s">
        <v>10534</v>
      </c>
      <c r="S2409" s="4" t="b">
        <f>ISNUMBER(MATCH(Q2409,T:T,0))</f>
        <v>1</v>
      </c>
      <c r="T2409" s="4" t="s">
        <v>10527</v>
      </c>
      <c r="U2409" s="4" t="str">
        <f t="shared" si="112"/>
        <v>制</v>
      </c>
    </row>
    <row r="2410" spans="1:22">
      <c r="A2410" s="3">
        <v>2408</v>
      </c>
      <c r="B2410" s="3" t="s">
        <v>5255</v>
      </c>
      <c r="C2410" s="3" t="s">
        <v>6038</v>
      </c>
      <c r="D2410" s="3" t="s">
        <v>6001</v>
      </c>
      <c r="E2410" s="3" t="s">
        <v>5991</v>
      </c>
      <c r="F2410" s="3" t="s">
        <v>5260</v>
      </c>
      <c r="G2410" s="3" t="s">
        <v>4210</v>
      </c>
      <c r="H2410" s="3" t="s">
        <v>5296</v>
      </c>
      <c r="I2410" s="3" t="s">
        <v>2846</v>
      </c>
      <c r="J2410" s="5" t="s">
        <v>5297</v>
      </c>
      <c r="L2410" s="3" t="s">
        <v>4384</v>
      </c>
      <c r="M2410" s="3">
        <v>6</v>
      </c>
      <c r="N2410" s="4" t="s">
        <v>9660</v>
      </c>
      <c r="O2410" s="4">
        <v>125</v>
      </c>
      <c r="P2410" s="11" t="s">
        <v>4210</v>
      </c>
      <c r="Q2410" s="11" t="s">
        <v>10527</v>
      </c>
      <c r="S2410" s="4" t="b">
        <f>ISNUMBER(MATCH(Q2410,T:T,0))</f>
        <v>1</v>
      </c>
      <c r="T2410" s="4" t="s">
        <v>10536</v>
      </c>
      <c r="U2410" s="4" t="str">
        <f t="shared" si="112"/>
        <v>例</v>
      </c>
    </row>
    <row r="2411" spans="1:22">
      <c r="A2411" s="3">
        <v>2409</v>
      </c>
      <c r="B2411" s="3" t="s">
        <v>5255</v>
      </c>
      <c r="C2411" s="3" t="s">
        <v>6120</v>
      </c>
      <c r="D2411" s="3" t="s">
        <v>6001</v>
      </c>
      <c r="E2411" s="3" t="s">
        <v>5991</v>
      </c>
      <c r="F2411" s="3" t="s">
        <v>5256</v>
      </c>
      <c r="G2411" s="3" t="s">
        <v>4210</v>
      </c>
      <c r="H2411" s="3" t="s">
        <v>5298</v>
      </c>
      <c r="I2411" s="3" t="s">
        <v>2846</v>
      </c>
      <c r="J2411" s="8" t="s">
        <v>9225</v>
      </c>
      <c r="L2411" s="3" t="s">
        <v>8760</v>
      </c>
      <c r="M2411" s="3">
        <v>3</v>
      </c>
      <c r="N2411" s="4" t="s">
        <v>9660</v>
      </c>
      <c r="O2411" s="4">
        <v>125</v>
      </c>
      <c r="P2411" s="11" t="s">
        <v>10242</v>
      </c>
      <c r="Q2411" s="11" t="s">
        <v>10534</v>
      </c>
      <c r="S2411" s="4" t="b">
        <f>ISNUMBER(MATCH(Q2411,T:T,0))</f>
        <v>1</v>
      </c>
      <c r="T2411" s="4" t="s">
        <v>12178</v>
      </c>
      <c r="U2411" s="4" t="str">
        <f t="shared" si="112"/>
        <v>制</v>
      </c>
    </row>
    <row r="2412" spans="1:22">
      <c r="A2412" s="3">
        <v>2410</v>
      </c>
      <c r="B2412" s="3" t="s">
        <v>5255</v>
      </c>
      <c r="C2412" s="3" t="s">
        <v>6025</v>
      </c>
      <c r="D2412" s="3" t="s">
        <v>6001</v>
      </c>
      <c r="E2412" s="3" t="s">
        <v>5991</v>
      </c>
      <c r="F2412" s="3" t="s">
        <v>5260</v>
      </c>
      <c r="G2412" s="3" t="s">
        <v>4210</v>
      </c>
      <c r="H2412" s="3" t="s">
        <v>5299</v>
      </c>
      <c r="I2412" s="3" t="s">
        <v>2846</v>
      </c>
      <c r="J2412" s="5" t="s">
        <v>9226</v>
      </c>
      <c r="L2412" s="3" t="s">
        <v>8786</v>
      </c>
      <c r="M2412" s="3">
        <v>8</v>
      </c>
      <c r="N2412" s="4" t="s">
        <v>9660</v>
      </c>
      <c r="O2412" s="4">
        <v>125</v>
      </c>
      <c r="P2412" s="11" t="s">
        <v>9717</v>
      </c>
      <c r="Q2412" s="11" t="s">
        <v>10527</v>
      </c>
      <c r="S2412" s="4" t="b">
        <f>ISNUMBER(MATCH(Q2412,T:T,0))</f>
        <v>1</v>
      </c>
      <c r="T2412" s="4" t="s">
        <v>12179</v>
      </c>
      <c r="U2412" s="4" t="str">
        <f t="shared" si="112"/>
        <v>例</v>
      </c>
    </row>
    <row r="2413" spans="1:22">
      <c r="A2413" s="3">
        <v>2411</v>
      </c>
      <c r="B2413" s="3" t="s">
        <v>5255</v>
      </c>
      <c r="C2413" s="3" t="s">
        <v>6000</v>
      </c>
      <c r="D2413" s="3" t="s">
        <v>6001</v>
      </c>
      <c r="E2413" s="3" t="s">
        <v>5991</v>
      </c>
      <c r="F2413" s="3" t="s">
        <v>5260</v>
      </c>
      <c r="G2413" s="3" t="s">
        <v>4210</v>
      </c>
      <c r="H2413" s="3" t="s">
        <v>5300</v>
      </c>
      <c r="I2413" s="3" t="s">
        <v>2846</v>
      </c>
      <c r="J2413" s="5" t="s">
        <v>5301</v>
      </c>
      <c r="L2413" s="3" t="s">
        <v>8808</v>
      </c>
      <c r="M2413" s="3">
        <v>1</v>
      </c>
      <c r="N2413" s="4" t="s">
        <v>9660</v>
      </c>
      <c r="O2413" s="4">
        <v>125</v>
      </c>
      <c r="P2413" s="11" t="s">
        <v>9803</v>
      </c>
      <c r="Q2413" s="11" t="s">
        <v>10527</v>
      </c>
      <c r="S2413" s="4" t="b">
        <f>ISNUMBER(MATCH(Q2413,T:T,0))</f>
        <v>1</v>
      </c>
      <c r="T2413" s="4" t="s">
        <v>5301</v>
      </c>
      <c r="U2413" s="4" t="str">
        <f t="shared" si="112"/>
        <v>例</v>
      </c>
    </row>
    <row r="2414" spans="1:22">
      <c r="A2414" s="3">
        <v>2412</v>
      </c>
      <c r="B2414" s="3" t="s">
        <v>5255</v>
      </c>
      <c r="C2414" s="3" t="s">
        <v>6041</v>
      </c>
      <c r="D2414" s="3" t="s">
        <v>6001</v>
      </c>
      <c r="E2414" s="3" t="s">
        <v>5991</v>
      </c>
      <c r="F2414" s="3" t="s">
        <v>5260</v>
      </c>
      <c r="G2414" s="3" t="s">
        <v>4210</v>
      </c>
      <c r="H2414" s="3" t="s">
        <v>5302</v>
      </c>
      <c r="I2414" s="3" t="s">
        <v>2846</v>
      </c>
      <c r="J2414" s="5" t="s">
        <v>5303</v>
      </c>
      <c r="L2414" s="3" t="s">
        <v>8786</v>
      </c>
      <c r="M2414" s="3">
        <v>1</v>
      </c>
      <c r="N2414" s="4" t="s">
        <v>9660</v>
      </c>
      <c r="O2414" s="4">
        <v>125</v>
      </c>
      <c r="P2414" s="11" t="s">
        <v>9830</v>
      </c>
      <c r="Q2414" s="11" t="s">
        <v>10536</v>
      </c>
      <c r="S2414" s="4" t="b">
        <f>ISNUMBER(MATCH(Q2414,T:T,0))</f>
        <v>1</v>
      </c>
      <c r="T2414" s="4" t="s">
        <v>5303</v>
      </c>
      <c r="U2414" s="4" t="str">
        <f t="shared" si="112"/>
        <v>憩</v>
      </c>
    </row>
    <row r="2415" spans="1:22">
      <c r="A2415" s="3">
        <v>2413</v>
      </c>
      <c r="B2415" s="3" t="s">
        <v>5255</v>
      </c>
      <c r="C2415" s="3" t="s">
        <v>6148</v>
      </c>
      <c r="D2415" s="3" t="s">
        <v>6001</v>
      </c>
      <c r="E2415" s="3" t="s">
        <v>6212</v>
      </c>
      <c r="F2415" s="3" t="s">
        <v>5256</v>
      </c>
      <c r="G2415" s="3" t="s">
        <v>4210</v>
      </c>
      <c r="H2415" s="7" t="s">
        <v>812</v>
      </c>
      <c r="I2415" s="3" t="s">
        <v>2846</v>
      </c>
      <c r="J2415" s="5" t="s">
        <v>5304</v>
      </c>
      <c r="L2415" s="3" t="s">
        <v>8868</v>
      </c>
      <c r="M2415" s="3">
        <v>1</v>
      </c>
      <c r="N2415" s="4" t="s">
        <v>9660</v>
      </c>
      <c r="O2415" s="4">
        <v>125</v>
      </c>
      <c r="P2415" s="11" t="s">
        <v>10537</v>
      </c>
      <c r="Q2415" s="11" t="s">
        <v>10530</v>
      </c>
      <c r="S2415" s="4" t="b">
        <f>ISNUMBER(MATCH(Q2415,T:T,0))</f>
        <v>1</v>
      </c>
      <c r="T2415" s="4" t="s">
        <v>5304</v>
      </c>
      <c r="U2415" s="4" t="str">
        <f t="shared" si="112"/>
        <v>芮</v>
      </c>
    </row>
    <row r="2416" spans="1:22">
      <c r="A2416" s="3">
        <v>2414</v>
      </c>
      <c r="B2416" s="3" t="s">
        <v>5255</v>
      </c>
      <c r="C2416" s="3" t="s">
        <v>6011</v>
      </c>
      <c r="D2416" s="3" t="s">
        <v>6001</v>
      </c>
      <c r="E2416" s="3" t="s">
        <v>5991</v>
      </c>
      <c r="F2416" s="3" t="s">
        <v>5260</v>
      </c>
      <c r="G2416" s="3" t="s">
        <v>4210</v>
      </c>
      <c r="H2416" s="3" t="s">
        <v>5305</v>
      </c>
      <c r="I2416" s="3" t="s">
        <v>2846</v>
      </c>
      <c r="J2416" s="5" t="s">
        <v>9227</v>
      </c>
      <c r="L2416" s="3" t="s">
        <v>4404</v>
      </c>
      <c r="M2416" s="3">
        <v>12</v>
      </c>
      <c r="N2416" s="4" t="s">
        <v>9660</v>
      </c>
      <c r="O2416" s="4">
        <v>125</v>
      </c>
      <c r="P2416" s="11" t="s">
        <v>9757</v>
      </c>
      <c r="Q2416" s="11" t="s">
        <v>10527</v>
      </c>
      <c r="S2416" s="4" t="b">
        <f>ISNUMBER(MATCH(Q2416,T:T,0))</f>
        <v>1</v>
      </c>
      <c r="T2416" s="4" t="s">
        <v>12180</v>
      </c>
      <c r="U2416" s="4" t="str">
        <f t="shared" si="112"/>
        <v>例</v>
      </c>
    </row>
    <row r="2417" spans="1:22">
      <c r="A2417" s="3">
        <v>2415</v>
      </c>
      <c r="B2417" s="3" t="s">
        <v>5255</v>
      </c>
      <c r="C2417" s="3" t="s">
        <v>6005</v>
      </c>
      <c r="D2417" s="3" t="s">
        <v>6001</v>
      </c>
      <c r="E2417" s="3" t="s">
        <v>6212</v>
      </c>
      <c r="F2417" s="3" t="s">
        <v>5260</v>
      </c>
      <c r="G2417" s="3" t="s">
        <v>4210</v>
      </c>
      <c r="H2417" s="3" t="s">
        <v>5306</v>
      </c>
      <c r="I2417" s="3" t="s">
        <v>2846</v>
      </c>
      <c r="J2417" s="5" t="s">
        <v>5307</v>
      </c>
      <c r="L2417" s="3" t="s">
        <v>4342</v>
      </c>
      <c r="M2417" s="3">
        <v>1</v>
      </c>
      <c r="N2417" s="4" t="s">
        <v>9660</v>
      </c>
      <c r="O2417" s="4">
        <v>125</v>
      </c>
      <c r="P2417" s="11" t="s">
        <v>10333</v>
      </c>
      <c r="Q2417" s="11" t="s">
        <v>10530</v>
      </c>
      <c r="S2417" s="4" t="b">
        <f>ISNUMBER(MATCH(Q2417,T:T,0))</f>
        <v>1</v>
      </c>
      <c r="T2417" s="4" t="s">
        <v>5307</v>
      </c>
      <c r="U2417" s="4" t="str">
        <f t="shared" si="112"/>
        <v>芮</v>
      </c>
    </row>
    <row r="2418" spans="1:22">
      <c r="A2418" s="3">
        <v>2416</v>
      </c>
      <c r="B2418" s="3" t="s">
        <v>5255</v>
      </c>
      <c r="C2418" s="3" t="s">
        <v>6092</v>
      </c>
      <c r="D2418" s="3" t="s">
        <v>6001</v>
      </c>
      <c r="E2418" s="3" t="s">
        <v>5991</v>
      </c>
      <c r="F2418" s="3" t="s">
        <v>5260</v>
      </c>
      <c r="G2418" s="3" t="s">
        <v>4210</v>
      </c>
      <c r="H2418" s="3" t="s">
        <v>5308</v>
      </c>
      <c r="I2418" s="3" t="s">
        <v>2846</v>
      </c>
      <c r="J2418" s="5" t="s">
        <v>5309</v>
      </c>
      <c r="L2418" s="3" t="s">
        <v>4368</v>
      </c>
      <c r="M2418" s="3">
        <v>1</v>
      </c>
      <c r="N2418" s="4" t="s">
        <v>9660</v>
      </c>
      <c r="O2418" s="4">
        <v>125</v>
      </c>
      <c r="P2418" s="11" t="s">
        <v>5008</v>
      </c>
      <c r="Q2418" s="11" t="s">
        <v>10527</v>
      </c>
      <c r="S2418" s="4" t="b">
        <f>ISNUMBER(MATCH(Q2418,T:T,0))</f>
        <v>1</v>
      </c>
      <c r="T2418" s="4" t="s">
        <v>5309</v>
      </c>
      <c r="U2418" s="4" t="str">
        <f t="shared" si="112"/>
        <v>例</v>
      </c>
    </row>
    <row r="2419" spans="1:22">
      <c r="A2419" s="3">
        <v>2417</v>
      </c>
      <c r="B2419" s="3" t="s">
        <v>5255</v>
      </c>
      <c r="C2419" s="3" t="s">
        <v>6083</v>
      </c>
      <c r="D2419" s="3" t="s">
        <v>6001</v>
      </c>
      <c r="E2419" s="3" t="s">
        <v>6212</v>
      </c>
      <c r="F2419" s="3" t="s">
        <v>5256</v>
      </c>
      <c r="G2419" s="3" t="s">
        <v>4210</v>
      </c>
      <c r="H2419" s="3" t="s">
        <v>5310</v>
      </c>
      <c r="I2419" s="3" t="s">
        <v>2846</v>
      </c>
      <c r="J2419" s="5" t="s">
        <v>5311</v>
      </c>
      <c r="L2419" s="3" t="s">
        <v>8848</v>
      </c>
      <c r="M2419" s="3">
        <v>3</v>
      </c>
      <c r="N2419" s="4" t="s">
        <v>9660</v>
      </c>
      <c r="O2419" s="4">
        <v>125</v>
      </c>
      <c r="P2419" s="11" t="s">
        <v>9737</v>
      </c>
      <c r="Q2419" s="11" t="s">
        <v>10530</v>
      </c>
      <c r="S2419" s="4" t="b">
        <f>ISNUMBER(MATCH(Q2419,T:T,0))</f>
        <v>1</v>
      </c>
      <c r="T2419" s="4" t="s">
        <v>12181</v>
      </c>
      <c r="U2419" s="4" t="str">
        <f t="shared" si="112"/>
        <v>芮</v>
      </c>
    </row>
    <row r="2420" spans="1:22">
      <c r="A2420" s="3">
        <v>2418</v>
      </c>
      <c r="B2420" s="3" t="s">
        <v>5255</v>
      </c>
      <c r="C2420" s="3" t="s">
        <v>6053</v>
      </c>
      <c r="D2420" s="3" t="s">
        <v>6001</v>
      </c>
      <c r="E2420" s="3" t="s">
        <v>5991</v>
      </c>
      <c r="F2420" s="3" t="s">
        <v>5256</v>
      </c>
      <c r="G2420" s="3" t="s">
        <v>4210</v>
      </c>
      <c r="H2420" s="3" t="s">
        <v>5312</v>
      </c>
      <c r="I2420" s="3" t="s">
        <v>2846</v>
      </c>
      <c r="J2420" s="5" t="s">
        <v>5313</v>
      </c>
      <c r="L2420" s="3" t="s">
        <v>8768</v>
      </c>
      <c r="M2420" s="3">
        <v>1</v>
      </c>
      <c r="N2420" s="4" t="s">
        <v>9660</v>
      </c>
      <c r="O2420" s="4">
        <v>125</v>
      </c>
      <c r="P2420" s="11" t="s">
        <v>9772</v>
      </c>
      <c r="Q2420" s="11" t="s">
        <v>10538</v>
      </c>
      <c r="S2420" s="4" t="b">
        <f>ISNUMBER(MATCH(Q2420,T:T,0))</f>
        <v>1</v>
      </c>
      <c r="T2420" s="4" t="s">
        <v>5313</v>
      </c>
      <c r="U2420" s="4" t="str">
        <f t="shared" si="112"/>
        <v>蔽</v>
      </c>
    </row>
    <row r="2421" spans="1:22">
      <c r="A2421" s="3">
        <v>2419</v>
      </c>
      <c r="B2421" s="3" t="s">
        <v>5314</v>
      </c>
      <c r="C2421" s="3" t="s">
        <v>6038</v>
      </c>
      <c r="D2421" s="3" t="s">
        <v>6001</v>
      </c>
      <c r="E2421" s="3" t="s">
        <v>6212</v>
      </c>
      <c r="F2421" s="3" t="s">
        <v>5315</v>
      </c>
      <c r="G2421" s="3" t="s">
        <v>4210</v>
      </c>
      <c r="H2421" s="3" t="s">
        <v>5316</v>
      </c>
      <c r="I2421" s="3" t="s">
        <v>2846</v>
      </c>
      <c r="J2421" s="5" t="s">
        <v>5317</v>
      </c>
      <c r="L2421" s="3" t="s">
        <v>4391</v>
      </c>
      <c r="M2421" s="3">
        <v>1</v>
      </c>
      <c r="N2421" s="4" t="s">
        <v>5315</v>
      </c>
      <c r="O2421" s="4">
        <v>126</v>
      </c>
      <c r="P2421" s="11" t="s">
        <v>9825</v>
      </c>
      <c r="Q2421" s="11" t="s">
        <v>10539</v>
      </c>
      <c r="S2421" s="4" t="b">
        <f>ISNUMBER(MATCH(Q2421,T:T,0))</f>
        <v>1</v>
      </c>
      <c r="T2421" s="4" t="s">
        <v>5317</v>
      </c>
      <c r="U2421" s="4" t="str">
        <f t="shared" si="112"/>
        <v>吠</v>
      </c>
    </row>
    <row r="2422" spans="1:22" ht="28.5">
      <c r="A2422" s="3">
        <v>2420</v>
      </c>
      <c r="B2422" s="3" t="s">
        <v>5314</v>
      </c>
      <c r="C2422" s="3" t="s">
        <v>6089</v>
      </c>
      <c r="D2422" s="3" t="s">
        <v>6001</v>
      </c>
      <c r="E2422" s="3" t="s">
        <v>6212</v>
      </c>
      <c r="F2422" s="3" t="s">
        <v>5315</v>
      </c>
      <c r="G2422" s="3" t="s">
        <v>4210</v>
      </c>
      <c r="H2422" s="3" t="s">
        <v>5319</v>
      </c>
      <c r="I2422" s="3" t="s">
        <v>2846</v>
      </c>
      <c r="J2422" s="5" t="s">
        <v>5320</v>
      </c>
      <c r="L2422" s="3" t="s">
        <v>5869</v>
      </c>
      <c r="M2422" s="3">
        <v>1</v>
      </c>
      <c r="N2422" s="4" t="s">
        <v>5315</v>
      </c>
      <c r="O2422" s="4">
        <v>126</v>
      </c>
      <c r="P2422" s="11" t="s">
        <v>9739</v>
      </c>
      <c r="Q2422" s="11" t="s">
        <v>12990</v>
      </c>
      <c r="S2422" s="4" t="b">
        <f>ISNUMBER(MATCH(Q2422,T:T,0))</f>
        <v>1</v>
      </c>
      <c r="T2422" s="4" t="s">
        <v>5320</v>
      </c>
      <c r="U2422" s="4" t="str">
        <f t="shared" si="112"/>
        <v>吠</v>
      </c>
    </row>
    <row r="2423" spans="1:22">
      <c r="A2423" s="3">
        <v>2542</v>
      </c>
      <c r="B2423" s="3" t="s">
        <v>5314</v>
      </c>
      <c r="C2423" s="3" t="s">
        <v>6049</v>
      </c>
      <c r="D2423" s="3" t="s">
        <v>6001</v>
      </c>
      <c r="E2423" s="3" t="s">
        <v>6212</v>
      </c>
      <c r="F2423" s="3" t="s">
        <v>5315</v>
      </c>
      <c r="G2423" s="3" t="s">
        <v>4210</v>
      </c>
      <c r="H2423" s="3" t="s">
        <v>5550</v>
      </c>
      <c r="I2423" s="3" t="s">
        <v>2846</v>
      </c>
      <c r="J2423" s="5" t="s">
        <v>9268</v>
      </c>
      <c r="L2423" s="3" t="s">
        <v>8997</v>
      </c>
      <c r="M2423" s="3">
        <v>9</v>
      </c>
      <c r="N2423" s="4" t="s">
        <v>5315</v>
      </c>
      <c r="O2423" s="4">
        <v>126</v>
      </c>
      <c r="P2423" s="11" t="s">
        <v>9723</v>
      </c>
      <c r="Q2423" s="11" t="s">
        <v>10573</v>
      </c>
      <c r="S2423" s="4" t="b">
        <f>ISNUMBER(MATCH(Q2423,T:T,0))</f>
        <v>1</v>
      </c>
      <c r="T2423" s="4" t="s">
        <v>5315</v>
      </c>
      <c r="U2423" s="4" t="str">
        <f t="shared" si="112"/>
        <v>肺</v>
      </c>
    </row>
    <row r="2424" spans="1:22" ht="28.5">
      <c r="A2424" s="3">
        <v>2543</v>
      </c>
      <c r="B2424" s="3" t="s">
        <v>5314</v>
      </c>
      <c r="C2424" s="3" t="s">
        <v>6053</v>
      </c>
      <c r="D2424" s="3" t="s">
        <v>6001</v>
      </c>
      <c r="E2424" s="3" t="s">
        <v>6212</v>
      </c>
      <c r="F2424" s="3" t="s">
        <v>5315</v>
      </c>
      <c r="G2424" s="3" t="s">
        <v>4210</v>
      </c>
      <c r="H2424" s="3" t="s">
        <v>5551</v>
      </c>
      <c r="I2424" s="3" t="s">
        <v>2846</v>
      </c>
      <c r="J2424" s="5" t="s">
        <v>9269</v>
      </c>
      <c r="L2424" s="3" t="s">
        <v>8997</v>
      </c>
      <c r="M2424" s="3">
        <v>4</v>
      </c>
      <c r="N2424" s="4" t="s">
        <v>5315</v>
      </c>
      <c r="O2424" s="4">
        <v>126</v>
      </c>
      <c r="P2424" s="11" t="s">
        <v>9723</v>
      </c>
      <c r="Q2424" s="11" t="s">
        <v>10574</v>
      </c>
      <c r="R2424" s="4" t="s">
        <v>13135</v>
      </c>
      <c r="S2424" s="4" t="b">
        <f>ISNUMBER(MATCH(Q2424,T:T,0))</f>
        <v>0</v>
      </c>
      <c r="T2424" s="4" t="s">
        <v>10573</v>
      </c>
      <c r="U2424" s="4" t="str">
        <f t="shared" si="112"/>
        <v>廢</v>
      </c>
      <c r="V2424" s="4" t="b">
        <f>ISNUMBER(MATCH(R2424,T:T,0))</f>
        <v>1</v>
      </c>
    </row>
    <row r="2425" spans="1:22">
      <c r="A2425" s="3">
        <v>2544</v>
      </c>
      <c r="B2425" s="3" t="s">
        <v>5314</v>
      </c>
      <c r="C2425" s="3" t="s">
        <v>6072</v>
      </c>
      <c r="D2425" s="3" t="s">
        <v>6001</v>
      </c>
      <c r="E2425" s="3" t="s">
        <v>6212</v>
      </c>
      <c r="F2425" s="3" t="s">
        <v>5315</v>
      </c>
      <c r="G2425" s="3" t="s">
        <v>4210</v>
      </c>
      <c r="H2425" s="3" t="s">
        <v>5552</v>
      </c>
      <c r="I2425" s="3" t="s">
        <v>2846</v>
      </c>
      <c r="J2425" s="5" t="s">
        <v>5553</v>
      </c>
      <c r="L2425" s="3" t="s">
        <v>4352</v>
      </c>
      <c r="M2425" s="3">
        <v>6</v>
      </c>
      <c r="N2425" s="4" t="s">
        <v>5315</v>
      </c>
      <c r="O2425" s="4">
        <v>126</v>
      </c>
      <c r="P2425" s="11" t="s">
        <v>9754</v>
      </c>
      <c r="Q2425" s="11" t="s">
        <v>5315</v>
      </c>
      <c r="S2425" s="4" t="b">
        <f>ISNUMBER(MATCH(Q2425,T:T,0))</f>
        <v>1</v>
      </c>
      <c r="T2425" s="4" t="s">
        <v>10575</v>
      </c>
      <c r="U2425" s="4" t="str">
        <f t="shared" si="112"/>
        <v>廢</v>
      </c>
    </row>
    <row r="2426" spans="1:22">
      <c r="A2426" s="3">
        <v>2545</v>
      </c>
      <c r="B2426" s="3" t="s">
        <v>5314</v>
      </c>
      <c r="C2426" s="3" t="s">
        <v>6045</v>
      </c>
      <c r="D2426" s="3" t="s">
        <v>6001</v>
      </c>
      <c r="E2426" s="3" t="s">
        <v>6212</v>
      </c>
      <c r="F2426" s="3" t="s">
        <v>5315</v>
      </c>
      <c r="G2426" s="3" t="s">
        <v>4210</v>
      </c>
      <c r="H2426" s="3" t="s">
        <v>5554</v>
      </c>
      <c r="I2426" s="3" t="s">
        <v>2846</v>
      </c>
      <c r="J2426" s="5" t="s">
        <v>5555</v>
      </c>
      <c r="L2426" s="3" t="s">
        <v>8997</v>
      </c>
      <c r="M2426" s="3">
        <v>4</v>
      </c>
      <c r="N2426" s="4" t="s">
        <v>5315</v>
      </c>
      <c r="O2426" s="4">
        <v>126</v>
      </c>
      <c r="P2426" s="11" t="s">
        <v>9759</v>
      </c>
      <c r="Q2426" s="11" t="s">
        <v>5315</v>
      </c>
      <c r="S2426" s="4" t="b">
        <f>ISNUMBER(MATCH(Q2426,T:T,0))</f>
        <v>1</v>
      </c>
      <c r="T2426" s="4" t="s">
        <v>10539</v>
      </c>
      <c r="U2426" s="4" t="str">
        <f t="shared" si="112"/>
        <v>廢</v>
      </c>
    </row>
    <row r="2427" spans="1:22">
      <c r="A2427" s="3">
        <v>2546</v>
      </c>
      <c r="B2427" s="3" t="s">
        <v>5314</v>
      </c>
      <c r="C2427" s="3" t="s">
        <v>6089</v>
      </c>
      <c r="D2427" s="3" t="s">
        <v>6001</v>
      </c>
      <c r="E2427" s="3" t="s">
        <v>6212</v>
      </c>
      <c r="F2427" s="3" t="s">
        <v>5315</v>
      </c>
      <c r="G2427" s="3" t="s">
        <v>4210</v>
      </c>
      <c r="H2427" s="3" t="s">
        <v>5556</v>
      </c>
      <c r="I2427" s="3" t="s">
        <v>2846</v>
      </c>
      <c r="J2427" s="5" t="s">
        <v>5557</v>
      </c>
      <c r="L2427" s="3" t="s">
        <v>5869</v>
      </c>
      <c r="M2427" s="3">
        <v>6</v>
      </c>
      <c r="N2427" s="4" t="s">
        <v>5315</v>
      </c>
      <c r="O2427" s="4">
        <v>126</v>
      </c>
      <c r="P2427" s="11" t="s">
        <v>9753</v>
      </c>
      <c r="Q2427" s="11" t="s">
        <v>10575</v>
      </c>
      <c r="S2427" s="4" t="b">
        <f>ISNUMBER(MATCH(Q2427,T:T,0))</f>
        <v>1</v>
      </c>
      <c r="T2427" s="4" t="s">
        <v>12247</v>
      </c>
      <c r="U2427" s="4" t="str">
        <f t="shared" si="112"/>
        <v>穢</v>
      </c>
    </row>
    <row r="2428" spans="1:22">
      <c r="A2428" s="3">
        <v>2547</v>
      </c>
      <c r="B2428" s="3" t="s">
        <v>5314</v>
      </c>
      <c r="C2428" s="3" t="s">
        <v>6041</v>
      </c>
      <c r="D2428" s="3" t="s">
        <v>6001</v>
      </c>
      <c r="E2428" s="3" t="s">
        <v>6212</v>
      </c>
      <c r="F2428" s="3" t="s">
        <v>5315</v>
      </c>
      <c r="G2428" s="3" t="s">
        <v>4210</v>
      </c>
      <c r="H2428" s="3" t="s">
        <v>5558</v>
      </c>
      <c r="I2428" s="3" t="s">
        <v>2846</v>
      </c>
      <c r="J2428" s="5" t="s">
        <v>5559</v>
      </c>
      <c r="L2428" s="3" t="s">
        <v>8857</v>
      </c>
      <c r="M2428" s="3">
        <v>1</v>
      </c>
      <c r="N2428" s="4" t="s">
        <v>5315</v>
      </c>
      <c r="O2428" s="4">
        <v>126</v>
      </c>
      <c r="P2428" s="11" t="s">
        <v>9721</v>
      </c>
      <c r="Q2428" s="11" t="s">
        <v>10575</v>
      </c>
      <c r="S2428" s="4" t="b">
        <f>ISNUMBER(MATCH(Q2428,T:T,0))</f>
        <v>1</v>
      </c>
      <c r="T2428" s="4" t="s">
        <v>5559</v>
      </c>
      <c r="U2428" s="4" t="str">
        <f t="shared" si="112"/>
        <v>穢</v>
      </c>
    </row>
    <row r="2429" spans="1:22">
      <c r="A2429" s="3">
        <v>2548</v>
      </c>
      <c r="B2429" s="3" t="s">
        <v>5314</v>
      </c>
      <c r="C2429" s="3" t="s">
        <v>6092</v>
      </c>
      <c r="D2429" s="3" t="s">
        <v>6001</v>
      </c>
      <c r="E2429" s="3" t="s">
        <v>5991</v>
      </c>
      <c r="F2429" s="3" t="s">
        <v>5315</v>
      </c>
      <c r="G2429" s="3" t="s">
        <v>4210</v>
      </c>
      <c r="H2429" s="3" t="s">
        <v>5560</v>
      </c>
      <c r="I2429" s="3" t="s">
        <v>2846</v>
      </c>
      <c r="J2429" s="5" t="s">
        <v>5561</v>
      </c>
      <c r="L2429" s="3" t="s">
        <v>4368</v>
      </c>
      <c r="M2429" s="3">
        <v>8</v>
      </c>
      <c r="N2429" s="4" t="s">
        <v>5315</v>
      </c>
      <c r="O2429" s="4">
        <v>126</v>
      </c>
      <c r="P2429" s="11" t="s">
        <v>6462</v>
      </c>
      <c r="Q2429" s="11" t="s">
        <v>10573</v>
      </c>
      <c r="S2429" s="4" t="b">
        <f>ISNUMBER(MATCH(Q2429,T:T,0))</f>
        <v>1</v>
      </c>
      <c r="T2429" s="4" t="s">
        <v>12248</v>
      </c>
      <c r="U2429" s="4" t="str">
        <f t="shared" si="112"/>
        <v>肺</v>
      </c>
    </row>
    <row r="2430" spans="1:22">
      <c r="A2430" s="3">
        <v>2421</v>
      </c>
      <c r="B2430" s="3" t="s">
        <v>5321</v>
      </c>
      <c r="C2430" s="3" t="s">
        <v>6079</v>
      </c>
      <c r="D2430" s="3" t="s">
        <v>5990</v>
      </c>
      <c r="E2430" s="3" t="s">
        <v>5991</v>
      </c>
      <c r="F2430" s="3" t="s">
        <v>5322</v>
      </c>
      <c r="G2430" s="3" t="s">
        <v>4210</v>
      </c>
      <c r="H2430" s="3" t="s">
        <v>5323</v>
      </c>
      <c r="I2430" s="3" t="s">
        <v>2846</v>
      </c>
      <c r="J2430" s="5" t="s">
        <v>9228</v>
      </c>
      <c r="L2430" s="3" t="s">
        <v>5324</v>
      </c>
      <c r="M2430" s="3">
        <v>4</v>
      </c>
      <c r="N2430" s="4" t="s">
        <v>5322</v>
      </c>
      <c r="O2430" s="4">
        <v>127</v>
      </c>
      <c r="P2430" s="11" t="s">
        <v>9736</v>
      </c>
      <c r="Q2430" s="11" t="s">
        <v>10540</v>
      </c>
      <c r="S2430" s="4" t="b">
        <f>ISNUMBER(MATCH(Q2430,T:T,0))</f>
        <v>1</v>
      </c>
      <c r="T2430" s="4" t="s">
        <v>10541</v>
      </c>
      <c r="U2430" s="4" t="str">
        <f t="shared" si="112"/>
        <v>蓋</v>
      </c>
    </row>
    <row r="2431" spans="1:22">
      <c r="A2431" s="3">
        <v>2422</v>
      </c>
      <c r="B2431" s="3" t="s">
        <v>5321</v>
      </c>
      <c r="C2431" s="3" t="s">
        <v>6025</v>
      </c>
      <c r="D2431" s="3" t="s">
        <v>5990</v>
      </c>
      <c r="E2431" s="3" t="s">
        <v>5991</v>
      </c>
      <c r="F2431" s="3" t="s">
        <v>5322</v>
      </c>
      <c r="G2431" s="3" t="s">
        <v>4210</v>
      </c>
      <c r="H2431" s="3" t="s">
        <v>5325</v>
      </c>
      <c r="I2431" s="3" t="s">
        <v>2846</v>
      </c>
      <c r="J2431" s="5" t="s">
        <v>9229</v>
      </c>
      <c r="L2431" s="3" t="s">
        <v>5326</v>
      </c>
      <c r="M2431" s="3">
        <v>3</v>
      </c>
      <c r="N2431" s="4" t="s">
        <v>5322</v>
      </c>
      <c r="O2431" s="4">
        <v>127</v>
      </c>
      <c r="P2431" s="11" t="s">
        <v>9729</v>
      </c>
      <c r="Q2431" s="11" t="s">
        <v>10541</v>
      </c>
      <c r="S2431" s="4" t="b">
        <f>ISNUMBER(MATCH(Q2431,T:T,0))</f>
        <v>1</v>
      </c>
      <c r="T2431" s="4" t="s">
        <v>10540</v>
      </c>
      <c r="U2431" s="4" t="str">
        <f t="shared" si="112"/>
        <v>太</v>
      </c>
    </row>
    <row r="2432" spans="1:22">
      <c r="A2432" s="3">
        <v>2423</v>
      </c>
      <c r="B2432" s="3" t="s">
        <v>5321</v>
      </c>
      <c r="C2432" s="3" t="s">
        <v>6092</v>
      </c>
      <c r="D2432" s="3" t="s">
        <v>5990</v>
      </c>
      <c r="E2432" s="3" t="s">
        <v>5991</v>
      </c>
      <c r="F2432" s="3" t="s">
        <v>5322</v>
      </c>
      <c r="G2432" s="3" t="s">
        <v>4210</v>
      </c>
      <c r="H2432" s="3" t="s">
        <v>5327</v>
      </c>
      <c r="I2432" s="3" t="s">
        <v>2846</v>
      </c>
      <c r="J2432" s="5" t="s">
        <v>5328</v>
      </c>
      <c r="L2432" s="3" t="s">
        <v>5329</v>
      </c>
      <c r="M2432" s="3">
        <v>3</v>
      </c>
      <c r="N2432" s="4" t="s">
        <v>5322</v>
      </c>
      <c r="O2432" s="4">
        <v>127</v>
      </c>
      <c r="P2432" s="11" t="s">
        <v>9740</v>
      </c>
      <c r="Q2432" s="11" t="s">
        <v>10540</v>
      </c>
      <c r="S2432" s="4" t="b">
        <f>ISNUMBER(MATCH(Q2432,T:T,0))</f>
        <v>1</v>
      </c>
      <c r="T2432" s="4" t="s">
        <v>10547</v>
      </c>
      <c r="U2432" s="4" t="str">
        <f t="shared" si="112"/>
        <v>蓋</v>
      </c>
    </row>
    <row r="2433" spans="1:21">
      <c r="A2433" s="3">
        <v>2424</v>
      </c>
      <c r="B2433" s="3" t="s">
        <v>5321</v>
      </c>
      <c r="C2433" s="3" t="s">
        <v>6072</v>
      </c>
      <c r="D2433" s="3" t="s">
        <v>5990</v>
      </c>
      <c r="E2433" s="3" t="s">
        <v>5991</v>
      </c>
      <c r="F2433" s="3" t="s">
        <v>5322</v>
      </c>
      <c r="G2433" s="3" t="s">
        <v>4210</v>
      </c>
      <c r="H2433" s="3" t="s">
        <v>5330</v>
      </c>
      <c r="I2433" s="3" t="s">
        <v>2846</v>
      </c>
      <c r="J2433" s="5" t="s">
        <v>9230</v>
      </c>
      <c r="L2433" s="3" t="s">
        <v>5329</v>
      </c>
      <c r="M2433" s="3">
        <v>10</v>
      </c>
      <c r="N2433" s="4" t="s">
        <v>5322</v>
      </c>
      <c r="O2433" s="4">
        <v>127</v>
      </c>
      <c r="P2433" s="11" t="s">
        <v>9754</v>
      </c>
      <c r="Q2433" s="11" t="s">
        <v>10540</v>
      </c>
      <c r="S2433" s="4" t="b">
        <f>ISNUMBER(MATCH(Q2433,T:T,0))</f>
        <v>1</v>
      </c>
      <c r="T2433" s="4" t="s">
        <v>12182</v>
      </c>
      <c r="U2433" s="4" t="str">
        <f t="shared" si="112"/>
        <v>蓋</v>
      </c>
    </row>
    <row r="2434" spans="1:21">
      <c r="A2434" s="3">
        <v>2425</v>
      </c>
      <c r="B2434" s="3" t="s">
        <v>5321</v>
      </c>
      <c r="C2434" s="3" t="s">
        <v>6102</v>
      </c>
      <c r="D2434" s="3" t="s">
        <v>5990</v>
      </c>
      <c r="E2434" s="3" t="s">
        <v>5991</v>
      </c>
      <c r="F2434" s="3" t="s">
        <v>5322</v>
      </c>
      <c r="G2434" s="3" t="s">
        <v>4210</v>
      </c>
      <c r="H2434" s="3" t="s">
        <v>5331</v>
      </c>
      <c r="I2434" s="3" t="s">
        <v>2846</v>
      </c>
      <c r="J2434" s="5" t="s">
        <v>5332</v>
      </c>
      <c r="L2434" s="3" t="s">
        <v>5333</v>
      </c>
      <c r="M2434" s="3">
        <v>5</v>
      </c>
      <c r="N2434" s="4" t="s">
        <v>5322</v>
      </c>
      <c r="O2434" s="4">
        <v>127</v>
      </c>
      <c r="P2434" s="11" t="s">
        <v>9744</v>
      </c>
      <c r="Q2434" s="11" t="s">
        <v>10542</v>
      </c>
      <c r="S2434" s="4" t="b">
        <f>ISNUMBER(MATCH(Q2434,T:T,0))</f>
        <v>1</v>
      </c>
      <c r="T2434" s="4" t="s">
        <v>12183</v>
      </c>
      <c r="U2434" s="4" t="str">
        <f t="shared" si="112"/>
        <v>帶</v>
      </c>
    </row>
    <row r="2435" spans="1:21">
      <c r="A2435" s="3">
        <v>2426</v>
      </c>
      <c r="B2435" s="3" t="s">
        <v>5321</v>
      </c>
      <c r="C2435" s="3" t="s">
        <v>5997</v>
      </c>
      <c r="D2435" s="3" t="s">
        <v>5990</v>
      </c>
      <c r="E2435" s="3" t="s">
        <v>5991</v>
      </c>
      <c r="F2435" s="3" t="s">
        <v>5322</v>
      </c>
      <c r="G2435" s="3" t="s">
        <v>4210</v>
      </c>
      <c r="H2435" s="3" t="s">
        <v>5334</v>
      </c>
      <c r="I2435" s="3" t="s">
        <v>2846</v>
      </c>
      <c r="J2435" s="5" t="s">
        <v>5335</v>
      </c>
      <c r="L2435" s="3" t="s">
        <v>5898</v>
      </c>
      <c r="M2435" s="3">
        <v>8</v>
      </c>
      <c r="N2435" s="4" t="s">
        <v>5322</v>
      </c>
      <c r="O2435" s="4">
        <v>127</v>
      </c>
      <c r="P2435" s="11" t="s">
        <v>9706</v>
      </c>
      <c r="Q2435" s="11" t="s">
        <v>10540</v>
      </c>
      <c r="S2435" s="4" t="b">
        <f>ISNUMBER(MATCH(Q2435,T:T,0))</f>
        <v>1</v>
      </c>
      <c r="T2435" s="4" t="s">
        <v>10546</v>
      </c>
      <c r="U2435" s="4" t="str">
        <f t="shared" ref="U2435:U2498" si="114">IF(ISBLANK(R2435),Q2435,R2435)</f>
        <v>蓋</v>
      </c>
    </row>
    <row r="2436" spans="1:21">
      <c r="A2436" s="3">
        <v>2427</v>
      </c>
      <c r="B2436" s="3" t="s">
        <v>5321</v>
      </c>
      <c r="C2436" s="3" t="s">
        <v>6067</v>
      </c>
      <c r="D2436" s="3" t="s">
        <v>5990</v>
      </c>
      <c r="E2436" s="3" t="s">
        <v>5991</v>
      </c>
      <c r="F2436" s="3" t="s">
        <v>5322</v>
      </c>
      <c r="G2436" s="3" t="s">
        <v>4210</v>
      </c>
      <c r="H2436" s="3" t="s">
        <v>5336</v>
      </c>
      <c r="I2436" s="3" t="s">
        <v>2846</v>
      </c>
      <c r="J2436" s="5" t="s">
        <v>5337</v>
      </c>
      <c r="L2436" s="3" t="s">
        <v>5905</v>
      </c>
      <c r="M2436" s="3">
        <v>4</v>
      </c>
      <c r="N2436" s="4" t="s">
        <v>5322</v>
      </c>
      <c r="O2436" s="4">
        <v>127</v>
      </c>
      <c r="P2436" s="11" t="s">
        <v>9870</v>
      </c>
      <c r="Q2436" s="11" t="s">
        <v>10540</v>
      </c>
      <c r="S2436" s="4" t="b">
        <f>ISNUMBER(MATCH(Q2436,T:T,0))</f>
        <v>1</v>
      </c>
      <c r="T2436" s="4" t="s">
        <v>12184</v>
      </c>
      <c r="U2436" s="4" t="str">
        <f t="shared" si="114"/>
        <v>蓋</v>
      </c>
    </row>
    <row r="2437" spans="1:21">
      <c r="A2437" s="3">
        <v>2428</v>
      </c>
      <c r="B2437" s="3" t="s">
        <v>5321</v>
      </c>
      <c r="C2437" s="3" t="s">
        <v>5989</v>
      </c>
      <c r="D2437" s="3" t="s">
        <v>5990</v>
      </c>
      <c r="E2437" s="3" t="s">
        <v>5991</v>
      </c>
      <c r="F2437" s="3" t="s">
        <v>5322</v>
      </c>
      <c r="G2437" s="3" t="s">
        <v>4210</v>
      </c>
      <c r="H2437" s="3" t="s">
        <v>5338</v>
      </c>
      <c r="I2437" s="3" t="s">
        <v>2846</v>
      </c>
      <c r="J2437" s="5" t="s">
        <v>5339</v>
      </c>
      <c r="L2437" s="3" t="s">
        <v>5898</v>
      </c>
      <c r="M2437" s="3">
        <v>7</v>
      </c>
      <c r="N2437" s="4" t="s">
        <v>5322</v>
      </c>
      <c r="O2437" s="4">
        <v>127</v>
      </c>
      <c r="P2437" s="11" t="s">
        <v>9883</v>
      </c>
      <c r="Q2437" s="11" t="s">
        <v>10540</v>
      </c>
      <c r="S2437" s="4" t="b">
        <f>ISNUMBER(MATCH(Q2437,T:T,0))</f>
        <v>1</v>
      </c>
      <c r="T2437" s="4" t="s">
        <v>10542</v>
      </c>
      <c r="U2437" s="4" t="str">
        <f t="shared" si="114"/>
        <v>蓋</v>
      </c>
    </row>
    <row r="2438" spans="1:21">
      <c r="A2438" s="3">
        <v>2429</v>
      </c>
      <c r="B2438" s="3" t="s">
        <v>5321</v>
      </c>
      <c r="C2438" s="3" t="s">
        <v>6049</v>
      </c>
      <c r="D2438" s="3" t="s">
        <v>5990</v>
      </c>
      <c r="E2438" s="3" t="s">
        <v>5991</v>
      </c>
      <c r="F2438" s="3" t="s">
        <v>5322</v>
      </c>
      <c r="G2438" s="3" t="s">
        <v>4210</v>
      </c>
      <c r="H2438" s="7" t="s">
        <v>813</v>
      </c>
      <c r="I2438" s="3" t="s">
        <v>2846</v>
      </c>
      <c r="J2438" s="5" t="s">
        <v>5340</v>
      </c>
      <c r="L2438" s="3" t="s">
        <v>5882</v>
      </c>
      <c r="M2438" s="3">
        <v>14</v>
      </c>
      <c r="N2438" s="4" t="s">
        <v>5322</v>
      </c>
      <c r="O2438" s="4">
        <v>127</v>
      </c>
      <c r="P2438" s="11" t="s">
        <v>10368</v>
      </c>
      <c r="Q2438" s="11" t="s">
        <v>10540</v>
      </c>
      <c r="S2438" s="4" t="b">
        <f>ISNUMBER(MATCH(Q2438,T:T,0))</f>
        <v>1</v>
      </c>
      <c r="T2438" s="4" t="s">
        <v>10548</v>
      </c>
      <c r="U2438" s="4" t="str">
        <f t="shared" si="114"/>
        <v>蓋</v>
      </c>
    </row>
    <row r="2439" spans="1:21">
      <c r="A2439" s="3">
        <v>2430</v>
      </c>
      <c r="B2439" s="3" t="s">
        <v>5321</v>
      </c>
      <c r="C2439" s="3" t="s">
        <v>6053</v>
      </c>
      <c r="D2439" s="3" t="s">
        <v>5990</v>
      </c>
      <c r="E2439" s="3" t="s">
        <v>5991</v>
      </c>
      <c r="F2439" s="3" t="s">
        <v>5322</v>
      </c>
      <c r="G2439" s="3" t="s">
        <v>4210</v>
      </c>
      <c r="H2439" s="3" t="s">
        <v>5341</v>
      </c>
      <c r="I2439" s="3" t="s">
        <v>2846</v>
      </c>
      <c r="J2439" s="5" t="s">
        <v>5342</v>
      </c>
      <c r="L2439" s="3" t="s">
        <v>5343</v>
      </c>
      <c r="M2439" s="3">
        <v>5</v>
      </c>
      <c r="N2439" s="4" t="s">
        <v>5322</v>
      </c>
      <c r="O2439" s="4">
        <v>127</v>
      </c>
      <c r="P2439" s="11" t="s">
        <v>9884</v>
      </c>
      <c r="Q2439" s="11" t="s">
        <v>10540</v>
      </c>
      <c r="S2439" s="4" t="b">
        <f>ISNUMBER(MATCH(Q2439,T:T,0))</f>
        <v>1</v>
      </c>
      <c r="T2439" s="4" t="s">
        <v>12185</v>
      </c>
      <c r="U2439" s="4" t="str">
        <f t="shared" si="114"/>
        <v>蓋</v>
      </c>
    </row>
    <row r="2440" spans="1:21">
      <c r="A2440" s="3">
        <v>2431</v>
      </c>
      <c r="B2440" s="3" t="s">
        <v>5321</v>
      </c>
      <c r="C2440" s="3" t="s">
        <v>6067</v>
      </c>
      <c r="D2440" s="3" t="s">
        <v>5990</v>
      </c>
      <c r="E2440" s="3" t="s">
        <v>6212</v>
      </c>
      <c r="F2440" s="3" t="s">
        <v>5322</v>
      </c>
      <c r="G2440" s="3" t="s">
        <v>4210</v>
      </c>
      <c r="H2440" s="3" t="s">
        <v>5344</v>
      </c>
      <c r="I2440" s="3" t="s">
        <v>2846</v>
      </c>
      <c r="J2440" s="5" t="s">
        <v>5345</v>
      </c>
      <c r="L2440" s="3" t="s">
        <v>5869</v>
      </c>
      <c r="M2440" s="3">
        <v>5</v>
      </c>
      <c r="N2440" s="4" t="s">
        <v>5322</v>
      </c>
      <c r="O2440" s="4">
        <v>127</v>
      </c>
      <c r="P2440" s="11" t="s">
        <v>10089</v>
      </c>
      <c r="Q2440" s="11" t="s">
        <v>5356</v>
      </c>
      <c r="S2440" s="4" t="b">
        <f>ISNUMBER(MATCH(Q2440,T:T,0))</f>
        <v>1</v>
      </c>
      <c r="T2440" s="4" t="s">
        <v>10543</v>
      </c>
      <c r="U2440" s="4" t="str">
        <f t="shared" si="114"/>
        <v>外</v>
      </c>
    </row>
    <row r="2441" spans="1:21">
      <c r="A2441" s="3">
        <v>2432</v>
      </c>
      <c r="B2441" s="3" t="s">
        <v>5321</v>
      </c>
      <c r="C2441" s="3" t="s">
        <v>5997</v>
      </c>
      <c r="D2441" s="3" t="s">
        <v>5990</v>
      </c>
      <c r="E2441" s="3" t="s">
        <v>6212</v>
      </c>
      <c r="F2441" s="3" t="s">
        <v>5322</v>
      </c>
      <c r="G2441" s="3" t="s">
        <v>4210</v>
      </c>
      <c r="H2441" s="3" t="s">
        <v>5346</v>
      </c>
      <c r="I2441" s="3" t="s">
        <v>2846</v>
      </c>
      <c r="J2441" s="5" t="s">
        <v>9231</v>
      </c>
      <c r="L2441" s="3" t="s">
        <v>5860</v>
      </c>
      <c r="M2441" s="3">
        <v>5</v>
      </c>
      <c r="N2441" s="4" t="s">
        <v>5322</v>
      </c>
      <c r="O2441" s="4">
        <v>127</v>
      </c>
      <c r="P2441" s="11" t="s">
        <v>9888</v>
      </c>
      <c r="Q2441" s="11" t="s">
        <v>5356</v>
      </c>
      <c r="S2441" s="4" t="b">
        <f>ISNUMBER(MATCH(Q2441,T:T,0))</f>
        <v>1</v>
      </c>
      <c r="T2441" s="4" t="s">
        <v>12186</v>
      </c>
      <c r="U2441" s="4" t="str">
        <f t="shared" si="114"/>
        <v>外</v>
      </c>
    </row>
    <row r="2442" spans="1:21">
      <c r="A2442" s="3">
        <v>2433</v>
      </c>
      <c r="B2442" s="3" t="s">
        <v>5321</v>
      </c>
      <c r="C2442" s="3" t="s">
        <v>6025</v>
      </c>
      <c r="D2442" s="3" t="s">
        <v>5990</v>
      </c>
      <c r="E2442" s="3" t="s">
        <v>6212</v>
      </c>
      <c r="F2442" s="3" t="s">
        <v>5322</v>
      </c>
      <c r="G2442" s="3" t="s">
        <v>4210</v>
      </c>
      <c r="H2442" s="3" t="s">
        <v>5347</v>
      </c>
      <c r="I2442" s="3" t="s">
        <v>2846</v>
      </c>
      <c r="J2442" s="5" t="s">
        <v>9232</v>
      </c>
      <c r="L2442" s="3" t="s">
        <v>4391</v>
      </c>
      <c r="M2442" s="3">
        <v>18</v>
      </c>
      <c r="N2442" s="4" t="s">
        <v>5322</v>
      </c>
      <c r="O2442" s="4">
        <v>127</v>
      </c>
      <c r="P2442" s="11" t="s">
        <v>9729</v>
      </c>
      <c r="Q2442" s="11" t="s">
        <v>5356</v>
      </c>
      <c r="S2442" s="4" t="b">
        <f>ISNUMBER(MATCH(Q2442,T:T,0))</f>
        <v>1</v>
      </c>
      <c r="T2442" s="4" t="s">
        <v>12187</v>
      </c>
      <c r="U2442" s="4" t="str">
        <f t="shared" si="114"/>
        <v>外</v>
      </c>
    </row>
    <row r="2443" spans="1:21">
      <c r="A2443" s="3">
        <v>2434</v>
      </c>
      <c r="B2443" s="3" t="s">
        <v>5321</v>
      </c>
      <c r="C2443" s="3" t="s">
        <v>6083</v>
      </c>
      <c r="D2443" s="3" t="s">
        <v>5990</v>
      </c>
      <c r="E2443" s="3" t="s">
        <v>6212</v>
      </c>
      <c r="F2443" s="3" t="s">
        <v>5322</v>
      </c>
      <c r="G2443" s="3" t="s">
        <v>4210</v>
      </c>
      <c r="H2443" s="3" t="s">
        <v>5348</v>
      </c>
      <c r="I2443" s="3" t="s">
        <v>2846</v>
      </c>
      <c r="J2443" s="5" t="s">
        <v>5349</v>
      </c>
      <c r="L2443" s="3" t="s">
        <v>8848</v>
      </c>
      <c r="M2443" s="3">
        <v>3</v>
      </c>
      <c r="N2443" s="4" t="s">
        <v>5322</v>
      </c>
      <c r="O2443" s="4">
        <v>127</v>
      </c>
      <c r="P2443" s="11" t="s">
        <v>9895</v>
      </c>
      <c r="Q2443" s="11" t="s">
        <v>5356</v>
      </c>
      <c r="S2443" s="4" t="b">
        <f>ISNUMBER(MATCH(Q2443,T:T,0))</f>
        <v>1</v>
      </c>
      <c r="T2443" s="4" t="s">
        <v>10545</v>
      </c>
      <c r="U2443" s="4" t="str">
        <f t="shared" si="114"/>
        <v>外</v>
      </c>
    </row>
    <row r="2444" spans="1:21">
      <c r="A2444" s="3">
        <v>2435</v>
      </c>
      <c r="B2444" s="3" t="s">
        <v>5321</v>
      </c>
      <c r="C2444" s="3" t="s">
        <v>6089</v>
      </c>
      <c r="D2444" s="3" t="s">
        <v>5990</v>
      </c>
      <c r="E2444" s="3" t="s">
        <v>6212</v>
      </c>
      <c r="F2444" s="3" t="s">
        <v>5322</v>
      </c>
      <c r="G2444" s="3" t="s">
        <v>4210</v>
      </c>
      <c r="H2444" s="3" t="s">
        <v>5350</v>
      </c>
      <c r="I2444" s="3" t="s">
        <v>2846</v>
      </c>
      <c r="J2444" s="5" t="s">
        <v>5351</v>
      </c>
      <c r="L2444" s="3" t="s">
        <v>5869</v>
      </c>
      <c r="M2444" s="3">
        <v>6</v>
      </c>
      <c r="N2444" s="4" t="s">
        <v>5322</v>
      </c>
      <c r="O2444" s="4">
        <v>127</v>
      </c>
      <c r="P2444" s="11" t="s">
        <v>9739</v>
      </c>
      <c r="Q2444" s="11" t="s">
        <v>10543</v>
      </c>
      <c r="S2444" s="4" t="b">
        <f>ISNUMBER(MATCH(Q2444,T:T,0))</f>
        <v>1</v>
      </c>
      <c r="T2444" s="4" t="s">
        <v>12188</v>
      </c>
      <c r="U2444" s="4" t="str">
        <f t="shared" si="114"/>
        <v>會</v>
      </c>
    </row>
    <row r="2445" spans="1:21">
      <c r="A2445" s="3">
        <v>2436</v>
      </c>
      <c r="B2445" s="3" t="s">
        <v>5321</v>
      </c>
      <c r="C2445" s="3" t="s">
        <v>6038</v>
      </c>
      <c r="D2445" s="3" t="s">
        <v>5990</v>
      </c>
      <c r="E2445" s="3" t="s">
        <v>6212</v>
      </c>
      <c r="F2445" s="3" t="s">
        <v>5322</v>
      </c>
      <c r="G2445" s="3" t="s">
        <v>4210</v>
      </c>
      <c r="H2445" s="3" t="s">
        <v>5352</v>
      </c>
      <c r="I2445" s="3" t="s">
        <v>2846</v>
      </c>
      <c r="J2445" s="5" t="s">
        <v>5353</v>
      </c>
      <c r="L2445" s="3" t="s">
        <v>4391</v>
      </c>
      <c r="M2445" s="3">
        <v>1</v>
      </c>
      <c r="N2445" s="4" t="s">
        <v>5322</v>
      </c>
      <c r="O2445" s="4">
        <v>127</v>
      </c>
      <c r="P2445" s="11" t="s">
        <v>9728</v>
      </c>
      <c r="Q2445" s="11" t="s">
        <v>10543</v>
      </c>
      <c r="S2445" s="4" t="b">
        <f>ISNUMBER(MATCH(Q2445,T:T,0))</f>
        <v>1</v>
      </c>
      <c r="T2445" s="4" t="s">
        <v>5353</v>
      </c>
      <c r="U2445" s="4" t="str">
        <f t="shared" si="114"/>
        <v>會</v>
      </c>
    </row>
    <row r="2446" spans="1:21">
      <c r="A2446" s="3">
        <v>2437</v>
      </c>
      <c r="B2446" s="3" t="s">
        <v>5321</v>
      </c>
      <c r="C2446" s="3" t="s">
        <v>6058</v>
      </c>
      <c r="D2446" s="3" t="s">
        <v>5990</v>
      </c>
      <c r="E2446" s="3" t="s">
        <v>6212</v>
      </c>
      <c r="F2446" s="3" t="s">
        <v>5322</v>
      </c>
      <c r="G2446" s="3" t="s">
        <v>4210</v>
      </c>
      <c r="H2446" s="3" t="s">
        <v>5354</v>
      </c>
      <c r="I2446" s="3" t="s">
        <v>2846</v>
      </c>
      <c r="J2446" s="5" t="s">
        <v>9233</v>
      </c>
      <c r="L2446" s="3" t="s">
        <v>4357</v>
      </c>
      <c r="M2446" s="3">
        <v>5</v>
      </c>
      <c r="N2446" s="4" t="s">
        <v>5322</v>
      </c>
      <c r="O2446" s="4">
        <v>127</v>
      </c>
      <c r="P2446" s="11" t="s">
        <v>9886</v>
      </c>
      <c r="Q2446" s="11" t="s">
        <v>5356</v>
      </c>
      <c r="S2446" s="4" t="b">
        <f>ISNUMBER(MATCH(Q2446,T:T,0))</f>
        <v>1</v>
      </c>
      <c r="T2446" s="4" t="s">
        <v>12189</v>
      </c>
      <c r="U2446" s="4" t="str">
        <f t="shared" si="114"/>
        <v>外</v>
      </c>
    </row>
    <row r="2447" spans="1:21">
      <c r="A2447" s="3">
        <v>2438</v>
      </c>
      <c r="B2447" s="3" t="s">
        <v>5321</v>
      </c>
      <c r="C2447" s="3" t="s">
        <v>6092</v>
      </c>
      <c r="D2447" s="3" t="s">
        <v>5990</v>
      </c>
      <c r="E2447" s="3" t="s">
        <v>6212</v>
      </c>
      <c r="F2447" s="3" t="s">
        <v>5322</v>
      </c>
      <c r="G2447" s="3" t="s">
        <v>4210</v>
      </c>
      <c r="H2447" s="3" t="s">
        <v>5355</v>
      </c>
      <c r="I2447" s="3" t="s">
        <v>2846</v>
      </c>
      <c r="J2447" s="5" t="s">
        <v>5356</v>
      </c>
      <c r="L2447" s="3" t="s">
        <v>4352</v>
      </c>
      <c r="M2447" s="3">
        <v>1</v>
      </c>
      <c r="N2447" s="4" t="s">
        <v>5322</v>
      </c>
      <c r="O2447" s="4">
        <v>127</v>
      </c>
      <c r="P2447" s="11" t="s">
        <v>9740</v>
      </c>
      <c r="Q2447" s="11" t="s">
        <v>10543</v>
      </c>
      <c r="S2447" s="4" t="b">
        <f>ISNUMBER(MATCH(Q2447,T:T,0))</f>
        <v>1</v>
      </c>
      <c r="T2447" s="4" t="s">
        <v>5356</v>
      </c>
      <c r="U2447" s="4" t="str">
        <f t="shared" si="114"/>
        <v>會</v>
      </c>
    </row>
    <row r="2448" spans="1:21">
      <c r="A2448" s="3">
        <v>2439</v>
      </c>
      <c r="B2448" s="3" t="s">
        <v>5321</v>
      </c>
      <c r="C2448" s="3" t="s">
        <v>5989</v>
      </c>
      <c r="D2448" s="3" t="s">
        <v>5990</v>
      </c>
      <c r="E2448" s="3" t="s">
        <v>6212</v>
      </c>
      <c r="F2448" s="3" t="s">
        <v>5322</v>
      </c>
      <c r="G2448" s="3" t="s">
        <v>4210</v>
      </c>
      <c r="H2448" s="3" t="s">
        <v>5357</v>
      </c>
      <c r="I2448" s="3" t="s">
        <v>2846</v>
      </c>
      <c r="J2448" s="5" t="s">
        <v>5358</v>
      </c>
      <c r="L2448" s="3" t="s">
        <v>5860</v>
      </c>
      <c r="M2448" s="3">
        <v>1</v>
      </c>
      <c r="N2448" s="4" t="s">
        <v>5322</v>
      </c>
      <c r="O2448" s="4">
        <v>127</v>
      </c>
      <c r="P2448" s="11" t="s">
        <v>9822</v>
      </c>
      <c r="Q2448" s="11" t="s">
        <v>5356</v>
      </c>
      <c r="S2448" s="4" t="b">
        <f>ISNUMBER(MATCH(Q2448,T:T,0))</f>
        <v>1</v>
      </c>
      <c r="T2448" s="4" t="s">
        <v>5358</v>
      </c>
      <c r="U2448" s="4" t="str">
        <f t="shared" si="114"/>
        <v>外</v>
      </c>
    </row>
    <row r="2449" spans="1:21">
      <c r="A2449" s="3">
        <v>2440</v>
      </c>
      <c r="B2449" s="3" t="s">
        <v>5321</v>
      </c>
      <c r="C2449" s="3" t="s">
        <v>6072</v>
      </c>
      <c r="D2449" s="3" t="s">
        <v>5990</v>
      </c>
      <c r="E2449" s="3" t="s">
        <v>6212</v>
      </c>
      <c r="F2449" s="3" t="s">
        <v>5322</v>
      </c>
      <c r="G2449" s="3" t="s">
        <v>4210</v>
      </c>
      <c r="H2449" s="3" t="s">
        <v>5359</v>
      </c>
      <c r="I2449" s="3" t="s">
        <v>2846</v>
      </c>
      <c r="J2449" s="8" t="s">
        <v>9234</v>
      </c>
      <c r="L2449" s="3" t="s">
        <v>4352</v>
      </c>
      <c r="M2449" s="3">
        <v>7</v>
      </c>
      <c r="N2449" s="4" t="s">
        <v>5322</v>
      </c>
      <c r="O2449" s="4">
        <v>127</v>
      </c>
      <c r="P2449" s="11" t="s">
        <v>9734</v>
      </c>
      <c r="Q2449" s="11" t="s">
        <v>5356</v>
      </c>
      <c r="S2449" s="4" t="b">
        <f>ISNUMBER(MATCH(Q2449,T:T,0))</f>
        <v>1</v>
      </c>
      <c r="T2449" s="4" t="s">
        <v>12190</v>
      </c>
      <c r="U2449" s="4" t="str">
        <f t="shared" si="114"/>
        <v>外</v>
      </c>
    </row>
    <row r="2450" spans="1:21">
      <c r="A2450" s="3">
        <v>2441</v>
      </c>
      <c r="B2450" s="3" t="s">
        <v>5321</v>
      </c>
      <c r="C2450" s="3" t="s">
        <v>6069</v>
      </c>
      <c r="D2450" s="3" t="s">
        <v>5990</v>
      </c>
      <c r="E2450" s="3" t="s">
        <v>6212</v>
      </c>
      <c r="F2450" s="3" t="s">
        <v>5322</v>
      </c>
      <c r="G2450" s="3" t="s">
        <v>4210</v>
      </c>
      <c r="H2450" s="3" t="s">
        <v>5360</v>
      </c>
      <c r="I2450" s="3" t="s">
        <v>2846</v>
      </c>
      <c r="J2450" s="5" t="s">
        <v>5361</v>
      </c>
      <c r="L2450" s="3" t="s">
        <v>8848</v>
      </c>
      <c r="M2450" s="3">
        <v>2</v>
      </c>
      <c r="N2450" s="4" t="s">
        <v>5322</v>
      </c>
      <c r="O2450" s="4">
        <v>127</v>
      </c>
      <c r="P2450" s="11" t="s">
        <v>9925</v>
      </c>
      <c r="Q2450" s="11" t="s">
        <v>5356</v>
      </c>
      <c r="S2450" s="4" t="b">
        <f>ISNUMBER(MATCH(Q2450,T:T,0))</f>
        <v>1</v>
      </c>
      <c r="T2450" s="4" t="s">
        <v>12191</v>
      </c>
      <c r="U2450" s="4" t="str">
        <f t="shared" si="114"/>
        <v>外</v>
      </c>
    </row>
    <row r="2451" spans="1:21">
      <c r="A2451" s="3">
        <v>2442</v>
      </c>
      <c r="B2451" s="3" t="s">
        <v>5321</v>
      </c>
      <c r="C2451" s="3" t="s">
        <v>6017</v>
      </c>
      <c r="D2451" s="3" t="s">
        <v>5990</v>
      </c>
      <c r="E2451" s="3" t="s">
        <v>6212</v>
      </c>
      <c r="F2451" s="3" t="s">
        <v>5322</v>
      </c>
      <c r="G2451" s="3" t="s">
        <v>4210</v>
      </c>
      <c r="H2451" s="3" t="s">
        <v>5362</v>
      </c>
      <c r="I2451" s="3" t="s">
        <v>2846</v>
      </c>
      <c r="J2451" s="5" t="s">
        <v>5363</v>
      </c>
      <c r="L2451" s="3" t="s">
        <v>8838</v>
      </c>
      <c r="M2451" s="3">
        <v>3</v>
      </c>
      <c r="N2451" s="4" t="s">
        <v>5322</v>
      </c>
      <c r="O2451" s="4">
        <v>127</v>
      </c>
      <c r="P2451" s="11" t="s">
        <v>8121</v>
      </c>
      <c r="Q2451" s="11" t="s">
        <v>5356</v>
      </c>
      <c r="S2451" s="4" t="b">
        <f>ISNUMBER(MATCH(Q2451,T:T,0))</f>
        <v>1</v>
      </c>
      <c r="T2451" s="4" t="s">
        <v>12192</v>
      </c>
      <c r="U2451" s="4" t="str">
        <f t="shared" si="114"/>
        <v>外</v>
      </c>
    </row>
    <row r="2452" spans="1:21">
      <c r="A2452" s="3">
        <v>2443</v>
      </c>
      <c r="B2452" s="3" t="s">
        <v>5321</v>
      </c>
      <c r="C2452" s="3" t="s">
        <v>6076</v>
      </c>
      <c r="D2452" s="3" t="s">
        <v>5990</v>
      </c>
      <c r="E2452" s="3" t="s">
        <v>6212</v>
      </c>
      <c r="F2452" s="3" t="s">
        <v>5322</v>
      </c>
      <c r="G2452" s="3" t="s">
        <v>4210</v>
      </c>
      <c r="H2452" s="3" t="s">
        <v>5364</v>
      </c>
      <c r="I2452" s="3" t="s">
        <v>2846</v>
      </c>
      <c r="J2452" s="8" t="s">
        <v>9235</v>
      </c>
      <c r="L2452" s="3" t="s">
        <v>4465</v>
      </c>
      <c r="M2452" s="3">
        <v>3</v>
      </c>
      <c r="N2452" s="4" t="s">
        <v>5322</v>
      </c>
      <c r="O2452" s="4">
        <v>127</v>
      </c>
      <c r="P2452" s="11" t="s">
        <v>10544</v>
      </c>
      <c r="Q2452" s="11" t="s">
        <v>10545</v>
      </c>
      <c r="S2452" s="4" t="b">
        <f>ISNUMBER(MATCH(Q2452,T:T,0))</f>
        <v>1</v>
      </c>
      <c r="T2452" s="4" t="s">
        <v>12193</v>
      </c>
      <c r="U2452" s="4" t="str">
        <f t="shared" si="114"/>
        <v>最</v>
      </c>
    </row>
    <row r="2453" spans="1:21">
      <c r="A2453" s="3">
        <v>2444</v>
      </c>
      <c r="B2453" s="3" t="s">
        <v>5321</v>
      </c>
      <c r="C2453" s="3" t="s">
        <v>6045</v>
      </c>
      <c r="D2453" s="3" t="s">
        <v>5990</v>
      </c>
      <c r="E2453" s="3" t="s">
        <v>5991</v>
      </c>
      <c r="F2453" s="3" t="s">
        <v>5322</v>
      </c>
      <c r="G2453" s="3" t="s">
        <v>4210</v>
      </c>
      <c r="H2453" s="3" t="s">
        <v>5365</v>
      </c>
      <c r="I2453" s="3" t="s">
        <v>2846</v>
      </c>
      <c r="J2453" s="5" t="s">
        <v>5366</v>
      </c>
      <c r="L2453" s="3" t="s">
        <v>5882</v>
      </c>
      <c r="M2453" s="3">
        <v>3</v>
      </c>
      <c r="N2453" s="4" t="s">
        <v>5322</v>
      </c>
      <c r="O2453" s="4">
        <v>127</v>
      </c>
      <c r="P2453" s="11" t="s">
        <v>9965</v>
      </c>
      <c r="Q2453" s="11" t="s">
        <v>10540</v>
      </c>
      <c r="S2453" s="4" t="b">
        <f>ISNUMBER(MATCH(Q2453,T:T,0))</f>
        <v>1</v>
      </c>
      <c r="T2453" s="4" t="s">
        <v>12194</v>
      </c>
      <c r="U2453" s="4" t="str">
        <f t="shared" si="114"/>
        <v>蓋</v>
      </c>
    </row>
    <row r="2454" spans="1:21">
      <c r="A2454" s="3">
        <v>2445</v>
      </c>
      <c r="B2454" s="3" t="s">
        <v>5321</v>
      </c>
      <c r="C2454" s="3" t="s">
        <v>6038</v>
      </c>
      <c r="D2454" s="3" t="s">
        <v>5990</v>
      </c>
      <c r="E2454" s="3" t="s">
        <v>5991</v>
      </c>
      <c r="F2454" s="3" t="s">
        <v>5322</v>
      </c>
      <c r="G2454" s="3" t="s">
        <v>4210</v>
      </c>
      <c r="H2454" s="3" t="s">
        <v>5367</v>
      </c>
      <c r="I2454" s="3" t="s">
        <v>2846</v>
      </c>
      <c r="J2454" s="5" t="s">
        <v>5368</v>
      </c>
      <c r="L2454" s="3" t="s">
        <v>5369</v>
      </c>
      <c r="M2454" s="3">
        <v>9</v>
      </c>
      <c r="N2454" s="4" t="s">
        <v>5322</v>
      </c>
      <c r="O2454" s="4">
        <v>127</v>
      </c>
      <c r="P2454" s="11" t="s">
        <v>9728</v>
      </c>
      <c r="Q2454" s="11" t="s">
        <v>10540</v>
      </c>
      <c r="S2454" s="4" t="b">
        <f>ISNUMBER(MATCH(Q2454,T:T,0))</f>
        <v>1</v>
      </c>
      <c r="T2454" s="4" t="s">
        <v>12195</v>
      </c>
      <c r="U2454" s="4" t="str">
        <f t="shared" si="114"/>
        <v>蓋</v>
      </c>
    </row>
    <row r="2455" spans="1:21">
      <c r="A2455" s="3">
        <v>2446</v>
      </c>
      <c r="B2455" s="3" t="s">
        <v>5321</v>
      </c>
      <c r="C2455" s="3" t="s">
        <v>6076</v>
      </c>
      <c r="D2455" s="3" t="s">
        <v>5990</v>
      </c>
      <c r="E2455" s="3" t="s">
        <v>5991</v>
      </c>
      <c r="F2455" s="3" t="s">
        <v>5322</v>
      </c>
      <c r="G2455" s="3" t="s">
        <v>4210</v>
      </c>
      <c r="H2455" s="3" t="s">
        <v>5370</v>
      </c>
      <c r="I2455" s="3" t="s">
        <v>2846</v>
      </c>
      <c r="J2455" s="5" t="s">
        <v>5371</v>
      </c>
      <c r="L2455" s="3" t="s">
        <v>5372</v>
      </c>
      <c r="M2455" s="3">
        <v>3</v>
      </c>
      <c r="N2455" s="4" t="s">
        <v>5322</v>
      </c>
      <c r="O2455" s="4">
        <v>127</v>
      </c>
      <c r="P2455" s="11" t="s">
        <v>9735</v>
      </c>
      <c r="Q2455" s="11" t="s">
        <v>10546</v>
      </c>
      <c r="S2455" s="4" t="b">
        <f>ISNUMBER(MATCH(Q2455,T:T,0))</f>
        <v>1</v>
      </c>
      <c r="T2455" s="4" t="s">
        <v>12196</v>
      </c>
      <c r="U2455" s="4" t="str">
        <f t="shared" si="114"/>
        <v>大</v>
      </c>
    </row>
    <row r="2456" spans="1:21">
      <c r="A2456" s="3">
        <v>2447</v>
      </c>
      <c r="B2456" s="3" t="s">
        <v>5321</v>
      </c>
      <c r="C2456" s="3" t="s">
        <v>6058</v>
      </c>
      <c r="D2456" s="3" t="s">
        <v>5990</v>
      </c>
      <c r="E2456" s="3" t="s">
        <v>5991</v>
      </c>
      <c r="F2456" s="3" t="s">
        <v>5322</v>
      </c>
      <c r="G2456" s="3" t="s">
        <v>4210</v>
      </c>
      <c r="H2456" s="3" t="s">
        <v>5373</v>
      </c>
      <c r="I2456" s="3" t="s">
        <v>2846</v>
      </c>
      <c r="J2456" s="5" t="s">
        <v>9236</v>
      </c>
      <c r="L2456" s="3" t="s">
        <v>5374</v>
      </c>
      <c r="M2456" s="3">
        <v>14</v>
      </c>
      <c r="N2456" s="4" t="s">
        <v>5322</v>
      </c>
      <c r="O2456" s="4">
        <v>127</v>
      </c>
      <c r="P2456" s="11" t="s">
        <v>9877</v>
      </c>
      <c r="Q2456" s="11" t="s">
        <v>10540</v>
      </c>
      <c r="S2456" s="4" t="b">
        <f>ISNUMBER(MATCH(Q2456,T:T,0))</f>
        <v>1</v>
      </c>
      <c r="T2456" s="4" t="s">
        <v>9914</v>
      </c>
      <c r="U2456" s="4" t="str">
        <f t="shared" si="114"/>
        <v>蓋</v>
      </c>
    </row>
    <row r="2457" spans="1:21">
      <c r="A2457" s="3">
        <v>2448</v>
      </c>
      <c r="B2457" s="3" t="s">
        <v>5321</v>
      </c>
      <c r="C2457" s="3" t="s">
        <v>6089</v>
      </c>
      <c r="D2457" s="3" t="s">
        <v>5990</v>
      </c>
      <c r="E2457" s="3" t="s">
        <v>5991</v>
      </c>
      <c r="F2457" s="3" t="s">
        <v>5322</v>
      </c>
      <c r="G2457" s="3" t="s">
        <v>4210</v>
      </c>
      <c r="H2457" s="3" t="s">
        <v>5375</v>
      </c>
      <c r="I2457" s="3" t="s">
        <v>2846</v>
      </c>
      <c r="J2457" s="5" t="s">
        <v>5376</v>
      </c>
      <c r="L2457" s="3" t="s">
        <v>5905</v>
      </c>
      <c r="M2457" s="3">
        <v>5</v>
      </c>
      <c r="N2457" s="4" t="s">
        <v>5322</v>
      </c>
      <c r="O2457" s="4">
        <v>127</v>
      </c>
      <c r="P2457" s="11" t="s">
        <v>9739</v>
      </c>
      <c r="Q2457" s="11" t="s">
        <v>10547</v>
      </c>
      <c r="S2457" s="4" t="b">
        <f>ISNUMBER(MATCH(Q2457,T:T,0))</f>
        <v>1</v>
      </c>
      <c r="T2457" s="4" t="s">
        <v>12197</v>
      </c>
      <c r="U2457" s="4" t="str">
        <f t="shared" si="114"/>
        <v>艾</v>
      </c>
    </row>
    <row r="2458" spans="1:21">
      <c r="A2458" s="3">
        <v>2449</v>
      </c>
      <c r="B2458" s="3" t="s">
        <v>5321</v>
      </c>
      <c r="C2458" s="3" t="s">
        <v>6079</v>
      </c>
      <c r="D2458" s="3" t="s">
        <v>5990</v>
      </c>
      <c r="E2458" s="3" t="s">
        <v>6212</v>
      </c>
      <c r="F2458" s="3" t="s">
        <v>5322</v>
      </c>
      <c r="G2458" s="3" t="s">
        <v>4210</v>
      </c>
      <c r="H2458" s="3" t="s">
        <v>5377</v>
      </c>
      <c r="I2458" s="3" t="s">
        <v>2846</v>
      </c>
      <c r="J2458" s="5" t="s">
        <v>9237</v>
      </c>
      <c r="L2458" s="3" t="s">
        <v>5324</v>
      </c>
      <c r="M2458" s="3">
        <v>5</v>
      </c>
      <c r="N2458" s="4" t="s">
        <v>5322</v>
      </c>
      <c r="O2458" s="4">
        <v>127</v>
      </c>
      <c r="P2458" s="11" t="s">
        <v>9736</v>
      </c>
      <c r="Q2458" s="11" t="s">
        <v>5356</v>
      </c>
      <c r="S2458" s="4" t="b">
        <f>ISNUMBER(MATCH(Q2458,T:T,0))</f>
        <v>1</v>
      </c>
      <c r="T2458" s="4" t="s">
        <v>12198</v>
      </c>
      <c r="U2458" s="4" t="str">
        <f t="shared" si="114"/>
        <v>外</v>
      </c>
    </row>
    <row r="2459" spans="1:21">
      <c r="A2459" s="3">
        <v>2450</v>
      </c>
      <c r="B2459" s="3" t="s">
        <v>5321</v>
      </c>
      <c r="C2459" s="3" t="s">
        <v>6035</v>
      </c>
      <c r="D2459" s="3" t="s">
        <v>5990</v>
      </c>
      <c r="E2459" s="3" t="s">
        <v>5991</v>
      </c>
      <c r="F2459" s="3" t="s">
        <v>5322</v>
      </c>
      <c r="G2459" s="3" t="s">
        <v>4210</v>
      </c>
      <c r="H2459" s="3" t="s">
        <v>5378</v>
      </c>
      <c r="I2459" s="3" t="s">
        <v>2846</v>
      </c>
      <c r="J2459" s="5" t="s">
        <v>5379</v>
      </c>
      <c r="L2459" s="3" t="s">
        <v>5380</v>
      </c>
      <c r="M2459" s="3">
        <v>3</v>
      </c>
      <c r="N2459" s="4" t="s">
        <v>5322</v>
      </c>
      <c r="O2459" s="4">
        <v>127</v>
      </c>
      <c r="P2459" s="11" t="s">
        <v>9719</v>
      </c>
      <c r="Q2459" s="11" t="s">
        <v>10548</v>
      </c>
      <c r="S2459" s="4" t="b">
        <f>ISNUMBER(MATCH(Q2459,T:T,0))</f>
        <v>1</v>
      </c>
      <c r="T2459" s="4" t="s">
        <v>10563</v>
      </c>
      <c r="U2459" s="4" t="str">
        <f t="shared" si="114"/>
        <v>貝</v>
      </c>
    </row>
    <row r="2460" spans="1:21">
      <c r="A2460" s="3">
        <v>2451</v>
      </c>
      <c r="B2460" s="3" t="s">
        <v>5321</v>
      </c>
      <c r="C2460" s="3" t="s">
        <v>6076</v>
      </c>
      <c r="D2460" s="3" t="s">
        <v>5990</v>
      </c>
      <c r="E2460" s="3" t="s">
        <v>6212</v>
      </c>
      <c r="F2460" s="3" t="s">
        <v>5322</v>
      </c>
      <c r="G2460" s="3" t="s">
        <v>4210</v>
      </c>
      <c r="H2460" s="3" t="s">
        <v>5381</v>
      </c>
      <c r="I2460" s="3" t="s">
        <v>2846</v>
      </c>
      <c r="J2460" s="5" t="s">
        <v>5382</v>
      </c>
      <c r="L2460" s="3" t="s">
        <v>4465</v>
      </c>
      <c r="M2460" s="3">
        <v>1</v>
      </c>
      <c r="N2460" s="4" t="s">
        <v>5322</v>
      </c>
      <c r="O2460" s="4">
        <v>127</v>
      </c>
      <c r="P2460" s="11" t="s">
        <v>9766</v>
      </c>
      <c r="Q2460" s="11" t="s">
        <v>5356</v>
      </c>
      <c r="S2460" s="4" t="b">
        <f>ISNUMBER(MATCH(Q2460,T:T,0))</f>
        <v>1</v>
      </c>
      <c r="T2460" s="4" t="s">
        <v>5382</v>
      </c>
      <c r="U2460" s="4" t="str">
        <f t="shared" si="114"/>
        <v>外</v>
      </c>
    </row>
    <row r="2461" spans="1:21">
      <c r="A2461" s="3">
        <v>2452</v>
      </c>
      <c r="B2461" s="3" t="s">
        <v>5383</v>
      </c>
      <c r="C2461" s="3" t="s">
        <v>6025</v>
      </c>
      <c r="D2461" s="3" t="s">
        <v>6157</v>
      </c>
      <c r="E2461" s="3" t="s">
        <v>6212</v>
      </c>
      <c r="F2461" s="3" t="s">
        <v>2899</v>
      </c>
      <c r="G2461" s="3" t="s">
        <v>4210</v>
      </c>
      <c r="H2461" s="3" t="s">
        <v>5384</v>
      </c>
      <c r="I2461" s="3" t="s">
        <v>2846</v>
      </c>
      <c r="J2461" s="5" t="s">
        <v>5385</v>
      </c>
      <c r="L2461" s="3" t="s">
        <v>5386</v>
      </c>
      <c r="M2461" s="3">
        <v>6</v>
      </c>
      <c r="N2461" s="4" t="s">
        <v>5387</v>
      </c>
      <c r="O2461" s="4">
        <v>128</v>
      </c>
      <c r="P2461" s="11" t="s">
        <v>9729</v>
      </c>
      <c r="Q2461" s="11" t="s">
        <v>5395</v>
      </c>
      <c r="S2461" s="4" t="b">
        <f>ISNUMBER(MATCH(Q2461,T:T,0))</f>
        <v>1</v>
      </c>
      <c r="T2461" s="4" t="s">
        <v>5387</v>
      </c>
      <c r="U2461" s="4" t="str">
        <f t="shared" si="114"/>
        <v>賣</v>
      </c>
    </row>
    <row r="2462" spans="1:21">
      <c r="A2462" s="3">
        <v>2453</v>
      </c>
      <c r="B2462" s="3" t="s">
        <v>5383</v>
      </c>
      <c r="C2462" s="3" t="s">
        <v>6025</v>
      </c>
      <c r="D2462" s="3" t="s">
        <v>6157</v>
      </c>
      <c r="E2462" s="3" t="s">
        <v>5991</v>
      </c>
      <c r="F2462" s="3" t="s">
        <v>2899</v>
      </c>
      <c r="G2462" s="3" t="s">
        <v>4210</v>
      </c>
      <c r="H2462" s="3" t="s">
        <v>5388</v>
      </c>
      <c r="I2462" s="3" t="s">
        <v>2846</v>
      </c>
      <c r="J2462" s="5" t="s">
        <v>5389</v>
      </c>
      <c r="K2462" s="3" t="s">
        <v>5390</v>
      </c>
      <c r="L2462" s="3" t="s">
        <v>5391</v>
      </c>
      <c r="M2462" s="3">
        <v>6</v>
      </c>
      <c r="N2462" s="4" t="s">
        <v>5387</v>
      </c>
      <c r="O2462" s="4">
        <v>128</v>
      </c>
      <c r="P2462" s="11" t="s">
        <v>9729</v>
      </c>
      <c r="Q2462" s="11" t="s">
        <v>10549</v>
      </c>
      <c r="S2462" s="4" t="b">
        <f>ISNUMBER(MATCH(Q2462,T:T,0))</f>
        <v>1</v>
      </c>
      <c r="T2462" s="4" t="s">
        <v>10550</v>
      </c>
      <c r="U2462" s="4" t="str">
        <f t="shared" si="114"/>
        <v>隘</v>
      </c>
    </row>
    <row r="2463" spans="1:21">
      <c r="A2463" s="3">
        <v>2454</v>
      </c>
      <c r="B2463" s="3" t="s">
        <v>5383</v>
      </c>
      <c r="C2463" s="3" t="s">
        <v>6067</v>
      </c>
      <c r="D2463" s="3" t="s">
        <v>6157</v>
      </c>
      <c r="E2463" s="3" t="s">
        <v>5991</v>
      </c>
      <c r="F2463" s="3" t="s">
        <v>2899</v>
      </c>
      <c r="G2463" s="3" t="s">
        <v>4210</v>
      </c>
      <c r="H2463" s="3" t="s">
        <v>5392</v>
      </c>
      <c r="I2463" s="3" t="s">
        <v>2846</v>
      </c>
      <c r="J2463" s="5" t="s">
        <v>5393</v>
      </c>
      <c r="L2463" s="3" t="s">
        <v>5805</v>
      </c>
      <c r="M2463" s="3">
        <v>2</v>
      </c>
      <c r="N2463" s="4" t="s">
        <v>5387</v>
      </c>
      <c r="O2463" s="4">
        <v>128</v>
      </c>
      <c r="P2463" s="11" t="s">
        <v>9870</v>
      </c>
      <c r="Q2463" s="11" t="s">
        <v>10550</v>
      </c>
      <c r="S2463" s="4" t="b">
        <f>ISNUMBER(MATCH(Q2463,T:T,0))</f>
        <v>1</v>
      </c>
      <c r="T2463" s="4" t="s">
        <v>12199</v>
      </c>
      <c r="U2463" s="4" t="str">
        <f t="shared" si="114"/>
        <v>懈</v>
      </c>
    </row>
    <row r="2464" spans="1:21">
      <c r="A2464" s="3">
        <v>2455</v>
      </c>
      <c r="B2464" s="3" t="s">
        <v>5383</v>
      </c>
      <c r="C2464" s="3" t="s">
        <v>6035</v>
      </c>
      <c r="D2464" s="3" t="s">
        <v>6157</v>
      </c>
      <c r="E2464" s="3" t="s">
        <v>5991</v>
      </c>
      <c r="F2464" s="3" t="s">
        <v>2899</v>
      </c>
      <c r="G2464" s="3" t="s">
        <v>4210</v>
      </c>
      <c r="H2464" s="3" t="s">
        <v>5394</v>
      </c>
      <c r="I2464" s="3" t="s">
        <v>2846</v>
      </c>
      <c r="J2464" s="5" t="s">
        <v>5395</v>
      </c>
      <c r="L2464" s="3" t="s">
        <v>5396</v>
      </c>
      <c r="M2464" s="3">
        <v>1</v>
      </c>
      <c r="N2464" s="4" t="s">
        <v>5387</v>
      </c>
      <c r="O2464" s="4">
        <v>128</v>
      </c>
      <c r="P2464" s="11" t="s">
        <v>9719</v>
      </c>
      <c r="Q2464" s="11" t="s">
        <v>10550</v>
      </c>
      <c r="S2464" s="4" t="b">
        <f>ISNUMBER(MATCH(Q2464,T:T,0))</f>
        <v>1</v>
      </c>
      <c r="T2464" s="4" t="s">
        <v>5395</v>
      </c>
      <c r="U2464" s="4" t="str">
        <f t="shared" si="114"/>
        <v>懈</v>
      </c>
    </row>
    <row r="2465" spans="1:21">
      <c r="A2465" s="3">
        <v>2456</v>
      </c>
      <c r="B2465" s="3" t="s">
        <v>5383</v>
      </c>
      <c r="C2465" s="3" t="s">
        <v>6067</v>
      </c>
      <c r="D2465" s="3" t="s">
        <v>6157</v>
      </c>
      <c r="E2465" s="3" t="s">
        <v>6212</v>
      </c>
      <c r="F2465" s="3" t="s">
        <v>2899</v>
      </c>
      <c r="G2465" s="3" t="s">
        <v>4210</v>
      </c>
      <c r="H2465" s="3" t="s">
        <v>5397</v>
      </c>
      <c r="I2465" s="3" t="s">
        <v>2846</v>
      </c>
      <c r="J2465" s="5" t="s">
        <v>9238</v>
      </c>
      <c r="L2465" s="3" t="s">
        <v>5837</v>
      </c>
      <c r="M2465" s="3">
        <v>9</v>
      </c>
      <c r="N2465" s="4" t="s">
        <v>5387</v>
      </c>
      <c r="O2465" s="4">
        <v>128</v>
      </c>
      <c r="P2465" s="11" t="s">
        <v>9870</v>
      </c>
      <c r="Q2465" s="11" t="s">
        <v>5387</v>
      </c>
      <c r="S2465" s="4" t="b">
        <f>ISNUMBER(MATCH(Q2465,T:T,0))</f>
        <v>1</v>
      </c>
      <c r="T2465" s="4" t="s">
        <v>12200</v>
      </c>
      <c r="U2465" s="4" t="str">
        <f t="shared" si="114"/>
        <v>卦</v>
      </c>
    </row>
    <row r="2466" spans="1:21">
      <c r="A2466" s="3">
        <v>2457</v>
      </c>
      <c r="B2466" s="3" t="s">
        <v>5383</v>
      </c>
      <c r="C2466" s="3" t="s">
        <v>6167</v>
      </c>
      <c r="D2466" s="3" t="s">
        <v>6157</v>
      </c>
      <c r="E2466" s="3" t="s">
        <v>5991</v>
      </c>
      <c r="F2466" s="3" t="s">
        <v>2899</v>
      </c>
      <c r="G2466" s="3" t="s">
        <v>4210</v>
      </c>
      <c r="H2466" s="3" t="s">
        <v>5398</v>
      </c>
      <c r="I2466" s="3" t="s">
        <v>2846</v>
      </c>
      <c r="J2466" s="5" t="s">
        <v>9239</v>
      </c>
      <c r="L2466" s="3" t="s">
        <v>5399</v>
      </c>
      <c r="M2466" s="3">
        <v>7</v>
      </c>
      <c r="N2466" s="4" t="s">
        <v>5387</v>
      </c>
      <c r="O2466" s="4">
        <v>128</v>
      </c>
      <c r="P2466" s="11" t="s">
        <v>9769</v>
      </c>
      <c r="Q2466" s="11" t="s">
        <v>10550</v>
      </c>
      <c r="S2466" s="4" t="b">
        <f>ISNUMBER(MATCH(Q2466,T:T,0))</f>
        <v>1</v>
      </c>
      <c r="T2466" s="4" t="s">
        <v>10982</v>
      </c>
      <c r="U2466" s="4" t="str">
        <f t="shared" si="114"/>
        <v>懈</v>
      </c>
    </row>
    <row r="2467" spans="1:21">
      <c r="A2467" s="3">
        <v>2458</v>
      </c>
      <c r="B2467" s="3" t="s">
        <v>5383</v>
      </c>
      <c r="C2467" s="3" t="s">
        <v>6092</v>
      </c>
      <c r="D2467" s="3" t="s">
        <v>6157</v>
      </c>
      <c r="E2467" s="3" t="s">
        <v>5991</v>
      </c>
      <c r="F2467" s="3" t="s">
        <v>2899</v>
      </c>
      <c r="G2467" s="3" t="s">
        <v>4210</v>
      </c>
      <c r="H2467" s="3" t="s">
        <v>5400</v>
      </c>
      <c r="I2467" s="3" t="s">
        <v>2846</v>
      </c>
      <c r="J2467" s="5" t="s">
        <v>5401</v>
      </c>
      <c r="L2467" s="3" t="s">
        <v>5402</v>
      </c>
      <c r="M2467" s="3">
        <v>1</v>
      </c>
      <c r="N2467" s="4" t="s">
        <v>5387</v>
      </c>
      <c r="O2467" s="4">
        <v>128</v>
      </c>
      <c r="P2467" s="11" t="s">
        <v>9740</v>
      </c>
      <c r="Q2467" s="11" t="s">
        <v>10550</v>
      </c>
      <c r="S2467" s="4" t="b">
        <f>ISNUMBER(MATCH(Q2467,T:T,0))</f>
        <v>1</v>
      </c>
      <c r="T2467" s="4" t="s">
        <v>5401</v>
      </c>
      <c r="U2467" s="4" t="str">
        <f t="shared" si="114"/>
        <v>懈</v>
      </c>
    </row>
    <row r="2468" spans="1:21">
      <c r="A2468" s="3">
        <v>2459</v>
      </c>
      <c r="B2468" s="3" t="s">
        <v>5383</v>
      </c>
      <c r="C2468" s="3" t="s">
        <v>6089</v>
      </c>
      <c r="D2468" s="3" t="s">
        <v>6157</v>
      </c>
      <c r="E2468" s="3" t="s">
        <v>5991</v>
      </c>
      <c r="F2468" s="3" t="s">
        <v>2899</v>
      </c>
      <c r="G2468" s="3" t="s">
        <v>4210</v>
      </c>
      <c r="H2468" s="3" t="s">
        <v>5403</v>
      </c>
      <c r="I2468" s="3" t="s">
        <v>2846</v>
      </c>
      <c r="J2468" s="5" t="s">
        <v>5404</v>
      </c>
      <c r="L2468" s="3" t="s">
        <v>5805</v>
      </c>
      <c r="M2468" s="3">
        <v>1</v>
      </c>
      <c r="N2468" s="4" t="s">
        <v>5387</v>
      </c>
      <c r="O2468" s="4">
        <v>128</v>
      </c>
      <c r="P2468" s="11" t="s">
        <v>9904</v>
      </c>
      <c r="Q2468" s="11" t="s">
        <v>10550</v>
      </c>
      <c r="S2468" s="4" t="b">
        <f>ISNUMBER(MATCH(Q2468,T:T,0))</f>
        <v>1</v>
      </c>
      <c r="T2468" s="4" t="s">
        <v>5404</v>
      </c>
      <c r="U2468" s="4" t="str">
        <f t="shared" si="114"/>
        <v>懈</v>
      </c>
    </row>
    <row r="2469" spans="1:21">
      <c r="A2469" s="3">
        <v>2460</v>
      </c>
      <c r="B2469" s="3" t="s">
        <v>5383</v>
      </c>
      <c r="C2469" s="3" t="s">
        <v>6049</v>
      </c>
      <c r="D2469" s="3" t="s">
        <v>6157</v>
      </c>
      <c r="E2469" s="3" t="s">
        <v>5991</v>
      </c>
      <c r="F2469" s="3" t="s">
        <v>2899</v>
      </c>
      <c r="G2469" s="3" t="s">
        <v>4210</v>
      </c>
      <c r="H2469" s="3" t="s">
        <v>5405</v>
      </c>
      <c r="I2469" s="3" t="s">
        <v>2846</v>
      </c>
      <c r="J2469" s="5" t="s">
        <v>5406</v>
      </c>
      <c r="L2469" s="3" t="s">
        <v>5407</v>
      </c>
      <c r="M2469" s="3">
        <v>1</v>
      </c>
      <c r="N2469" s="4" t="s">
        <v>5387</v>
      </c>
      <c r="O2469" s="4">
        <v>128</v>
      </c>
      <c r="P2469" s="11" t="s">
        <v>9723</v>
      </c>
      <c r="Q2469" s="11" t="s">
        <v>5387</v>
      </c>
      <c r="S2469" s="4" t="b">
        <f>ISNUMBER(MATCH(Q2469,T:T,0))</f>
        <v>1</v>
      </c>
      <c r="T2469" s="4" t="s">
        <v>5406</v>
      </c>
      <c r="U2469" s="4" t="str">
        <f t="shared" si="114"/>
        <v>卦</v>
      </c>
    </row>
    <row r="2470" spans="1:21">
      <c r="A2470" s="3">
        <v>2461</v>
      </c>
      <c r="B2470" s="3" t="s">
        <v>5383</v>
      </c>
      <c r="C2470" s="3" t="s">
        <v>6045</v>
      </c>
      <c r="D2470" s="3" t="s">
        <v>6157</v>
      </c>
      <c r="E2470" s="3" t="s">
        <v>5991</v>
      </c>
      <c r="F2470" s="3" t="s">
        <v>2899</v>
      </c>
      <c r="G2470" s="3" t="s">
        <v>4210</v>
      </c>
      <c r="H2470" s="3" t="s">
        <v>5408</v>
      </c>
      <c r="I2470" s="3" t="s">
        <v>2846</v>
      </c>
      <c r="J2470" s="5" t="s">
        <v>5409</v>
      </c>
      <c r="L2470" s="3" t="s">
        <v>5407</v>
      </c>
      <c r="M2470" s="3">
        <v>4</v>
      </c>
      <c r="N2470" s="4" t="s">
        <v>5387</v>
      </c>
      <c r="O2470" s="4">
        <v>128</v>
      </c>
      <c r="P2470" s="11" t="s">
        <v>10259</v>
      </c>
      <c r="Q2470" s="11" t="s">
        <v>5387</v>
      </c>
      <c r="S2470" s="4" t="b">
        <f>ISNUMBER(MATCH(Q2470,T:T,0))</f>
        <v>1</v>
      </c>
      <c r="T2470" s="4" t="s">
        <v>12201</v>
      </c>
      <c r="U2470" s="4" t="str">
        <f t="shared" si="114"/>
        <v>卦</v>
      </c>
    </row>
    <row r="2471" spans="1:21">
      <c r="A2471" s="3">
        <v>2462</v>
      </c>
      <c r="B2471" s="3" t="s">
        <v>5383</v>
      </c>
      <c r="C2471" s="3" t="s">
        <v>6015</v>
      </c>
      <c r="D2471" s="3" t="s">
        <v>6157</v>
      </c>
      <c r="E2471" s="3" t="s">
        <v>5991</v>
      </c>
      <c r="F2471" s="3" t="s">
        <v>2899</v>
      </c>
      <c r="G2471" s="3" t="s">
        <v>4210</v>
      </c>
      <c r="H2471" s="3" t="s">
        <v>5410</v>
      </c>
      <c r="I2471" s="3" t="s">
        <v>2846</v>
      </c>
      <c r="J2471" s="5" t="s">
        <v>9240</v>
      </c>
      <c r="L2471" s="3" t="s">
        <v>5813</v>
      </c>
      <c r="M2471" s="3">
        <v>2</v>
      </c>
      <c r="N2471" s="4" t="s">
        <v>5387</v>
      </c>
      <c r="O2471" s="4">
        <v>128</v>
      </c>
      <c r="P2471" s="11" t="s">
        <v>9777</v>
      </c>
      <c r="Q2471" s="11" t="s">
        <v>10550</v>
      </c>
      <c r="S2471" s="4" t="b">
        <f>ISNUMBER(MATCH(Q2471,T:T,0))</f>
        <v>1</v>
      </c>
      <c r="T2471" s="4" t="s">
        <v>12202</v>
      </c>
      <c r="U2471" s="4" t="str">
        <f t="shared" si="114"/>
        <v>懈</v>
      </c>
    </row>
    <row r="2472" spans="1:21">
      <c r="A2472" s="3">
        <v>2463</v>
      </c>
      <c r="B2472" s="3" t="s">
        <v>5383</v>
      </c>
      <c r="C2472" s="3" t="s">
        <v>6053</v>
      </c>
      <c r="D2472" s="3" t="s">
        <v>6157</v>
      </c>
      <c r="E2472" s="3" t="s">
        <v>5991</v>
      </c>
      <c r="F2472" s="3" t="s">
        <v>2899</v>
      </c>
      <c r="G2472" s="3" t="s">
        <v>4210</v>
      </c>
      <c r="H2472" s="3" t="s">
        <v>5411</v>
      </c>
      <c r="I2472" s="3" t="s">
        <v>2846</v>
      </c>
      <c r="J2472" s="5" t="s">
        <v>5412</v>
      </c>
      <c r="L2472" s="3" t="s">
        <v>5413</v>
      </c>
      <c r="M2472" s="3">
        <v>7</v>
      </c>
      <c r="N2472" s="4" t="s">
        <v>5387</v>
      </c>
      <c r="O2472" s="4">
        <v>128</v>
      </c>
      <c r="P2472" s="11" t="s">
        <v>9772</v>
      </c>
      <c r="Q2472" s="11" t="s">
        <v>5387</v>
      </c>
      <c r="S2472" s="4" t="b">
        <f>ISNUMBER(MATCH(Q2472,T:T,0))</f>
        <v>1</v>
      </c>
      <c r="T2472" s="4" t="s">
        <v>12203</v>
      </c>
      <c r="U2472" s="4" t="str">
        <f t="shared" si="114"/>
        <v>卦</v>
      </c>
    </row>
    <row r="2473" spans="1:21">
      <c r="A2473" s="3">
        <v>2464</v>
      </c>
      <c r="B2473" s="3" t="s">
        <v>5383</v>
      </c>
      <c r="C2473" s="3" t="s">
        <v>6318</v>
      </c>
      <c r="D2473" s="3" t="s">
        <v>6157</v>
      </c>
      <c r="E2473" s="3" t="s">
        <v>5991</v>
      </c>
      <c r="F2473" s="3" t="s">
        <v>2899</v>
      </c>
      <c r="G2473" s="3" t="s">
        <v>4210</v>
      </c>
      <c r="H2473" s="3" t="s">
        <v>5414</v>
      </c>
      <c r="I2473" s="3" t="s">
        <v>2846</v>
      </c>
      <c r="J2473" s="5" t="s">
        <v>5415</v>
      </c>
      <c r="L2473" s="3" t="s">
        <v>5813</v>
      </c>
      <c r="M2473" s="3">
        <v>1</v>
      </c>
      <c r="N2473" s="4" t="s">
        <v>5387</v>
      </c>
      <c r="O2473" s="4">
        <v>128</v>
      </c>
      <c r="P2473" s="11" t="s">
        <v>9804</v>
      </c>
      <c r="Q2473" s="11" t="s">
        <v>5395</v>
      </c>
      <c r="S2473" s="4" t="b">
        <f>ISNUMBER(MATCH(Q2473,T:T,0))</f>
        <v>1</v>
      </c>
      <c r="T2473" s="4" t="s">
        <v>5415</v>
      </c>
      <c r="U2473" s="4" t="str">
        <f t="shared" si="114"/>
        <v>賣</v>
      </c>
    </row>
    <row r="2474" spans="1:21">
      <c r="A2474" s="3">
        <v>2465</v>
      </c>
      <c r="B2474" s="3" t="s">
        <v>5383</v>
      </c>
      <c r="C2474" s="3" t="s">
        <v>6038</v>
      </c>
      <c r="D2474" s="3" t="s">
        <v>6157</v>
      </c>
      <c r="E2474" s="3" t="s">
        <v>5991</v>
      </c>
      <c r="F2474" s="3" t="s">
        <v>2899</v>
      </c>
      <c r="G2474" s="3" t="s">
        <v>4210</v>
      </c>
      <c r="H2474" s="3" t="s">
        <v>5416</v>
      </c>
      <c r="I2474" s="3" t="s">
        <v>2846</v>
      </c>
      <c r="J2474" s="5" t="s">
        <v>5417</v>
      </c>
      <c r="L2474" s="3" t="s">
        <v>5418</v>
      </c>
      <c r="M2474" s="3">
        <v>2</v>
      </c>
      <c r="N2474" s="4" t="s">
        <v>5387</v>
      </c>
      <c r="O2474" s="4">
        <v>128</v>
      </c>
      <c r="P2474" s="11" t="s">
        <v>9728</v>
      </c>
      <c r="Q2474" s="11" t="s">
        <v>5395</v>
      </c>
      <c r="S2474" s="4" t="b">
        <f>ISNUMBER(MATCH(Q2474,T:T,0))</f>
        <v>1</v>
      </c>
      <c r="T2474" s="4" t="s">
        <v>12204</v>
      </c>
      <c r="U2474" s="4" t="str">
        <f t="shared" si="114"/>
        <v>賣</v>
      </c>
    </row>
    <row r="2475" spans="1:21">
      <c r="A2475" s="3">
        <v>2466</v>
      </c>
      <c r="B2475" s="3" t="s">
        <v>5383</v>
      </c>
      <c r="C2475" s="3" t="s">
        <v>6180</v>
      </c>
      <c r="D2475" s="3" t="s">
        <v>6157</v>
      </c>
      <c r="E2475" s="3" t="s">
        <v>5991</v>
      </c>
      <c r="F2475" s="3" t="s">
        <v>2899</v>
      </c>
      <c r="G2475" s="3" t="s">
        <v>4210</v>
      </c>
      <c r="H2475" s="3" t="s">
        <v>5419</v>
      </c>
      <c r="I2475" s="3" t="s">
        <v>2846</v>
      </c>
      <c r="J2475" s="5" t="s">
        <v>5420</v>
      </c>
      <c r="L2475" s="3" t="s">
        <v>5421</v>
      </c>
      <c r="M2475" s="3">
        <v>5</v>
      </c>
      <c r="N2475" s="4" t="s">
        <v>5387</v>
      </c>
      <c r="O2475" s="4">
        <v>128</v>
      </c>
      <c r="P2475" s="11" t="s">
        <v>9774</v>
      </c>
      <c r="Q2475" s="11" t="s">
        <v>5395</v>
      </c>
      <c r="S2475" s="4" t="b">
        <f>ISNUMBER(MATCH(Q2475,T:T,0))</f>
        <v>1</v>
      </c>
      <c r="T2475" s="4" t="s">
        <v>12205</v>
      </c>
      <c r="U2475" s="4" t="str">
        <f t="shared" si="114"/>
        <v>賣</v>
      </c>
    </row>
    <row r="2476" spans="1:21">
      <c r="A2476" s="3">
        <v>2467</v>
      </c>
      <c r="B2476" s="3" t="s">
        <v>5383</v>
      </c>
      <c r="C2476" s="3" t="s">
        <v>6089</v>
      </c>
      <c r="D2476" s="3" t="s">
        <v>6157</v>
      </c>
      <c r="E2476" s="3" t="s">
        <v>6212</v>
      </c>
      <c r="F2476" s="3" t="s">
        <v>2899</v>
      </c>
      <c r="G2476" s="3" t="s">
        <v>4210</v>
      </c>
      <c r="H2476" s="3" t="s">
        <v>5422</v>
      </c>
      <c r="I2476" s="3" t="s">
        <v>2846</v>
      </c>
      <c r="J2476" s="8" t="s">
        <v>5423</v>
      </c>
      <c r="L2476" s="3" t="s">
        <v>5837</v>
      </c>
      <c r="M2476" s="3">
        <v>1</v>
      </c>
      <c r="N2476" s="4" t="s">
        <v>5387</v>
      </c>
      <c r="O2476" s="4">
        <v>128</v>
      </c>
      <c r="P2476" s="11" t="s">
        <v>9739</v>
      </c>
      <c r="Q2476" s="11" t="s">
        <v>5387</v>
      </c>
      <c r="S2476" s="4" t="b">
        <f>ISNUMBER(MATCH(Q2476,T:T,0))</f>
        <v>1</v>
      </c>
      <c r="T2476" s="4" t="s">
        <v>5423</v>
      </c>
      <c r="U2476" s="4" t="str">
        <f t="shared" si="114"/>
        <v>卦</v>
      </c>
    </row>
    <row r="2477" spans="1:21">
      <c r="A2477" s="3">
        <v>2468</v>
      </c>
      <c r="B2477" s="3" t="s">
        <v>5383</v>
      </c>
      <c r="C2477" s="3" t="s">
        <v>6049</v>
      </c>
      <c r="D2477" s="3" t="s">
        <v>6157</v>
      </c>
      <c r="E2477" s="3" t="s">
        <v>5991</v>
      </c>
      <c r="F2477" s="3" t="s">
        <v>2899</v>
      </c>
      <c r="G2477" s="3" t="s">
        <v>4210</v>
      </c>
      <c r="H2477" s="3" t="s">
        <v>5424</v>
      </c>
      <c r="I2477" s="3" t="s">
        <v>2846</v>
      </c>
      <c r="J2477" s="5" t="s">
        <v>5425</v>
      </c>
      <c r="L2477" s="3" t="s">
        <v>5407</v>
      </c>
      <c r="M2477" s="3">
        <v>1</v>
      </c>
      <c r="N2477" s="4" t="s">
        <v>5387</v>
      </c>
      <c r="O2477" s="4">
        <v>128</v>
      </c>
      <c r="P2477" s="11" t="s">
        <v>9723</v>
      </c>
      <c r="Q2477" s="11" t="s">
        <v>5395</v>
      </c>
      <c r="S2477" s="4" t="b">
        <f>ISNUMBER(MATCH(Q2477,T:T,0))</f>
        <v>1</v>
      </c>
      <c r="T2477" s="4" t="s">
        <v>5425</v>
      </c>
      <c r="U2477" s="4" t="str">
        <f t="shared" si="114"/>
        <v>賣</v>
      </c>
    </row>
    <row r="2478" spans="1:21" ht="28.5">
      <c r="A2478" s="3">
        <v>2469</v>
      </c>
      <c r="B2478" s="3" t="s">
        <v>5383</v>
      </c>
      <c r="C2478" s="3" t="s">
        <v>6000</v>
      </c>
      <c r="D2478" s="3" t="s">
        <v>6157</v>
      </c>
      <c r="E2478" s="3" t="s">
        <v>6212</v>
      </c>
      <c r="F2478" s="3" t="s">
        <v>2899</v>
      </c>
      <c r="G2478" s="3" t="s">
        <v>4210</v>
      </c>
      <c r="H2478" s="3" t="s">
        <v>5426</v>
      </c>
      <c r="I2478" s="3" t="s">
        <v>2846</v>
      </c>
      <c r="J2478" s="8" t="s">
        <v>9241</v>
      </c>
      <c r="L2478" s="3" t="s">
        <v>5834</v>
      </c>
      <c r="M2478" s="3">
        <v>2</v>
      </c>
      <c r="N2478" s="4" t="s">
        <v>5387</v>
      </c>
      <c r="O2478" s="4">
        <v>128</v>
      </c>
      <c r="P2478" s="11" t="s">
        <v>9803</v>
      </c>
      <c r="Q2478" s="11" t="s">
        <v>5395</v>
      </c>
      <c r="S2478" s="4" t="b">
        <f>ISNUMBER(MATCH(Q2478,T:T,0))</f>
        <v>1</v>
      </c>
      <c r="T2478" s="4" t="s">
        <v>12206</v>
      </c>
      <c r="U2478" s="4" t="str">
        <f t="shared" si="114"/>
        <v>賣</v>
      </c>
    </row>
    <row r="2479" spans="1:21">
      <c r="A2479" s="3">
        <v>4016</v>
      </c>
      <c r="B2479" s="3" t="s">
        <v>5383</v>
      </c>
      <c r="C2479" s="3" t="s">
        <v>6072</v>
      </c>
      <c r="D2479" s="3" t="s">
        <v>6157</v>
      </c>
      <c r="E2479" s="3" t="s">
        <v>5991</v>
      </c>
      <c r="F2479" s="3" t="s">
        <v>2899</v>
      </c>
      <c r="G2479" s="3" t="s">
        <v>4210</v>
      </c>
      <c r="H2479" s="3" t="s">
        <v>1321</v>
      </c>
      <c r="I2479" s="3" t="s">
        <v>2846</v>
      </c>
      <c r="J2479" s="5" t="s">
        <v>6744</v>
      </c>
      <c r="M2479" s="3">
        <v>5</v>
      </c>
      <c r="N2479" s="4" t="s">
        <v>5387</v>
      </c>
      <c r="O2479" s="4">
        <v>128</v>
      </c>
      <c r="P2479" s="11" t="s">
        <v>9734</v>
      </c>
      <c r="Q2479" s="11" t="s">
        <v>10550</v>
      </c>
      <c r="S2479" s="4" t="b">
        <f>ISNUMBER(MATCH(Q2479,T:T,0))</f>
        <v>1</v>
      </c>
      <c r="T2479" s="4" t="s">
        <v>12986</v>
      </c>
      <c r="U2479" s="4" t="str">
        <f t="shared" si="114"/>
        <v>懈</v>
      </c>
    </row>
    <row r="2480" spans="1:21">
      <c r="A2480" s="3">
        <v>2470</v>
      </c>
      <c r="B2480" s="3" t="s">
        <v>5427</v>
      </c>
      <c r="C2480" s="3" t="s">
        <v>6025</v>
      </c>
      <c r="D2480" s="3" t="s">
        <v>6157</v>
      </c>
      <c r="E2480" s="3" t="s">
        <v>6212</v>
      </c>
      <c r="F2480" s="3" t="s">
        <v>2940</v>
      </c>
      <c r="G2480" s="3" t="s">
        <v>4210</v>
      </c>
      <c r="H2480" s="3" t="s">
        <v>5428</v>
      </c>
      <c r="I2480" s="3" t="s">
        <v>2846</v>
      </c>
      <c r="J2480" s="5" t="s">
        <v>9242</v>
      </c>
      <c r="L2480" s="3" t="s">
        <v>5429</v>
      </c>
      <c r="M2480" s="3">
        <v>8</v>
      </c>
      <c r="N2480" s="4" t="s">
        <v>9661</v>
      </c>
      <c r="O2480" s="4">
        <v>129</v>
      </c>
      <c r="P2480" s="11" t="s">
        <v>9729</v>
      </c>
      <c r="Q2480" s="11" t="s">
        <v>10551</v>
      </c>
      <c r="S2480" s="4" t="b">
        <f>ISNUMBER(MATCH(Q2480,T:T,0))</f>
        <v>1</v>
      </c>
      <c r="T2480" s="4" t="s">
        <v>9661</v>
      </c>
      <c r="U2480" s="4" t="str">
        <f t="shared" si="114"/>
        <v>壞</v>
      </c>
    </row>
    <row r="2481" spans="1:22">
      <c r="A2481" s="3">
        <v>2471</v>
      </c>
      <c r="B2481" s="3" t="s">
        <v>5427</v>
      </c>
      <c r="C2481" s="3" t="s">
        <v>6072</v>
      </c>
      <c r="D2481" s="3" t="s">
        <v>6157</v>
      </c>
      <c r="E2481" s="3" t="s">
        <v>5991</v>
      </c>
      <c r="F2481" s="3" t="s">
        <v>2940</v>
      </c>
      <c r="G2481" s="3" t="s">
        <v>4210</v>
      </c>
      <c r="H2481" s="3" t="s">
        <v>5430</v>
      </c>
      <c r="I2481" s="3" t="s">
        <v>2846</v>
      </c>
      <c r="J2481" s="5" t="s">
        <v>5431</v>
      </c>
      <c r="L2481" s="3" t="s">
        <v>5432</v>
      </c>
      <c r="M2481" s="3">
        <v>2</v>
      </c>
      <c r="N2481" s="4" t="s">
        <v>9661</v>
      </c>
      <c r="O2481" s="4">
        <v>129</v>
      </c>
      <c r="P2481" s="11" t="s">
        <v>9734</v>
      </c>
      <c r="Q2481" s="11" t="s">
        <v>10552</v>
      </c>
      <c r="R2481" s="4" t="s">
        <v>13136</v>
      </c>
      <c r="S2481" s="4" t="b">
        <f>ISNUMBER(MATCH(Q2481,T:T,0))</f>
        <v>0</v>
      </c>
      <c r="T2481" s="4" t="s">
        <v>12207</v>
      </c>
      <c r="U2481" s="4" t="str">
        <f t="shared" si="114"/>
        <v>誡</v>
      </c>
      <c r="V2481" s="4" t="b">
        <f t="shared" ref="V2481:V2482" si="115">ISNUMBER(MATCH(R2481,T:T,0))</f>
        <v>1</v>
      </c>
    </row>
    <row r="2482" spans="1:22">
      <c r="A2482" s="3">
        <v>2472</v>
      </c>
      <c r="B2482" s="3" t="s">
        <v>5427</v>
      </c>
      <c r="C2482" s="3" t="s">
        <v>6318</v>
      </c>
      <c r="D2482" s="3" t="s">
        <v>6157</v>
      </c>
      <c r="E2482" s="3" t="s">
        <v>5991</v>
      </c>
      <c r="F2482" s="3" t="s">
        <v>2940</v>
      </c>
      <c r="G2482" s="3" t="s">
        <v>4210</v>
      </c>
      <c r="H2482" s="3" t="s">
        <v>5433</v>
      </c>
      <c r="I2482" s="3" t="s">
        <v>2846</v>
      </c>
      <c r="J2482" s="5" t="s">
        <v>5434</v>
      </c>
      <c r="L2482" s="3" t="s">
        <v>5813</v>
      </c>
      <c r="M2482" s="3">
        <v>3</v>
      </c>
      <c r="N2482" s="4" t="s">
        <v>9661</v>
      </c>
      <c r="O2482" s="4">
        <v>129</v>
      </c>
      <c r="P2482" s="11" t="s">
        <v>9804</v>
      </c>
      <c r="Q2482" s="11" t="s">
        <v>10552</v>
      </c>
      <c r="R2482" s="4" t="s">
        <v>13136</v>
      </c>
      <c r="S2482" s="4" t="b">
        <f>ISNUMBER(MATCH(Q2482,T:T,0))</f>
        <v>0</v>
      </c>
      <c r="T2482" s="4" t="s">
        <v>12208</v>
      </c>
      <c r="U2482" s="4" t="str">
        <f t="shared" si="114"/>
        <v>誡</v>
      </c>
      <c r="V2482" s="4" t="b">
        <f t="shared" si="115"/>
        <v>1</v>
      </c>
    </row>
    <row r="2483" spans="1:22" ht="39">
      <c r="A2483" s="3">
        <v>2473</v>
      </c>
      <c r="B2483" s="3" t="s">
        <v>5427</v>
      </c>
      <c r="C2483" s="3" t="s">
        <v>6025</v>
      </c>
      <c r="D2483" s="3" t="s">
        <v>6157</v>
      </c>
      <c r="E2483" s="3" t="s">
        <v>5991</v>
      </c>
      <c r="F2483" s="3" t="s">
        <v>2940</v>
      </c>
      <c r="G2483" s="3" t="s">
        <v>4210</v>
      </c>
      <c r="H2483" s="3" t="s">
        <v>5435</v>
      </c>
      <c r="I2483" s="3" t="s">
        <v>2846</v>
      </c>
      <c r="J2483" s="5" t="s">
        <v>9243</v>
      </c>
      <c r="L2483" s="3" t="s">
        <v>5436</v>
      </c>
      <c r="M2483" s="3">
        <v>23</v>
      </c>
      <c r="N2483" s="4" t="s">
        <v>9661</v>
      </c>
      <c r="O2483" s="4">
        <v>129</v>
      </c>
      <c r="P2483" s="11" t="s">
        <v>9729</v>
      </c>
      <c r="Q2483" s="11" t="s">
        <v>10553</v>
      </c>
      <c r="S2483" s="4" t="b">
        <f>ISNUMBER(MATCH(Q2483,T:T,0))</f>
        <v>1</v>
      </c>
      <c r="T2483" s="4" t="s">
        <v>12209</v>
      </c>
      <c r="U2483" s="4" t="str">
        <f t="shared" si="114"/>
        <v>拜</v>
      </c>
    </row>
    <row r="2484" spans="1:22">
      <c r="A2484" s="3">
        <v>2474</v>
      </c>
      <c r="B2484" s="3" t="s">
        <v>5427</v>
      </c>
      <c r="C2484" s="3" t="s">
        <v>6137</v>
      </c>
      <c r="D2484" s="3" t="s">
        <v>6157</v>
      </c>
      <c r="E2484" s="3" t="s">
        <v>5991</v>
      </c>
      <c r="F2484" s="3" t="s">
        <v>2940</v>
      </c>
      <c r="G2484" s="3" t="s">
        <v>4210</v>
      </c>
      <c r="H2484" s="3" t="s">
        <v>5437</v>
      </c>
      <c r="I2484" s="3" t="s">
        <v>2846</v>
      </c>
      <c r="J2484" s="8" t="s">
        <v>5438</v>
      </c>
      <c r="L2484" s="3" t="s">
        <v>5333</v>
      </c>
      <c r="M2484" s="3">
        <v>1</v>
      </c>
      <c r="N2484" s="4" t="s">
        <v>9661</v>
      </c>
      <c r="O2484" s="4">
        <v>129</v>
      </c>
      <c r="P2484" s="11" t="s">
        <v>9755</v>
      </c>
      <c r="Q2484" s="11" t="s">
        <v>10554</v>
      </c>
      <c r="R2484" s="4" t="s">
        <v>13136</v>
      </c>
      <c r="S2484" s="4" t="b">
        <f>ISNUMBER(MATCH(Q2484,T:T,0))</f>
        <v>0</v>
      </c>
      <c r="T2484" s="4" t="s">
        <v>5438</v>
      </c>
      <c r="U2484" s="4" t="str">
        <f t="shared" si="114"/>
        <v>誡</v>
      </c>
      <c r="V2484" s="4" t="b">
        <f t="shared" ref="V2484:V2487" si="116">ISNUMBER(MATCH(R2484,T:T,0))</f>
        <v>1</v>
      </c>
    </row>
    <row r="2485" spans="1:22">
      <c r="A2485" s="3">
        <v>2475</v>
      </c>
      <c r="B2485" s="3" t="s">
        <v>5427</v>
      </c>
      <c r="C2485" s="3" t="s">
        <v>6089</v>
      </c>
      <c r="D2485" s="3" t="s">
        <v>6157</v>
      </c>
      <c r="E2485" s="3" t="s">
        <v>5991</v>
      </c>
      <c r="F2485" s="3" t="s">
        <v>2940</v>
      </c>
      <c r="G2485" s="3" t="s">
        <v>4210</v>
      </c>
      <c r="H2485" s="3" t="s">
        <v>5439</v>
      </c>
      <c r="I2485" s="3" t="s">
        <v>2846</v>
      </c>
      <c r="J2485" s="8" t="s">
        <v>9244</v>
      </c>
      <c r="L2485" s="3" t="s">
        <v>5845</v>
      </c>
      <c r="M2485" s="3">
        <v>9</v>
      </c>
      <c r="N2485" s="4" t="s">
        <v>9661</v>
      </c>
      <c r="O2485" s="4">
        <v>129</v>
      </c>
      <c r="P2485" s="11" t="s">
        <v>9753</v>
      </c>
      <c r="Q2485" s="11" t="s">
        <v>10554</v>
      </c>
      <c r="R2485" s="4" t="s">
        <v>13136</v>
      </c>
      <c r="S2485" s="4" t="b">
        <f>ISNUMBER(MATCH(Q2485,T:T,0))</f>
        <v>0</v>
      </c>
      <c r="T2485" s="4" t="s">
        <v>12210</v>
      </c>
      <c r="U2485" s="4" t="str">
        <f t="shared" si="114"/>
        <v>誡</v>
      </c>
      <c r="V2485" s="4" t="b">
        <f t="shared" si="116"/>
        <v>1</v>
      </c>
    </row>
    <row r="2486" spans="1:22">
      <c r="A2486" s="3">
        <v>2476</v>
      </c>
      <c r="B2486" s="3" t="s">
        <v>5427</v>
      </c>
      <c r="C2486" s="3" t="s">
        <v>6067</v>
      </c>
      <c r="D2486" s="3" t="s">
        <v>6157</v>
      </c>
      <c r="E2486" s="3" t="s">
        <v>5991</v>
      </c>
      <c r="F2486" s="3" t="s">
        <v>2940</v>
      </c>
      <c r="G2486" s="3" t="s">
        <v>4210</v>
      </c>
      <c r="H2486" s="3" t="s">
        <v>5440</v>
      </c>
      <c r="I2486" s="3" t="s">
        <v>2846</v>
      </c>
      <c r="J2486" s="5" t="s">
        <v>9245</v>
      </c>
      <c r="L2486" s="3" t="s">
        <v>5845</v>
      </c>
      <c r="M2486" s="3">
        <v>11</v>
      </c>
      <c r="N2486" s="4" t="s">
        <v>9661</v>
      </c>
      <c r="O2486" s="4">
        <v>129</v>
      </c>
      <c r="P2486" s="11" t="s">
        <v>9870</v>
      </c>
      <c r="Q2486" s="11" t="s">
        <v>10554</v>
      </c>
      <c r="R2486" s="4" t="s">
        <v>13136</v>
      </c>
      <c r="S2486" s="4" t="b">
        <f>ISNUMBER(MATCH(Q2486,T:T,0))</f>
        <v>0</v>
      </c>
      <c r="T2486" s="4" t="s">
        <v>12211</v>
      </c>
      <c r="U2486" s="4" t="str">
        <f t="shared" si="114"/>
        <v>誡</v>
      </c>
      <c r="V2486" s="4" t="b">
        <f t="shared" si="116"/>
        <v>1</v>
      </c>
    </row>
    <row r="2487" spans="1:22">
      <c r="A2487" s="3">
        <v>2477</v>
      </c>
      <c r="B2487" s="3" t="s">
        <v>5427</v>
      </c>
      <c r="C2487" s="3" t="s">
        <v>6092</v>
      </c>
      <c r="D2487" s="3" t="s">
        <v>6157</v>
      </c>
      <c r="E2487" s="3" t="s">
        <v>5991</v>
      </c>
      <c r="F2487" s="3" t="s">
        <v>2940</v>
      </c>
      <c r="G2487" s="3" t="s">
        <v>4210</v>
      </c>
      <c r="H2487" s="3" t="s">
        <v>5441</v>
      </c>
      <c r="I2487" s="3" t="s">
        <v>2846</v>
      </c>
      <c r="J2487" s="5" t="s">
        <v>5442</v>
      </c>
      <c r="L2487" s="3" t="s">
        <v>5432</v>
      </c>
      <c r="M2487" s="3">
        <v>4</v>
      </c>
      <c r="N2487" s="4" t="s">
        <v>9661</v>
      </c>
      <c r="O2487" s="4">
        <v>129</v>
      </c>
      <c r="P2487" s="11" t="s">
        <v>9740</v>
      </c>
      <c r="Q2487" s="11" t="s">
        <v>10554</v>
      </c>
      <c r="R2487" s="4" t="s">
        <v>13136</v>
      </c>
      <c r="S2487" s="4" t="b">
        <f>ISNUMBER(MATCH(Q2487,T:T,0))</f>
        <v>0</v>
      </c>
      <c r="T2487" s="4" t="s">
        <v>12212</v>
      </c>
      <c r="U2487" s="4" t="str">
        <f t="shared" si="114"/>
        <v>誡</v>
      </c>
      <c r="V2487" s="4" t="b">
        <f t="shared" si="116"/>
        <v>1</v>
      </c>
    </row>
    <row r="2488" spans="1:22">
      <c r="A2488" s="3">
        <v>2478</v>
      </c>
      <c r="B2488" s="3" t="s">
        <v>5427</v>
      </c>
      <c r="C2488" s="3" t="s">
        <v>6038</v>
      </c>
      <c r="D2488" s="3" t="s">
        <v>6157</v>
      </c>
      <c r="E2488" s="3" t="s">
        <v>6212</v>
      </c>
      <c r="F2488" s="3" t="s">
        <v>2940</v>
      </c>
      <c r="G2488" s="3" t="s">
        <v>4210</v>
      </c>
      <c r="H2488" s="3" t="s">
        <v>5443</v>
      </c>
      <c r="I2488" s="3" t="s">
        <v>2846</v>
      </c>
      <c r="J2488" s="5" t="s">
        <v>9246</v>
      </c>
      <c r="L2488" s="3" t="s">
        <v>5429</v>
      </c>
      <c r="M2488" s="3">
        <v>9</v>
      </c>
      <c r="N2488" s="4" t="s">
        <v>9661</v>
      </c>
      <c r="O2488" s="4">
        <v>129</v>
      </c>
      <c r="P2488" s="11" t="s">
        <v>9728</v>
      </c>
      <c r="Q2488" s="11" t="s">
        <v>9661</v>
      </c>
      <c r="S2488" s="4" t="b">
        <f>ISNUMBER(MATCH(Q2488,T:T,0))</f>
        <v>1</v>
      </c>
      <c r="T2488" s="4" t="s">
        <v>12213</v>
      </c>
      <c r="U2488" s="4" t="str">
        <f t="shared" si="114"/>
        <v>怪</v>
      </c>
    </row>
    <row r="2489" spans="1:22">
      <c r="A2489" s="3">
        <v>2479</v>
      </c>
      <c r="B2489" s="3" t="s">
        <v>5427</v>
      </c>
      <c r="C2489" s="3" t="s">
        <v>6049</v>
      </c>
      <c r="D2489" s="3" t="s">
        <v>6157</v>
      </c>
      <c r="E2489" s="3" t="s">
        <v>5991</v>
      </c>
      <c r="F2489" s="3" t="s">
        <v>2940</v>
      </c>
      <c r="G2489" s="3" t="s">
        <v>4210</v>
      </c>
      <c r="H2489" s="3" t="s">
        <v>5444</v>
      </c>
      <c r="I2489" s="3" t="s">
        <v>2846</v>
      </c>
      <c r="J2489" s="5" t="s">
        <v>5445</v>
      </c>
      <c r="L2489" s="3" t="s">
        <v>5407</v>
      </c>
      <c r="M2489" s="3">
        <v>3</v>
      </c>
      <c r="N2489" s="4" t="s">
        <v>9661</v>
      </c>
      <c r="O2489" s="4">
        <v>129</v>
      </c>
      <c r="P2489" s="11" t="s">
        <v>9770</v>
      </c>
      <c r="Q2489" s="11" t="s">
        <v>9661</v>
      </c>
      <c r="S2489" s="4" t="b">
        <f>ISNUMBER(MATCH(Q2489,T:T,0))</f>
        <v>1</v>
      </c>
      <c r="T2489" s="4" t="s">
        <v>10553</v>
      </c>
      <c r="U2489" s="4" t="str">
        <f t="shared" si="114"/>
        <v>怪</v>
      </c>
    </row>
    <row r="2490" spans="1:22">
      <c r="A2490" s="3">
        <v>2480</v>
      </c>
      <c r="B2490" s="3" t="s">
        <v>5427</v>
      </c>
      <c r="C2490" s="3" t="s">
        <v>6053</v>
      </c>
      <c r="D2490" s="3" t="s">
        <v>6157</v>
      </c>
      <c r="E2490" s="3" t="s">
        <v>5991</v>
      </c>
      <c r="F2490" s="3" t="s">
        <v>2940</v>
      </c>
      <c r="G2490" s="3" t="s">
        <v>4210</v>
      </c>
      <c r="H2490" s="3" t="s">
        <v>5446</v>
      </c>
      <c r="I2490" s="3" t="s">
        <v>2846</v>
      </c>
      <c r="J2490" s="5" t="s">
        <v>5447</v>
      </c>
      <c r="L2490" s="3" t="s">
        <v>5413</v>
      </c>
      <c r="M2490" s="3">
        <v>2</v>
      </c>
      <c r="N2490" s="4" t="s">
        <v>9661</v>
      </c>
      <c r="O2490" s="4">
        <v>129</v>
      </c>
      <c r="P2490" s="11" t="s">
        <v>9884</v>
      </c>
      <c r="Q2490" s="11" t="s">
        <v>10553</v>
      </c>
      <c r="S2490" s="4" t="b">
        <f>ISNUMBER(MATCH(Q2490,T:T,0))</f>
        <v>1</v>
      </c>
      <c r="T2490" s="4" t="s">
        <v>12214</v>
      </c>
      <c r="U2490" s="4" t="str">
        <f t="shared" si="114"/>
        <v>拜</v>
      </c>
    </row>
    <row r="2491" spans="1:22">
      <c r="A2491" s="3">
        <v>2481</v>
      </c>
      <c r="B2491" s="3" t="s">
        <v>5427</v>
      </c>
      <c r="C2491" s="3" t="s">
        <v>6067</v>
      </c>
      <c r="D2491" s="3" t="s">
        <v>6157</v>
      </c>
      <c r="E2491" s="3" t="s">
        <v>6212</v>
      </c>
      <c r="F2491" s="3" t="s">
        <v>2940</v>
      </c>
      <c r="G2491" s="3" t="s">
        <v>4210</v>
      </c>
      <c r="H2491" s="3" t="s">
        <v>5448</v>
      </c>
      <c r="I2491" s="3" t="s">
        <v>2846</v>
      </c>
      <c r="J2491" s="5" t="s">
        <v>5449</v>
      </c>
      <c r="L2491" s="3" t="s">
        <v>5450</v>
      </c>
      <c r="M2491" s="3">
        <v>3</v>
      </c>
      <c r="N2491" s="4" t="s">
        <v>9661</v>
      </c>
      <c r="O2491" s="4">
        <v>129</v>
      </c>
      <c r="P2491" s="11" t="s">
        <v>9870</v>
      </c>
      <c r="Q2491" s="11" t="s">
        <v>9661</v>
      </c>
      <c r="S2491" s="4" t="b">
        <f>ISNUMBER(MATCH(Q2491,T:T,0))</f>
        <v>1</v>
      </c>
      <c r="T2491" s="4" t="s">
        <v>10551</v>
      </c>
      <c r="U2491" s="4" t="str">
        <f t="shared" si="114"/>
        <v>怪</v>
      </c>
    </row>
    <row r="2492" spans="1:22">
      <c r="A2492" s="3">
        <v>2482</v>
      </c>
      <c r="B2492" s="3" t="s">
        <v>5427</v>
      </c>
      <c r="C2492" s="3" t="s">
        <v>6092</v>
      </c>
      <c r="D2492" s="3" t="s">
        <v>6157</v>
      </c>
      <c r="E2492" s="3" t="s">
        <v>6212</v>
      </c>
      <c r="F2492" s="3" t="s">
        <v>2940</v>
      </c>
      <c r="G2492" s="3" t="s">
        <v>4210</v>
      </c>
      <c r="H2492" s="3" t="s">
        <v>5451</v>
      </c>
      <c r="I2492" s="3" t="s">
        <v>2846</v>
      </c>
      <c r="J2492" s="5" t="s">
        <v>5452</v>
      </c>
      <c r="L2492" s="3" t="s">
        <v>5453</v>
      </c>
      <c r="M2492" s="3">
        <v>3</v>
      </c>
      <c r="N2492" s="4" t="s">
        <v>9661</v>
      </c>
      <c r="O2492" s="4">
        <v>129</v>
      </c>
      <c r="P2492" s="11" t="s">
        <v>9740</v>
      </c>
      <c r="Q2492" s="11" t="s">
        <v>9661</v>
      </c>
      <c r="S2492" s="4" t="b">
        <f>ISNUMBER(MATCH(Q2492,T:T,0))</f>
        <v>1</v>
      </c>
      <c r="T2492" s="4" t="s">
        <v>12215</v>
      </c>
      <c r="U2492" s="4" t="str">
        <f t="shared" si="114"/>
        <v>怪</v>
      </c>
    </row>
    <row r="2493" spans="1:22">
      <c r="A2493" s="3">
        <v>2483</v>
      </c>
      <c r="B2493" s="3" t="s">
        <v>5427</v>
      </c>
      <c r="C2493" s="3" t="s">
        <v>6045</v>
      </c>
      <c r="D2493" s="3" t="s">
        <v>6157</v>
      </c>
      <c r="E2493" s="3" t="s">
        <v>5991</v>
      </c>
      <c r="F2493" s="3" t="s">
        <v>2940</v>
      </c>
      <c r="G2493" s="3" t="s">
        <v>4210</v>
      </c>
      <c r="H2493" s="3" t="s">
        <v>5454</v>
      </c>
      <c r="I2493" s="3" t="s">
        <v>2846</v>
      </c>
      <c r="J2493" s="5" t="s">
        <v>5455</v>
      </c>
      <c r="L2493" s="3" t="s">
        <v>5407</v>
      </c>
      <c r="M2493" s="3">
        <v>8</v>
      </c>
      <c r="N2493" s="4" t="s">
        <v>9661</v>
      </c>
      <c r="O2493" s="4">
        <v>129</v>
      </c>
      <c r="P2493" s="11" t="s">
        <v>9965</v>
      </c>
      <c r="Q2493" s="11" t="s">
        <v>10553</v>
      </c>
      <c r="S2493" s="4" t="b">
        <f>ISNUMBER(MATCH(Q2493,T:T,0))</f>
        <v>1</v>
      </c>
      <c r="T2493" s="4" t="s">
        <v>12216</v>
      </c>
      <c r="U2493" s="4" t="str">
        <f t="shared" si="114"/>
        <v>拜</v>
      </c>
    </row>
    <row r="2494" spans="1:22">
      <c r="A2494" s="3">
        <v>2484</v>
      </c>
      <c r="B2494" s="3" t="s">
        <v>5427</v>
      </c>
      <c r="C2494" s="3" t="s">
        <v>6035</v>
      </c>
      <c r="D2494" s="3" t="s">
        <v>6157</v>
      </c>
      <c r="E2494" s="3" t="s">
        <v>5991</v>
      </c>
      <c r="F2494" s="3" t="s">
        <v>2940</v>
      </c>
      <c r="G2494" s="3" t="s">
        <v>4210</v>
      </c>
      <c r="H2494" s="3" t="s">
        <v>5456</v>
      </c>
      <c r="I2494" s="3" t="s">
        <v>2846</v>
      </c>
      <c r="J2494" s="5" t="s">
        <v>5457</v>
      </c>
      <c r="L2494" s="3" t="s">
        <v>5396</v>
      </c>
      <c r="M2494" s="3">
        <v>3</v>
      </c>
      <c r="N2494" s="4" t="s">
        <v>9661</v>
      </c>
      <c r="O2494" s="4">
        <v>129</v>
      </c>
      <c r="P2494" s="11" t="s">
        <v>9719</v>
      </c>
      <c r="Q2494" s="11" t="s">
        <v>10553</v>
      </c>
      <c r="S2494" s="4" t="b">
        <f>ISNUMBER(MATCH(Q2494,T:T,0))</f>
        <v>1</v>
      </c>
      <c r="T2494" s="4" t="s">
        <v>12217</v>
      </c>
      <c r="U2494" s="4" t="str">
        <f t="shared" si="114"/>
        <v>拜</v>
      </c>
    </row>
    <row r="2495" spans="1:22">
      <c r="A2495" s="3">
        <v>2485</v>
      </c>
      <c r="B2495" s="3" t="s">
        <v>5427</v>
      </c>
      <c r="C2495" s="3" t="s">
        <v>6089</v>
      </c>
      <c r="D2495" s="3" t="s">
        <v>6157</v>
      </c>
      <c r="E2495" s="3" t="s">
        <v>6212</v>
      </c>
      <c r="F2495" s="3" t="s">
        <v>2940</v>
      </c>
      <c r="G2495" s="3" t="s">
        <v>4210</v>
      </c>
      <c r="H2495" s="3" t="s">
        <v>5458</v>
      </c>
      <c r="I2495" s="3" t="s">
        <v>2846</v>
      </c>
      <c r="J2495" s="5" t="s">
        <v>9247</v>
      </c>
      <c r="L2495" s="3" t="s">
        <v>5450</v>
      </c>
      <c r="M2495" s="3">
        <v>5</v>
      </c>
      <c r="N2495" s="4" t="s">
        <v>9661</v>
      </c>
      <c r="O2495" s="4">
        <v>129</v>
      </c>
      <c r="P2495" s="11" t="s">
        <v>9904</v>
      </c>
      <c r="Q2495" s="11" t="s">
        <v>9661</v>
      </c>
      <c r="S2495" s="4" t="b">
        <f>ISNUMBER(MATCH(Q2495,T:T,0))</f>
        <v>1</v>
      </c>
      <c r="T2495" s="4" t="s">
        <v>12218</v>
      </c>
      <c r="U2495" s="4" t="str">
        <f t="shared" si="114"/>
        <v>怪</v>
      </c>
    </row>
    <row r="2496" spans="1:22">
      <c r="A2496" s="3">
        <v>2486</v>
      </c>
      <c r="B2496" s="3" t="s">
        <v>5427</v>
      </c>
      <c r="C2496" s="3" t="s">
        <v>6180</v>
      </c>
      <c r="D2496" s="3" t="s">
        <v>6157</v>
      </c>
      <c r="E2496" s="3" t="s">
        <v>5991</v>
      </c>
      <c r="F2496" s="3" t="s">
        <v>2940</v>
      </c>
      <c r="G2496" s="3" t="s">
        <v>4210</v>
      </c>
      <c r="H2496" s="3" t="s">
        <v>5459</v>
      </c>
      <c r="I2496" s="3" t="s">
        <v>2846</v>
      </c>
      <c r="J2496" s="5" t="s">
        <v>5460</v>
      </c>
      <c r="L2496" s="3" t="s">
        <v>5421</v>
      </c>
      <c r="M2496" s="3">
        <v>4</v>
      </c>
      <c r="N2496" s="4" t="s">
        <v>9661</v>
      </c>
      <c r="O2496" s="4">
        <v>129</v>
      </c>
      <c r="P2496" s="11" t="s">
        <v>9774</v>
      </c>
      <c r="Q2496" s="11" t="s">
        <v>10553</v>
      </c>
      <c r="S2496" s="4" t="b">
        <f>ISNUMBER(MATCH(Q2496,T:T,0))</f>
        <v>1</v>
      </c>
      <c r="T2496" s="4" t="s">
        <v>12219</v>
      </c>
      <c r="U2496" s="4" t="str">
        <f t="shared" si="114"/>
        <v>拜</v>
      </c>
    </row>
    <row r="2497" spans="1:22">
      <c r="A2497" s="3">
        <v>2487</v>
      </c>
      <c r="B2497" s="3" t="s">
        <v>5427</v>
      </c>
      <c r="C2497" s="3" t="s">
        <v>6038</v>
      </c>
      <c r="D2497" s="3" t="s">
        <v>6157</v>
      </c>
      <c r="E2497" s="3" t="s">
        <v>5991</v>
      </c>
      <c r="F2497" s="3" t="s">
        <v>2940</v>
      </c>
      <c r="G2497" s="3" t="s">
        <v>4210</v>
      </c>
      <c r="H2497" s="3" t="s">
        <v>5461</v>
      </c>
      <c r="I2497" s="3" t="s">
        <v>2846</v>
      </c>
      <c r="J2497" s="5" t="s">
        <v>5462</v>
      </c>
      <c r="L2497" s="3" t="s">
        <v>5463</v>
      </c>
      <c r="M2497" s="3">
        <v>4</v>
      </c>
      <c r="N2497" s="4" t="s">
        <v>9661</v>
      </c>
      <c r="O2497" s="4">
        <v>129</v>
      </c>
      <c r="P2497" s="11" t="s">
        <v>9728</v>
      </c>
      <c r="Q2497" s="11" t="s">
        <v>10555</v>
      </c>
      <c r="R2497" s="4" t="s">
        <v>13136</v>
      </c>
      <c r="S2497" s="4" t="b">
        <f>ISNUMBER(MATCH(Q2497,T:T,0))</f>
        <v>0</v>
      </c>
      <c r="T2497" s="4" t="s">
        <v>12220</v>
      </c>
      <c r="U2497" s="4" t="str">
        <f t="shared" si="114"/>
        <v>誡</v>
      </c>
      <c r="V2497" s="4" t="b">
        <f>ISNUMBER(MATCH(R2497,T:T,0))</f>
        <v>1</v>
      </c>
    </row>
    <row r="2498" spans="1:22" ht="28.5">
      <c r="A2498" s="3">
        <v>2488</v>
      </c>
      <c r="B2498" s="3" t="s">
        <v>5427</v>
      </c>
      <c r="C2498" s="3" t="s">
        <v>6011</v>
      </c>
      <c r="D2498" s="3" t="s">
        <v>6157</v>
      </c>
      <c r="E2498" s="3" t="s">
        <v>6212</v>
      </c>
      <c r="F2498" s="3" t="s">
        <v>2940</v>
      </c>
      <c r="G2498" s="3" t="s">
        <v>4210</v>
      </c>
      <c r="H2498" s="3" t="s">
        <v>5464</v>
      </c>
      <c r="I2498" s="3" t="s">
        <v>2846</v>
      </c>
      <c r="J2498" s="8" t="s">
        <v>5465</v>
      </c>
      <c r="L2498" s="3" t="s">
        <v>4505</v>
      </c>
      <c r="M2498" s="3">
        <v>1</v>
      </c>
      <c r="N2498" s="4" t="s">
        <v>9661</v>
      </c>
      <c r="O2498" s="4">
        <v>129</v>
      </c>
      <c r="P2498" s="11" t="s">
        <v>10556</v>
      </c>
      <c r="Q2498" s="11" t="s">
        <v>9661</v>
      </c>
      <c r="S2498" s="4" t="b">
        <f>ISNUMBER(MATCH(Q2498,T:T,0))</f>
        <v>1</v>
      </c>
      <c r="T2498" s="4" t="s">
        <v>5465</v>
      </c>
      <c r="U2498" s="4" t="str">
        <f t="shared" si="114"/>
        <v>怪</v>
      </c>
    </row>
    <row r="2499" spans="1:22">
      <c r="A2499" s="3">
        <v>2489</v>
      </c>
      <c r="B2499" s="3" t="s">
        <v>5466</v>
      </c>
      <c r="C2499" s="3" t="s">
        <v>6025</v>
      </c>
      <c r="D2499" s="3" t="s">
        <v>6157</v>
      </c>
      <c r="E2499" s="3" t="s">
        <v>6212</v>
      </c>
      <c r="F2499" s="3" t="s">
        <v>5467</v>
      </c>
      <c r="G2499" s="3" t="s">
        <v>4210</v>
      </c>
      <c r="H2499" s="3" t="s">
        <v>5384</v>
      </c>
      <c r="I2499" s="3" t="s">
        <v>2846</v>
      </c>
      <c r="J2499" s="5" t="s">
        <v>5468</v>
      </c>
      <c r="L2499" s="3" t="s">
        <v>5469</v>
      </c>
      <c r="M2499" s="3">
        <v>3</v>
      </c>
      <c r="N2499" s="4" t="s">
        <v>5467</v>
      </c>
      <c r="O2499" s="4">
        <v>130</v>
      </c>
      <c r="P2499" s="11" t="s">
        <v>9729</v>
      </c>
      <c r="Q2499" s="11" t="s">
        <v>5395</v>
      </c>
      <c r="S2499" s="4" t="b">
        <f>ISNUMBER(MATCH(Q2499,T:T,0))</f>
        <v>1</v>
      </c>
      <c r="T2499" s="4" t="s">
        <v>5467</v>
      </c>
      <c r="U2499" s="4" t="str">
        <f t="shared" ref="U2499:U2562" si="117">IF(ISBLANK(R2499),Q2499,R2499)</f>
        <v>賣</v>
      </c>
    </row>
    <row r="2500" spans="1:22">
      <c r="A2500" s="3">
        <v>2490</v>
      </c>
      <c r="B2500" s="3" t="s">
        <v>5466</v>
      </c>
      <c r="C2500" s="3" t="s">
        <v>6038</v>
      </c>
      <c r="D2500" s="3" t="s">
        <v>6157</v>
      </c>
      <c r="E2500" s="3" t="s">
        <v>6212</v>
      </c>
      <c r="F2500" s="3" t="s">
        <v>5467</v>
      </c>
      <c r="G2500" s="3" t="s">
        <v>4210</v>
      </c>
      <c r="H2500" s="3" t="s">
        <v>5470</v>
      </c>
      <c r="I2500" s="3" t="s">
        <v>2846</v>
      </c>
      <c r="J2500" s="5" t="s">
        <v>5471</v>
      </c>
      <c r="L2500" s="3" t="s">
        <v>5429</v>
      </c>
      <c r="M2500" s="3">
        <v>5</v>
      </c>
      <c r="N2500" s="4" t="s">
        <v>5467</v>
      </c>
      <c r="O2500" s="4">
        <v>130</v>
      </c>
      <c r="P2500" s="11" t="s">
        <v>9728</v>
      </c>
      <c r="Q2500" s="11" t="s">
        <v>5467</v>
      </c>
      <c r="S2500" s="4" t="b">
        <f>ISNUMBER(MATCH(Q2500,T:T,0))</f>
        <v>1</v>
      </c>
      <c r="T2500" s="4" t="s">
        <v>10557</v>
      </c>
      <c r="U2500" s="4" t="str">
        <f t="shared" si="117"/>
        <v>夬</v>
      </c>
    </row>
    <row r="2501" spans="1:22">
      <c r="A2501" s="3">
        <v>2491</v>
      </c>
      <c r="B2501" s="3" t="s">
        <v>5466</v>
      </c>
      <c r="C2501" s="3" t="s">
        <v>6035</v>
      </c>
      <c r="D2501" s="3" t="s">
        <v>6157</v>
      </c>
      <c r="E2501" s="3" t="s">
        <v>5991</v>
      </c>
      <c r="F2501" s="3" t="s">
        <v>5467</v>
      </c>
      <c r="G2501" s="3" t="s">
        <v>4210</v>
      </c>
      <c r="H2501" s="3" t="s">
        <v>5472</v>
      </c>
      <c r="I2501" s="3" t="s">
        <v>2846</v>
      </c>
      <c r="J2501" s="5" t="s">
        <v>9248</v>
      </c>
      <c r="L2501" s="3" t="s">
        <v>5396</v>
      </c>
      <c r="M2501" s="3">
        <v>4</v>
      </c>
      <c r="N2501" s="4" t="s">
        <v>5467</v>
      </c>
      <c r="O2501" s="4">
        <v>130</v>
      </c>
      <c r="P2501" s="11" t="s">
        <v>9719</v>
      </c>
      <c r="Q2501" s="11" t="s">
        <v>5474</v>
      </c>
      <c r="S2501" s="4" t="b">
        <f>ISNUMBER(MATCH(Q2501,T:T,0))</f>
        <v>1</v>
      </c>
      <c r="T2501" s="4" t="s">
        <v>10558</v>
      </c>
      <c r="U2501" s="4" t="str">
        <f t="shared" si="117"/>
        <v>話</v>
      </c>
    </row>
    <row r="2502" spans="1:22">
      <c r="A2502" s="3">
        <v>2492</v>
      </c>
      <c r="B2502" s="3" t="s">
        <v>5466</v>
      </c>
      <c r="C2502" s="3" t="s">
        <v>6067</v>
      </c>
      <c r="D2502" s="3" t="s">
        <v>6157</v>
      </c>
      <c r="E2502" s="3" t="s">
        <v>6212</v>
      </c>
      <c r="F2502" s="3" t="s">
        <v>5467</v>
      </c>
      <c r="G2502" s="3" t="s">
        <v>4210</v>
      </c>
      <c r="H2502" s="3" t="s">
        <v>5473</v>
      </c>
      <c r="I2502" s="3" t="s">
        <v>2846</v>
      </c>
      <c r="J2502" s="5" t="s">
        <v>5474</v>
      </c>
      <c r="L2502" s="3" t="s">
        <v>5450</v>
      </c>
      <c r="M2502" s="3">
        <v>1</v>
      </c>
      <c r="N2502" s="4" t="s">
        <v>5467</v>
      </c>
      <c r="O2502" s="4">
        <v>130</v>
      </c>
      <c r="P2502" s="11" t="s">
        <v>9771</v>
      </c>
      <c r="Q2502" s="11" t="s">
        <v>10557</v>
      </c>
      <c r="S2502" s="4" t="b">
        <f>ISNUMBER(MATCH(Q2502,T:T,0))</f>
        <v>1</v>
      </c>
      <c r="T2502" s="4" t="s">
        <v>5474</v>
      </c>
      <c r="U2502" s="4" t="str">
        <f t="shared" si="117"/>
        <v>快</v>
      </c>
    </row>
    <row r="2503" spans="1:22">
      <c r="A2503" s="3">
        <v>2493</v>
      </c>
      <c r="B2503" s="3" t="s">
        <v>5466</v>
      </c>
      <c r="C2503" s="3" t="s">
        <v>6045</v>
      </c>
      <c r="D2503" s="3" t="s">
        <v>6157</v>
      </c>
      <c r="E2503" s="3" t="s">
        <v>5991</v>
      </c>
      <c r="F2503" s="3" t="s">
        <v>5467</v>
      </c>
      <c r="G2503" s="3" t="s">
        <v>4210</v>
      </c>
      <c r="H2503" s="3" t="s">
        <v>5475</v>
      </c>
      <c r="I2503" s="3" t="s">
        <v>2846</v>
      </c>
      <c r="J2503" s="5" t="s">
        <v>9249</v>
      </c>
      <c r="L2503" s="3" t="s">
        <v>5407</v>
      </c>
      <c r="M2503" s="3">
        <v>4</v>
      </c>
      <c r="N2503" s="4" t="s">
        <v>5467</v>
      </c>
      <c r="O2503" s="4">
        <v>130</v>
      </c>
      <c r="P2503" s="11" t="s">
        <v>9738</v>
      </c>
      <c r="Q2503" s="11" t="s">
        <v>10558</v>
      </c>
      <c r="S2503" s="4" t="b">
        <f>ISNUMBER(MATCH(Q2503,T:T,0))</f>
        <v>1</v>
      </c>
      <c r="T2503" s="4" t="s">
        <v>5493</v>
      </c>
      <c r="U2503" s="4" t="str">
        <f t="shared" si="117"/>
        <v>邁</v>
      </c>
    </row>
    <row r="2504" spans="1:22">
      <c r="A2504" s="3">
        <v>2494</v>
      </c>
      <c r="B2504" s="3" t="s">
        <v>5466</v>
      </c>
      <c r="C2504" s="3" t="s">
        <v>6072</v>
      </c>
      <c r="D2504" s="3" t="s">
        <v>6157</v>
      </c>
      <c r="E2504" s="3" t="s">
        <v>6212</v>
      </c>
      <c r="F2504" s="3" t="s">
        <v>5467</v>
      </c>
      <c r="G2504" s="3" t="s">
        <v>4210</v>
      </c>
      <c r="H2504" s="3" t="s">
        <v>5476</v>
      </c>
      <c r="I2504" s="3" t="s">
        <v>2846</v>
      </c>
      <c r="J2504" s="5" t="s">
        <v>9250</v>
      </c>
      <c r="L2504" s="3" t="s">
        <v>5453</v>
      </c>
      <c r="M2504" s="3">
        <v>3</v>
      </c>
      <c r="N2504" s="4" t="s">
        <v>5467</v>
      </c>
      <c r="O2504" s="4">
        <v>130</v>
      </c>
      <c r="P2504" s="11" t="s">
        <v>9734</v>
      </c>
      <c r="Q2504" s="11" t="s">
        <v>10557</v>
      </c>
      <c r="S2504" s="4" t="b">
        <f>ISNUMBER(MATCH(Q2504,T:T,0))</f>
        <v>1</v>
      </c>
      <c r="T2504" s="4" t="s">
        <v>12221</v>
      </c>
      <c r="U2504" s="4" t="str">
        <f t="shared" si="117"/>
        <v>快</v>
      </c>
    </row>
    <row r="2505" spans="1:22" ht="28.5">
      <c r="A2505" s="3">
        <v>2495</v>
      </c>
      <c r="B2505" s="3" t="s">
        <v>5466</v>
      </c>
      <c r="C2505" s="3" t="s">
        <v>6167</v>
      </c>
      <c r="D2505" s="3" t="s">
        <v>6157</v>
      </c>
      <c r="E2505" s="3" t="s">
        <v>6212</v>
      </c>
      <c r="F2505" s="3" t="s">
        <v>5467</v>
      </c>
      <c r="G2505" s="3" t="s">
        <v>4210</v>
      </c>
      <c r="H2505" s="3" t="s">
        <v>5477</v>
      </c>
      <c r="I2505" s="3" t="s">
        <v>2846</v>
      </c>
      <c r="J2505" s="5" t="s">
        <v>5478</v>
      </c>
      <c r="L2505" s="3" t="s">
        <v>4505</v>
      </c>
      <c r="M2505" s="3">
        <v>4</v>
      </c>
      <c r="N2505" s="4" t="s">
        <v>5467</v>
      </c>
      <c r="O2505" s="4">
        <v>130</v>
      </c>
      <c r="P2505" s="11" t="s">
        <v>9769</v>
      </c>
      <c r="Q2505" s="11" t="s">
        <v>5467</v>
      </c>
      <c r="S2505" s="4" t="b">
        <f>ISNUMBER(MATCH(Q2505,T:T,0))</f>
        <v>1</v>
      </c>
      <c r="T2505" s="4" t="s">
        <v>12222</v>
      </c>
      <c r="U2505" s="4" t="str">
        <f t="shared" si="117"/>
        <v>夬</v>
      </c>
    </row>
    <row r="2506" spans="1:22">
      <c r="A2506" s="3">
        <v>2496</v>
      </c>
      <c r="B2506" s="3" t="s">
        <v>5466</v>
      </c>
      <c r="C2506" s="3" t="s">
        <v>6025</v>
      </c>
      <c r="D2506" s="3" t="s">
        <v>6157</v>
      </c>
      <c r="E2506" s="3" t="s">
        <v>5991</v>
      </c>
      <c r="F2506" s="3" t="s">
        <v>5467</v>
      </c>
      <c r="G2506" s="3" t="s">
        <v>4210</v>
      </c>
      <c r="H2506" s="3" t="s">
        <v>5479</v>
      </c>
      <c r="I2506" s="3" t="s">
        <v>2846</v>
      </c>
      <c r="J2506" s="5" t="s">
        <v>5480</v>
      </c>
      <c r="L2506" s="3" t="s">
        <v>5436</v>
      </c>
      <c r="M2506" s="3">
        <v>2</v>
      </c>
      <c r="N2506" s="4" t="s">
        <v>5467</v>
      </c>
      <c r="O2506" s="4">
        <v>130</v>
      </c>
      <c r="P2506" s="11" t="s">
        <v>9729</v>
      </c>
      <c r="Q2506" s="11" t="s">
        <v>10559</v>
      </c>
      <c r="S2506" s="4" t="b">
        <f>ISNUMBER(MATCH(Q2506,T:T,0))</f>
        <v>1</v>
      </c>
      <c r="T2506" s="4" t="s">
        <v>10560</v>
      </c>
      <c r="U2506" s="4" t="str">
        <f t="shared" si="117"/>
        <v>喝</v>
      </c>
    </row>
    <row r="2507" spans="1:22">
      <c r="A2507" s="3">
        <v>2497</v>
      </c>
      <c r="B2507" s="3" t="s">
        <v>5466</v>
      </c>
      <c r="C2507" s="3" t="s">
        <v>6011</v>
      </c>
      <c r="D2507" s="3" t="s">
        <v>6157</v>
      </c>
      <c r="E2507" s="3" t="s">
        <v>5991</v>
      </c>
      <c r="F2507" s="3" t="s">
        <v>5467</v>
      </c>
      <c r="G2507" s="3" t="s">
        <v>4210</v>
      </c>
      <c r="H2507" s="3" t="s">
        <v>5481</v>
      </c>
      <c r="I2507" s="3" t="s">
        <v>2846</v>
      </c>
      <c r="J2507" s="5" t="s">
        <v>9251</v>
      </c>
      <c r="L2507" s="3" t="s">
        <v>5399</v>
      </c>
      <c r="M2507" s="3">
        <v>2</v>
      </c>
      <c r="N2507" s="4" t="s">
        <v>5467</v>
      </c>
      <c r="O2507" s="4">
        <v>130</v>
      </c>
      <c r="P2507" s="11" t="s">
        <v>9757</v>
      </c>
      <c r="Q2507" s="11" t="s">
        <v>10560</v>
      </c>
      <c r="S2507" s="4" t="b">
        <f>ISNUMBER(MATCH(Q2507,T:T,0))</f>
        <v>1</v>
      </c>
      <c r="T2507" s="4" t="s">
        <v>12223</v>
      </c>
      <c r="U2507" s="4" t="str">
        <f t="shared" si="117"/>
        <v>犗</v>
      </c>
    </row>
    <row r="2508" spans="1:22">
      <c r="A2508" s="3">
        <v>2498</v>
      </c>
      <c r="B2508" s="3" t="s">
        <v>5466</v>
      </c>
      <c r="C2508" s="3" t="s">
        <v>6072</v>
      </c>
      <c r="D2508" s="3" t="s">
        <v>6157</v>
      </c>
      <c r="E2508" s="3" t="s">
        <v>5991</v>
      </c>
      <c r="F2508" s="3" t="s">
        <v>5467</v>
      </c>
      <c r="G2508" s="3" t="s">
        <v>4210</v>
      </c>
      <c r="H2508" s="3" t="s">
        <v>5482</v>
      </c>
      <c r="I2508" s="3" t="s">
        <v>2846</v>
      </c>
      <c r="J2508" s="5" t="s">
        <v>5483</v>
      </c>
      <c r="L2508" s="3" t="s">
        <v>5432</v>
      </c>
      <c r="M2508" s="3">
        <v>5</v>
      </c>
      <c r="N2508" s="4" t="s">
        <v>5467</v>
      </c>
      <c r="O2508" s="4">
        <v>130</v>
      </c>
      <c r="P2508" s="11" t="s">
        <v>9754</v>
      </c>
      <c r="Q2508" s="11" t="s">
        <v>10560</v>
      </c>
      <c r="S2508" s="4" t="b">
        <f>ISNUMBER(MATCH(Q2508,T:T,0))</f>
        <v>1</v>
      </c>
      <c r="T2508" s="4" t="s">
        <v>10559</v>
      </c>
      <c r="U2508" s="4" t="str">
        <f t="shared" si="117"/>
        <v>犗</v>
      </c>
    </row>
    <row r="2509" spans="1:22">
      <c r="A2509" s="3">
        <v>2499</v>
      </c>
      <c r="B2509" s="3" t="s">
        <v>5466</v>
      </c>
      <c r="C2509" s="3" t="s">
        <v>6180</v>
      </c>
      <c r="D2509" s="3" t="s">
        <v>6157</v>
      </c>
      <c r="E2509" s="3" t="s">
        <v>5991</v>
      </c>
      <c r="F2509" s="3" t="s">
        <v>5467</v>
      </c>
      <c r="G2509" s="3" t="s">
        <v>4210</v>
      </c>
      <c r="H2509" s="3" t="s">
        <v>5484</v>
      </c>
      <c r="I2509" s="3" t="s">
        <v>2846</v>
      </c>
      <c r="J2509" s="5" t="s">
        <v>5485</v>
      </c>
      <c r="L2509" s="3" t="s">
        <v>5421</v>
      </c>
      <c r="M2509" s="3">
        <v>1</v>
      </c>
      <c r="N2509" s="4" t="s">
        <v>5467</v>
      </c>
      <c r="O2509" s="4">
        <v>130</v>
      </c>
      <c r="P2509" s="11" t="s">
        <v>9774</v>
      </c>
      <c r="Q2509" s="11" t="s">
        <v>10560</v>
      </c>
      <c r="S2509" s="4" t="b">
        <f>ISNUMBER(MATCH(Q2509,T:T,0))</f>
        <v>1</v>
      </c>
      <c r="T2509" s="4" t="s">
        <v>12224</v>
      </c>
      <c r="U2509" s="4" t="str">
        <f t="shared" si="117"/>
        <v>犗</v>
      </c>
    </row>
    <row r="2510" spans="1:22">
      <c r="A2510" s="3">
        <v>2500</v>
      </c>
      <c r="B2510" s="3" t="s">
        <v>5466</v>
      </c>
      <c r="C2510" s="3" t="s">
        <v>6005</v>
      </c>
      <c r="D2510" s="3" t="s">
        <v>6157</v>
      </c>
      <c r="E2510" s="3" t="s">
        <v>5991</v>
      </c>
      <c r="F2510" s="3" t="s">
        <v>5467</v>
      </c>
      <c r="G2510" s="3" t="s">
        <v>4210</v>
      </c>
      <c r="H2510" s="3" t="s">
        <v>5486</v>
      </c>
      <c r="I2510" s="3" t="s">
        <v>2846</v>
      </c>
      <c r="J2510" s="5" t="s">
        <v>5487</v>
      </c>
      <c r="L2510" s="3" t="s">
        <v>5813</v>
      </c>
      <c r="M2510" s="3">
        <v>1</v>
      </c>
      <c r="N2510" s="4" t="s">
        <v>5467</v>
      </c>
      <c r="O2510" s="4">
        <v>130</v>
      </c>
      <c r="P2510" s="11" t="s">
        <v>10333</v>
      </c>
      <c r="Q2510" s="11" t="s">
        <v>10558</v>
      </c>
      <c r="S2510" s="4" t="b">
        <f>ISNUMBER(MATCH(Q2510,T:T,0))</f>
        <v>1</v>
      </c>
      <c r="T2510" s="4" t="s">
        <v>5487</v>
      </c>
      <c r="U2510" s="4" t="str">
        <f t="shared" si="117"/>
        <v>邁</v>
      </c>
    </row>
    <row r="2511" spans="1:22">
      <c r="A2511" s="3">
        <v>2501</v>
      </c>
      <c r="B2511" s="3" t="s">
        <v>5466</v>
      </c>
      <c r="C2511" s="3" t="s">
        <v>6089</v>
      </c>
      <c r="D2511" s="3" t="s">
        <v>6157</v>
      </c>
      <c r="E2511" s="3" t="s">
        <v>5991</v>
      </c>
      <c r="F2511" s="3" t="s">
        <v>5467</v>
      </c>
      <c r="G2511" s="3" t="s">
        <v>4210</v>
      </c>
      <c r="H2511" s="3" t="s">
        <v>5488</v>
      </c>
      <c r="I2511" s="3" t="s">
        <v>2846</v>
      </c>
      <c r="J2511" s="5" t="s">
        <v>5489</v>
      </c>
      <c r="L2511" s="3" t="s">
        <v>5845</v>
      </c>
      <c r="M2511" s="3">
        <v>2</v>
      </c>
      <c r="N2511" s="4" t="s">
        <v>5467</v>
      </c>
      <c r="O2511" s="4">
        <v>130</v>
      </c>
      <c r="P2511" s="11" t="s">
        <v>9904</v>
      </c>
      <c r="Q2511" s="11" t="s">
        <v>10560</v>
      </c>
      <c r="S2511" s="4" t="b">
        <f>ISNUMBER(MATCH(Q2511,T:T,0))</f>
        <v>1</v>
      </c>
      <c r="T2511" s="4" t="s">
        <v>12225</v>
      </c>
      <c r="U2511" s="4" t="str">
        <f t="shared" si="117"/>
        <v>犗</v>
      </c>
    </row>
    <row r="2512" spans="1:22">
      <c r="A2512" s="3">
        <v>2502</v>
      </c>
      <c r="B2512" s="3" t="s">
        <v>5466</v>
      </c>
      <c r="C2512" s="3" t="s">
        <v>6089</v>
      </c>
      <c r="D2512" s="3" t="s">
        <v>6157</v>
      </c>
      <c r="E2512" s="3" t="s">
        <v>6212</v>
      </c>
      <c r="F2512" s="3" t="s">
        <v>5467</v>
      </c>
      <c r="G2512" s="3" t="s">
        <v>4210</v>
      </c>
      <c r="H2512" s="3" t="s">
        <v>5490</v>
      </c>
      <c r="I2512" s="3" t="s">
        <v>2846</v>
      </c>
      <c r="J2512" s="5" t="s">
        <v>5491</v>
      </c>
      <c r="L2512" s="3" t="s">
        <v>5450</v>
      </c>
      <c r="M2512" s="3">
        <v>1</v>
      </c>
      <c r="N2512" s="4" t="s">
        <v>5467</v>
      </c>
      <c r="O2512" s="4">
        <v>130</v>
      </c>
      <c r="P2512" s="11" t="s">
        <v>9904</v>
      </c>
      <c r="Q2512" s="11" t="s">
        <v>5467</v>
      </c>
      <c r="S2512" s="4" t="b">
        <f>ISNUMBER(MATCH(Q2512,T:T,0))</f>
        <v>1</v>
      </c>
      <c r="T2512" s="4" t="s">
        <v>5491</v>
      </c>
      <c r="U2512" s="4" t="str">
        <f t="shared" si="117"/>
        <v>夬</v>
      </c>
    </row>
    <row r="2513" spans="1:22">
      <c r="A2513" s="3">
        <v>2503</v>
      </c>
      <c r="B2513" s="3" t="s">
        <v>5466</v>
      </c>
      <c r="C2513" s="3" t="s">
        <v>6049</v>
      </c>
      <c r="D2513" s="3" t="s">
        <v>6157</v>
      </c>
      <c r="E2513" s="3" t="s">
        <v>5991</v>
      </c>
      <c r="F2513" s="3" t="s">
        <v>5467</v>
      </c>
      <c r="G2513" s="3" t="s">
        <v>4210</v>
      </c>
      <c r="H2513" s="3" t="s">
        <v>5492</v>
      </c>
      <c r="I2513" s="3" t="s">
        <v>2846</v>
      </c>
      <c r="J2513" s="5" t="s">
        <v>5493</v>
      </c>
      <c r="L2513" s="3" t="s">
        <v>5407</v>
      </c>
      <c r="M2513" s="3">
        <v>1</v>
      </c>
      <c r="N2513" s="4" t="s">
        <v>5467</v>
      </c>
      <c r="O2513" s="4">
        <v>130</v>
      </c>
      <c r="P2513" s="11" t="s">
        <v>10253</v>
      </c>
      <c r="Q2513" s="11" t="s">
        <v>10558</v>
      </c>
      <c r="S2513" s="4" t="b">
        <f>ISNUMBER(MATCH(Q2513,T:T,0))</f>
        <v>1</v>
      </c>
      <c r="T2513" s="4" t="s">
        <v>5493</v>
      </c>
      <c r="U2513" s="4" t="str">
        <f t="shared" si="117"/>
        <v>邁</v>
      </c>
    </row>
    <row r="2514" spans="1:22">
      <c r="A2514" s="3">
        <v>2504</v>
      </c>
      <c r="B2514" s="3" t="s">
        <v>5466</v>
      </c>
      <c r="C2514" s="3" t="s">
        <v>6076</v>
      </c>
      <c r="D2514" s="3" t="s">
        <v>6157</v>
      </c>
      <c r="E2514" s="3" t="s">
        <v>6212</v>
      </c>
      <c r="F2514" s="3" t="s">
        <v>5467</v>
      </c>
      <c r="G2514" s="3" t="s">
        <v>4210</v>
      </c>
      <c r="H2514" s="3" t="s">
        <v>5494</v>
      </c>
      <c r="I2514" s="3" t="s">
        <v>2846</v>
      </c>
      <c r="J2514" s="5" t="s">
        <v>5495</v>
      </c>
      <c r="L2514" s="3" t="s">
        <v>5496</v>
      </c>
      <c r="M2514" s="3">
        <v>1</v>
      </c>
      <c r="N2514" s="4" t="s">
        <v>5467</v>
      </c>
      <c r="O2514" s="4">
        <v>130</v>
      </c>
      <c r="P2514" s="11" t="s">
        <v>9735</v>
      </c>
      <c r="Q2514" s="11" t="s">
        <v>5467</v>
      </c>
      <c r="S2514" s="4" t="b">
        <f>ISNUMBER(MATCH(Q2514,T:T,0))</f>
        <v>1</v>
      </c>
      <c r="T2514" s="4" t="s">
        <v>5495</v>
      </c>
      <c r="U2514" s="4" t="str">
        <f t="shared" si="117"/>
        <v>夬</v>
      </c>
    </row>
    <row r="2515" spans="1:22">
      <c r="A2515" s="3">
        <v>2505</v>
      </c>
      <c r="B2515" s="3" t="s">
        <v>5466</v>
      </c>
      <c r="C2515" s="3" t="s">
        <v>6015</v>
      </c>
      <c r="D2515" s="3" t="s">
        <v>6157</v>
      </c>
      <c r="E2515" s="3" t="s">
        <v>5991</v>
      </c>
      <c r="F2515" s="3" t="s">
        <v>5467</v>
      </c>
      <c r="G2515" s="3" t="s">
        <v>4210</v>
      </c>
      <c r="H2515" s="7" t="s">
        <v>814</v>
      </c>
      <c r="I2515" s="3" t="s">
        <v>2846</v>
      </c>
      <c r="J2515" s="5" t="s">
        <v>5497</v>
      </c>
      <c r="L2515" s="3" t="s">
        <v>5813</v>
      </c>
      <c r="M2515" s="3">
        <v>2</v>
      </c>
      <c r="N2515" s="4" t="s">
        <v>5467</v>
      </c>
      <c r="O2515" s="4">
        <v>130</v>
      </c>
      <c r="P2515" s="11" t="s">
        <v>10561</v>
      </c>
      <c r="Q2515" s="11" t="s">
        <v>5467</v>
      </c>
      <c r="S2515" s="4" t="b">
        <f>ISNUMBER(MATCH(Q2515,T:T,0))</f>
        <v>1</v>
      </c>
      <c r="T2515" s="4" t="s">
        <v>12226</v>
      </c>
      <c r="U2515" s="4" t="str">
        <f t="shared" si="117"/>
        <v>夬</v>
      </c>
    </row>
    <row r="2516" spans="1:22">
      <c r="A2516" s="3">
        <v>2506</v>
      </c>
      <c r="B2516" s="3" t="s">
        <v>5466</v>
      </c>
      <c r="C2516" s="3" t="s">
        <v>6067</v>
      </c>
      <c r="D2516" s="3" t="s">
        <v>6157</v>
      </c>
      <c r="E2516" s="3" t="s">
        <v>5991</v>
      </c>
      <c r="F2516" s="3" t="s">
        <v>5467</v>
      </c>
      <c r="G2516" s="3" t="s">
        <v>4210</v>
      </c>
      <c r="H2516" s="3" t="s">
        <v>5498</v>
      </c>
      <c r="I2516" s="3" t="s">
        <v>2846</v>
      </c>
      <c r="J2516" s="5" t="s">
        <v>5499</v>
      </c>
      <c r="L2516" s="3" t="s">
        <v>5845</v>
      </c>
      <c r="M2516" s="3">
        <v>1</v>
      </c>
      <c r="N2516" s="4" t="s">
        <v>5467</v>
      </c>
      <c r="O2516" s="4">
        <v>130</v>
      </c>
      <c r="P2516" s="11" t="s">
        <v>10051</v>
      </c>
      <c r="Q2516" s="11" t="s">
        <v>10560</v>
      </c>
      <c r="S2516" s="4" t="b">
        <f>ISNUMBER(MATCH(Q2516,T:T,0))</f>
        <v>1</v>
      </c>
      <c r="T2516" s="4" t="s">
        <v>5499</v>
      </c>
      <c r="U2516" s="4" t="str">
        <f t="shared" si="117"/>
        <v>犗</v>
      </c>
    </row>
    <row r="2517" spans="1:22">
      <c r="A2517" s="3">
        <v>2507</v>
      </c>
      <c r="B2517" s="3" t="s">
        <v>5500</v>
      </c>
      <c r="C2517" s="3" t="s">
        <v>5997</v>
      </c>
      <c r="D2517" s="3" t="s">
        <v>5990</v>
      </c>
      <c r="E2517" s="3" t="s">
        <v>6212</v>
      </c>
      <c r="F2517" s="3" t="s">
        <v>3000</v>
      </c>
      <c r="G2517" s="3" t="s">
        <v>4210</v>
      </c>
      <c r="H2517" s="3" t="s">
        <v>5501</v>
      </c>
      <c r="I2517" s="3" t="s">
        <v>2846</v>
      </c>
      <c r="J2517" s="5" t="s">
        <v>9252</v>
      </c>
      <c r="L2517" s="3" t="s">
        <v>5860</v>
      </c>
      <c r="M2517" s="3">
        <v>12</v>
      </c>
      <c r="N2517" s="4" t="s">
        <v>5318</v>
      </c>
      <c r="O2517" s="4">
        <v>131</v>
      </c>
      <c r="P2517" s="11" t="s">
        <v>9706</v>
      </c>
      <c r="Q2517" s="11" t="s">
        <v>10562</v>
      </c>
      <c r="S2517" s="4" t="b">
        <f>ISNUMBER(MATCH(Q2517,T:T,0))</f>
        <v>1</v>
      </c>
      <c r="T2517" s="4" t="s">
        <v>5318</v>
      </c>
      <c r="U2517" s="4" t="str">
        <f t="shared" si="117"/>
        <v>對</v>
      </c>
    </row>
    <row r="2518" spans="1:22">
      <c r="A2518" s="3">
        <v>2508</v>
      </c>
      <c r="B2518" s="3" t="s">
        <v>5500</v>
      </c>
      <c r="C2518" s="3" t="s">
        <v>6045</v>
      </c>
      <c r="D2518" s="3" t="s">
        <v>5990</v>
      </c>
      <c r="E2518" s="3" t="s">
        <v>6212</v>
      </c>
      <c r="F2518" s="3" t="s">
        <v>3000</v>
      </c>
      <c r="G2518" s="3" t="s">
        <v>4210</v>
      </c>
      <c r="H2518" s="3" t="s">
        <v>5502</v>
      </c>
      <c r="I2518" s="3" t="s">
        <v>2846</v>
      </c>
      <c r="J2518" s="5" t="s">
        <v>9253</v>
      </c>
      <c r="L2518" s="3" t="s">
        <v>5882</v>
      </c>
      <c r="M2518" s="3">
        <v>12</v>
      </c>
      <c r="N2518" s="4" t="s">
        <v>5318</v>
      </c>
      <c r="O2518" s="4">
        <v>131</v>
      </c>
      <c r="P2518" s="11" t="s">
        <v>9965</v>
      </c>
      <c r="Q2518" s="11" t="s">
        <v>10563</v>
      </c>
      <c r="S2518" s="4" t="b">
        <f>ISNUMBER(MATCH(Q2518,T:T,0))</f>
        <v>1</v>
      </c>
      <c r="T2518" s="4" t="s">
        <v>10564</v>
      </c>
      <c r="U2518" s="4" t="str">
        <f t="shared" si="117"/>
        <v>昧</v>
      </c>
    </row>
    <row r="2519" spans="1:22">
      <c r="A2519" s="3">
        <v>2509</v>
      </c>
      <c r="B2519" s="3" t="s">
        <v>5500</v>
      </c>
      <c r="C2519" s="3" t="s">
        <v>6035</v>
      </c>
      <c r="D2519" s="3" t="s">
        <v>5990</v>
      </c>
      <c r="E2519" s="3" t="s">
        <v>6212</v>
      </c>
      <c r="F2519" s="3" t="s">
        <v>3000</v>
      </c>
      <c r="G2519" s="3" t="s">
        <v>4210</v>
      </c>
      <c r="H2519" s="3" t="s">
        <v>5503</v>
      </c>
      <c r="I2519" s="3" t="s">
        <v>2846</v>
      </c>
      <c r="J2519" s="5" t="s">
        <v>5504</v>
      </c>
      <c r="L2519" s="3" t="s">
        <v>5380</v>
      </c>
      <c r="M2519" s="3">
        <v>11</v>
      </c>
      <c r="N2519" s="4" t="s">
        <v>5318</v>
      </c>
      <c r="O2519" s="4">
        <v>131</v>
      </c>
      <c r="P2519" s="11" t="s">
        <v>9719</v>
      </c>
      <c r="Q2519" s="11" t="s">
        <v>10564</v>
      </c>
      <c r="S2519" s="4" t="b">
        <f>ISNUMBER(MATCH(Q2519,T:T,0))</f>
        <v>1</v>
      </c>
      <c r="T2519" s="4" t="s">
        <v>10567</v>
      </c>
      <c r="U2519" s="4" t="str">
        <f t="shared" si="117"/>
        <v>佩</v>
      </c>
    </row>
    <row r="2520" spans="1:22">
      <c r="A2520" s="3">
        <v>2510</v>
      </c>
      <c r="B2520" s="3" t="s">
        <v>5500</v>
      </c>
      <c r="C2520" s="3" t="s">
        <v>6053</v>
      </c>
      <c r="D2520" s="3" t="s">
        <v>5990</v>
      </c>
      <c r="E2520" s="3" t="s">
        <v>6212</v>
      </c>
      <c r="F2520" s="3" t="s">
        <v>3000</v>
      </c>
      <c r="G2520" s="3" t="s">
        <v>4210</v>
      </c>
      <c r="H2520" s="3" t="s">
        <v>5505</v>
      </c>
      <c r="I2520" s="3" t="s">
        <v>2846</v>
      </c>
      <c r="J2520" s="5" t="s">
        <v>9254</v>
      </c>
      <c r="L2520" s="3" t="s">
        <v>5343</v>
      </c>
      <c r="M2520" s="3">
        <v>4</v>
      </c>
      <c r="N2520" s="4" t="s">
        <v>5318</v>
      </c>
      <c r="O2520" s="4">
        <v>131</v>
      </c>
      <c r="P2520" s="11" t="s">
        <v>6053</v>
      </c>
      <c r="Q2520" s="11" t="s">
        <v>10564</v>
      </c>
      <c r="S2520" s="4" t="b">
        <f>ISNUMBER(MATCH(Q2520,T:T,0))</f>
        <v>1</v>
      </c>
      <c r="T2520" s="4" t="s">
        <v>12227</v>
      </c>
      <c r="U2520" s="4" t="str">
        <f t="shared" si="117"/>
        <v>佩</v>
      </c>
    </row>
    <row r="2521" spans="1:22">
      <c r="A2521" s="3">
        <v>2511</v>
      </c>
      <c r="B2521" s="3" t="s">
        <v>5500</v>
      </c>
      <c r="C2521" s="3" t="s">
        <v>6089</v>
      </c>
      <c r="D2521" s="3" t="s">
        <v>5990</v>
      </c>
      <c r="E2521" s="3" t="s">
        <v>6212</v>
      </c>
      <c r="F2521" s="3" t="s">
        <v>3000</v>
      </c>
      <c r="G2521" s="3" t="s">
        <v>4210</v>
      </c>
      <c r="H2521" s="3" t="s">
        <v>815</v>
      </c>
      <c r="I2521" s="3" t="s">
        <v>2846</v>
      </c>
      <c r="J2521" s="5" t="s">
        <v>9255</v>
      </c>
      <c r="L2521" s="3" t="s">
        <v>5869</v>
      </c>
      <c r="M2521" s="3">
        <v>11</v>
      </c>
      <c r="N2521" s="4" t="s">
        <v>5318</v>
      </c>
      <c r="O2521" s="4">
        <v>131</v>
      </c>
      <c r="P2521" s="11" t="s">
        <v>2607</v>
      </c>
      <c r="Q2521" s="11" t="s">
        <v>10565</v>
      </c>
      <c r="S2521" s="4" t="b">
        <f>ISNUMBER(MATCH(Q2521,T:T,0))</f>
        <v>1</v>
      </c>
      <c r="T2521" s="4" t="s">
        <v>12228</v>
      </c>
      <c r="U2521" s="4" t="str">
        <f t="shared" si="117"/>
        <v>内</v>
      </c>
    </row>
    <row r="2522" spans="1:22">
      <c r="A2522" s="3">
        <v>2512</v>
      </c>
      <c r="B2522" s="3" t="s">
        <v>5500</v>
      </c>
      <c r="C2522" s="3" t="s">
        <v>5989</v>
      </c>
      <c r="D2522" s="3" t="s">
        <v>5990</v>
      </c>
      <c r="E2522" s="3" t="s">
        <v>6212</v>
      </c>
      <c r="F2522" s="3" t="s">
        <v>3000</v>
      </c>
      <c r="G2522" s="3" t="s">
        <v>4210</v>
      </c>
      <c r="H2522" s="3" t="s">
        <v>5506</v>
      </c>
      <c r="I2522" s="3" t="s">
        <v>2846</v>
      </c>
      <c r="J2522" s="5" t="s">
        <v>5507</v>
      </c>
      <c r="K2522" s="3" t="s">
        <v>619</v>
      </c>
      <c r="L2522" s="3" t="s">
        <v>5860</v>
      </c>
      <c r="M2522" s="3">
        <v>6</v>
      </c>
      <c r="N2522" s="4" t="s">
        <v>5318</v>
      </c>
      <c r="O2522" s="4">
        <v>131</v>
      </c>
      <c r="P2522" s="11" t="s">
        <v>9742</v>
      </c>
      <c r="Q2522" s="11" t="s">
        <v>5318</v>
      </c>
      <c r="S2522" s="4" t="b">
        <f>ISNUMBER(MATCH(Q2522,T:T,0))</f>
        <v>1</v>
      </c>
      <c r="T2522" s="4" t="s">
        <v>10562</v>
      </c>
      <c r="U2522" s="4" t="str">
        <f t="shared" si="117"/>
        <v>隊</v>
      </c>
    </row>
    <row r="2523" spans="1:22">
      <c r="A2523" s="3">
        <v>2513</v>
      </c>
      <c r="B2523" s="3" t="s">
        <v>5500</v>
      </c>
      <c r="C2523" s="3" t="s">
        <v>6076</v>
      </c>
      <c r="D2523" s="3" t="s">
        <v>5990</v>
      </c>
      <c r="E2523" s="3" t="s">
        <v>6212</v>
      </c>
      <c r="F2523" s="3" t="s">
        <v>3000</v>
      </c>
      <c r="G2523" s="3" t="s">
        <v>4210</v>
      </c>
      <c r="H2523" s="3" t="s">
        <v>816</v>
      </c>
      <c r="I2523" s="3" t="s">
        <v>2846</v>
      </c>
      <c r="J2523" s="5" t="s">
        <v>5508</v>
      </c>
      <c r="L2523" s="3" t="s">
        <v>4465</v>
      </c>
      <c r="M2523" s="3">
        <v>5</v>
      </c>
      <c r="N2523" s="4" t="s">
        <v>5318</v>
      </c>
      <c r="O2523" s="4">
        <v>131</v>
      </c>
      <c r="P2523" s="11" t="s">
        <v>9766</v>
      </c>
      <c r="Q2523" s="11" t="s">
        <v>10565</v>
      </c>
      <c r="S2523" s="4" t="b">
        <f>ISNUMBER(MATCH(Q2523,T:T,0))</f>
        <v>1</v>
      </c>
      <c r="T2523" s="4" t="s">
        <v>12229</v>
      </c>
      <c r="U2523" s="4" t="str">
        <f t="shared" si="117"/>
        <v>内</v>
      </c>
    </row>
    <row r="2524" spans="1:22">
      <c r="A2524" s="3">
        <v>2514</v>
      </c>
      <c r="B2524" s="3" t="s">
        <v>5500</v>
      </c>
      <c r="C2524" s="3" t="s">
        <v>6083</v>
      </c>
      <c r="D2524" s="3" t="s">
        <v>5990</v>
      </c>
      <c r="E2524" s="3" t="s">
        <v>6212</v>
      </c>
      <c r="F2524" s="3" t="s">
        <v>3000</v>
      </c>
      <c r="G2524" s="3" t="s">
        <v>4210</v>
      </c>
      <c r="H2524" s="3" t="s">
        <v>5509</v>
      </c>
      <c r="I2524" s="3" t="s">
        <v>2846</v>
      </c>
      <c r="J2524" s="5" t="s">
        <v>5510</v>
      </c>
      <c r="L2524" s="3" t="s">
        <v>8848</v>
      </c>
      <c r="M2524" s="3">
        <v>7</v>
      </c>
      <c r="N2524" s="4" t="s">
        <v>5318</v>
      </c>
      <c r="O2524" s="4">
        <v>131</v>
      </c>
      <c r="P2524" s="11" t="s">
        <v>9737</v>
      </c>
      <c r="Q2524" s="11" t="s">
        <v>10562</v>
      </c>
      <c r="S2524" s="4" t="b">
        <f>ISNUMBER(MATCH(Q2524,T:T,0))</f>
        <v>1</v>
      </c>
      <c r="T2524" s="4" t="s">
        <v>12230</v>
      </c>
      <c r="U2524" s="4" t="str">
        <f t="shared" si="117"/>
        <v>對</v>
      </c>
    </row>
    <row r="2525" spans="1:22">
      <c r="A2525" s="3">
        <v>2515</v>
      </c>
      <c r="B2525" s="3" t="s">
        <v>5500</v>
      </c>
      <c r="C2525" s="3" t="s">
        <v>6072</v>
      </c>
      <c r="D2525" s="3" t="s">
        <v>5990</v>
      </c>
      <c r="E2525" s="3" t="s">
        <v>6212</v>
      </c>
      <c r="F2525" s="3" t="s">
        <v>3000</v>
      </c>
      <c r="G2525" s="3" t="s">
        <v>4210</v>
      </c>
      <c r="H2525" s="3" t="s">
        <v>5511</v>
      </c>
      <c r="I2525" s="3" t="s">
        <v>2846</v>
      </c>
      <c r="J2525" s="5" t="s">
        <v>5512</v>
      </c>
      <c r="L2525" s="3" t="s">
        <v>4352</v>
      </c>
      <c r="M2525" s="3">
        <v>3</v>
      </c>
      <c r="N2525" s="4" t="s">
        <v>5318</v>
      </c>
      <c r="O2525" s="4">
        <v>131</v>
      </c>
      <c r="P2525" s="11" t="s">
        <v>9734</v>
      </c>
      <c r="Q2525" s="11" t="s">
        <v>10566</v>
      </c>
      <c r="R2525" s="4" t="s">
        <v>13137</v>
      </c>
      <c r="S2525" s="4" t="b">
        <f>ISNUMBER(MATCH(Q2525,T:T,0))</f>
        <v>0</v>
      </c>
      <c r="T2525" s="4" t="s">
        <v>12231</v>
      </c>
      <c r="U2525" s="4" t="str">
        <f t="shared" si="117"/>
        <v>潰</v>
      </c>
      <c r="V2525" s="4" t="b">
        <f>ISNUMBER(MATCH(R2525,T:T,0))</f>
        <v>1</v>
      </c>
    </row>
    <row r="2526" spans="1:22">
      <c r="A2526" s="3">
        <v>2516</v>
      </c>
      <c r="B2526" s="3" t="s">
        <v>5500</v>
      </c>
      <c r="C2526" s="3" t="s">
        <v>6079</v>
      </c>
      <c r="D2526" s="3" t="s">
        <v>5990</v>
      </c>
      <c r="E2526" s="3" t="s">
        <v>6212</v>
      </c>
      <c r="F2526" s="3" t="s">
        <v>3000</v>
      </c>
      <c r="G2526" s="3" t="s">
        <v>4210</v>
      </c>
      <c r="H2526" s="3" t="s">
        <v>817</v>
      </c>
      <c r="I2526" s="3" t="s">
        <v>2846</v>
      </c>
      <c r="J2526" s="5" t="s">
        <v>5513</v>
      </c>
      <c r="L2526" s="3" t="s">
        <v>5514</v>
      </c>
      <c r="M2526" s="3">
        <v>5</v>
      </c>
      <c r="N2526" s="4" t="s">
        <v>5318</v>
      </c>
      <c r="O2526" s="4">
        <v>131</v>
      </c>
      <c r="P2526" s="11" t="s">
        <v>9736</v>
      </c>
      <c r="Q2526" s="11" t="s">
        <v>10565</v>
      </c>
      <c r="S2526" s="4" t="b">
        <f>ISNUMBER(MATCH(Q2526,T:T,0))</f>
        <v>1</v>
      </c>
      <c r="T2526" s="4" t="s">
        <v>12232</v>
      </c>
      <c r="U2526" s="4" t="str">
        <f t="shared" si="117"/>
        <v>内</v>
      </c>
    </row>
    <row r="2527" spans="1:22">
      <c r="A2527" s="3">
        <v>2517</v>
      </c>
      <c r="B2527" s="3" t="s">
        <v>5500</v>
      </c>
      <c r="C2527" s="3" t="s">
        <v>6025</v>
      </c>
      <c r="D2527" s="3" t="s">
        <v>5990</v>
      </c>
      <c r="E2527" s="3" t="s">
        <v>6212</v>
      </c>
      <c r="F2527" s="3" t="s">
        <v>3000</v>
      </c>
      <c r="G2527" s="3" t="s">
        <v>4210</v>
      </c>
      <c r="H2527" s="3" t="s">
        <v>5515</v>
      </c>
      <c r="I2527" s="3" t="s">
        <v>2846</v>
      </c>
      <c r="J2527" s="5" t="s">
        <v>9256</v>
      </c>
      <c r="L2527" s="3" t="s">
        <v>8857</v>
      </c>
      <c r="M2527" s="3">
        <v>10</v>
      </c>
      <c r="N2527" s="4" t="s">
        <v>5318</v>
      </c>
      <c r="O2527" s="4">
        <v>131</v>
      </c>
      <c r="P2527" s="11" t="s">
        <v>9729</v>
      </c>
      <c r="Q2527" s="11" t="s">
        <v>10562</v>
      </c>
      <c r="S2527" s="4" t="b">
        <f>ISNUMBER(MATCH(Q2527,T:T,0))</f>
        <v>1</v>
      </c>
      <c r="T2527" s="4" t="s">
        <v>12233</v>
      </c>
      <c r="U2527" s="4" t="str">
        <f t="shared" si="117"/>
        <v>對</v>
      </c>
    </row>
    <row r="2528" spans="1:22">
      <c r="A2528" s="3">
        <v>2518</v>
      </c>
      <c r="B2528" s="3" t="s">
        <v>5500</v>
      </c>
      <c r="C2528" s="3" t="s">
        <v>6067</v>
      </c>
      <c r="D2528" s="3" t="s">
        <v>5990</v>
      </c>
      <c r="E2528" s="3" t="s">
        <v>6212</v>
      </c>
      <c r="F2528" s="3" t="s">
        <v>3000</v>
      </c>
      <c r="G2528" s="3" t="s">
        <v>4210</v>
      </c>
      <c r="H2528" s="3" t="s">
        <v>5516</v>
      </c>
      <c r="I2528" s="3" t="s">
        <v>2846</v>
      </c>
      <c r="J2528" s="5" t="s">
        <v>9257</v>
      </c>
      <c r="L2528" s="3" t="s">
        <v>5869</v>
      </c>
      <c r="M2528" s="3">
        <v>13</v>
      </c>
      <c r="N2528" s="4" t="s">
        <v>5318</v>
      </c>
      <c r="O2528" s="4">
        <v>131</v>
      </c>
      <c r="P2528" s="11" t="s">
        <v>9870</v>
      </c>
      <c r="Q2528" s="11" t="s">
        <v>10562</v>
      </c>
      <c r="S2528" s="4" t="b">
        <f>ISNUMBER(MATCH(Q2528,T:T,0))</f>
        <v>1</v>
      </c>
      <c r="T2528" s="4" t="s">
        <v>12234</v>
      </c>
      <c r="U2528" s="4" t="str">
        <f t="shared" si="117"/>
        <v>對</v>
      </c>
    </row>
    <row r="2529" spans="1:22">
      <c r="A2529" s="3">
        <v>2519</v>
      </c>
      <c r="B2529" s="3" t="s">
        <v>5500</v>
      </c>
      <c r="C2529" s="3" t="s">
        <v>6038</v>
      </c>
      <c r="D2529" s="3" t="s">
        <v>5990</v>
      </c>
      <c r="E2529" s="3" t="s">
        <v>6212</v>
      </c>
      <c r="F2529" s="3" t="s">
        <v>3000</v>
      </c>
      <c r="G2529" s="3" t="s">
        <v>4210</v>
      </c>
      <c r="H2529" s="3" t="s">
        <v>5517</v>
      </c>
      <c r="I2529" s="3" t="s">
        <v>2846</v>
      </c>
      <c r="J2529" s="5" t="s">
        <v>9258</v>
      </c>
      <c r="L2529" s="3" t="s">
        <v>4391</v>
      </c>
      <c r="M2529" s="3">
        <v>3</v>
      </c>
      <c r="N2529" s="4" t="s">
        <v>5318</v>
      </c>
      <c r="O2529" s="4">
        <v>131</v>
      </c>
      <c r="P2529" s="11" t="s">
        <v>9728</v>
      </c>
      <c r="Q2529" s="11" t="s">
        <v>10562</v>
      </c>
      <c r="S2529" s="4" t="b">
        <f>ISNUMBER(MATCH(Q2529,T:T,0))</f>
        <v>1</v>
      </c>
      <c r="T2529" s="4" t="s">
        <v>12235</v>
      </c>
      <c r="U2529" s="4" t="str">
        <f t="shared" si="117"/>
        <v>對</v>
      </c>
    </row>
    <row r="2530" spans="1:22">
      <c r="A2530" s="3">
        <v>2520</v>
      </c>
      <c r="B2530" s="3" t="s">
        <v>5500</v>
      </c>
      <c r="C2530" s="3" t="s">
        <v>6017</v>
      </c>
      <c r="D2530" s="3" t="s">
        <v>5990</v>
      </c>
      <c r="E2530" s="3" t="s">
        <v>6212</v>
      </c>
      <c r="F2530" s="3" t="s">
        <v>3000</v>
      </c>
      <c r="G2530" s="3" t="s">
        <v>4210</v>
      </c>
      <c r="H2530" s="3" t="s">
        <v>818</v>
      </c>
      <c r="I2530" s="3" t="s">
        <v>2846</v>
      </c>
      <c r="J2530" s="5" t="s">
        <v>5518</v>
      </c>
      <c r="L2530" s="3" t="s">
        <v>8838</v>
      </c>
      <c r="M2530" s="3">
        <v>5</v>
      </c>
      <c r="N2530" s="4" t="s">
        <v>5318</v>
      </c>
      <c r="O2530" s="4">
        <v>131</v>
      </c>
      <c r="P2530" s="11" t="s">
        <v>9741</v>
      </c>
      <c r="Q2530" s="11" t="s">
        <v>10565</v>
      </c>
      <c r="S2530" s="4" t="b">
        <f>ISNUMBER(MATCH(Q2530,T:T,0))</f>
        <v>1</v>
      </c>
      <c r="T2530" s="4" t="s">
        <v>12236</v>
      </c>
      <c r="U2530" s="4" t="str">
        <f t="shared" si="117"/>
        <v>内</v>
      </c>
    </row>
    <row r="2531" spans="1:22">
      <c r="A2531" s="3">
        <v>2521</v>
      </c>
      <c r="B2531" s="3" t="s">
        <v>5500</v>
      </c>
      <c r="C2531" s="3" t="s">
        <v>6102</v>
      </c>
      <c r="D2531" s="3" t="s">
        <v>5990</v>
      </c>
      <c r="E2531" s="3" t="s">
        <v>6212</v>
      </c>
      <c r="F2531" s="3" t="s">
        <v>3000</v>
      </c>
      <c r="G2531" s="3" t="s">
        <v>4210</v>
      </c>
      <c r="H2531" s="3" t="s">
        <v>5519</v>
      </c>
      <c r="I2531" s="3" t="s">
        <v>2846</v>
      </c>
      <c r="J2531" s="8" t="s">
        <v>9259</v>
      </c>
      <c r="L2531" s="3" t="s">
        <v>4413</v>
      </c>
      <c r="M2531" s="3">
        <v>1</v>
      </c>
      <c r="N2531" s="4" t="s">
        <v>5318</v>
      </c>
      <c r="O2531" s="4">
        <v>131</v>
      </c>
      <c r="P2531" s="11" t="s">
        <v>9744</v>
      </c>
      <c r="Q2531" s="11" t="s">
        <v>10562</v>
      </c>
      <c r="S2531" s="4" t="b">
        <f>ISNUMBER(MATCH(Q2531,T:T,0))</f>
        <v>1</v>
      </c>
      <c r="T2531" s="4" t="s">
        <v>10565</v>
      </c>
      <c r="U2531" s="4" t="str">
        <f t="shared" si="117"/>
        <v>對</v>
      </c>
    </row>
    <row r="2532" spans="1:22">
      <c r="A2532" s="3">
        <v>2522</v>
      </c>
      <c r="B2532" s="3" t="s">
        <v>5500</v>
      </c>
      <c r="C2532" s="3" t="s">
        <v>6058</v>
      </c>
      <c r="D2532" s="3" t="s">
        <v>5990</v>
      </c>
      <c r="E2532" s="3" t="s">
        <v>6212</v>
      </c>
      <c r="F2532" s="3" t="s">
        <v>3000</v>
      </c>
      <c r="G2532" s="3" t="s">
        <v>4210</v>
      </c>
      <c r="H2532" s="3" t="s">
        <v>5520</v>
      </c>
      <c r="I2532" s="3" t="s">
        <v>2846</v>
      </c>
      <c r="J2532" s="5" t="s">
        <v>9260</v>
      </c>
      <c r="L2532" s="3" t="s">
        <v>4357</v>
      </c>
      <c r="M2532" s="3">
        <v>14</v>
      </c>
      <c r="N2532" s="4" t="s">
        <v>5318</v>
      </c>
      <c r="O2532" s="4">
        <v>131</v>
      </c>
      <c r="P2532" s="11" t="s">
        <v>9730</v>
      </c>
      <c r="Q2532" s="11" t="s">
        <v>10562</v>
      </c>
      <c r="S2532" s="4" t="b">
        <f>ISNUMBER(MATCH(Q2532,T:T,0))</f>
        <v>1</v>
      </c>
      <c r="T2532" s="4" t="s">
        <v>12237</v>
      </c>
      <c r="U2532" s="4" t="str">
        <f t="shared" si="117"/>
        <v>對</v>
      </c>
    </row>
    <row r="2533" spans="1:22">
      <c r="A2533" s="3">
        <v>2523</v>
      </c>
      <c r="B2533" s="3" t="s">
        <v>5500</v>
      </c>
      <c r="C2533" s="3" t="s">
        <v>6049</v>
      </c>
      <c r="D2533" s="3" t="s">
        <v>5990</v>
      </c>
      <c r="E2533" s="3" t="s">
        <v>6212</v>
      </c>
      <c r="F2533" s="3" t="s">
        <v>3000</v>
      </c>
      <c r="G2533" s="3" t="s">
        <v>4210</v>
      </c>
      <c r="H2533" s="3" t="s">
        <v>5521</v>
      </c>
      <c r="I2533" s="3" t="s">
        <v>2846</v>
      </c>
      <c r="J2533" s="5" t="s">
        <v>5522</v>
      </c>
      <c r="L2533" s="3" t="s">
        <v>5882</v>
      </c>
      <c r="M2533" s="3">
        <v>3</v>
      </c>
      <c r="N2533" s="4" t="s">
        <v>5318</v>
      </c>
      <c r="O2533" s="4">
        <v>131</v>
      </c>
      <c r="P2533" s="11" t="s">
        <v>10253</v>
      </c>
      <c r="Q2533" s="11" t="s">
        <v>10567</v>
      </c>
      <c r="S2533" s="4" t="b">
        <f>ISNUMBER(MATCH(Q2533,T:T,0))</f>
        <v>1</v>
      </c>
      <c r="T2533" s="4" t="s">
        <v>12238</v>
      </c>
      <c r="U2533" s="4" t="str">
        <f t="shared" si="117"/>
        <v>妹</v>
      </c>
    </row>
    <row r="2534" spans="1:22">
      <c r="A2534" s="3">
        <v>2524</v>
      </c>
      <c r="B2534" s="3" t="s">
        <v>5500</v>
      </c>
      <c r="C2534" s="3" t="s">
        <v>6092</v>
      </c>
      <c r="D2534" s="3" t="s">
        <v>5990</v>
      </c>
      <c r="E2534" s="3" t="s">
        <v>6212</v>
      </c>
      <c r="F2534" s="3" t="s">
        <v>3000</v>
      </c>
      <c r="G2534" s="3" t="s">
        <v>4210</v>
      </c>
      <c r="H2534" s="3" t="s">
        <v>5523</v>
      </c>
      <c r="I2534" s="3" t="s">
        <v>2846</v>
      </c>
      <c r="J2534" s="5" t="s">
        <v>5524</v>
      </c>
      <c r="L2534" s="3" t="s">
        <v>4352</v>
      </c>
      <c r="M2534" s="3">
        <v>1</v>
      </c>
      <c r="N2534" s="4" t="s">
        <v>5318</v>
      </c>
      <c r="O2534" s="4">
        <v>131</v>
      </c>
      <c r="P2534" s="11" t="s">
        <v>9740</v>
      </c>
      <c r="Q2534" s="11" t="s">
        <v>10562</v>
      </c>
      <c r="S2534" s="4" t="b">
        <f>ISNUMBER(MATCH(Q2534,T:T,0))</f>
        <v>1</v>
      </c>
      <c r="T2534" s="4" t="s">
        <v>5524</v>
      </c>
      <c r="U2534" s="4" t="str">
        <f t="shared" si="117"/>
        <v>對</v>
      </c>
    </row>
    <row r="2535" spans="1:22">
      <c r="A2535" s="3">
        <v>2525</v>
      </c>
      <c r="B2535" s="3" t="s">
        <v>5500</v>
      </c>
      <c r="C2535" s="3" t="s">
        <v>6067</v>
      </c>
      <c r="D2535" s="3" t="s">
        <v>5990</v>
      </c>
      <c r="E2535" s="3" t="s">
        <v>6212</v>
      </c>
      <c r="F2535" s="3" t="s">
        <v>3000</v>
      </c>
      <c r="G2535" s="3" t="s">
        <v>4210</v>
      </c>
      <c r="H2535" s="3" t="s">
        <v>5525</v>
      </c>
      <c r="I2535" s="3" t="s">
        <v>2846</v>
      </c>
      <c r="J2535" s="5" t="s">
        <v>5526</v>
      </c>
      <c r="L2535" s="3" t="s">
        <v>5869</v>
      </c>
      <c r="M2535" s="3">
        <v>1</v>
      </c>
      <c r="N2535" s="4" t="s">
        <v>5318</v>
      </c>
      <c r="O2535" s="4">
        <v>131</v>
      </c>
      <c r="P2535" s="11" t="s">
        <v>9870</v>
      </c>
      <c r="Q2535" s="11" t="s">
        <v>10568</v>
      </c>
      <c r="R2535" s="4" t="s">
        <v>13138</v>
      </c>
      <c r="S2535" s="4" t="b">
        <f>ISNUMBER(MATCH(Q2535,T:T,0))</f>
        <v>0</v>
      </c>
      <c r="T2535" s="4" t="s">
        <v>5526</v>
      </c>
      <c r="U2535" s="4" t="str">
        <f t="shared" si="117"/>
        <v>背</v>
      </c>
      <c r="V2535" s="4" t="b">
        <f>ISNUMBER(MATCH(R2535,T:T,0))</f>
        <v>1</v>
      </c>
    </row>
    <row r="2536" spans="1:22">
      <c r="A2536" s="3">
        <v>2526</v>
      </c>
      <c r="B2536" s="3" t="s">
        <v>5527</v>
      </c>
      <c r="C2536" s="3" t="s">
        <v>5997</v>
      </c>
      <c r="D2536" s="3" t="s">
        <v>5990</v>
      </c>
      <c r="E2536" s="3" t="s">
        <v>5991</v>
      </c>
      <c r="F2536" s="3" t="s">
        <v>3040</v>
      </c>
      <c r="G2536" s="3" t="s">
        <v>4210</v>
      </c>
      <c r="H2536" s="3" t="s">
        <v>5528</v>
      </c>
      <c r="I2536" s="3" t="s">
        <v>2846</v>
      </c>
      <c r="J2536" s="5" t="s">
        <v>9261</v>
      </c>
      <c r="L2536" s="3" t="s">
        <v>5898</v>
      </c>
      <c r="M2536" s="3">
        <v>13</v>
      </c>
      <c r="N2536" s="4" t="s">
        <v>9662</v>
      </c>
      <c r="O2536" s="4">
        <v>132</v>
      </c>
      <c r="P2536" s="11" t="s">
        <v>9706</v>
      </c>
      <c r="Q2536" s="11" t="s">
        <v>10569</v>
      </c>
      <c r="S2536" s="4" t="b">
        <f>ISNUMBER(MATCH(Q2536,T:T,0))</f>
        <v>1</v>
      </c>
      <c r="T2536" s="4" t="s">
        <v>9662</v>
      </c>
      <c r="U2536" s="4" t="str">
        <f t="shared" si="117"/>
        <v>耐</v>
      </c>
    </row>
    <row r="2537" spans="1:22">
      <c r="A2537" s="3">
        <v>2527</v>
      </c>
      <c r="B2537" s="3" t="s">
        <v>5527</v>
      </c>
      <c r="C2537" s="3" t="s">
        <v>6083</v>
      </c>
      <c r="D2537" s="3" t="s">
        <v>5990</v>
      </c>
      <c r="E2537" s="3" t="s">
        <v>5991</v>
      </c>
      <c r="F2537" s="3" t="s">
        <v>3040</v>
      </c>
      <c r="G2537" s="3" t="s">
        <v>4210</v>
      </c>
      <c r="H2537" s="3" t="s">
        <v>5529</v>
      </c>
      <c r="I2537" s="3" t="s">
        <v>2846</v>
      </c>
      <c r="J2537" s="5" t="s">
        <v>5530</v>
      </c>
      <c r="L2537" s="3" t="s">
        <v>5920</v>
      </c>
      <c r="M2537" s="3">
        <v>6</v>
      </c>
      <c r="N2537" s="4" t="s">
        <v>9662</v>
      </c>
      <c r="O2537" s="4">
        <v>132</v>
      </c>
      <c r="P2537" s="11" t="s">
        <v>9745</v>
      </c>
      <c r="Q2537" s="11" t="s">
        <v>9662</v>
      </c>
      <c r="S2537" s="4" t="b">
        <f>ISNUMBER(MATCH(Q2537,T:T,0))</f>
        <v>1</v>
      </c>
      <c r="T2537" s="4" t="s">
        <v>12239</v>
      </c>
      <c r="U2537" s="4" t="str">
        <f t="shared" si="117"/>
        <v>代</v>
      </c>
    </row>
    <row r="2538" spans="1:22">
      <c r="A2538" s="3">
        <v>2528</v>
      </c>
      <c r="B2538" s="3" t="s">
        <v>5527</v>
      </c>
      <c r="C2538" s="3" t="s">
        <v>6035</v>
      </c>
      <c r="D2538" s="3" t="s">
        <v>5990</v>
      </c>
      <c r="E2538" s="3" t="s">
        <v>5991</v>
      </c>
      <c r="F2538" s="3" t="s">
        <v>3040</v>
      </c>
      <c r="G2538" s="3" t="s">
        <v>4210</v>
      </c>
      <c r="H2538" s="3" t="s">
        <v>5531</v>
      </c>
      <c r="I2538" s="3" t="s">
        <v>2846</v>
      </c>
      <c r="J2538" s="5" t="s">
        <v>4779</v>
      </c>
      <c r="L2538" s="3" t="s">
        <v>5380</v>
      </c>
      <c r="M2538" s="3">
        <v>2</v>
      </c>
      <c r="N2538" s="4" t="s">
        <v>9662</v>
      </c>
      <c r="O2538" s="4">
        <v>132</v>
      </c>
      <c r="P2538" s="11" t="s">
        <v>9719</v>
      </c>
      <c r="Q2538" s="11" t="s">
        <v>9662</v>
      </c>
      <c r="S2538" s="4" t="b">
        <f>ISNUMBER(MATCH(Q2538,T:T,0))</f>
        <v>1</v>
      </c>
      <c r="T2538" s="4" t="s">
        <v>11681</v>
      </c>
      <c r="U2538" s="4" t="str">
        <f t="shared" si="117"/>
        <v>代</v>
      </c>
    </row>
    <row r="2539" spans="1:22">
      <c r="A2539" s="3">
        <v>2529</v>
      </c>
      <c r="B2539" s="3" t="s">
        <v>5527</v>
      </c>
      <c r="C2539" s="3" t="s">
        <v>6017</v>
      </c>
      <c r="D2539" s="3" t="s">
        <v>5990</v>
      </c>
      <c r="E2539" s="3" t="s">
        <v>5991</v>
      </c>
      <c r="F2539" s="3" t="s">
        <v>3040</v>
      </c>
      <c r="G2539" s="3" t="s">
        <v>4210</v>
      </c>
      <c r="H2539" s="3" t="s">
        <v>5532</v>
      </c>
      <c r="I2539" s="3" t="s">
        <v>2846</v>
      </c>
      <c r="J2539" s="5" t="s">
        <v>9262</v>
      </c>
      <c r="L2539" s="3" t="s">
        <v>5533</v>
      </c>
      <c r="M2539" s="3">
        <v>4</v>
      </c>
      <c r="N2539" s="4" t="s">
        <v>9662</v>
      </c>
      <c r="O2539" s="4">
        <v>132</v>
      </c>
      <c r="P2539" s="11" t="s">
        <v>8121</v>
      </c>
      <c r="Q2539" s="11" t="s">
        <v>9662</v>
      </c>
      <c r="S2539" s="4" t="b">
        <f>ISNUMBER(MATCH(Q2539,T:T,0))</f>
        <v>1</v>
      </c>
      <c r="T2539" s="4" t="s">
        <v>12240</v>
      </c>
      <c r="U2539" s="4" t="str">
        <f t="shared" si="117"/>
        <v>代</v>
      </c>
    </row>
    <row r="2540" spans="1:22">
      <c r="A2540" s="3">
        <v>2530</v>
      </c>
      <c r="B2540" s="3" t="s">
        <v>5527</v>
      </c>
      <c r="C2540" s="3" t="s">
        <v>6079</v>
      </c>
      <c r="D2540" s="3" t="s">
        <v>5990</v>
      </c>
      <c r="E2540" s="3" t="s">
        <v>5991</v>
      </c>
      <c r="F2540" s="3" t="s">
        <v>3040</v>
      </c>
      <c r="G2540" s="3" t="s">
        <v>4210</v>
      </c>
      <c r="H2540" s="3" t="s">
        <v>5534</v>
      </c>
      <c r="I2540" s="3" t="s">
        <v>2846</v>
      </c>
      <c r="J2540" s="5" t="s">
        <v>9263</v>
      </c>
      <c r="L2540" s="3" t="s">
        <v>5324</v>
      </c>
      <c r="M2540" s="3">
        <v>4</v>
      </c>
      <c r="N2540" s="4" t="s">
        <v>9662</v>
      </c>
      <c r="O2540" s="4">
        <v>132</v>
      </c>
      <c r="P2540" s="11" t="s">
        <v>9736</v>
      </c>
      <c r="Q2540" s="11" t="s">
        <v>9662</v>
      </c>
      <c r="S2540" s="4" t="b">
        <f>ISNUMBER(MATCH(Q2540,T:T,0))</f>
        <v>1</v>
      </c>
      <c r="T2540" s="4" t="s">
        <v>12241</v>
      </c>
      <c r="U2540" s="4" t="str">
        <f t="shared" si="117"/>
        <v>代</v>
      </c>
    </row>
    <row r="2541" spans="1:22">
      <c r="A2541" s="3">
        <v>2531</v>
      </c>
      <c r="B2541" s="3" t="s">
        <v>5527</v>
      </c>
      <c r="C2541" s="3" t="s">
        <v>6025</v>
      </c>
      <c r="D2541" s="3" t="s">
        <v>5990</v>
      </c>
      <c r="E2541" s="3" t="s">
        <v>5991</v>
      </c>
      <c r="F2541" s="3" t="s">
        <v>3040</v>
      </c>
      <c r="G2541" s="3" t="s">
        <v>4210</v>
      </c>
      <c r="H2541" s="3" t="s">
        <v>5535</v>
      </c>
      <c r="I2541" s="3" t="s">
        <v>2846</v>
      </c>
      <c r="J2541" s="8" t="s">
        <v>9264</v>
      </c>
      <c r="L2541" s="3" t="s">
        <v>5326</v>
      </c>
      <c r="M2541" s="3">
        <v>6</v>
      </c>
      <c r="N2541" s="4" t="s">
        <v>9662</v>
      </c>
      <c r="O2541" s="4">
        <v>132</v>
      </c>
      <c r="P2541" s="11" t="s">
        <v>9729</v>
      </c>
      <c r="Q2541" s="11" t="s">
        <v>9662</v>
      </c>
      <c r="S2541" s="4" t="b">
        <f>ISNUMBER(MATCH(Q2541,T:T,0))</f>
        <v>1</v>
      </c>
      <c r="T2541" s="4" t="s">
        <v>10570</v>
      </c>
      <c r="U2541" s="4" t="str">
        <f t="shared" si="117"/>
        <v>代</v>
      </c>
    </row>
    <row r="2542" spans="1:22">
      <c r="A2542" s="3">
        <v>2532</v>
      </c>
      <c r="B2542" s="3" t="s">
        <v>5527</v>
      </c>
      <c r="C2542" s="3" t="s">
        <v>6038</v>
      </c>
      <c r="D2542" s="3" t="s">
        <v>5990</v>
      </c>
      <c r="E2542" s="3" t="s">
        <v>5991</v>
      </c>
      <c r="F2542" s="3" t="s">
        <v>3040</v>
      </c>
      <c r="G2542" s="3" t="s">
        <v>4210</v>
      </c>
      <c r="H2542" s="3" t="s">
        <v>5367</v>
      </c>
      <c r="I2542" s="3" t="s">
        <v>2846</v>
      </c>
      <c r="J2542" s="5" t="s">
        <v>9265</v>
      </c>
      <c r="L2542" s="3" t="s">
        <v>5369</v>
      </c>
      <c r="M2542" s="3">
        <v>6</v>
      </c>
      <c r="N2542" s="4" t="s">
        <v>9662</v>
      </c>
      <c r="O2542" s="4">
        <v>132</v>
      </c>
      <c r="P2542" s="11" t="s">
        <v>9728</v>
      </c>
      <c r="Q2542" s="11" t="s">
        <v>10540</v>
      </c>
      <c r="S2542" s="4" t="b">
        <f>ISNUMBER(MATCH(Q2542,T:T,0))</f>
        <v>1</v>
      </c>
      <c r="T2542" s="4" t="s">
        <v>12242</v>
      </c>
      <c r="U2542" s="4" t="str">
        <f t="shared" si="117"/>
        <v>蓋</v>
      </c>
    </row>
    <row r="2543" spans="1:22">
      <c r="A2543" s="3">
        <v>2533</v>
      </c>
      <c r="B2543" s="3" t="s">
        <v>5527</v>
      </c>
      <c r="C2543" s="3" t="s">
        <v>6092</v>
      </c>
      <c r="D2543" s="3" t="s">
        <v>5990</v>
      </c>
      <c r="E2543" s="3" t="s">
        <v>5991</v>
      </c>
      <c r="F2543" s="3" t="s">
        <v>3040</v>
      </c>
      <c r="G2543" s="3" t="s">
        <v>4210</v>
      </c>
      <c r="H2543" s="3" t="s">
        <v>819</v>
      </c>
      <c r="I2543" s="3" t="s">
        <v>2846</v>
      </c>
      <c r="J2543" s="5" t="s">
        <v>9266</v>
      </c>
      <c r="L2543" s="3" t="s">
        <v>5329</v>
      </c>
      <c r="M2543" s="3">
        <v>7</v>
      </c>
      <c r="N2543" s="4" t="s">
        <v>9662</v>
      </c>
      <c r="O2543" s="4">
        <v>132</v>
      </c>
      <c r="P2543" s="11" t="s">
        <v>9740</v>
      </c>
      <c r="Q2543" s="11" t="s">
        <v>10570</v>
      </c>
      <c r="S2543" s="4" t="b">
        <f>ISNUMBER(MATCH(Q2543,T:T,0))</f>
        <v>1</v>
      </c>
      <c r="T2543" s="4" t="s">
        <v>12243</v>
      </c>
      <c r="U2543" s="4" t="str">
        <f t="shared" si="117"/>
        <v>漑</v>
      </c>
    </row>
    <row r="2544" spans="1:22">
      <c r="A2544" s="3">
        <v>2534</v>
      </c>
      <c r="B2544" s="3" t="s">
        <v>5527</v>
      </c>
      <c r="C2544" s="3" t="s">
        <v>6072</v>
      </c>
      <c r="D2544" s="3" t="s">
        <v>5990</v>
      </c>
      <c r="E2544" s="3" t="s">
        <v>5991</v>
      </c>
      <c r="F2544" s="3" t="s">
        <v>3040</v>
      </c>
      <c r="G2544" s="3" t="s">
        <v>4210</v>
      </c>
      <c r="H2544" s="3" t="s">
        <v>5536</v>
      </c>
      <c r="I2544" s="3" t="s">
        <v>2846</v>
      </c>
      <c r="J2544" s="5" t="s">
        <v>5537</v>
      </c>
      <c r="L2544" s="3" t="s">
        <v>5329</v>
      </c>
      <c r="M2544" s="3">
        <v>9</v>
      </c>
      <c r="N2544" s="4" t="s">
        <v>9662</v>
      </c>
      <c r="O2544" s="4">
        <v>132</v>
      </c>
      <c r="P2544" s="11" t="s">
        <v>9734</v>
      </c>
      <c r="Q2544" s="11" t="s">
        <v>9662</v>
      </c>
      <c r="S2544" s="4" t="b">
        <f>ISNUMBER(MATCH(Q2544,T:T,0))</f>
        <v>1</v>
      </c>
      <c r="T2544" s="4" t="s">
        <v>10572</v>
      </c>
      <c r="U2544" s="4" t="str">
        <f t="shared" si="117"/>
        <v>代</v>
      </c>
    </row>
    <row r="2545" spans="1:22">
      <c r="A2545" s="3">
        <v>2535</v>
      </c>
      <c r="B2545" s="3" t="s">
        <v>5527</v>
      </c>
      <c r="C2545" s="3" t="s">
        <v>6067</v>
      </c>
      <c r="D2545" s="3" t="s">
        <v>5990</v>
      </c>
      <c r="E2545" s="3" t="s">
        <v>5991</v>
      </c>
      <c r="F2545" s="3" t="s">
        <v>3040</v>
      </c>
      <c r="G2545" s="3" t="s">
        <v>4210</v>
      </c>
      <c r="H2545" s="3" t="s">
        <v>820</v>
      </c>
      <c r="I2545" s="3" t="s">
        <v>2846</v>
      </c>
      <c r="J2545" s="5" t="s">
        <v>5538</v>
      </c>
      <c r="L2545" s="3" t="s">
        <v>5905</v>
      </c>
      <c r="M2545" s="3">
        <v>3</v>
      </c>
      <c r="N2545" s="4" t="s">
        <v>9662</v>
      </c>
      <c r="O2545" s="4">
        <v>132</v>
      </c>
      <c r="P2545" s="11" t="s">
        <v>9870</v>
      </c>
      <c r="Q2545" s="11" t="s">
        <v>10571</v>
      </c>
      <c r="R2545" s="4" t="s">
        <v>13139</v>
      </c>
      <c r="S2545" s="4" t="b">
        <f>ISNUMBER(MATCH(Q2545,T:T,0))</f>
        <v>0</v>
      </c>
      <c r="T2545" s="4" t="s">
        <v>12244</v>
      </c>
      <c r="U2545" s="4" t="str">
        <f t="shared" si="117"/>
        <v>漑</v>
      </c>
      <c r="V2545" s="4" t="b">
        <f>ISNUMBER(MATCH(R2545,T:T,0))</f>
        <v>1</v>
      </c>
    </row>
    <row r="2546" spans="1:22">
      <c r="A2546" s="3">
        <v>2536</v>
      </c>
      <c r="B2546" s="3" t="s">
        <v>5527</v>
      </c>
      <c r="C2546" s="3" t="s">
        <v>6102</v>
      </c>
      <c r="D2546" s="3" t="s">
        <v>5990</v>
      </c>
      <c r="E2546" s="3" t="s">
        <v>5991</v>
      </c>
      <c r="F2546" s="3" t="s">
        <v>3040</v>
      </c>
      <c r="G2546" s="3" t="s">
        <v>4210</v>
      </c>
      <c r="H2546" s="3" t="s">
        <v>5539</v>
      </c>
      <c r="I2546" s="3" t="s">
        <v>2846</v>
      </c>
      <c r="J2546" s="5" t="s">
        <v>5540</v>
      </c>
      <c r="L2546" s="3" t="s">
        <v>5333</v>
      </c>
      <c r="M2546" s="3">
        <v>7</v>
      </c>
      <c r="N2546" s="4" t="s">
        <v>9662</v>
      </c>
      <c r="O2546" s="4">
        <v>132</v>
      </c>
      <c r="P2546" s="11" t="s">
        <v>9744</v>
      </c>
      <c r="Q2546" s="11" t="s">
        <v>9662</v>
      </c>
      <c r="S2546" s="4" t="b">
        <f>ISNUMBER(MATCH(Q2546,T:T,0))</f>
        <v>1</v>
      </c>
      <c r="T2546" s="4" t="s">
        <v>10569</v>
      </c>
      <c r="U2546" s="4" t="str">
        <f t="shared" si="117"/>
        <v>代</v>
      </c>
    </row>
    <row r="2547" spans="1:22">
      <c r="A2547" s="3">
        <v>2537</v>
      </c>
      <c r="B2547" s="3" t="s">
        <v>5527</v>
      </c>
      <c r="C2547" s="3" t="s">
        <v>5989</v>
      </c>
      <c r="D2547" s="3" t="s">
        <v>5990</v>
      </c>
      <c r="E2547" s="3" t="s">
        <v>5991</v>
      </c>
      <c r="F2547" s="3" t="s">
        <v>3040</v>
      </c>
      <c r="G2547" s="3" t="s">
        <v>4210</v>
      </c>
      <c r="H2547" s="3" t="s">
        <v>5541</v>
      </c>
      <c r="I2547" s="3" t="s">
        <v>2846</v>
      </c>
      <c r="J2547" s="5" t="s">
        <v>5542</v>
      </c>
      <c r="L2547" s="3" t="s">
        <v>5898</v>
      </c>
      <c r="M2547" s="3">
        <v>1</v>
      </c>
      <c r="N2547" s="4" t="s">
        <v>9662</v>
      </c>
      <c r="O2547" s="4">
        <v>132</v>
      </c>
      <c r="P2547" s="11" t="s">
        <v>9742</v>
      </c>
      <c r="Q2547" s="11" t="s">
        <v>9662</v>
      </c>
      <c r="S2547" s="4" t="b">
        <f>ISNUMBER(MATCH(Q2547,T:T,0))</f>
        <v>1</v>
      </c>
      <c r="T2547" s="4" t="s">
        <v>5542</v>
      </c>
      <c r="U2547" s="4" t="str">
        <f t="shared" si="117"/>
        <v>代</v>
      </c>
    </row>
    <row r="2548" spans="1:22">
      <c r="A2548" s="3">
        <v>2538</v>
      </c>
      <c r="B2548" s="3" t="s">
        <v>5527</v>
      </c>
      <c r="C2548" s="3" t="s">
        <v>6058</v>
      </c>
      <c r="D2548" s="3" t="s">
        <v>5990</v>
      </c>
      <c r="E2548" s="3" t="s">
        <v>5991</v>
      </c>
      <c r="F2548" s="3" t="s">
        <v>3040</v>
      </c>
      <c r="G2548" s="3" t="s">
        <v>4210</v>
      </c>
      <c r="H2548" s="3" t="s">
        <v>5543</v>
      </c>
      <c r="I2548" s="3" t="s">
        <v>2846</v>
      </c>
      <c r="J2548" s="5" t="s">
        <v>9267</v>
      </c>
      <c r="L2548" s="3" t="s">
        <v>5374</v>
      </c>
      <c r="M2548" s="3">
        <v>9</v>
      </c>
      <c r="N2548" s="4" t="s">
        <v>9662</v>
      </c>
      <c r="O2548" s="4">
        <v>132</v>
      </c>
      <c r="P2548" s="11" t="s">
        <v>9877</v>
      </c>
      <c r="Q2548" s="11" t="s">
        <v>9662</v>
      </c>
      <c r="S2548" s="4" t="b">
        <f>ISNUMBER(MATCH(Q2548,T:T,0))</f>
        <v>1</v>
      </c>
      <c r="T2548" s="4" t="s">
        <v>12245</v>
      </c>
      <c r="U2548" s="4" t="str">
        <f t="shared" si="117"/>
        <v>代</v>
      </c>
    </row>
    <row r="2549" spans="1:22">
      <c r="A2549" s="3">
        <v>2539</v>
      </c>
      <c r="B2549" s="3" t="s">
        <v>5527</v>
      </c>
      <c r="C2549" s="3" t="s">
        <v>6076</v>
      </c>
      <c r="D2549" s="3" t="s">
        <v>5990</v>
      </c>
      <c r="E2549" s="3" t="s">
        <v>5991</v>
      </c>
      <c r="F2549" s="3" t="s">
        <v>3040</v>
      </c>
      <c r="G2549" s="3" t="s">
        <v>4210</v>
      </c>
      <c r="H2549" s="3" t="s">
        <v>5544</v>
      </c>
      <c r="I2549" s="3" t="s">
        <v>2846</v>
      </c>
      <c r="J2549" s="5" t="s">
        <v>5545</v>
      </c>
      <c r="L2549" s="3" t="s">
        <v>5372</v>
      </c>
      <c r="M2549" s="3">
        <v>5</v>
      </c>
      <c r="N2549" s="4" t="s">
        <v>9662</v>
      </c>
      <c r="O2549" s="4">
        <v>132</v>
      </c>
      <c r="P2549" s="11" t="s">
        <v>9735</v>
      </c>
      <c r="Q2549" s="11" t="s">
        <v>9662</v>
      </c>
      <c r="S2549" s="4" t="b">
        <f>ISNUMBER(MATCH(Q2549,T:T,0))</f>
        <v>1</v>
      </c>
      <c r="T2549" s="4" t="s">
        <v>12246</v>
      </c>
      <c r="U2549" s="4" t="str">
        <f t="shared" si="117"/>
        <v>代</v>
      </c>
    </row>
    <row r="2550" spans="1:22">
      <c r="A2550" s="3">
        <v>2540</v>
      </c>
      <c r="B2550" s="3" t="s">
        <v>5527</v>
      </c>
      <c r="C2550" s="3" t="s">
        <v>6069</v>
      </c>
      <c r="D2550" s="3" t="s">
        <v>5990</v>
      </c>
      <c r="E2550" s="3" t="s">
        <v>5991</v>
      </c>
      <c r="F2550" s="3" t="s">
        <v>3040</v>
      </c>
      <c r="G2550" s="3" t="s">
        <v>4210</v>
      </c>
      <c r="H2550" s="3" t="s">
        <v>5546</v>
      </c>
      <c r="I2550" s="3" t="s">
        <v>2846</v>
      </c>
      <c r="J2550" s="5" t="s">
        <v>5547</v>
      </c>
      <c r="L2550" s="3" t="s">
        <v>5920</v>
      </c>
      <c r="M2550" s="3">
        <v>7</v>
      </c>
      <c r="N2550" s="4" t="s">
        <v>9662</v>
      </c>
      <c r="O2550" s="4">
        <v>132</v>
      </c>
      <c r="P2550" s="11" t="s">
        <v>9880</v>
      </c>
      <c r="Q2550" s="11" t="s">
        <v>9662</v>
      </c>
      <c r="S2550" s="4" t="b">
        <f>ISNUMBER(MATCH(Q2550,T:T,0))</f>
        <v>1</v>
      </c>
      <c r="T2550" s="4" t="s">
        <v>12239</v>
      </c>
      <c r="U2550" s="4" t="str">
        <f t="shared" si="117"/>
        <v>代</v>
      </c>
    </row>
    <row r="2551" spans="1:22">
      <c r="A2551" s="3">
        <v>2541</v>
      </c>
      <c r="B2551" s="3" t="s">
        <v>5527</v>
      </c>
      <c r="C2551" s="3" t="s">
        <v>6089</v>
      </c>
      <c r="D2551" s="3" t="s">
        <v>5990</v>
      </c>
      <c r="E2551" s="3" t="s">
        <v>5991</v>
      </c>
      <c r="F2551" s="3" t="s">
        <v>3040</v>
      </c>
      <c r="G2551" s="3" t="s">
        <v>4210</v>
      </c>
      <c r="H2551" s="3" t="s">
        <v>5548</v>
      </c>
      <c r="I2551" s="3" t="s">
        <v>2846</v>
      </c>
      <c r="J2551" s="5" t="s">
        <v>5549</v>
      </c>
      <c r="L2551" s="3" t="s">
        <v>5905</v>
      </c>
      <c r="M2551" s="3">
        <v>1</v>
      </c>
      <c r="N2551" s="4" t="s">
        <v>9662</v>
      </c>
      <c r="O2551" s="4">
        <v>132</v>
      </c>
      <c r="P2551" s="11" t="s">
        <v>9636</v>
      </c>
      <c r="Q2551" s="11" t="s">
        <v>10572</v>
      </c>
      <c r="S2551" s="4" t="b">
        <f>ISNUMBER(MATCH(Q2551,T:T,0))</f>
        <v>1</v>
      </c>
      <c r="T2551" s="4" t="s">
        <v>5549</v>
      </c>
      <c r="U2551" s="4" t="str">
        <f t="shared" si="117"/>
        <v>愛</v>
      </c>
    </row>
    <row r="2552" spans="1:22">
      <c r="A2552" s="3">
        <v>4015</v>
      </c>
      <c r="B2552" s="3" t="s">
        <v>5527</v>
      </c>
      <c r="C2552" s="3" t="s">
        <v>6041</v>
      </c>
      <c r="D2552" s="3" t="s">
        <v>5990</v>
      </c>
      <c r="E2552" s="3" t="s">
        <v>5991</v>
      </c>
      <c r="F2552" s="3" t="s">
        <v>3040</v>
      </c>
      <c r="G2552" s="3" t="s">
        <v>4210</v>
      </c>
      <c r="H2552" s="3" t="s">
        <v>1318</v>
      </c>
      <c r="I2552" s="3" t="s">
        <v>2846</v>
      </c>
      <c r="J2552" s="5" t="s">
        <v>1319</v>
      </c>
      <c r="M2552" s="3">
        <v>0</v>
      </c>
      <c r="N2552" s="4" t="s">
        <v>9662</v>
      </c>
      <c r="O2552" s="4">
        <v>132</v>
      </c>
      <c r="P2552" s="11" t="s">
        <v>9721</v>
      </c>
      <c r="Q2552" s="11" t="s">
        <v>10540</v>
      </c>
      <c r="S2552" s="4" t="b">
        <f>ISNUMBER(MATCH(Q2552,T:T,0))</f>
        <v>1</v>
      </c>
      <c r="T2552" s="4" t="s">
        <v>12985</v>
      </c>
      <c r="U2552" s="4" t="str">
        <f t="shared" si="117"/>
        <v>蓋</v>
      </c>
    </row>
    <row r="2553" spans="1:22">
      <c r="A2553" s="3">
        <v>2549</v>
      </c>
      <c r="B2553" s="3" t="s">
        <v>5562</v>
      </c>
      <c r="C2553" s="3" t="s">
        <v>6009</v>
      </c>
      <c r="D2553" s="3" t="s">
        <v>6001</v>
      </c>
      <c r="E2553" s="3" t="s">
        <v>5991</v>
      </c>
      <c r="F2553" s="7" t="s">
        <v>688</v>
      </c>
      <c r="G2553" s="3" t="s">
        <v>4210</v>
      </c>
      <c r="H2553" s="3" t="s">
        <v>5563</v>
      </c>
      <c r="I2553" s="3" t="s">
        <v>3079</v>
      </c>
      <c r="J2553" s="5" t="s">
        <v>5564</v>
      </c>
      <c r="L2553" s="3" t="s">
        <v>5959</v>
      </c>
      <c r="M2553" s="3">
        <v>11</v>
      </c>
      <c r="N2553" s="4" t="s">
        <v>5565</v>
      </c>
      <c r="O2553" s="4">
        <v>133</v>
      </c>
      <c r="P2553" s="11" t="s">
        <v>6009</v>
      </c>
      <c r="Q2553" s="11" t="s">
        <v>10576</v>
      </c>
      <c r="S2553" s="4" t="b">
        <f>ISNUMBER(MATCH(Q2553,T:T,0))</f>
        <v>1</v>
      </c>
      <c r="T2553" s="4" t="s">
        <v>5565</v>
      </c>
      <c r="U2553" s="4" t="str">
        <f t="shared" si="117"/>
        <v>刃</v>
      </c>
    </row>
    <row r="2554" spans="1:22">
      <c r="A2554" s="3">
        <v>2550</v>
      </c>
      <c r="B2554" s="3" t="s">
        <v>5562</v>
      </c>
      <c r="C2554" s="3" t="s">
        <v>6017</v>
      </c>
      <c r="D2554" s="3" t="s">
        <v>6001</v>
      </c>
      <c r="E2554" s="3" t="s">
        <v>5991</v>
      </c>
      <c r="F2554" s="7" t="s">
        <v>688</v>
      </c>
      <c r="G2554" s="3" t="s">
        <v>4210</v>
      </c>
      <c r="H2554" s="3" t="s">
        <v>5566</v>
      </c>
      <c r="I2554" s="3" t="s">
        <v>3079</v>
      </c>
      <c r="J2554" s="5" t="s">
        <v>9270</v>
      </c>
      <c r="L2554" s="3" t="s">
        <v>5567</v>
      </c>
      <c r="M2554" s="3">
        <v>11</v>
      </c>
      <c r="N2554" s="4" t="s">
        <v>5565</v>
      </c>
      <c r="O2554" s="4">
        <v>133</v>
      </c>
      <c r="P2554" s="11" t="s">
        <v>9714</v>
      </c>
      <c r="Q2554" s="11" t="s">
        <v>10577</v>
      </c>
      <c r="S2554" s="4" t="b">
        <f>ISNUMBER(MATCH(Q2554,T:T,0))</f>
        <v>1</v>
      </c>
      <c r="T2554" s="4" t="s">
        <v>12249</v>
      </c>
      <c r="U2554" s="4" t="str">
        <f t="shared" si="117"/>
        <v>晉</v>
      </c>
    </row>
    <row r="2555" spans="1:22">
      <c r="A2555" s="3">
        <v>2551</v>
      </c>
      <c r="B2555" s="3" t="s">
        <v>5562</v>
      </c>
      <c r="C2555" s="3" t="s">
        <v>6021</v>
      </c>
      <c r="D2555" s="3" t="s">
        <v>6001</v>
      </c>
      <c r="E2555" s="3" t="s">
        <v>5991</v>
      </c>
      <c r="F2555" s="7" t="s">
        <v>688</v>
      </c>
      <c r="G2555" s="3" t="s">
        <v>4210</v>
      </c>
      <c r="H2555" s="3" t="s">
        <v>5568</v>
      </c>
      <c r="I2555" s="3" t="s">
        <v>3079</v>
      </c>
      <c r="J2555" s="5" t="s">
        <v>9271</v>
      </c>
      <c r="L2555" s="3" t="s">
        <v>5569</v>
      </c>
      <c r="M2555" s="3">
        <v>11</v>
      </c>
      <c r="N2555" s="4" t="s">
        <v>5565</v>
      </c>
      <c r="O2555" s="4">
        <v>133</v>
      </c>
      <c r="P2555" s="11" t="s">
        <v>9761</v>
      </c>
      <c r="Q2555" s="11" t="s">
        <v>10578</v>
      </c>
      <c r="R2555" s="4" t="s">
        <v>13140</v>
      </c>
      <c r="S2555" s="4" t="b">
        <f>ISNUMBER(MATCH(Q2555,T:T,0))</f>
        <v>0</v>
      </c>
      <c r="T2555" s="4" t="s">
        <v>10576</v>
      </c>
      <c r="U2555" s="4" t="str">
        <f t="shared" si="117"/>
        <v>震</v>
      </c>
      <c r="V2555" s="4" t="b">
        <f>ISNUMBER(MATCH(R2555,T:T,0))</f>
        <v>1</v>
      </c>
    </row>
    <row r="2556" spans="1:22">
      <c r="A2556" s="3">
        <v>2552</v>
      </c>
      <c r="B2556" s="3" t="s">
        <v>5562</v>
      </c>
      <c r="C2556" s="3" t="s">
        <v>6028</v>
      </c>
      <c r="D2556" s="3" t="s">
        <v>6001</v>
      </c>
      <c r="E2556" s="3" t="s">
        <v>5991</v>
      </c>
      <c r="F2556" s="7" t="s">
        <v>688</v>
      </c>
      <c r="G2556" s="3" t="s">
        <v>4210</v>
      </c>
      <c r="H2556" s="3" t="s">
        <v>5570</v>
      </c>
      <c r="I2556" s="3" t="s">
        <v>3079</v>
      </c>
      <c r="J2556" s="5" t="s">
        <v>9272</v>
      </c>
      <c r="L2556" s="3" t="s">
        <v>5571</v>
      </c>
      <c r="M2556" s="3">
        <v>11</v>
      </c>
      <c r="N2556" s="4" t="s">
        <v>5565</v>
      </c>
      <c r="O2556" s="4">
        <v>133</v>
      </c>
      <c r="P2556" s="11" t="s">
        <v>9863</v>
      </c>
      <c r="Q2556" s="11" t="s">
        <v>10577</v>
      </c>
      <c r="S2556" s="4" t="b">
        <f>ISNUMBER(MATCH(Q2556,T:T,0))</f>
        <v>1</v>
      </c>
      <c r="T2556" s="4" t="s">
        <v>12250</v>
      </c>
      <c r="U2556" s="4" t="str">
        <f t="shared" si="117"/>
        <v>晉</v>
      </c>
    </row>
    <row r="2557" spans="1:22" ht="39">
      <c r="A2557" s="3">
        <v>2553</v>
      </c>
      <c r="B2557" s="3" t="s">
        <v>5562</v>
      </c>
      <c r="C2557" s="3" t="s">
        <v>6058</v>
      </c>
      <c r="D2557" s="3" t="s">
        <v>6001</v>
      </c>
      <c r="E2557" s="3" t="s">
        <v>5991</v>
      </c>
      <c r="F2557" s="7" t="s">
        <v>688</v>
      </c>
      <c r="G2557" s="3" t="s">
        <v>4210</v>
      </c>
      <c r="H2557" s="3" t="s">
        <v>5572</v>
      </c>
      <c r="I2557" s="3" t="s">
        <v>3079</v>
      </c>
      <c r="J2557" s="5" t="s">
        <v>9273</v>
      </c>
      <c r="L2557" s="3" t="s">
        <v>5573</v>
      </c>
      <c r="M2557" s="3">
        <v>28</v>
      </c>
      <c r="N2557" s="4" t="s">
        <v>5565</v>
      </c>
      <c r="O2557" s="4">
        <v>133</v>
      </c>
      <c r="P2557" s="11" t="s">
        <v>10084</v>
      </c>
      <c r="Q2557" s="11" t="s">
        <v>10576</v>
      </c>
      <c r="S2557" s="4" t="b">
        <f>ISNUMBER(MATCH(Q2557,T:T,0))</f>
        <v>1</v>
      </c>
      <c r="T2557" s="4" t="s">
        <v>10581</v>
      </c>
      <c r="U2557" s="4" t="str">
        <f t="shared" si="117"/>
        <v>刃</v>
      </c>
    </row>
    <row r="2558" spans="1:22">
      <c r="A2558" s="3">
        <v>2554</v>
      </c>
      <c r="B2558" s="3" t="s">
        <v>5562</v>
      </c>
      <c r="C2558" s="3" t="s">
        <v>6049</v>
      </c>
      <c r="D2558" s="3" t="s">
        <v>6001</v>
      </c>
      <c r="E2558" s="3" t="s">
        <v>5991</v>
      </c>
      <c r="F2558" s="7" t="s">
        <v>688</v>
      </c>
      <c r="G2558" s="3" t="s">
        <v>4210</v>
      </c>
      <c r="H2558" s="3" t="s">
        <v>5574</v>
      </c>
      <c r="I2558" s="3" t="s">
        <v>3079</v>
      </c>
      <c r="J2558" s="5" t="s">
        <v>5575</v>
      </c>
      <c r="L2558" s="3" t="s">
        <v>5970</v>
      </c>
      <c r="M2558" s="3">
        <v>7</v>
      </c>
      <c r="N2558" s="4" t="s">
        <v>5565</v>
      </c>
      <c r="O2558" s="4">
        <v>133</v>
      </c>
      <c r="P2558" s="11" t="s">
        <v>9932</v>
      </c>
      <c r="Q2558" s="11" t="s">
        <v>10576</v>
      </c>
      <c r="S2558" s="4" t="b">
        <f>ISNUMBER(MATCH(Q2558,T:T,0))</f>
        <v>1</v>
      </c>
      <c r="T2558" s="4" t="s">
        <v>12251</v>
      </c>
      <c r="U2558" s="4" t="str">
        <f t="shared" si="117"/>
        <v>刃</v>
      </c>
    </row>
    <row r="2559" spans="1:22">
      <c r="A2559" s="3">
        <v>2555</v>
      </c>
      <c r="B2559" s="3" t="s">
        <v>5562</v>
      </c>
      <c r="C2559" s="3" t="s">
        <v>6005</v>
      </c>
      <c r="D2559" s="3" t="s">
        <v>6001</v>
      </c>
      <c r="E2559" s="3" t="s">
        <v>5991</v>
      </c>
      <c r="F2559" s="7" t="s">
        <v>689</v>
      </c>
      <c r="G2559" s="3" t="s">
        <v>4210</v>
      </c>
      <c r="H2559" s="3" t="s">
        <v>5576</v>
      </c>
      <c r="I2559" s="3" t="s">
        <v>3079</v>
      </c>
      <c r="J2559" s="5" t="s">
        <v>5577</v>
      </c>
      <c r="L2559" s="3" t="s">
        <v>5959</v>
      </c>
      <c r="M2559" s="3">
        <v>5</v>
      </c>
      <c r="N2559" s="4" t="s">
        <v>5565</v>
      </c>
      <c r="O2559" s="4">
        <v>133</v>
      </c>
      <c r="P2559" s="11" t="s">
        <v>9709</v>
      </c>
      <c r="Q2559" s="11" t="s">
        <v>10576</v>
      </c>
      <c r="S2559" s="4" t="b">
        <f>ISNUMBER(MATCH(Q2559,T:T,0))</f>
        <v>1</v>
      </c>
      <c r="T2559" s="4" t="s">
        <v>12252</v>
      </c>
      <c r="U2559" s="4" t="str">
        <f t="shared" si="117"/>
        <v>刃</v>
      </c>
    </row>
    <row r="2560" spans="1:22">
      <c r="A2560" s="3">
        <v>2556</v>
      </c>
      <c r="B2560" s="3" t="s">
        <v>5562</v>
      </c>
      <c r="C2560" s="3" t="s">
        <v>6148</v>
      </c>
      <c r="D2560" s="3" t="s">
        <v>6001</v>
      </c>
      <c r="E2560" s="3" t="s">
        <v>5991</v>
      </c>
      <c r="F2560" s="7" t="s">
        <v>688</v>
      </c>
      <c r="G2560" s="3" t="s">
        <v>4210</v>
      </c>
      <c r="H2560" s="3" t="s">
        <v>5578</v>
      </c>
      <c r="I2560" s="3" t="s">
        <v>3079</v>
      </c>
      <c r="J2560" s="8" t="s">
        <v>9274</v>
      </c>
      <c r="L2560" s="3" t="s">
        <v>5949</v>
      </c>
      <c r="M2560" s="3">
        <v>3</v>
      </c>
      <c r="N2560" s="4" t="s">
        <v>5565</v>
      </c>
      <c r="O2560" s="4">
        <v>133</v>
      </c>
      <c r="P2560" s="11" t="s">
        <v>10190</v>
      </c>
      <c r="Q2560" s="11" t="s">
        <v>10576</v>
      </c>
      <c r="S2560" s="4" t="b">
        <f>ISNUMBER(MATCH(Q2560,T:T,0))</f>
        <v>1</v>
      </c>
      <c r="T2560" s="4" t="s">
        <v>12253</v>
      </c>
      <c r="U2560" s="4" t="str">
        <f t="shared" si="117"/>
        <v>刃</v>
      </c>
    </row>
    <row r="2561" spans="1:22">
      <c r="A2561" s="3">
        <v>2557</v>
      </c>
      <c r="B2561" s="3" t="s">
        <v>5562</v>
      </c>
      <c r="C2561" s="3" t="s">
        <v>6120</v>
      </c>
      <c r="D2561" s="3" t="s">
        <v>6001</v>
      </c>
      <c r="E2561" s="3" t="s">
        <v>5991</v>
      </c>
      <c r="F2561" s="7" t="s">
        <v>688</v>
      </c>
      <c r="G2561" s="3" t="s">
        <v>4210</v>
      </c>
      <c r="H2561" s="3" t="s">
        <v>5579</v>
      </c>
      <c r="I2561" s="3" t="s">
        <v>3079</v>
      </c>
      <c r="J2561" s="5" t="s">
        <v>5580</v>
      </c>
      <c r="L2561" s="3" t="s">
        <v>5949</v>
      </c>
      <c r="M2561" s="3">
        <v>3</v>
      </c>
      <c r="N2561" s="4" t="s">
        <v>5565</v>
      </c>
      <c r="O2561" s="4">
        <v>133</v>
      </c>
      <c r="P2561" s="11" t="s">
        <v>10579</v>
      </c>
      <c r="Q2561" s="11" t="s">
        <v>10576</v>
      </c>
      <c r="S2561" s="4" t="b">
        <f>ISNUMBER(MATCH(Q2561,T:T,0))</f>
        <v>1</v>
      </c>
      <c r="T2561" s="4" t="s">
        <v>12254</v>
      </c>
      <c r="U2561" s="4" t="str">
        <f t="shared" si="117"/>
        <v>刃</v>
      </c>
    </row>
    <row r="2562" spans="1:22">
      <c r="A2562" s="3">
        <v>2558</v>
      </c>
      <c r="B2562" s="3" t="s">
        <v>5562</v>
      </c>
      <c r="C2562" s="3" t="s">
        <v>6038</v>
      </c>
      <c r="D2562" s="3" t="s">
        <v>6001</v>
      </c>
      <c r="E2562" s="3" t="s">
        <v>5991</v>
      </c>
      <c r="F2562" s="7" t="s">
        <v>689</v>
      </c>
      <c r="G2562" s="3" t="s">
        <v>4210</v>
      </c>
      <c r="H2562" s="3" t="s">
        <v>5581</v>
      </c>
      <c r="I2562" s="3" t="s">
        <v>3079</v>
      </c>
      <c r="J2562" s="5" t="s">
        <v>9275</v>
      </c>
      <c r="L2562" s="3" t="s">
        <v>5582</v>
      </c>
      <c r="M2562" s="3">
        <v>3</v>
      </c>
      <c r="N2562" s="4" t="s">
        <v>5565</v>
      </c>
      <c r="O2562" s="4">
        <v>133</v>
      </c>
      <c r="P2562" s="11" t="s">
        <v>4210</v>
      </c>
      <c r="Q2562" s="11" t="s">
        <v>10576</v>
      </c>
      <c r="S2562" s="4" t="b">
        <f>ISNUMBER(MATCH(Q2562,T:T,0))</f>
        <v>1</v>
      </c>
      <c r="T2562" s="4" t="s">
        <v>12255</v>
      </c>
      <c r="U2562" s="4" t="str">
        <f t="shared" si="117"/>
        <v>刃</v>
      </c>
    </row>
    <row r="2563" spans="1:22">
      <c r="A2563" s="3">
        <v>2559</v>
      </c>
      <c r="B2563" s="3" t="s">
        <v>5562</v>
      </c>
      <c r="C2563" s="3" t="s">
        <v>6123</v>
      </c>
      <c r="D2563" s="3" t="s">
        <v>6001</v>
      </c>
      <c r="E2563" s="3" t="s">
        <v>5991</v>
      </c>
      <c r="F2563" s="7" t="s">
        <v>688</v>
      </c>
      <c r="G2563" s="3" t="s">
        <v>4210</v>
      </c>
      <c r="H2563" s="3" t="s">
        <v>5583</v>
      </c>
      <c r="I2563" s="3" t="s">
        <v>3079</v>
      </c>
      <c r="J2563" s="5" t="s">
        <v>5584</v>
      </c>
      <c r="K2563" s="3" t="s">
        <v>5585</v>
      </c>
      <c r="L2563" s="3" t="s">
        <v>5567</v>
      </c>
      <c r="M2563" s="3">
        <v>3</v>
      </c>
      <c r="N2563" s="4" t="s">
        <v>5565</v>
      </c>
      <c r="O2563" s="4">
        <v>133</v>
      </c>
      <c r="P2563" s="11" t="s">
        <v>10110</v>
      </c>
      <c r="Q2563" s="11" t="s">
        <v>10576</v>
      </c>
      <c r="S2563" s="4" t="b">
        <f>ISNUMBER(MATCH(Q2563,T:T,0))</f>
        <v>1</v>
      </c>
      <c r="T2563" s="4" t="s">
        <v>12256</v>
      </c>
      <c r="U2563" s="4" t="str">
        <f t="shared" ref="U2563:U2626" si="118">IF(ISBLANK(R2563),Q2563,R2563)</f>
        <v>刃</v>
      </c>
    </row>
    <row r="2564" spans="1:22">
      <c r="A2564" s="3">
        <v>2560</v>
      </c>
      <c r="B2564" s="3" t="s">
        <v>5562</v>
      </c>
      <c r="C2564" s="3" t="s">
        <v>6092</v>
      </c>
      <c r="D2564" s="3" t="s">
        <v>6001</v>
      </c>
      <c r="E2564" s="3" t="s">
        <v>5991</v>
      </c>
      <c r="F2564" s="7" t="s">
        <v>689</v>
      </c>
      <c r="G2564" s="3" t="s">
        <v>4210</v>
      </c>
      <c r="H2564" s="3" t="s">
        <v>5586</v>
      </c>
      <c r="I2564" s="3" t="s">
        <v>3079</v>
      </c>
      <c r="J2564" s="8" t="s">
        <v>9276</v>
      </c>
      <c r="L2564" s="3" t="s">
        <v>5571</v>
      </c>
      <c r="M2564" s="3">
        <v>3</v>
      </c>
      <c r="N2564" s="4" t="s">
        <v>5565</v>
      </c>
      <c r="O2564" s="4">
        <v>133</v>
      </c>
      <c r="P2564" s="11" t="s">
        <v>6462</v>
      </c>
      <c r="Q2564" s="11" t="s">
        <v>10580</v>
      </c>
      <c r="R2564" s="4" t="s">
        <v>13141</v>
      </c>
      <c r="S2564" s="4" t="b">
        <f>ISNUMBER(MATCH(Q2564,T:T,0))</f>
        <v>0</v>
      </c>
      <c r="T2564" s="4" t="s">
        <v>12257</v>
      </c>
      <c r="U2564" s="4" t="str">
        <f t="shared" si="118"/>
        <v>僅</v>
      </c>
      <c r="V2564" s="4" t="b">
        <f>ISNUMBER(MATCH(R2564,T:T,0))</f>
        <v>1</v>
      </c>
    </row>
    <row r="2565" spans="1:22">
      <c r="A2565" s="3">
        <v>2561</v>
      </c>
      <c r="B2565" s="3" t="s">
        <v>5562</v>
      </c>
      <c r="C2565" s="3" t="s">
        <v>6083</v>
      </c>
      <c r="D2565" s="3" t="s">
        <v>6001</v>
      </c>
      <c r="E2565" s="3" t="s">
        <v>5991</v>
      </c>
      <c r="F2565" s="7" t="s">
        <v>688</v>
      </c>
      <c r="G2565" s="3" t="s">
        <v>4210</v>
      </c>
      <c r="H2565" s="3" t="s">
        <v>5587</v>
      </c>
      <c r="I2565" s="3" t="s">
        <v>3079</v>
      </c>
      <c r="J2565" s="5" t="s">
        <v>9277</v>
      </c>
      <c r="L2565" s="3" t="s">
        <v>5965</v>
      </c>
      <c r="M2565" s="3">
        <v>10</v>
      </c>
      <c r="N2565" s="4" t="s">
        <v>5565</v>
      </c>
      <c r="O2565" s="4">
        <v>133</v>
      </c>
      <c r="P2565" s="11" t="s">
        <v>9760</v>
      </c>
      <c r="Q2565" s="11" t="s">
        <v>10576</v>
      </c>
      <c r="S2565" s="4" t="b">
        <f>ISNUMBER(MATCH(Q2565,T:T,0))</f>
        <v>1</v>
      </c>
      <c r="T2565" s="4" t="s">
        <v>10577</v>
      </c>
      <c r="U2565" s="4" t="str">
        <f t="shared" si="118"/>
        <v>刃</v>
      </c>
    </row>
    <row r="2566" spans="1:22">
      <c r="A2566" s="3">
        <v>2562</v>
      </c>
      <c r="B2566" s="3" t="s">
        <v>5562</v>
      </c>
      <c r="C2566" s="3" t="s">
        <v>6089</v>
      </c>
      <c r="D2566" s="3" t="s">
        <v>6001</v>
      </c>
      <c r="E2566" s="3" t="s">
        <v>5991</v>
      </c>
      <c r="F2566" s="7" t="s">
        <v>689</v>
      </c>
      <c r="G2566" s="3" t="s">
        <v>4210</v>
      </c>
      <c r="H2566" s="3" t="s">
        <v>5588</v>
      </c>
      <c r="I2566" s="3" t="s">
        <v>3079</v>
      </c>
      <c r="J2566" s="5" t="s">
        <v>9278</v>
      </c>
      <c r="L2566" s="3" t="s">
        <v>5567</v>
      </c>
      <c r="M2566" s="3">
        <v>3</v>
      </c>
      <c r="N2566" s="4" t="s">
        <v>5565</v>
      </c>
      <c r="O2566" s="4">
        <v>133</v>
      </c>
      <c r="P2566" s="11" t="s">
        <v>9753</v>
      </c>
      <c r="Q2566" s="11" t="s">
        <v>10580</v>
      </c>
      <c r="R2566" s="4" t="s">
        <v>13141</v>
      </c>
      <c r="S2566" s="4" t="b">
        <f>ISNUMBER(MATCH(Q2566,T:T,0))</f>
        <v>0</v>
      </c>
      <c r="T2566" s="4" t="s">
        <v>12258</v>
      </c>
      <c r="U2566" s="4" t="str">
        <f t="shared" si="118"/>
        <v>僅</v>
      </c>
      <c r="V2566" s="4" t="b">
        <f>ISNUMBER(MATCH(R2566,T:T,0))</f>
        <v>1</v>
      </c>
    </row>
    <row r="2567" spans="1:22">
      <c r="A2567" s="3">
        <v>2563</v>
      </c>
      <c r="B2567" s="3" t="s">
        <v>5562</v>
      </c>
      <c r="C2567" s="3" t="s">
        <v>6000</v>
      </c>
      <c r="D2567" s="3" t="s">
        <v>6001</v>
      </c>
      <c r="E2567" s="3" t="s">
        <v>5991</v>
      </c>
      <c r="F2567" s="7" t="s">
        <v>689</v>
      </c>
      <c r="G2567" s="3" t="s">
        <v>4210</v>
      </c>
      <c r="H2567" s="3" t="s">
        <v>5589</v>
      </c>
      <c r="I2567" s="3" t="s">
        <v>3079</v>
      </c>
      <c r="J2567" s="8" t="s">
        <v>9279</v>
      </c>
      <c r="L2567" s="3" t="s">
        <v>5959</v>
      </c>
      <c r="M2567" s="3">
        <v>3</v>
      </c>
      <c r="N2567" s="4" t="s">
        <v>5565</v>
      </c>
      <c r="O2567" s="4">
        <v>133</v>
      </c>
      <c r="P2567" s="11" t="s">
        <v>9707</v>
      </c>
      <c r="Q2567" s="11" t="s">
        <v>10576</v>
      </c>
      <c r="S2567" s="4" t="b">
        <f>ISNUMBER(MATCH(Q2567,T:T,0))</f>
        <v>1</v>
      </c>
      <c r="T2567" s="4" t="s">
        <v>12259</v>
      </c>
      <c r="U2567" s="4" t="str">
        <f t="shared" si="118"/>
        <v>刃</v>
      </c>
    </row>
    <row r="2568" spans="1:22">
      <c r="A2568" s="3">
        <v>2564</v>
      </c>
      <c r="B2568" s="3" t="s">
        <v>5562</v>
      </c>
      <c r="C2568" s="3" t="s">
        <v>6041</v>
      </c>
      <c r="D2568" s="3" t="s">
        <v>6001</v>
      </c>
      <c r="E2568" s="3" t="s">
        <v>5991</v>
      </c>
      <c r="F2568" s="7" t="s">
        <v>689</v>
      </c>
      <c r="G2568" s="3" t="s">
        <v>4210</v>
      </c>
      <c r="H2568" s="3" t="s">
        <v>5590</v>
      </c>
      <c r="I2568" s="3" t="s">
        <v>3079</v>
      </c>
      <c r="J2568" s="5" t="s">
        <v>9280</v>
      </c>
      <c r="L2568" s="3" t="s">
        <v>5965</v>
      </c>
      <c r="M2568" s="3">
        <v>11</v>
      </c>
      <c r="N2568" s="4" t="s">
        <v>5565</v>
      </c>
      <c r="O2568" s="4">
        <v>133</v>
      </c>
      <c r="P2568" s="11" t="s">
        <v>9721</v>
      </c>
      <c r="Q2568" s="11" t="s">
        <v>10581</v>
      </c>
      <c r="S2568" s="4" t="b">
        <f>ISNUMBER(MATCH(Q2568,T:T,0))</f>
        <v>1</v>
      </c>
      <c r="T2568" s="4" t="s">
        <v>12260</v>
      </c>
      <c r="U2568" s="4" t="str">
        <f t="shared" si="118"/>
        <v>遴</v>
      </c>
    </row>
    <row r="2569" spans="1:22">
      <c r="A2569" s="3">
        <v>2565</v>
      </c>
      <c r="B2569" s="3" t="s">
        <v>5591</v>
      </c>
      <c r="C2569" s="3" t="s">
        <v>6167</v>
      </c>
      <c r="D2569" s="3" t="s">
        <v>6001</v>
      </c>
      <c r="E2569" s="3" t="s">
        <v>5991</v>
      </c>
      <c r="F2569" s="3" t="s">
        <v>3079</v>
      </c>
      <c r="G2569" s="3" t="s">
        <v>4210</v>
      </c>
      <c r="H2569" s="3" t="s">
        <v>5592</v>
      </c>
      <c r="I2569" s="3" t="s">
        <v>3079</v>
      </c>
      <c r="J2569" s="5" t="s">
        <v>5593</v>
      </c>
      <c r="L2569" s="3" t="s">
        <v>5594</v>
      </c>
      <c r="M2569" s="3">
        <v>7</v>
      </c>
      <c r="N2569" s="4" t="s">
        <v>9664</v>
      </c>
      <c r="O2569" s="4">
        <v>133</v>
      </c>
      <c r="P2569" s="11" t="s">
        <v>6167</v>
      </c>
      <c r="Q2569" s="11" t="s">
        <v>10580</v>
      </c>
      <c r="R2569" s="4" t="s">
        <v>13141</v>
      </c>
      <c r="S2569" s="4" t="b">
        <f>ISNUMBER(MATCH(Q2569,T:T,0))</f>
        <v>0</v>
      </c>
      <c r="T2569" s="4" t="s">
        <v>12261</v>
      </c>
      <c r="U2569" s="4" t="str">
        <f t="shared" si="118"/>
        <v>僅</v>
      </c>
      <c r="V2569" s="4" t="b">
        <f>ISNUMBER(MATCH(R2569,T:T,0))</f>
        <v>1</v>
      </c>
    </row>
    <row r="2570" spans="1:22">
      <c r="A2570" s="3">
        <v>2566</v>
      </c>
      <c r="B2570" s="3" t="s">
        <v>5562</v>
      </c>
      <c r="C2570" s="3" t="s">
        <v>6072</v>
      </c>
      <c r="D2570" s="3" t="s">
        <v>6001</v>
      </c>
      <c r="E2570" s="3" t="s">
        <v>5991</v>
      </c>
      <c r="F2570" s="7" t="s">
        <v>688</v>
      </c>
      <c r="G2570" s="3" t="s">
        <v>4210</v>
      </c>
      <c r="H2570" s="3" t="s">
        <v>5596</v>
      </c>
      <c r="I2570" s="3" t="s">
        <v>3079</v>
      </c>
      <c r="J2570" s="5" t="s">
        <v>9281</v>
      </c>
      <c r="L2570" s="3" t="s">
        <v>5571</v>
      </c>
      <c r="M2570" s="3">
        <v>4</v>
      </c>
      <c r="N2570" s="4" t="s">
        <v>5565</v>
      </c>
      <c r="O2570" s="4">
        <v>133</v>
      </c>
      <c r="P2570" s="11" t="s">
        <v>9754</v>
      </c>
      <c r="Q2570" s="11" t="s">
        <v>10576</v>
      </c>
      <c r="S2570" s="4" t="b">
        <f>ISNUMBER(MATCH(Q2570,T:T,0))</f>
        <v>1</v>
      </c>
      <c r="T2570" s="4" t="s">
        <v>10582</v>
      </c>
      <c r="U2570" s="4" t="str">
        <f t="shared" si="118"/>
        <v>刃</v>
      </c>
    </row>
    <row r="2571" spans="1:22">
      <c r="A2571" s="3">
        <v>2567</v>
      </c>
      <c r="B2571" s="3" t="s">
        <v>5562</v>
      </c>
      <c r="C2571" s="3" t="s">
        <v>6011</v>
      </c>
      <c r="D2571" s="3" t="s">
        <v>6001</v>
      </c>
      <c r="E2571" s="3" t="s">
        <v>5991</v>
      </c>
      <c r="F2571" s="7" t="s">
        <v>689</v>
      </c>
      <c r="G2571" s="3" t="s">
        <v>4210</v>
      </c>
      <c r="H2571" s="3" t="s">
        <v>5597</v>
      </c>
      <c r="I2571" s="3" t="s">
        <v>3079</v>
      </c>
      <c r="J2571" s="5" t="s">
        <v>5598</v>
      </c>
      <c r="L2571" s="3" t="s">
        <v>5594</v>
      </c>
      <c r="M2571" s="3">
        <v>2</v>
      </c>
      <c r="N2571" s="4" t="s">
        <v>5565</v>
      </c>
      <c r="O2571" s="4">
        <v>133</v>
      </c>
      <c r="P2571" s="11" t="s">
        <v>9757</v>
      </c>
      <c r="Q2571" s="11" t="s">
        <v>10576</v>
      </c>
      <c r="S2571" s="4" t="b">
        <f>ISNUMBER(MATCH(Q2571,T:T,0))</f>
        <v>1</v>
      </c>
      <c r="T2571" s="4" t="s">
        <v>12262</v>
      </c>
      <c r="U2571" s="4" t="str">
        <f t="shared" si="118"/>
        <v>刃</v>
      </c>
    </row>
    <row r="2572" spans="1:22">
      <c r="A2572" s="3">
        <v>2568</v>
      </c>
      <c r="B2572" s="3" t="s">
        <v>5562</v>
      </c>
      <c r="C2572" s="3" t="s">
        <v>6053</v>
      </c>
      <c r="D2572" s="3" t="s">
        <v>6001</v>
      </c>
      <c r="E2572" s="3" t="s">
        <v>5991</v>
      </c>
      <c r="F2572" s="7" t="s">
        <v>688</v>
      </c>
      <c r="G2572" s="3" t="s">
        <v>4210</v>
      </c>
      <c r="H2572" s="3" t="s">
        <v>5599</v>
      </c>
      <c r="I2572" s="3" t="s">
        <v>3079</v>
      </c>
      <c r="J2572" s="5" t="s">
        <v>5600</v>
      </c>
      <c r="L2572" s="3" t="s">
        <v>5601</v>
      </c>
      <c r="M2572" s="3">
        <v>3</v>
      </c>
      <c r="N2572" s="4" t="s">
        <v>5565</v>
      </c>
      <c r="O2572" s="4">
        <v>133</v>
      </c>
      <c r="P2572" s="11" t="s">
        <v>9950</v>
      </c>
      <c r="Q2572" s="11" t="s">
        <v>10576</v>
      </c>
      <c r="S2572" s="4" t="b">
        <f>ISNUMBER(MATCH(Q2572,T:T,0))</f>
        <v>1</v>
      </c>
      <c r="T2572" s="4" t="s">
        <v>12263</v>
      </c>
      <c r="U2572" s="4" t="str">
        <f t="shared" si="118"/>
        <v>刃</v>
      </c>
    </row>
    <row r="2573" spans="1:22">
      <c r="A2573" s="3">
        <v>2569</v>
      </c>
      <c r="B2573" s="3" t="s">
        <v>5562</v>
      </c>
      <c r="C2573" s="3" t="s">
        <v>6076</v>
      </c>
      <c r="D2573" s="3" t="s">
        <v>6001</v>
      </c>
      <c r="E2573" s="3" t="s">
        <v>5991</v>
      </c>
      <c r="F2573" s="7" t="s">
        <v>688</v>
      </c>
      <c r="G2573" s="3" t="s">
        <v>4210</v>
      </c>
      <c r="H2573" s="3" t="s">
        <v>5602</v>
      </c>
      <c r="I2573" s="3" t="s">
        <v>3079</v>
      </c>
      <c r="J2573" s="5" t="s">
        <v>9282</v>
      </c>
      <c r="L2573" s="3" t="s">
        <v>5582</v>
      </c>
      <c r="M2573" s="3">
        <v>4</v>
      </c>
      <c r="N2573" s="4" t="s">
        <v>5565</v>
      </c>
      <c r="O2573" s="4">
        <v>133</v>
      </c>
      <c r="P2573" s="11" t="s">
        <v>9766</v>
      </c>
      <c r="Q2573" s="11" t="s">
        <v>10581</v>
      </c>
      <c r="S2573" s="4" t="b">
        <f>ISNUMBER(MATCH(Q2573,T:T,0))</f>
        <v>1</v>
      </c>
      <c r="T2573" s="4" t="s">
        <v>10347</v>
      </c>
      <c r="U2573" s="4" t="str">
        <f t="shared" si="118"/>
        <v>遴</v>
      </c>
    </row>
    <row r="2574" spans="1:22">
      <c r="A2574" s="3">
        <v>2570</v>
      </c>
      <c r="B2574" s="3" t="s">
        <v>5562</v>
      </c>
      <c r="C2574" s="3" t="s">
        <v>6038</v>
      </c>
      <c r="D2574" s="3" t="s">
        <v>6001</v>
      </c>
      <c r="E2574" s="3" t="s">
        <v>5991</v>
      </c>
      <c r="F2574" s="7" t="s">
        <v>688</v>
      </c>
      <c r="G2574" s="3" t="s">
        <v>4210</v>
      </c>
      <c r="H2574" s="3" t="s">
        <v>5603</v>
      </c>
      <c r="I2574" s="3" t="s">
        <v>3079</v>
      </c>
      <c r="J2574" s="5" t="s">
        <v>5604</v>
      </c>
      <c r="L2574" s="3" t="s">
        <v>5582</v>
      </c>
      <c r="M2574" s="3">
        <v>1</v>
      </c>
      <c r="N2574" s="4" t="s">
        <v>5565</v>
      </c>
      <c r="O2574" s="4">
        <v>133</v>
      </c>
      <c r="P2574" s="11" t="s">
        <v>10245</v>
      </c>
      <c r="Q2574" s="11" t="s">
        <v>10582</v>
      </c>
      <c r="S2574" s="4" t="b">
        <f>ISNUMBER(MATCH(Q2574,T:T,0))</f>
        <v>1</v>
      </c>
      <c r="T2574" s="4" t="s">
        <v>5604</v>
      </c>
      <c r="U2574" s="4" t="str">
        <f t="shared" si="118"/>
        <v>印</v>
      </c>
    </row>
    <row r="2575" spans="1:22">
      <c r="A2575" s="3">
        <v>2571</v>
      </c>
      <c r="B2575" s="3" t="s">
        <v>5605</v>
      </c>
      <c r="C2575" s="3" t="s">
        <v>6025</v>
      </c>
      <c r="D2575" s="3" t="s">
        <v>6001</v>
      </c>
      <c r="E2575" s="3" t="s">
        <v>6212</v>
      </c>
      <c r="F2575" s="3" t="s">
        <v>6769</v>
      </c>
      <c r="G2575" s="3" t="s">
        <v>4210</v>
      </c>
      <c r="H2575" s="3" t="s">
        <v>5606</v>
      </c>
      <c r="I2575" s="3" t="s">
        <v>3079</v>
      </c>
      <c r="J2575" s="5" t="s">
        <v>5607</v>
      </c>
      <c r="L2575" s="3" t="s">
        <v>5978</v>
      </c>
      <c r="M2575" s="3">
        <v>2</v>
      </c>
      <c r="N2575" s="4" t="s">
        <v>9663</v>
      </c>
      <c r="O2575" s="4">
        <v>134</v>
      </c>
      <c r="P2575" s="11" t="s">
        <v>9764</v>
      </c>
      <c r="Q2575" s="11" t="s">
        <v>10583</v>
      </c>
      <c r="R2575" s="12" t="s">
        <v>13142</v>
      </c>
      <c r="S2575" s="4" t="b">
        <f>ISNUMBER(MATCH(Q2575,T:T,0))</f>
        <v>0</v>
      </c>
      <c r="T2575" s="4" t="s">
        <v>12264</v>
      </c>
      <c r="U2575" s="4" t="str">
        <f t="shared" si="118"/>
        <v>𡺲</v>
      </c>
      <c r="V2575" s="4" t="b">
        <f>ISNUMBER(MATCH(R2575,T:T,0))</f>
        <v>1</v>
      </c>
    </row>
    <row r="2576" spans="1:22">
      <c r="A2576" s="3">
        <v>2572</v>
      </c>
      <c r="B2576" s="3" t="s">
        <v>5605</v>
      </c>
      <c r="C2576" s="3" t="s">
        <v>6009</v>
      </c>
      <c r="D2576" s="3" t="s">
        <v>6001</v>
      </c>
      <c r="E2576" s="3" t="s">
        <v>6212</v>
      </c>
      <c r="F2576" s="3" t="s">
        <v>6769</v>
      </c>
      <c r="G2576" s="3" t="s">
        <v>4210</v>
      </c>
      <c r="H2576" s="3" t="s">
        <v>5608</v>
      </c>
      <c r="I2576" s="3" t="s">
        <v>3079</v>
      </c>
      <c r="J2576" s="5" t="s">
        <v>5609</v>
      </c>
      <c r="L2576" s="3" t="s">
        <v>5610</v>
      </c>
      <c r="M2576" s="3">
        <v>6</v>
      </c>
      <c r="N2576" s="4" t="s">
        <v>9663</v>
      </c>
      <c r="O2576" s="4">
        <v>134</v>
      </c>
      <c r="P2576" s="11" t="s">
        <v>6396</v>
      </c>
      <c r="Q2576" s="11" t="s">
        <v>10584</v>
      </c>
      <c r="S2576" s="4" t="b">
        <f>ISNUMBER(MATCH(Q2576,T:T,0))</f>
        <v>1</v>
      </c>
      <c r="T2576" s="4" t="s">
        <v>9663</v>
      </c>
      <c r="U2576" s="4" t="str">
        <f t="shared" si="118"/>
        <v>閏</v>
      </c>
    </row>
    <row r="2577" spans="1:22">
      <c r="A2577" s="3">
        <v>2573</v>
      </c>
      <c r="B2577" s="3" t="s">
        <v>5605</v>
      </c>
      <c r="C2577" s="3" t="s">
        <v>6017</v>
      </c>
      <c r="D2577" s="3" t="s">
        <v>6001</v>
      </c>
      <c r="E2577" s="3" t="s">
        <v>6212</v>
      </c>
      <c r="F2577" s="3" t="s">
        <v>6769</v>
      </c>
      <c r="G2577" s="3" t="s">
        <v>4210</v>
      </c>
      <c r="H2577" s="3" t="s">
        <v>5611</v>
      </c>
      <c r="I2577" s="3" t="s">
        <v>3079</v>
      </c>
      <c r="J2577" s="5" t="s">
        <v>9283</v>
      </c>
      <c r="L2577" s="3" t="s">
        <v>5612</v>
      </c>
      <c r="M2577" s="3">
        <v>13</v>
      </c>
      <c r="N2577" s="4" t="s">
        <v>9663</v>
      </c>
      <c r="O2577" s="4">
        <v>134</v>
      </c>
      <c r="P2577" s="11" t="s">
        <v>9746</v>
      </c>
      <c r="Q2577" s="11" t="s">
        <v>10584</v>
      </c>
      <c r="S2577" s="4" t="b">
        <f>ISNUMBER(MATCH(Q2577,T:T,0))</f>
        <v>1</v>
      </c>
      <c r="T2577" s="4" t="s">
        <v>12265</v>
      </c>
      <c r="U2577" s="4" t="str">
        <f t="shared" si="118"/>
        <v>閏</v>
      </c>
    </row>
    <row r="2578" spans="1:22">
      <c r="A2578" s="3">
        <v>2574</v>
      </c>
      <c r="B2578" s="3" t="s">
        <v>5605</v>
      </c>
      <c r="C2578" s="3" t="s">
        <v>6123</v>
      </c>
      <c r="D2578" s="3" t="s">
        <v>6001</v>
      </c>
      <c r="E2578" s="3" t="s">
        <v>6212</v>
      </c>
      <c r="F2578" s="3" t="s">
        <v>6769</v>
      </c>
      <c r="G2578" s="3" t="s">
        <v>4210</v>
      </c>
      <c r="H2578" s="3" t="s">
        <v>5613</v>
      </c>
      <c r="I2578" s="3" t="s">
        <v>3079</v>
      </c>
      <c r="J2578" s="5" t="s">
        <v>5614</v>
      </c>
      <c r="L2578" s="3" t="s">
        <v>5612</v>
      </c>
      <c r="M2578" s="3">
        <v>4</v>
      </c>
      <c r="N2578" s="4" t="s">
        <v>9663</v>
      </c>
      <c r="O2578" s="4">
        <v>134</v>
      </c>
      <c r="P2578" s="11" t="s">
        <v>10585</v>
      </c>
      <c r="Q2578" s="11" t="s">
        <v>10584</v>
      </c>
      <c r="S2578" s="4" t="b">
        <f>ISNUMBER(MATCH(Q2578,T:T,0))</f>
        <v>1</v>
      </c>
      <c r="T2578" s="4" t="s">
        <v>12266</v>
      </c>
      <c r="U2578" s="4" t="str">
        <f t="shared" si="118"/>
        <v>閏</v>
      </c>
    </row>
    <row r="2579" spans="1:22">
      <c r="A2579" s="3">
        <v>2575</v>
      </c>
      <c r="B2579" s="3" t="s">
        <v>5605</v>
      </c>
      <c r="C2579" s="3" t="s">
        <v>6083</v>
      </c>
      <c r="D2579" s="3" t="s">
        <v>6001</v>
      </c>
      <c r="E2579" s="3" t="s">
        <v>6212</v>
      </c>
      <c r="F2579" s="3" t="s">
        <v>6769</v>
      </c>
      <c r="G2579" s="3" t="s">
        <v>4210</v>
      </c>
      <c r="H2579" s="3" t="s">
        <v>5615</v>
      </c>
      <c r="I2579" s="3" t="s">
        <v>3079</v>
      </c>
      <c r="J2579" s="8" t="s">
        <v>9284</v>
      </c>
      <c r="L2579" s="3" t="s">
        <v>5978</v>
      </c>
      <c r="M2579" s="3">
        <v>12</v>
      </c>
      <c r="N2579" s="4" t="s">
        <v>9663</v>
      </c>
      <c r="O2579" s="4">
        <v>134</v>
      </c>
      <c r="P2579" s="11" t="s">
        <v>9737</v>
      </c>
      <c r="Q2579" s="11" t="s">
        <v>10583</v>
      </c>
      <c r="R2579" s="12" t="s">
        <v>13142</v>
      </c>
      <c r="S2579" s="4" t="b">
        <f>ISNUMBER(MATCH(Q2579,T:T,0))</f>
        <v>0</v>
      </c>
      <c r="T2579" s="4" t="s">
        <v>12267</v>
      </c>
      <c r="U2579" s="4" t="str">
        <f t="shared" si="118"/>
        <v>𡺲</v>
      </c>
      <c r="V2579" s="4" t="b">
        <f>ISNUMBER(MATCH(R2579,T:T,0))</f>
        <v>1</v>
      </c>
    </row>
    <row r="2580" spans="1:22">
      <c r="A2580" s="3">
        <v>2576</v>
      </c>
      <c r="B2580" s="3" t="s">
        <v>5605</v>
      </c>
      <c r="C2580" s="3" t="s">
        <v>6120</v>
      </c>
      <c r="D2580" s="3" t="s">
        <v>6001</v>
      </c>
      <c r="E2580" s="3" t="s">
        <v>6212</v>
      </c>
      <c r="F2580" s="3" t="s">
        <v>6769</v>
      </c>
      <c r="G2580" s="3" t="s">
        <v>4210</v>
      </c>
      <c r="H2580" s="3" t="s">
        <v>5616</v>
      </c>
      <c r="I2580" s="3" t="s">
        <v>3079</v>
      </c>
      <c r="J2580" s="5" t="s">
        <v>5617</v>
      </c>
      <c r="L2580" s="3" t="s">
        <v>116</v>
      </c>
      <c r="M2580" s="3">
        <v>8</v>
      </c>
      <c r="N2580" s="4" t="s">
        <v>9663</v>
      </c>
      <c r="O2580" s="4">
        <v>134</v>
      </c>
      <c r="P2580" s="11" t="s">
        <v>10242</v>
      </c>
      <c r="Q2580" s="11" t="s">
        <v>10584</v>
      </c>
      <c r="S2580" s="4" t="b">
        <f>ISNUMBER(MATCH(Q2580,T:T,0))</f>
        <v>1</v>
      </c>
      <c r="T2580" s="4" t="s">
        <v>12268</v>
      </c>
      <c r="U2580" s="4" t="str">
        <f t="shared" si="118"/>
        <v>閏</v>
      </c>
    </row>
    <row r="2581" spans="1:22">
      <c r="A2581" s="3">
        <v>2577</v>
      </c>
      <c r="B2581" s="3" t="s">
        <v>5605</v>
      </c>
      <c r="C2581" s="3" t="s">
        <v>6021</v>
      </c>
      <c r="D2581" s="3" t="s">
        <v>6001</v>
      </c>
      <c r="E2581" s="3" t="s">
        <v>6212</v>
      </c>
      <c r="F2581" s="3" t="s">
        <v>6769</v>
      </c>
      <c r="G2581" s="3" t="s">
        <v>4210</v>
      </c>
      <c r="H2581" s="3" t="s">
        <v>5618</v>
      </c>
      <c r="I2581" s="3" t="s">
        <v>3079</v>
      </c>
      <c r="J2581" s="5" t="s">
        <v>9285</v>
      </c>
      <c r="L2581" s="3" t="s">
        <v>5619</v>
      </c>
      <c r="M2581" s="3">
        <v>3</v>
      </c>
      <c r="N2581" s="4" t="s">
        <v>9663</v>
      </c>
      <c r="O2581" s="4">
        <v>134</v>
      </c>
      <c r="P2581" s="11" t="s">
        <v>9715</v>
      </c>
      <c r="Q2581" s="11" t="s">
        <v>10586</v>
      </c>
      <c r="S2581" s="4" t="b">
        <f>ISNUMBER(MATCH(Q2581,T:T,0))</f>
        <v>1</v>
      </c>
      <c r="T2581" s="4" t="s">
        <v>10584</v>
      </c>
      <c r="U2581" s="4" t="str">
        <f t="shared" si="118"/>
        <v>順</v>
      </c>
    </row>
    <row r="2582" spans="1:22">
      <c r="A2582" s="3">
        <v>2578</v>
      </c>
      <c r="B2582" s="3" t="s">
        <v>5605</v>
      </c>
      <c r="C2582" s="3" t="s">
        <v>3093</v>
      </c>
      <c r="D2582" s="3" t="s">
        <v>6001</v>
      </c>
      <c r="E2582" s="3" t="s">
        <v>6212</v>
      </c>
      <c r="F2582" s="3" t="s">
        <v>6769</v>
      </c>
      <c r="G2582" s="3" t="s">
        <v>4210</v>
      </c>
      <c r="H2582" s="3" t="s">
        <v>5620</v>
      </c>
      <c r="I2582" s="3" t="s">
        <v>3079</v>
      </c>
      <c r="J2582" s="5" t="s">
        <v>5621</v>
      </c>
      <c r="L2582" s="3" t="s">
        <v>116</v>
      </c>
      <c r="M2582" s="3">
        <v>2</v>
      </c>
      <c r="N2582" s="4" t="s">
        <v>9663</v>
      </c>
      <c r="O2582" s="4">
        <v>134</v>
      </c>
      <c r="P2582" s="11" t="s">
        <v>9929</v>
      </c>
      <c r="Q2582" s="11" t="s">
        <v>10584</v>
      </c>
      <c r="S2582" s="4" t="b">
        <f>ISNUMBER(MATCH(Q2582,T:T,0))</f>
        <v>1</v>
      </c>
      <c r="T2582" s="4" t="s">
        <v>10586</v>
      </c>
      <c r="U2582" s="4" t="str">
        <f t="shared" si="118"/>
        <v>閏</v>
      </c>
    </row>
    <row r="2583" spans="1:22">
      <c r="A2583" s="3">
        <v>2579</v>
      </c>
      <c r="B2583" s="3" t="s">
        <v>5622</v>
      </c>
      <c r="C2583" s="3" t="s">
        <v>6035</v>
      </c>
      <c r="D2583" s="3" t="s">
        <v>6001</v>
      </c>
      <c r="E2583" s="3" t="s">
        <v>6212</v>
      </c>
      <c r="F2583" s="3" t="s">
        <v>6809</v>
      </c>
      <c r="G2583" s="3" t="s">
        <v>4210</v>
      </c>
      <c r="H2583" s="3" t="s">
        <v>5623</v>
      </c>
      <c r="I2583" s="3" t="s">
        <v>3079</v>
      </c>
      <c r="J2583" s="5" t="s">
        <v>9286</v>
      </c>
      <c r="L2583" s="3" t="s">
        <v>5624</v>
      </c>
      <c r="M2583" s="3">
        <v>11</v>
      </c>
      <c r="N2583" s="4" t="s">
        <v>5595</v>
      </c>
      <c r="O2583" s="4">
        <v>135</v>
      </c>
      <c r="P2583" s="11" t="s">
        <v>10151</v>
      </c>
      <c r="Q2583" s="11" t="s">
        <v>10587</v>
      </c>
      <c r="S2583" s="4" t="b">
        <f>ISNUMBER(MATCH(Q2583,T:T,0))</f>
        <v>1</v>
      </c>
      <c r="T2583" s="4" t="s">
        <v>5595</v>
      </c>
      <c r="U2583" s="4" t="str">
        <f t="shared" si="118"/>
        <v>運</v>
      </c>
    </row>
    <row r="2584" spans="1:22" ht="39">
      <c r="A2584" s="3">
        <v>2580</v>
      </c>
      <c r="B2584" s="3" t="s">
        <v>5622</v>
      </c>
      <c r="C2584" s="3" t="s">
        <v>6032</v>
      </c>
      <c r="D2584" s="3" t="s">
        <v>6001</v>
      </c>
      <c r="E2584" s="3" t="s">
        <v>6212</v>
      </c>
      <c r="F2584" s="3" t="s">
        <v>6809</v>
      </c>
      <c r="G2584" s="3" t="s">
        <v>4210</v>
      </c>
      <c r="H2584" s="3" t="s">
        <v>5625</v>
      </c>
      <c r="I2584" s="3" t="s">
        <v>3079</v>
      </c>
      <c r="J2584" s="5" t="s">
        <v>9287</v>
      </c>
      <c r="L2584" s="3" t="s">
        <v>5626</v>
      </c>
      <c r="M2584" s="3">
        <v>16</v>
      </c>
      <c r="N2584" s="4" t="s">
        <v>5595</v>
      </c>
      <c r="O2584" s="4">
        <v>135</v>
      </c>
      <c r="P2584" s="11" t="s">
        <v>9949</v>
      </c>
      <c r="Q2584" s="11" t="s">
        <v>5595</v>
      </c>
      <c r="S2584" s="4" t="b">
        <f>ISNUMBER(MATCH(Q2584,T:T,0))</f>
        <v>1</v>
      </c>
      <c r="T2584" s="4" t="s">
        <v>10587</v>
      </c>
      <c r="U2584" s="4" t="str">
        <f t="shared" si="118"/>
        <v>問</v>
      </c>
    </row>
    <row r="2585" spans="1:22">
      <c r="A2585" s="3">
        <v>2581</v>
      </c>
      <c r="B2585" s="3" t="s">
        <v>5622</v>
      </c>
      <c r="C2585" s="3" t="s">
        <v>6089</v>
      </c>
      <c r="D2585" s="3" t="s">
        <v>6001</v>
      </c>
      <c r="E2585" s="3" t="s">
        <v>6212</v>
      </c>
      <c r="F2585" s="3" t="s">
        <v>6809</v>
      </c>
      <c r="G2585" s="3" t="s">
        <v>4210</v>
      </c>
      <c r="H2585" s="3" t="s">
        <v>5627</v>
      </c>
      <c r="I2585" s="3" t="s">
        <v>3079</v>
      </c>
      <c r="J2585" s="5" t="s">
        <v>9288</v>
      </c>
      <c r="L2585" s="3" t="s">
        <v>5612</v>
      </c>
      <c r="M2585" s="3">
        <v>5</v>
      </c>
      <c r="N2585" s="4" t="s">
        <v>5595</v>
      </c>
      <c r="O2585" s="4">
        <v>135</v>
      </c>
      <c r="P2585" s="11" t="s">
        <v>9753</v>
      </c>
      <c r="Q2585" s="11" t="s">
        <v>10587</v>
      </c>
      <c r="S2585" s="4" t="b">
        <f>ISNUMBER(MATCH(Q2585,T:T,0))</f>
        <v>1</v>
      </c>
      <c r="T2585" s="4" t="s">
        <v>12269</v>
      </c>
      <c r="U2585" s="4" t="str">
        <f t="shared" si="118"/>
        <v>運</v>
      </c>
    </row>
    <row r="2586" spans="1:22">
      <c r="A2586" s="3">
        <v>2582</v>
      </c>
      <c r="B2586" s="3" t="s">
        <v>5622</v>
      </c>
      <c r="C2586" s="3" t="s">
        <v>6053</v>
      </c>
      <c r="D2586" s="3" t="s">
        <v>6001</v>
      </c>
      <c r="E2586" s="3" t="s">
        <v>6212</v>
      </c>
      <c r="F2586" s="3" t="s">
        <v>6809</v>
      </c>
      <c r="G2586" s="3" t="s">
        <v>4210</v>
      </c>
      <c r="H2586" s="3" t="s">
        <v>5628</v>
      </c>
      <c r="I2586" s="3" t="s">
        <v>3079</v>
      </c>
      <c r="J2586" s="5" t="s">
        <v>5629</v>
      </c>
      <c r="L2586" s="3" t="s">
        <v>144</v>
      </c>
      <c r="M2586" s="3">
        <v>4</v>
      </c>
      <c r="N2586" s="4" t="s">
        <v>5595</v>
      </c>
      <c r="O2586" s="4">
        <v>135</v>
      </c>
      <c r="P2586" s="11" t="s">
        <v>9772</v>
      </c>
      <c r="Q2586" s="11" t="s">
        <v>5595</v>
      </c>
      <c r="S2586" s="4" t="b">
        <f>ISNUMBER(MATCH(Q2586,T:T,0))</f>
        <v>1</v>
      </c>
      <c r="T2586" s="4" t="s">
        <v>12270</v>
      </c>
      <c r="U2586" s="4" t="str">
        <f t="shared" si="118"/>
        <v>問</v>
      </c>
    </row>
    <row r="2587" spans="1:22" ht="28.5">
      <c r="A2587" s="3">
        <v>2583</v>
      </c>
      <c r="B2587" s="3" t="s">
        <v>5622</v>
      </c>
      <c r="C2587" s="3" t="s">
        <v>6049</v>
      </c>
      <c r="D2587" s="3" t="s">
        <v>6001</v>
      </c>
      <c r="E2587" s="3" t="s">
        <v>6212</v>
      </c>
      <c r="F2587" s="3" t="s">
        <v>6809</v>
      </c>
      <c r="G2587" s="3" t="s">
        <v>4210</v>
      </c>
      <c r="H2587" s="3" t="s">
        <v>5630</v>
      </c>
      <c r="I2587" s="3" t="s">
        <v>3079</v>
      </c>
      <c r="J2587" s="5" t="s">
        <v>5631</v>
      </c>
      <c r="K2587" s="3" t="s">
        <v>620</v>
      </c>
      <c r="L2587" s="3" t="s">
        <v>144</v>
      </c>
      <c r="M2587" s="3">
        <v>8</v>
      </c>
      <c r="N2587" s="4" t="s">
        <v>5595</v>
      </c>
      <c r="O2587" s="4">
        <v>135</v>
      </c>
      <c r="P2587" s="11" t="s">
        <v>9723</v>
      </c>
      <c r="Q2587" s="11" t="s">
        <v>5595</v>
      </c>
      <c r="S2587" s="4" t="b">
        <f>ISNUMBER(MATCH(Q2587,T:T,0))</f>
        <v>1</v>
      </c>
      <c r="T2587" s="4" t="s">
        <v>12271</v>
      </c>
      <c r="U2587" s="4" t="str">
        <f t="shared" si="118"/>
        <v>問</v>
      </c>
    </row>
    <row r="2588" spans="1:22">
      <c r="A2588" s="3">
        <v>2584</v>
      </c>
      <c r="B2588" s="3" t="s">
        <v>5622</v>
      </c>
      <c r="C2588" s="3" t="s">
        <v>6072</v>
      </c>
      <c r="D2588" s="3" t="s">
        <v>6001</v>
      </c>
      <c r="E2588" s="3" t="s">
        <v>6212</v>
      </c>
      <c r="F2588" s="3" t="s">
        <v>6809</v>
      </c>
      <c r="G2588" s="3" t="s">
        <v>4210</v>
      </c>
      <c r="H2588" s="3" t="s">
        <v>5632</v>
      </c>
      <c r="I2588" s="3" t="s">
        <v>3079</v>
      </c>
      <c r="J2588" s="8" t="s">
        <v>9289</v>
      </c>
      <c r="L2588" s="3" t="s">
        <v>5626</v>
      </c>
      <c r="M2588" s="3">
        <v>4</v>
      </c>
      <c r="N2588" s="4" t="s">
        <v>5595</v>
      </c>
      <c r="O2588" s="4">
        <v>135</v>
      </c>
      <c r="P2588" s="11" t="s">
        <v>9754</v>
      </c>
      <c r="Q2588" s="11" t="s">
        <v>5595</v>
      </c>
      <c r="S2588" s="4" t="b">
        <f>ISNUMBER(MATCH(Q2588,T:T,0))</f>
        <v>1</v>
      </c>
      <c r="T2588" s="4" t="s">
        <v>12272</v>
      </c>
      <c r="U2588" s="4" t="str">
        <f t="shared" si="118"/>
        <v>問</v>
      </c>
    </row>
    <row r="2589" spans="1:22">
      <c r="A2589" s="3">
        <v>2585</v>
      </c>
      <c r="B2589" s="3" t="s">
        <v>5622</v>
      </c>
      <c r="C2589" s="3" t="s">
        <v>6025</v>
      </c>
      <c r="D2589" s="3" t="s">
        <v>6001</v>
      </c>
      <c r="E2589" s="3" t="s">
        <v>6212</v>
      </c>
      <c r="F2589" s="3" t="s">
        <v>6809</v>
      </c>
      <c r="G2589" s="3" t="s">
        <v>4210</v>
      </c>
      <c r="H2589" s="3" t="s">
        <v>5633</v>
      </c>
      <c r="I2589" s="3" t="s">
        <v>3079</v>
      </c>
      <c r="J2589" s="8" t="s">
        <v>9290</v>
      </c>
      <c r="L2589" s="3" t="s">
        <v>5978</v>
      </c>
      <c r="M2589" s="3">
        <v>5</v>
      </c>
      <c r="N2589" s="4" t="s">
        <v>5595</v>
      </c>
      <c r="O2589" s="4">
        <v>135</v>
      </c>
      <c r="P2589" s="11" t="s">
        <v>9717</v>
      </c>
      <c r="Q2589" s="11" t="s">
        <v>10587</v>
      </c>
      <c r="S2589" s="4" t="b">
        <f>ISNUMBER(MATCH(Q2589,T:T,0))</f>
        <v>1</v>
      </c>
      <c r="T2589" s="4" t="s">
        <v>12273</v>
      </c>
      <c r="U2589" s="4" t="str">
        <f t="shared" si="118"/>
        <v>運</v>
      </c>
    </row>
    <row r="2590" spans="1:22">
      <c r="A2590" s="3">
        <v>2586</v>
      </c>
      <c r="B2590" s="3" t="s">
        <v>5622</v>
      </c>
      <c r="C2590" s="3" t="s">
        <v>6041</v>
      </c>
      <c r="D2590" s="3" t="s">
        <v>6001</v>
      </c>
      <c r="E2590" s="3" t="s">
        <v>6212</v>
      </c>
      <c r="F2590" s="3" t="s">
        <v>6809</v>
      </c>
      <c r="G2590" s="3" t="s">
        <v>4210</v>
      </c>
      <c r="H2590" s="3" t="s">
        <v>5634</v>
      </c>
      <c r="I2590" s="3" t="s">
        <v>3079</v>
      </c>
      <c r="J2590" s="5" t="s">
        <v>5635</v>
      </c>
      <c r="L2590" s="3" t="s">
        <v>5978</v>
      </c>
      <c r="M2590" s="3">
        <v>1</v>
      </c>
      <c r="N2590" s="4" t="s">
        <v>5595</v>
      </c>
      <c r="O2590" s="4">
        <v>135</v>
      </c>
      <c r="P2590" s="11" t="s">
        <v>9721</v>
      </c>
      <c r="Q2590" s="11" t="s">
        <v>10587</v>
      </c>
      <c r="S2590" s="4" t="b">
        <f>ISNUMBER(MATCH(Q2590,T:T,0))</f>
        <v>1</v>
      </c>
      <c r="T2590" s="4" t="s">
        <v>5635</v>
      </c>
      <c r="U2590" s="4" t="str">
        <f t="shared" si="118"/>
        <v>運</v>
      </c>
    </row>
    <row r="2591" spans="1:22">
      <c r="A2591" s="3">
        <v>2587</v>
      </c>
      <c r="B2591" s="3" t="s">
        <v>5622</v>
      </c>
      <c r="C2591" s="3" t="s">
        <v>6045</v>
      </c>
      <c r="D2591" s="3" t="s">
        <v>6001</v>
      </c>
      <c r="E2591" s="3" t="s">
        <v>6212</v>
      </c>
      <c r="F2591" s="3" t="s">
        <v>6809</v>
      </c>
      <c r="G2591" s="3" t="s">
        <v>4210</v>
      </c>
      <c r="H2591" s="3" t="s">
        <v>5636</v>
      </c>
      <c r="I2591" s="3" t="s">
        <v>3079</v>
      </c>
      <c r="J2591" s="5" t="s">
        <v>5637</v>
      </c>
      <c r="L2591" s="3" t="s">
        <v>144</v>
      </c>
      <c r="M2591" s="3">
        <v>5</v>
      </c>
      <c r="N2591" s="4" t="s">
        <v>5595</v>
      </c>
      <c r="O2591" s="4">
        <v>135</v>
      </c>
      <c r="P2591" s="11" t="s">
        <v>9926</v>
      </c>
      <c r="Q2591" s="11" t="s">
        <v>5595</v>
      </c>
      <c r="S2591" s="4" t="b">
        <f>ISNUMBER(MATCH(Q2591,T:T,0))</f>
        <v>1</v>
      </c>
      <c r="T2591" s="4" t="s">
        <v>9948</v>
      </c>
      <c r="U2591" s="4" t="str">
        <f t="shared" si="118"/>
        <v>問</v>
      </c>
    </row>
    <row r="2592" spans="1:22">
      <c r="A2592" s="3">
        <v>2588</v>
      </c>
      <c r="B2592" s="3" t="s">
        <v>5638</v>
      </c>
      <c r="C2592" s="3" t="s">
        <v>6089</v>
      </c>
      <c r="D2592" s="3" t="s">
        <v>6001</v>
      </c>
      <c r="E2592" s="3" t="s">
        <v>5991</v>
      </c>
      <c r="F2592" s="3" t="s">
        <v>6825</v>
      </c>
      <c r="G2592" s="3" t="s">
        <v>4210</v>
      </c>
      <c r="H2592" s="3" t="s">
        <v>5639</v>
      </c>
      <c r="I2592" s="3" t="s">
        <v>3079</v>
      </c>
      <c r="J2592" s="5" t="s">
        <v>9291</v>
      </c>
      <c r="L2592" s="3" t="s">
        <v>5567</v>
      </c>
      <c r="M2592" s="3">
        <v>6</v>
      </c>
      <c r="N2592" s="4" t="s">
        <v>9664</v>
      </c>
      <c r="O2592" s="4">
        <v>136</v>
      </c>
      <c r="P2592" s="11" t="s">
        <v>9797</v>
      </c>
      <c r="Q2592" s="11" t="s">
        <v>10588</v>
      </c>
      <c r="S2592" s="4" t="b">
        <f>ISNUMBER(MATCH(Q2592,T:T,0))</f>
        <v>1</v>
      </c>
      <c r="T2592" s="4" t="s">
        <v>9664</v>
      </c>
      <c r="U2592" s="4" t="str">
        <f t="shared" si="118"/>
        <v>靳</v>
      </c>
    </row>
    <row r="2593" spans="1:22">
      <c r="A2593" s="3">
        <v>2589</v>
      </c>
      <c r="B2593" s="3" t="s">
        <v>5638</v>
      </c>
      <c r="C2593" s="3" t="s">
        <v>6025</v>
      </c>
      <c r="D2593" s="3" t="s">
        <v>6001</v>
      </c>
      <c r="E2593" s="3" t="s">
        <v>5991</v>
      </c>
      <c r="F2593" s="3" t="s">
        <v>6825</v>
      </c>
      <c r="G2593" s="3" t="s">
        <v>4210</v>
      </c>
      <c r="H2593" s="3" t="s">
        <v>5640</v>
      </c>
      <c r="I2593" s="3" t="s">
        <v>3079</v>
      </c>
      <c r="J2593" s="5" t="s">
        <v>9292</v>
      </c>
      <c r="L2593" s="3" t="s">
        <v>5965</v>
      </c>
      <c r="M2593" s="3">
        <v>5</v>
      </c>
      <c r="N2593" s="4" t="s">
        <v>9664</v>
      </c>
      <c r="O2593" s="4">
        <v>136</v>
      </c>
      <c r="P2593" s="11" t="s">
        <v>9717</v>
      </c>
      <c r="Q2593" s="11" t="s">
        <v>9664</v>
      </c>
      <c r="S2593" s="4" t="b">
        <f>ISNUMBER(MATCH(Q2593,T:T,0))</f>
        <v>1</v>
      </c>
      <c r="T2593" s="4" t="s">
        <v>10588</v>
      </c>
      <c r="U2593" s="4" t="str">
        <f t="shared" si="118"/>
        <v>焮</v>
      </c>
    </row>
    <row r="2594" spans="1:22">
      <c r="A2594" s="3">
        <v>2590</v>
      </c>
      <c r="B2594" s="3" t="s">
        <v>5638</v>
      </c>
      <c r="C2594" s="3" t="s">
        <v>6041</v>
      </c>
      <c r="D2594" s="3" t="s">
        <v>6001</v>
      </c>
      <c r="E2594" s="3" t="s">
        <v>5991</v>
      </c>
      <c r="F2594" s="3" t="s">
        <v>6825</v>
      </c>
      <c r="G2594" s="3" t="s">
        <v>4210</v>
      </c>
      <c r="H2594" s="3" t="s">
        <v>5641</v>
      </c>
      <c r="I2594" s="3" t="s">
        <v>3079</v>
      </c>
      <c r="J2594" s="5" t="s">
        <v>5642</v>
      </c>
      <c r="L2594" s="3" t="s">
        <v>5965</v>
      </c>
      <c r="M2594" s="3">
        <v>1</v>
      </c>
      <c r="N2594" s="4" t="s">
        <v>9664</v>
      </c>
      <c r="O2594" s="4">
        <v>136</v>
      </c>
      <c r="P2594" s="11" t="s">
        <v>9789</v>
      </c>
      <c r="Q2594" s="11" t="s">
        <v>10588</v>
      </c>
      <c r="S2594" s="4" t="b">
        <f>ISNUMBER(MATCH(Q2594,T:T,0))</f>
        <v>1</v>
      </c>
      <c r="T2594" s="4" t="s">
        <v>5642</v>
      </c>
      <c r="U2594" s="4" t="str">
        <f t="shared" si="118"/>
        <v>靳</v>
      </c>
    </row>
    <row r="2595" spans="1:22">
      <c r="A2595" s="3">
        <v>2591</v>
      </c>
      <c r="B2595" s="3" t="s">
        <v>5638</v>
      </c>
      <c r="C2595" s="3" t="s">
        <v>6072</v>
      </c>
      <c r="D2595" s="3" t="s">
        <v>6001</v>
      </c>
      <c r="E2595" s="3" t="s">
        <v>5991</v>
      </c>
      <c r="F2595" s="3" t="s">
        <v>6825</v>
      </c>
      <c r="G2595" s="3" t="s">
        <v>4210</v>
      </c>
      <c r="H2595" s="3" t="s">
        <v>5643</v>
      </c>
      <c r="I2595" s="3" t="s">
        <v>3079</v>
      </c>
      <c r="J2595" s="5" t="s">
        <v>9293</v>
      </c>
      <c r="L2595" s="3" t="s">
        <v>5571</v>
      </c>
      <c r="M2595" s="3">
        <v>8</v>
      </c>
      <c r="N2595" s="4" t="s">
        <v>9664</v>
      </c>
      <c r="O2595" s="4">
        <v>136</v>
      </c>
      <c r="P2595" s="11" t="s">
        <v>9754</v>
      </c>
      <c r="Q2595" s="11" t="s">
        <v>10588</v>
      </c>
      <c r="S2595" s="4" t="b">
        <f>ISNUMBER(MATCH(Q2595,T:T,0))</f>
        <v>1</v>
      </c>
      <c r="T2595" s="4" t="s">
        <v>12274</v>
      </c>
      <c r="U2595" s="4" t="str">
        <f t="shared" si="118"/>
        <v>靳</v>
      </c>
    </row>
    <row r="2596" spans="1:22">
      <c r="A2596" s="3">
        <v>2592</v>
      </c>
      <c r="B2596" s="3" t="s">
        <v>5638</v>
      </c>
      <c r="C2596" s="3" t="s">
        <v>6092</v>
      </c>
      <c r="D2596" s="3" t="s">
        <v>6001</v>
      </c>
      <c r="E2596" s="3" t="s">
        <v>5991</v>
      </c>
      <c r="F2596" s="3" t="s">
        <v>6825</v>
      </c>
      <c r="G2596" s="3" t="s">
        <v>4210</v>
      </c>
      <c r="H2596" s="3" t="s">
        <v>5644</v>
      </c>
      <c r="I2596" s="3" t="s">
        <v>3079</v>
      </c>
      <c r="J2596" s="5" t="s">
        <v>5645</v>
      </c>
      <c r="L2596" s="3" t="s">
        <v>5571</v>
      </c>
      <c r="M2596" s="3">
        <v>1</v>
      </c>
      <c r="N2596" s="4" t="s">
        <v>9664</v>
      </c>
      <c r="O2596" s="4">
        <v>136</v>
      </c>
      <c r="P2596" s="11" t="s">
        <v>9876</v>
      </c>
      <c r="Q2596" s="11" t="s">
        <v>10588</v>
      </c>
      <c r="S2596" s="4" t="b">
        <f>ISNUMBER(MATCH(Q2596,T:T,0))</f>
        <v>1</v>
      </c>
      <c r="T2596" s="4" t="s">
        <v>5645</v>
      </c>
      <c r="U2596" s="4" t="str">
        <f t="shared" si="118"/>
        <v>靳</v>
      </c>
    </row>
    <row r="2597" spans="1:22">
      <c r="A2597" s="3">
        <v>2593</v>
      </c>
      <c r="B2597" s="3" t="s">
        <v>5646</v>
      </c>
      <c r="C2597" s="3" t="s">
        <v>6092</v>
      </c>
      <c r="D2597" s="3" t="s">
        <v>6001</v>
      </c>
      <c r="E2597" s="3" t="s">
        <v>6212</v>
      </c>
      <c r="F2597" s="3" t="s">
        <v>6834</v>
      </c>
      <c r="G2597" s="3" t="s">
        <v>4210</v>
      </c>
      <c r="H2597" s="3" t="s">
        <v>5647</v>
      </c>
      <c r="I2597" s="3" t="s">
        <v>6836</v>
      </c>
      <c r="J2597" s="5" t="s">
        <v>9294</v>
      </c>
      <c r="L2597" s="3" t="s">
        <v>5648</v>
      </c>
      <c r="M2597" s="3">
        <v>4</v>
      </c>
      <c r="N2597" s="4" t="s">
        <v>5649</v>
      </c>
      <c r="O2597" s="4">
        <v>137</v>
      </c>
      <c r="P2597" s="11" t="s">
        <v>6462</v>
      </c>
      <c r="Q2597" s="11" t="s">
        <v>10589</v>
      </c>
      <c r="S2597" s="4" t="b">
        <f>ISNUMBER(MATCH(Q2597,T:T,0))</f>
        <v>1</v>
      </c>
      <c r="T2597" s="4" t="s">
        <v>5649</v>
      </c>
      <c r="U2597" s="4" t="str">
        <f t="shared" si="118"/>
        <v>怨</v>
      </c>
    </row>
    <row r="2598" spans="1:22">
      <c r="A2598" s="3">
        <v>2594</v>
      </c>
      <c r="B2598" s="3" t="s">
        <v>5646</v>
      </c>
      <c r="C2598" s="3" t="s">
        <v>6072</v>
      </c>
      <c r="D2598" s="3" t="s">
        <v>6001</v>
      </c>
      <c r="E2598" s="3" t="s">
        <v>6212</v>
      </c>
      <c r="F2598" s="3" t="s">
        <v>6834</v>
      </c>
      <c r="G2598" s="3" t="s">
        <v>4210</v>
      </c>
      <c r="H2598" s="3" t="s">
        <v>5650</v>
      </c>
      <c r="I2598" s="3" t="s">
        <v>6836</v>
      </c>
      <c r="J2598" s="5" t="s">
        <v>5651</v>
      </c>
      <c r="L2598" s="3" t="s">
        <v>5648</v>
      </c>
      <c r="M2598" s="3">
        <v>2</v>
      </c>
      <c r="N2598" s="4" t="s">
        <v>5649</v>
      </c>
      <c r="O2598" s="4">
        <v>137</v>
      </c>
      <c r="P2598" s="11" t="s">
        <v>9754</v>
      </c>
      <c r="Q2598" s="11" t="s">
        <v>5649</v>
      </c>
      <c r="S2598" s="4" t="b">
        <f>ISNUMBER(MATCH(Q2598,T:T,0))</f>
        <v>1</v>
      </c>
      <c r="T2598" s="4" t="s">
        <v>10589</v>
      </c>
      <c r="U2598" s="4" t="str">
        <f t="shared" si="118"/>
        <v>願</v>
      </c>
    </row>
    <row r="2599" spans="1:22">
      <c r="A2599" s="3">
        <v>2595</v>
      </c>
      <c r="B2599" s="3" t="s">
        <v>5646</v>
      </c>
      <c r="C2599" s="3" t="s">
        <v>6049</v>
      </c>
      <c r="D2599" s="3" t="s">
        <v>6001</v>
      </c>
      <c r="E2599" s="3" t="s">
        <v>6212</v>
      </c>
      <c r="F2599" s="3" t="s">
        <v>6834</v>
      </c>
      <c r="G2599" s="3" t="s">
        <v>4210</v>
      </c>
      <c r="H2599" s="3" t="s">
        <v>5652</v>
      </c>
      <c r="I2599" s="3" t="s">
        <v>6836</v>
      </c>
      <c r="J2599" s="5" t="s">
        <v>5653</v>
      </c>
      <c r="L2599" s="3" t="s">
        <v>207</v>
      </c>
      <c r="M2599" s="3">
        <v>2</v>
      </c>
      <c r="N2599" s="4" t="s">
        <v>5649</v>
      </c>
      <c r="O2599" s="4">
        <v>137</v>
      </c>
      <c r="P2599" s="11" t="s">
        <v>9723</v>
      </c>
      <c r="Q2599" s="11" t="s">
        <v>5649</v>
      </c>
      <c r="S2599" s="4" t="b">
        <f>ISNUMBER(MATCH(Q2599,T:T,0))</f>
        <v>1</v>
      </c>
      <c r="T2599" s="4" t="s">
        <v>10590</v>
      </c>
      <c r="U2599" s="4" t="str">
        <f t="shared" si="118"/>
        <v>願</v>
      </c>
    </row>
    <row r="2600" spans="1:22">
      <c r="A2600" s="3">
        <v>2596</v>
      </c>
      <c r="B2600" s="3" t="s">
        <v>5646</v>
      </c>
      <c r="C2600" s="3" t="s">
        <v>6038</v>
      </c>
      <c r="D2600" s="3" t="s">
        <v>6001</v>
      </c>
      <c r="E2600" s="3" t="s">
        <v>6212</v>
      </c>
      <c r="F2600" s="3" t="s">
        <v>6834</v>
      </c>
      <c r="G2600" s="3" t="s">
        <v>4210</v>
      </c>
      <c r="H2600" s="3" t="s">
        <v>5654</v>
      </c>
      <c r="I2600" s="3" t="s">
        <v>6836</v>
      </c>
      <c r="J2600" s="5" t="s">
        <v>9295</v>
      </c>
      <c r="L2600" s="3" t="s">
        <v>5655</v>
      </c>
      <c r="M2600" s="3">
        <v>6</v>
      </c>
      <c r="N2600" s="4" t="s">
        <v>5649</v>
      </c>
      <c r="O2600" s="4">
        <v>137</v>
      </c>
      <c r="P2600" s="11" t="s">
        <v>4210</v>
      </c>
      <c r="Q2600" s="11" t="s">
        <v>5649</v>
      </c>
      <c r="S2600" s="4" t="b">
        <f>ISNUMBER(MATCH(Q2600,T:T,0))</f>
        <v>1</v>
      </c>
      <c r="T2600" s="4" t="s">
        <v>12275</v>
      </c>
      <c r="U2600" s="4" t="str">
        <f t="shared" si="118"/>
        <v>願</v>
      </c>
    </row>
    <row r="2601" spans="1:22" ht="39">
      <c r="A2601" s="3">
        <v>2597</v>
      </c>
      <c r="B2601" s="3" t="s">
        <v>5646</v>
      </c>
      <c r="C2601" s="3" t="s">
        <v>6035</v>
      </c>
      <c r="D2601" s="3" t="s">
        <v>6001</v>
      </c>
      <c r="E2601" s="3" t="s">
        <v>6212</v>
      </c>
      <c r="F2601" s="3" t="s">
        <v>6834</v>
      </c>
      <c r="G2601" s="3" t="s">
        <v>4210</v>
      </c>
      <c r="H2601" s="3" t="s">
        <v>5656</v>
      </c>
      <c r="I2601" s="3" t="s">
        <v>6836</v>
      </c>
      <c r="J2601" s="5" t="s">
        <v>9296</v>
      </c>
      <c r="K2601" s="3" t="s">
        <v>5657</v>
      </c>
      <c r="L2601" s="3" t="s">
        <v>5658</v>
      </c>
      <c r="M2601" s="3">
        <v>18</v>
      </c>
      <c r="N2601" s="4" t="s">
        <v>5649</v>
      </c>
      <c r="O2601" s="4">
        <v>137</v>
      </c>
      <c r="P2601" s="11" t="s">
        <v>9837</v>
      </c>
      <c r="Q2601" s="11" t="s">
        <v>10590</v>
      </c>
      <c r="S2601" s="4" t="b">
        <f>ISNUMBER(MATCH(Q2601,T:T,0))</f>
        <v>1</v>
      </c>
      <c r="T2601" s="4" t="s">
        <v>12276</v>
      </c>
      <c r="U2601" s="4" t="str">
        <f t="shared" si="118"/>
        <v>販</v>
      </c>
    </row>
    <row r="2602" spans="1:22">
      <c r="A2602" s="3">
        <v>2598</v>
      </c>
      <c r="B2602" s="3" t="s">
        <v>5646</v>
      </c>
      <c r="C2602" s="3" t="s">
        <v>6045</v>
      </c>
      <c r="D2602" s="3" t="s">
        <v>6001</v>
      </c>
      <c r="E2602" s="3" t="s">
        <v>6212</v>
      </c>
      <c r="F2602" s="3" t="s">
        <v>6834</v>
      </c>
      <c r="G2602" s="3" t="s">
        <v>4210</v>
      </c>
      <c r="H2602" s="3" t="s">
        <v>5659</v>
      </c>
      <c r="I2602" s="3" t="s">
        <v>6836</v>
      </c>
      <c r="J2602" s="5" t="s">
        <v>9297</v>
      </c>
      <c r="L2602" s="3" t="s">
        <v>207</v>
      </c>
      <c r="M2602" s="3">
        <v>6</v>
      </c>
      <c r="N2602" s="4" t="s">
        <v>5649</v>
      </c>
      <c r="O2602" s="4">
        <v>137</v>
      </c>
      <c r="P2602" s="11" t="s">
        <v>9759</v>
      </c>
      <c r="Q2602" s="11" t="s">
        <v>10591</v>
      </c>
      <c r="R2602" s="4" t="s">
        <v>13143</v>
      </c>
      <c r="S2602" s="4" t="b">
        <f>ISNUMBER(MATCH(Q2602,T:T,0))</f>
        <v>0</v>
      </c>
      <c r="T2602" s="4" t="s">
        <v>11715</v>
      </c>
      <c r="U2602" s="4" t="str">
        <f t="shared" si="118"/>
        <v>萬</v>
      </c>
      <c r="V2602" s="4" t="b">
        <f t="shared" ref="V2602:V2604" si="119">ISNUMBER(MATCH(R2602,T:T,0))</f>
        <v>1</v>
      </c>
    </row>
    <row r="2603" spans="1:22">
      <c r="A2603" s="3">
        <v>2599</v>
      </c>
      <c r="B2603" s="3" t="s">
        <v>5646</v>
      </c>
      <c r="C2603" s="3" t="s">
        <v>6053</v>
      </c>
      <c r="D2603" s="3" t="s">
        <v>6001</v>
      </c>
      <c r="E2603" s="3" t="s">
        <v>6212</v>
      </c>
      <c r="F2603" s="3" t="s">
        <v>6834</v>
      </c>
      <c r="G2603" s="3" t="s">
        <v>4210</v>
      </c>
      <c r="H2603" s="3" t="s">
        <v>5660</v>
      </c>
      <c r="I2603" s="3" t="s">
        <v>6836</v>
      </c>
      <c r="J2603" s="5" t="s">
        <v>5661</v>
      </c>
      <c r="L2603" s="3" t="s">
        <v>207</v>
      </c>
      <c r="M2603" s="3">
        <v>10</v>
      </c>
      <c r="N2603" s="4" t="s">
        <v>5649</v>
      </c>
      <c r="O2603" s="4">
        <v>137</v>
      </c>
      <c r="P2603" s="11" t="s">
        <v>9841</v>
      </c>
      <c r="Q2603" s="11" t="s">
        <v>10591</v>
      </c>
      <c r="R2603" s="4" t="s">
        <v>13143</v>
      </c>
      <c r="S2603" s="4" t="b">
        <f>ISNUMBER(MATCH(Q2603,T:T,0))</f>
        <v>0</v>
      </c>
      <c r="T2603" s="4" t="s">
        <v>12277</v>
      </c>
      <c r="U2603" s="4" t="str">
        <f t="shared" si="118"/>
        <v>萬</v>
      </c>
      <c r="V2603" s="4" t="b">
        <f t="shared" si="119"/>
        <v>1</v>
      </c>
    </row>
    <row r="2604" spans="1:22">
      <c r="A2604" s="3">
        <v>2600</v>
      </c>
      <c r="B2604" s="3" t="s">
        <v>5646</v>
      </c>
      <c r="C2604" s="3" t="s">
        <v>6025</v>
      </c>
      <c r="D2604" s="3" t="s">
        <v>6001</v>
      </c>
      <c r="E2604" s="3" t="s">
        <v>5991</v>
      </c>
      <c r="F2604" s="3" t="s">
        <v>6834</v>
      </c>
      <c r="G2604" s="3" t="s">
        <v>4210</v>
      </c>
      <c r="H2604" s="3" t="s">
        <v>5662</v>
      </c>
      <c r="I2604" s="3" t="s">
        <v>6836</v>
      </c>
      <c r="J2604" s="5" t="s">
        <v>9298</v>
      </c>
      <c r="L2604" s="3" t="s">
        <v>184</v>
      </c>
      <c r="M2604" s="3">
        <v>2</v>
      </c>
      <c r="N2604" s="4" t="s">
        <v>5649</v>
      </c>
      <c r="O2604" s="4">
        <v>137</v>
      </c>
      <c r="P2604" s="11" t="s">
        <v>9717</v>
      </c>
      <c r="Q2604" s="11" t="s">
        <v>10591</v>
      </c>
      <c r="R2604" s="4" t="s">
        <v>13143</v>
      </c>
      <c r="S2604" s="4" t="b">
        <f>ISNUMBER(MATCH(Q2604,T:T,0))</f>
        <v>0</v>
      </c>
      <c r="T2604" s="4" t="s">
        <v>10592</v>
      </c>
      <c r="U2604" s="4" t="str">
        <f t="shared" si="118"/>
        <v>萬</v>
      </c>
      <c r="V2604" s="4" t="b">
        <f t="shared" si="119"/>
        <v>1</v>
      </c>
    </row>
    <row r="2605" spans="1:22">
      <c r="A2605" s="3">
        <v>2601</v>
      </c>
      <c r="B2605" s="3" t="s">
        <v>5646</v>
      </c>
      <c r="C2605" s="3" t="s">
        <v>6072</v>
      </c>
      <c r="D2605" s="3" t="s">
        <v>6001</v>
      </c>
      <c r="E2605" s="3" t="s">
        <v>5991</v>
      </c>
      <c r="F2605" s="3" t="s">
        <v>6834</v>
      </c>
      <c r="G2605" s="3" t="s">
        <v>4210</v>
      </c>
      <c r="H2605" s="3" t="s">
        <v>5663</v>
      </c>
      <c r="I2605" s="3" t="s">
        <v>6836</v>
      </c>
      <c r="J2605" s="5" t="s">
        <v>5664</v>
      </c>
      <c r="K2605" s="3" t="s">
        <v>5665</v>
      </c>
      <c r="L2605" s="3" t="s">
        <v>5666</v>
      </c>
      <c r="M2605" s="3">
        <v>10</v>
      </c>
      <c r="N2605" s="4" t="s">
        <v>5649</v>
      </c>
      <c r="O2605" s="4">
        <v>137</v>
      </c>
      <c r="P2605" s="11" t="s">
        <v>9754</v>
      </c>
      <c r="Q2605" s="11" t="s">
        <v>10592</v>
      </c>
      <c r="S2605" s="4" t="b">
        <f>ISNUMBER(MATCH(Q2605,T:T,0))</f>
        <v>1</v>
      </c>
      <c r="T2605" s="4" t="s">
        <v>12278</v>
      </c>
      <c r="U2605" s="4" t="str">
        <f t="shared" si="118"/>
        <v>建</v>
      </c>
    </row>
    <row r="2606" spans="1:22">
      <c r="A2606" s="3">
        <v>2602</v>
      </c>
      <c r="B2606" s="3" t="s">
        <v>5646</v>
      </c>
      <c r="C2606" s="3" t="s">
        <v>6089</v>
      </c>
      <c r="D2606" s="3" t="s">
        <v>6001</v>
      </c>
      <c r="E2606" s="3" t="s">
        <v>5991</v>
      </c>
      <c r="F2606" s="3" t="s">
        <v>6834</v>
      </c>
      <c r="G2606" s="3" t="s">
        <v>4210</v>
      </c>
      <c r="H2606" s="3" t="s">
        <v>5667</v>
      </c>
      <c r="I2606" s="3" t="s">
        <v>6836</v>
      </c>
      <c r="J2606" s="5" t="s">
        <v>5668</v>
      </c>
      <c r="L2606" s="3" t="s">
        <v>3156</v>
      </c>
      <c r="M2606" s="3">
        <v>4</v>
      </c>
      <c r="N2606" s="4" t="s">
        <v>5649</v>
      </c>
      <c r="O2606" s="4">
        <v>137</v>
      </c>
      <c r="P2606" s="11" t="s">
        <v>9753</v>
      </c>
      <c r="Q2606" s="11" t="s">
        <v>10592</v>
      </c>
      <c r="S2606" s="4" t="b">
        <f>ISNUMBER(MATCH(Q2606,T:T,0))</f>
        <v>1</v>
      </c>
      <c r="T2606" s="4" t="s">
        <v>12279</v>
      </c>
      <c r="U2606" s="4" t="str">
        <f t="shared" si="118"/>
        <v>建</v>
      </c>
    </row>
    <row r="2607" spans="1:22">
      <c r="A2607" s="3">
        <v>2603</v>
      </c>
      <c r="B2607" s="3" t="s">
        <v>5646</v>
      </c>
      <c r="C2607" s="3" t="s">
        <v>6089</v>
      </c>
      <c r="D2607" s="3" t="s">
        <v>6001</v>
      </c>
      <c r="E2607" s="3" t="s">
        <v>6212</v>
      </c>
      <c r="F2607" s="3" t="s">
        <v>6834</v>
      </c>
      <c r="G2607" s="3" t="s">
        <v>4210</v>
      </c>
      <c r="H2607" s="7" t="s">
        <v>821</v>
      </c>
      <c r="I2607" s="3" t="s">
        <v>6836</v>
      </c>
      <c r="J2607" s="5" t="s">
        <v>1984</v>
      </c>
      <c r="L2607" s="3" t="s">
        <v>3216</v>
      </c>
      <c r="M2607" s="3">
        <v>4</v>
      </c>
      <c r="N2607" s="4" t="s">
        <v>5649</v>
      </c>
      <c r="O2607" s="4">
        <v>137</v>
      </c>
      <c r="P2607" s="11" t="s">
        <v>9958</v>
      </c>
      <c r="Q2607" s="11" t="s">
        <v>5649</v>
      </c>
      <c r="S2607" s="4" t="b">
        <f>ISNUMBER(MATCH(Q2607,T:T,0))</f>
        <v>1</v>
      </c>
      <c r="T2607" s="4" t="s">
        <v>12280</v>
      </c>
      <c r="U2607" s="4" t="str">
        <f t="shared" si="118"/>
        <v>願</v>
      </c>
    </row>
    <row r="2608" spans="1:22">
      <c r="A2608" s="3">
        <v>2604</v>
      </c>
      <c r="B2608" s="3" t="s">
        <v>5646</v>
      </c>
      <c r="C2608" s="3" t="s">
        <v>6041</v>
      </c>
      <c r="D2608" s="3" t="s">
        <v>6001</v>
      </c>
      <c r="E2608" s="3" t="s">
        <v>5991</v>
      </c>
      <c r="F2608" s="3" t="s">
        <v>6834</v>
      </c>
      <c r="G2608" s="3" t="s">
        <v>4210</v>
      </c>
      <c r="H2608" s="3" t="s">
        <v>1985</v>
      </c>
      <c r="I2608" s="3" t="s">
        <v>6836</v>
      </c>
      <c r="J2608" s="5" t="s">
        <v>9299</v>
      </c>
      <c r="L2608" s="3" t="s">
        <v>184</v>
      </c>
      <c r="M2608" s="3">
        <v>2</v>
      </c>
      <c r="N2608" s="4" t="s">
        <v>5649</v>
      </c>
      <c r="O2608" s="4">
        <v>137</v>
      </c>
      <c r="P2608" s="11" t="s">
        <v>9721</v>
      </c>
      <c r="Q2608" s="11" t="s">
        <v>10592</v>
      </c>
      <c r="S2608" s="4" t="b">
        <f>ISNUMBER(MATCH(Q2608,T:T,0))</f>
        <v>1</v>
      </c>
      <c r="T2608" s="4" t="s">
        <v>12281</v>
      </c>
      <c r="U2608" s="4" t="str">
        <f t="shared" si="118"/>
        <v>建</v>
      </c>
    </row>
    <row r="2609" spans="1:22">
      <c r="A2609" s="3">
        <v>2605</v>
      </c>
      <c r="B2609" s="3" t="s">
        <v>5646</v>
      </c>
      <c r="C2609" s="3" t="s">
        <v>6053</v>
      </c>
      <c r="D2609" s="3" t="s">
        <v>6001</v>
      </c>
      <c r="E2609" s="3" t="s">
        <v>6212</v>
      </c>
      <c r="F2609" s="3" t="s">
        <v>6834</v>
      </c>
      <c r="G2609" s="3" t="s">
        <v>4210</v>
      </c>
      <c r="H2609" s="3" t="s">
        <v>5660</v>
      </c>
      <c r="I2609" s="3" t="s">
        <v>6836</v>
      </c>
      <c r="J2609" s="5" t="s">
        <v>1986</v>
      </c>
      <c r="L2609" s="3" t="s">
        <v>207</v>
      </c>
      <c r="M2609" s="3">
        <v>1</v>
      </c>
      <c r="N2609" s="4" t="s">
        <v>5649</v>
      </c>
      <c r="O2609" s="4">
        <v>137</v>
      </c>
      <c r="P2609" s="11" t="s">
        <v>9841</v>
      </c>
      <c r="Q2609" s="11" t="s">
        <v>10591</v>
      </c>
      <c r="R2609" s="4" t="s">
        <v>13143</v>
      </c>
      <c r="S2609" s="4" t="b">
        <f>ISNUMBER(MATCH(Q2609,T:T,0))</f>
        <v>0</v>
      </c>
      <c r="T2609" s="4" t="s">
        <v>1986</v>
      </c>
      <c r="U2609" s="4" t="str">
        <f t="shared" si="118"/>
        <v>萬</v>
      </c>
      <c r="V2609" s="4" t="b">
        <f>ISNUMBER(MATCH(R2609,T:T,0))</f>
        <v>1</v>
      </c>
    </row>
    <row r="2610" spans="1:22">
      <c r="A2610" s="3">
        <v>2606</v>
      </c>
      <c r="B2610" s="3" t="s">
        <v>5646</v>
      </c>
      <c r="C2610" s="3" t="s">
        <v>6032</v>
      </c>
      <c r="D2610" s="3" t="s">
        <v>6001</v>
      </c>
      <c r="E2610" s="3" t="s">
        <v>6212</v>
      </c>
      <c r="F2610" s="3" t="s">
        <v>6834</v>
      </c>
      <c r="G2610" s="3" t="s">
        <v>4210</v>
      </c>
      <c r="H2610" s="3" t="s">
        <v>1987</v>
      </c>
      <c r="I2610" s="3" t="s">
        <v>6836</v>
      </c>
      <c r="J2610" s="5" t="s">
        <v>1988</v>
      </c>
      <c r="L2610" s="3" t="s">
        <v>5648</v>
      </c>
      <c r="M2610" s="3">
        <v>1</v>
      </c>
      <c r="N2610" s="4" t="s">
        <v>5649</v>
      </c>
      <c r="O2610" s="4">
        <v>137</v>
      </c>
      <c r="P2610" s="11" t="s">
        <v>9859</v>
      </c>
      <c r="Q2610" s="11" t="s">
        <v>5649</v>
      </c>
      <c r="S2610" s="4" t="b">
        <f>ISNUMBER(MATCH(Q2610,T:T,0))</f>
        <v>1</v>
      </c>
      <c r="T2610" s="4" t="s">
        <v>1988</v>
      </c>
      <c r="U2610" s="4" t="str">
        <f t="shared" si="118"/>
        <v>願</v>
      </c>
    </row>
    <row r="2611" spans="1:22">
      <c r="A2611" s="3">
        <v>2607</v>
      </c>
      <c r="B2611" s="3" t="s">
        <v>5646</v>
      </c>
      <c r="C2611" s="3" t="s">
        <v>6092</v>
      </c>
      <c r="D2611" s="3" t="s">
        <v>6001</v>
      </c>
      <c r="E2611" s="3" t="s">
        <v>5991</v>
      </c>
      <c r="F2611" s="3" t="s">
        <v>6834</v>
      </c>
      <c r="G2611" s="3" t="s">
        <v>4210</v>
      </c>
      <c r="H2611" s="3" t="s">
        <v>188</v>
      </c>
      <c r="I2611" s="3" t="s">
        <v>6836</v>
      </c>
      <c r="J2611" s="5" t="s">
        <v>1989</v>
      </c>
      <c r="L2611" s="3" t="s">
        <v>5666</v>
      </c>
      <c r="M2611" s="3">
        <v>2</v>
      </c>
      <c r="N2611" s="4" t="s">
        <v>5649</v>
      </c>
      <c r="O2611" s="4">
        <v>137</v>
      </c>
      <c r="P2611" s="11" t="s">
        <v>9001</v>
      </c>
      <c r="Q2611" s="11" t="s">
        <v>10291</v>
      </c>
      <c r="S2611" s="4" t="b">
        <f>ISNUMBER(MATCH(Q2611,T:T,0))</f>
        <v>1</v>
      </c>
      <c r="T2611" s="4" t="s">
        <v>12282</v>
      </c>
      <c r="U2611" s="4" t="str">
        <f t="shared" si="118"/>
        <v>偃</v>
      </c>
    </row>
    <row r="2612" spans="1:22">
      <c r="A2612" s="3">
        <v>2608</v>
      </c>
      <c r="B2612" s="3" t="s">
        <v>5646</v>
      </c>
      <c r="C2612" s="3" t="s">
        <v>6041</v>
      </c>
      <c r="D2612" s="3" t="s">
        <v>6001</v>
      </c>
      <c r="E2612" s="3" t="s">
        <v>6212</v>
      </c>
      <c r="F2612" s="3" t="s">
        <v>6834</v>
      </c>
      <c r="G2612" s="3" t="s">
        <v>4210</v>
      </c>
      <c r="H2612" s="3" t="s">
        <v>1990</v>
      </c>
      <c r="I2612" s="3" t="s">
        <v>6836</v>
      </c>
      <c r="J2612" s="5" t="s">
        <v>1991</v>
      </c>
      <c r="L2612" s="3" t="s">
        <v>198</v>
      </c>
      <c r="M2612" s="3">
        <v>1</v>
      </c>
      <c r="N2612" s="4" t="s">
        <v>5649</v>
      </c>
      <c r="O2612" s="4">
        <v>137</v>
      </c>
      <c r="P2612" s="11" t="s">
        <v>10593</v>
      </c>
      <c r="Q2612" s="11" t="s">
        <v>10591</v>
      </c>
      <c r="R2612" s="4" t="s">
        <v>13143</v>
      </c>
      <c r="S2612" s="4" t="b">
        <f>ISNUMBER(MATCH(Q2612,T:T,0))</f>
        <v>0</v>
      </c>
      <c r="T2612" s="4" t="s">
        <v>1991</v>
      </c>
      <c r="U2612" s="4" t="str">
        <f t="shared" si="118"/>
        <v>萬</v>
      </c>
      <c r="V2612" s="4" t="b">
        <f>ISNUMBER(MATCH(R2612,T:T,0))</f>
        <v>1</v>
      </c>
    </row>
    <row r="2613" spans="1:22">
      <c r="A2613" s="3">
        <v>2609</v>
      </c>
      <c r="B2613" s="3" t="s">
        <v>5646</v>
      </c>
      <c r="C2613" s="3" t="s">
        <v>6025</v>
      </c>
      <c r="D2613" s="3" t="s">
        <v>6001</v>
      </c>
      <c r="E2613" s="3" t="s">
        <v>6212</v>
      </c>
      <c r="F2613" s="3" t="s">
        <v>6834</v>
      </c>
      <c r="G2613" s="3" t="s">
        <v>4210</v>
      </c>
      <c r="H2613" s="3" t="s">
        <v>1992</v>
      </c>
      <c r="I2613" s="3" t="s">
        <v>6836</v>
      </c>
      <c r="J2613" s="8" t="s">
        <v>9300</v>
      </c>
      <c r="L2613" s="3" t="s">
        <v>198</v>
      </c>
      <c r="M2613" s="3">
        <v>2</v>
      </c>
      <c r="N2613" s="4" t="s">
        <v>5649</v>
      </c>
      <c r="O2613" s="4">
        <v>137</v>
      </c>
      <c r="P2613" s="11" t="s">
        <v>9717</v>
      </c>
      <c r="Q2613" s="11" t="s">
        <v>5649</v>
      </c>
      <c r="S2613" s="4" t="b">
        <f>ISNUMBER(MATCH(Q2613,T:T,0))</f>
        <v>1</v>
      </c>
      <c r="T2613" s="4" t="s">
        <v>12283</v>
      </c>
      <c r="U2613" s="4" t="str">
        <f t="shared" si="118"/>
        <v>願</v>
      </c>
    </row>
    <row r="2614" spans="1:22">
      <c r="A2614" s="3">
        <v>2610</v>
      </c>
      <c r="B2614" s="3" t="s">
        <v>1993</v>
      </c>
      <c r="C2614" s="3" t="s">
        <v>6067</v>
      </c>
      <c r="D2614" s="3" t="s">
        <v>5990</v>
      </c>
      <c r="E2614" s="3" t="s">
        <v>6212</v>
      </c>
      <c r="F2614" s="3" t="s">
        <v>6869</v>
      </c>
      <c r="G2614" s="3" t="s">
        <v>4210</v>
      </c>
      <c r="H2614" s="3" t="s">
        <v>1994</v>
      </c>
      <c r="I2614" s="3" t="s">
        <v>3079</v>
      </c>
      <c r="J2614" s="5" t="s">
        <v>9301</v>
      </c>
      <c r="L2614" s="3" t="s">
        <v>210</v>
      </c>
      <c r="M2614" s="3">
        <v>4</v>
      </c>
      <c r="N2614" s="4" t="s">
        <v>9665</v>
      </c>
      <c r="O2614" s="4">
        <v>138</v>
      </c>
      <c r="P2614" s="11" t="s">
        <v>9870</v>
      </c>
      <c r="Q2614" s="11" t="s">
        <v>10594</v>
      </c>
      <c r="S2614" s="4" t="b">
        <f>ISNUMBER(MATCH(Q2614,T:T,0))</f>
        <v>1</v>
      </c>
      <c r="T2614" s="4" t="s">
        <v>9665</v>
      </c>
      <c r="U2614" s="4" t="str">
        <f t="shared" si="118"/>
        <v>困</v>
      </c>
    </row>
    <row r="2615" spans="1:22">
      <c r="A2615" s="3">
        <v>2611</v>
      </c>
      <c r="B2615" s="3" t="s">
        <v>1993</v>
      </c>
      <c r="C2615" s="3" t="s">
        <v>5989</v>
      </c>
      <c r="D2615" s="3" t="s">
        <v>5990</v>
      </c>
      <c r="E2615" s="3" t="s">
        <v>6212</v>
      </c>
      <c r="F2615" s="3" t="s">
        <v>6869</v>
      </c>
      <c r="G2615" s="3" t="s">
        <v>4210</v>
      </c>
      <c r="H2615" s="3" t="s">
        <v>1995</v>
      </c>
      <c r="I2615" s="3" t="s">
        <v>3079</v>
      </c>
      <c r="J2615" s="5" t="s">
        <v>1996</v>
      </c>
      <c r="L2615" s="3" t="s">
        <v>228</v>
      </c>
      <c r="M2615" s="3">
        <v>3</v>
      </c>
      <c r="N2615" s="4" t="s">
        <v>9665</v>
      </c>
      <c r="O2615" s="4">
        <v>138</v>
      </c>
      <c r="P2615" s="11" t="s">
        <v>9742</v>
      </c>
      <c r="Q2615" s="11" t="s">
        <v>10594</v>
      </c>
      <c r="S2615" s="4" t="b">
        <f>ISNUMBER(MATCH(Q2615,T:T,0))</f>
        <v>1</v>
      </c>
      <c r="T2615" s="4" t="s">
        <v>12284</v>
      </c>
      <c r="U2615" s="4" t="str">
        <f t="shared" si="118"/>
        <v>困</v>
      </c>
    </row>
    <row r="2616" spans="1:22">
      <c r="A2616" s="3">
        <v>2612</v>
      </c>
      <c r="B2616" s="3" t="s">
        <v>1993</v>
      </c>
      <c r="C2616" s="3" t="s">
        <v>6017</v>
      </c>
      <c r="D2616" s="3" t="s">
        <v>5990</v>
      </c>
      <c r="E2616" s="3" t="s">
        <v>6212</v>
      </c>
      <c r="F2616" s="3" t="s">
        <v>6869</v>
      </c>
      <c r="G2616" s="3" t="s">
        <v>4210</v>
      </c>
      <c r="H2616" s="3" t="s">
        <v>1997</v>
      </c>
      <c r="I2616" s="3" t="s">
        <v>3079</v>
      </c>
      <c r="J2616" s="5" t="s">
        <v>1998</v>
      </c>
      <c r="L2616" s="3" t="s">
        <v>1999</v>
      </c>
      <c r="M2616" s="3">
        <v>6</v>
      </c>
      <c r="N2616" s="4" t="s">
        <v>9665</v>
      </c>
      <c r="O2616" s="4">
        <v>138</v>
      </c>
      <c r="P2616" s="11" t="s">
        <v>9741</v>
      </c>
      <c r="Q2616" s="11" t="s">
        <v>10594</v>
      </c>
      <c r="S2616" s="4" t="b">
        <f>ISNUMBER(MATCH(Q2616,T:T,0))</f>
        <v>1</v>
      </c>
      <c r="T2616" s="4" t="s">
        <v>12285</v>
      </c>
      <c r="U2616" s="4" t="str">
        <f t="shared" si="118"/>
        <v>困</v>
      </c>
    </row>
    <row r="2617" spans="1:22">
      <c r="A2617" s="3">
        <v>2613</v>
      </c>
      <c r="B2617" s="3" t="s">
        <v>1993</v>
      </c>
      <c r="C2617" s="3" t="s">
        <v>6038</v>
      </c>
      <c r="D2617" s="3" t="s">
        <v>5990</v>
      </c>
      <c r="E2617" s="3" t="s">
        <v>6212</v>
      </c>
      <c r="F2617" s="3" t="s">
        <v>6869</v>
      </c>
      <c r="G2617" s="3" t="s">
        <v>4210</v>
      </c>
      <c r="H2617" s="3" t="s">
        <v>2000</v>
      </c>
      <c r="I2617" s="3" t="s">
        <v>3079</v>
      </c>
      <c r="J2617" s="5" t="s">
        <v>2001</v>
      </c>
      <c r="L2617" s="3" t="s">
        <v>2002</v>
      </c>
      <c r="M2617" s="3">
        <v>4</v>
      </c>
      <c r="N2617" s="4" t="s">
        <v>9665</v>
      </c>
      <c r="O2617" s="4">
        <v>138</v>
      </c>
      <c r="P2617" s="11" t="s">
        <v>9728</v>
      </c>
      <c r="Q2617" s="11" t="s">
        <v>10595</v>
      </c>
      <c r="S2617" s="4" t="b">
        <f>ISNUMBER(MATCH(Q2617,T:T,0))</f>
        <v>1</v>
      </c>
      <c r="T2617" s="4" t="s">
        <v>10594</v>
      </c>
      <c r="U2617" s="4" t="str">
        <f t="shared" si="118"/>
        <v>悶</v>
      </c>
    </row>
    <row r="2618" spans="1:22">
      <c r="A2618" s="3">
        <v>2614</v>
      </c>
      <c r="B2618" s="3" t="s">
        <v>1993</v>
      </c>
      <c r="C2618" s="3" t="s">
        <v>6102</v>
      </c>
      <c r="D2618" s="3" t="s">
        <v>5990</v>
      </c>
      <c r="E2618" s="3" t="s">
        <v>6212</v>
      </c>
      <c r="F2618" s="3" t="s">
        <v>6869</v>
      </c>
      <c r="G2618" s="3" t="s">
        <v>4210</v>
      </c>
      <c r="H2618" s="3" t="s">
        <v>2003</v>
      </c>
      <c r="I2618" s="3" t="s">
        <v>3079</v>
      </c>
      <c r="J2618" s="5" t="s">
        <v>9302</v>
      </c>
      <c r="L2618" s="3" t="s">
        <v>2004</v>
      </c>
      <c r="M2618" s="3">
        <v>4</v>
      </c>
      <c r="N2618" s="4" t="s">
        <v>9665</v>
      </c>
      <c r="O2618" s="4">
        <v>138</v>
      </c>
      <c r="P2618" s="11" t="s">
        <v>9744</v>
      </c>
      <c r="Q2618" s="11" t="s">
        <v>10594</v>
      </c>
      <c r="S2618" s="4" t="b">
        <f>ISNUMBER(MATCH(Q2618,T:T,0))</f>
        <v>1</v>
      </c>
      <c r="T2618" s="4" t="s">
        <v>12286</v>
      </c>
      <c r="U2618" s="4" t="str">
        <f t="shared" si="118"/>
        <v>困</v>
      </c>
    </row>
    <row r="2619" spans="1:22">
      <c r="A2619" s="3">
        <v>2615</v>
      </c>
      <c r="B2619" s="3" t="s">
        <v>1993</v>
      </c>
      <c r="C2619" s="3" t="s">
        <v>6072</v>
      </c>
      <c r="D2619" s="3" t="s">
        <v>5990</v>
      </c>
      <c r="E2619" s="3" t="s">
        <v>6212</v>
      </c>
      <c r="F2619" s="3" t="s">
        <v>6869</v>
      </c>
      <c r="G2619" s="3" t="s">
        <v>4210</v>
      </c>
      <c r="H2619" s="3" t="s">
        <v>2005</v>
      </c>
      <c r="I2619" s="3" t="s">
        <v>3079</v>
      </c>
      <c r="J2619" s="8" t="s">
        <v>9303</v>
      </c>
      <c r="L2619" s="3" t="s">
        <v>5624</v>
      </c>
      <c r="M2619" s="3">
        <v>2</v>
      </c>
      <c r="N2619" s="4" t="s">
        <v>9665</v>
      </c>
      <c r="O2619" s="4">
        <v>138</v>
      </c>
      <c r="P2619" s="11" t="s">
        <v>9734</v>
      </c>
      <c r="Q2619" s="11" t="s">
        <v>10594</v>
      </c>
      <c r="S2619" s="4" t="b">
        <f>ISNUMBER(MATCH(Q2619,T:T,0))</f>
        <v>1</v>
      </c>
      <c r="T2619" s="4" t="s">
        <v>12287</v>
      </c>
      <c r="U2619" s="4" t="str">
        <f t="shared" si="118"/>
        <v>困</v>
      </c>
    </row>
    <row r="2620" spans="1:22">
      <c r="A2620" s="3">
        <v>2616</v>
      </c>
      <c r="B2620" s="3" t="s">
        <v>1993</v>
      </c>
      <c r="C2620" s="3" t="s">
        <v>6035</v>
      </c>
      <c r="D2620" s="3" t="s">
        <v>5990</v>
      </c>
      <c r="E2620" s="3" t="s">
        <v>6212</v>
      </c>
      <c r="F2620" s="3" t="s">
        <v>6869</v>
      </c>
      <c r="G2620" s="3" t="s">
        <v>4210</v>
      </c>
      <c r="H2620" s="3" t="s">
        <v>2006</v>
      </c>
      <c r="I2620" s="3" t="s">
        <v>3079</v>
      </c>
      <c r="J2620" s="5" t="s">
        <v>2007</v>
      </c>
      <c r="L2620" s="3" t="s">
        <v>2008</v>
      </c>
      <c r="M2620" s="3">
        <v>2</v>
      </c>
      <c r="N2620" s="4" t="s">
        <v>9665</v>
      </c>
      <c r="O2620" s="4">
        <v>138</v>
      </c>
      <c r="P2620" s="11" t="s">
        <v>9719</v>
      </c>
      <c r="Q2620" s="11" t="s">
        <v>10594</v>
      </c>
      <c r="S2620" s="4" t="b">
        <f>ISNUMBER(MATCH(Q2620,T:T,0))</f>
        <v>1</v>
      </c>
      <c r="T2620" s="4" t="s">
        <v>10595</v>
      </c>
      <c r="U2620" s="4" t="str">
        <f t="shared" si="118"/>
        <v>困</v>
      </c>
    </row>
    <row r="2621" spans="1:22">
      <c r="A2621" s="3">
        <v>2617</v>
      </c>
      <c r="B2621" s="3" t="s">
        <v>1993</v>
      </c>
      <c r="C2621" s="3" t="s">
        <v>6069</v>
      </c>
      <c r="D2621" s="3" t="s">
        <v>5990</v>
      </c>
      <c r="E2621" s="3" t="s">
        <v>6212</v>
      </c>
      <c r="F2621" s="3" t="s">
        <v>6869</v>
      </c>
      <c r="G2621" s="3" t="s">
        <v>4210</v>
      </c>
      <c r="H2621" s="3" t="s">
        <v>2009</v>
      </c>
      <c r="I2621" s="3" t="s">
        <v>3079</v>
      </c>
      <c r="J2621" s="5" t="s">
        <v>9304</v>
      </c>
      <c r="L2621" s="3" t="s">
        <v>231</v>
      </c>
      <c r="M2621" s="3">
        <v>5</v>
      </c>
      <c r="N2621" s="4" t="s">
        <v>9665</v>
      </c>
      <c r="O2621" s="4">
        <v>138</v>
      </c>
      <c r="P2621" s="11" t="s">
        <v>9733</v>
      </c>
      <c r="Q2621" s="11" t="s">
        <v>10595</v>
      </c>
      <c r="S2621" s="4" t="b">
        <f>ISNUMBER(MATCH(Q2621,T:T,0))</f>
        <v>1</v>
      </c>
      <c r="T2621" s="4" t="s">
        <v>12288</v>
      </c>
      <c r="U2621" s="4" t="str">
        <f t="shared" si="118"/>
        <v>悶</v>
      </c>
    </row>
    <row r="2622" spans="1:22">
      <c r="A2622" s="3">
        <v>2618</v>
      </c>
      <c r="B2622" s="3" t="s">
        <v>1993</v>
      </c>
      <c r="C2622" s="3" t="s">
        <v>6025</v>
      </c>
      <c r="D2622" s="3" t="s">
        <v>5990</v>
      </c>
      <c r="E2622" s="3" t="s">
        <v>6212</v>
      </c>
      <c r="F2622" s="3" t="s">
        <v>6869</v>
      </c>
      <c r="G2622" s="3" t="s">
        <v>4210</v>
      </c>
      <c r="H2622" s="3" t="s">
        <v>2010</v>
      </c>
      <c r="I2622" s="3" t="s">
        <v>3079</v>
      </c>
      <c r="J2622" s="5" t="s">
        <v>9305</v>
      </c>
      <c r="L2622" s="3" t="s">
        <v>2011</v>
      </c>
      <c r="M2622" s="3">
        <v>7</v>
      </c>
      <c r="N2622" s="4" t="s">
        <v>9665</v>
      </c>
      <c r="O2622" s="4">
        <v>138</v>
      </c>
      <c r="P2622" s="11" t="s">
        <v>9729</v>
      </c>
      <c r="Q2622" s="11" t="s">
        <v>10594</v>
      </c>
      <c r="S2622" s="4" t="b">
        <f>ISNUMBER(MATCH(Q2622,T:T,0))</f>
        <v>1</v>
      </c>
      <c r="T2622" s="4" t="s">
        <v>12289</v>
      </c>
      <c r="U2622" s="4" t="str">
        <f t="shared" si="118"/>
        <v>困</v>
      </c>
    </row>
    <row r="2623" spans="1:22">
      <c r="A2623" s="3">
        <v>2619</v>
      </c>
      <c r="B2623" s="3" t="s">
        <v>1993</v>
      </c>
      <c r="C2623" s="3" t="s">
        <v>6053</v>
      </c>
      <c r="D2623" s="3" t="s">
        <v>5990</v>
      </c>
      <c r="E2623" s="3" t="s">
        <v>6212</v>
      </c>
      <c r="F2623" s="3" t="s">
        <v>6869</v>
      </c>
      <c r="G2623" s="3" t="s">
        <v>4210</v>
      </c>
      <c r="H2623" s="3" t="s">
        <v>2012</v>
      </c>
      <c r="I2623" s="3" t="s">
        <v>3079</v>
      </c>
      <c r="J2623" s="5" t="s">
        <v>2013</v>
      </c>
      <c r="L2623" s="3" t="s">
        <v>2014</v>
      </c>
      <c r="M2623" s="3">
        <v>3</v>
      </c>
      <c r="N2623" s="4" t="s">
        <v>9665</v>
      </c>
      <c r="O2623" s="4">
        <v>138</v>
      </c>
      <c r="P2623" s="11" t="s">
        <v>9884</v>
      </c>
      <c r="Q2623" s="11" t="s">
        <v>10595</v>
      </c>
      <c r="S2623" s="4" t="b">
        <f>ISNUMBER(MATCH(Q2623,T:T,0))</f>
        <v>1</v>
      </c>
      <c r="T2623" s="4" t="s">
        <v>12290</v>
      </c>
      <c r="U2623" s="4" t="str">
        <f t="shared" si="118"/>
        <v>悶</v>
      </c>
    </row>
    <row r="2624" spans="1:22">
      <c r="A2624" s="3">
        <v>2620</v>
      </c>
      <c r="B2624" s="3" t="s">
        <v>1993</v>
      </c>
      <c r="C2624" s="3" t="s">
        <v>5997</v>
      </c>
      <c r="D2624" s="3" t="s">
        <v>5990</v>
      </c>
      <c r="E2624" s="3" t="s">
        <v>6212</v>
      </c>
      <c r="F2624" s="3" t="s">
        <v>6869</v>
      </c>
      <c r="G2624" s="3" t="s">
        <v>4210</v>
      </c>
      <c r="H2624" s="3" t="s">
        <v>2015</v>
      </c>
      <c r="I2624" s="3" t="s">
        <v>3079</v>
      </c>
      <c r="J2624" s="5" t="s">
        <v>2016</v>
      </c>
      <c r="L2624" s="3" t="s">
        <v>228</v>
      </c>
      <c r="M2624" s="3">
        <v>5</v>
      </c>
      <c r="N2624" s="4" t="s">
        <v>9665</v>
      </c>
      <c r="O2624" s="4">
        <v>138</v>
      </c>
      <c r="P2624" s="11" t="s">
        <v>9706</v>
      </c>
      <c r="Q2624" s="11" t="s">
        <v>10594</v>
      </c>
      <c r="S2624" s="4" t="b">
        <f>ISNUMBER(MATCH(Q2624,T:T,0))</f>
        <v>1</v>
      </c>
      <c r="T2624" s="4" t="s">
        <v>12291</v>
      </c>
      <c r="U2624" s="4" t="str">
        <f t="shared" si="118"/>
        <v>困</v>
      </c>
    </row>
    <row r="2625" spans="1:22">
      <c r="A2625" s="3">
        <v>2621</v>
      </c>
      <c r="B2625" s="3" t="s">
        <v>1993</v>
      </c>
      <c r="C2625" s="3" t="s">
        <v>6076</v>
      </c>
      <c r="D2625" s="3" t="s">
        <v>5990</v>
      </c>
      <c r="E2625" s="3" t="s">
        <v>6212</v>
      </c>
      <c r="F2625" s="3" t="s">
        <v>6869</v>
      </c>
      <c r="G2625" s="3" t="s">
        <v>4210</v>
      </c>
      <c r="H2625" s="3" t="s">
        <v>2017</v>
      </c>
      <c r="I2625" s="3" t="s">
        <v>3079</v>
      </c>
      <c r="J2625" s="5" t="s">
        <v>2018</v>
      </c>
      <c r="L2625" s="3" t="s">
        <v>2019</v>
      </c>
      <c r="M2625" s="3">
        <v>2</v>
      </c>
      <c r="N2625" s="4" t="s">
        <v>9665</v>
      </c>
      <c r="O2625" s="4">
        <v>138</v>
      </c>
      <c r="P2625" s="11" t="s">
        <v>9735</v>
      </c>
      <c r="Q2625" s="11" t="s">
        <v>10594</v>
      </c>
      <c r="S2625" s="4" t="b">
        <f>ISNUMBER(MATCH(Q2625,T:T,0))</f>
        <v>1</v>
      </c>
      <c r="T2625" s="4" t="s">
        <v>10596</v>
      </c>
      <c r="U2625" s="4" t="str">
        <f t="shared" si="118"/>
        <v>困</v>
      </c>
    </row>
    <row r="2626" spans="1:22">
      <c r="A2626" s="3">
        <v>2622</v>
      </c>
      <c r="B2626" s="3" t="s">
        <v>1993</v>
      </c>
      <c r="C2626" s="3" t="s">
        <v>6045</v>
      </c>
      <c r="D2626" s="3" t="s">
        <v>5990</v>
      </c>
      <c r="E2626" s="3" t="s">
        <v>6212</v>
      </c>
      <c r="F2626" s="3" t="s">
        <v>6869</v>
      </c>
      <c r="G2626" s="3" t="s">
        <v>4210</v>
      </c>
      <c r="H2626" s="3" t="s">
        <v>2020</v>
      </c>
      <c r="I2626" s="3" t="s">
        <v>3079</v>
      </c>
      <c r="J2626" s="5" t="s">
        <v>2021</v>
      </c>
      <c r="L2626" s="3" t="s">
        <v>240</v>
      </c>
      <c r="M2626" s="3">
        <v>2</v>
      </c>
      <c r="N2626" s="4" t="s">
        <v>9665</v>
      </c>
      <c r="O2626" s="4">
        <v>138</v>
      </c>
      <c r="P2626" s="11" t="s">
        <v>9965</v>
      </c>
      <c r="Q2626" s="11" t="s">
        <v>10595</v>
      </c>
      <c r="S2626" s="4" t="b">
        <f>ISNUMBER(MATCH(Q2626,T:T,0))</f>
        <v>1</v>
      </c>
      <c r="T2626" s="4" t="s">
        <v>12292</v>
      </c>
      <c r="U2626" s="4" t="str">
        <f t="shared" si="118"/>
        <v>悶</v>
      </c>
    </row>
    <row r="2627" spans="1:22">
      <c r="A2627" s="3">
        <v>2623</v>
      </c>
      <c r="B2627" s="3" t="s">
        <v>1993</v>
      </c>
      <c r="C2627" s="3" t="s">
        <v>6092</v>
      </c>
      <c r="D2627" s="3" t="s">
        <v>5990</v>
      </c>
      <c r="E2627" s="3" t="s">
        <v>6212</v>
      </c>
      <c r="F2627" s="3" t="s">
        <v>6869</v>
      </c>
      <c r="G2627" s="3" t="s">
        <v>4210</v>
      </c>
      <c r="H2627" s="3" t="s">
        <v>2022</v>
      </c>
      <c r="I2627" s="3" t="s">
        <v>3079</v>
      </c>
      <c r="J2627" s="5" t="s">
        <v>2023</v>
      </c>
      <c r="L2627" s="3" t="s">
        <v>5624</v>
      </c>
      <c r="M2627" s="3">
        <v>2</v>
      </c>
      <c r="N2627" s="4" t="s">
        <v>9665</v>
      </c>
      <c r="O2627" s="4">
        <v>138</v>
      </c>
      <c r="P2627" s="11" t="s">
        <v>9740</v>
      </c>
      <c r="Q2627" s="11" t="s">
        <v>10594</v>
      </c>
      <c r="S2627" s="4" t="b">
        <f>ISNUMBER(MATCH(Q2627,T:T,0))</f>
        <v>1</v>
      </c>
      <c r="T2627" s="4" t="s">
        <v>12293</v>
      </c>
      <c r="U2627" s="4" t="str">
        <f t="shared" ref="U2627:U2690" si="120">IF(ISBLANK(R2627),Q2627,R2627)</f>
        <v>困</v>
      </c>
    </row>
    <row r="2628" spans="1:22">
      <c r="A2628" s="3">
        <v>2624</v>
      </c>
      <c r="B2628" s="3" t="s">
        <v>1993</v>
      </c>
      <c r="C2628" s="3" t="s">
        <v>6058</v>
      </c>
      <c r="D2628" s="3" t="s">
        <v>5990</v>
      </c>
      <c r="E2628" s="3" t="s">
        <v>6212</v>
      </c>
      <c r="F2628" s="3" t="s">
        <v>6869</v>
      </c>
      <c r="G2628" s="3" t="s">
        <v>4210</v>
      </c>
      <c r="H2628" s="3" t="s">
        <v>2024</v>
      </c>
      <c r="I2628" s="3" t="s">
        <v>3079</v>
      </c>
      <c r="J2628" s="5" t="s">
        <v>2025</v>
      </c>
      <c r="L2628" s="3" t="s">
        <v>2026</v>
      </c>
      <c r="M2628" s="3">
        <v>3</v>
      </c>
      <c r="N2628" s="4" t="s">
        <v>9665</v>
      </c>
      <c r="O2628" s="4">
        <v>138</v>
      </c>
      <c r="P2628" s="11" t="s">
        <v>9730</v>
      </c>
      <c r="Q2628" s="11" t="s">
        <v>10594</v>
      </c>
      <c r="S2628" s="4" t="b">
        <f>ISNUMBER(MATCH(Q2628,T:T,0))</f>
        <v>1</v>
      </c>
      <c r="T2628" s="4" t="s">
        <v>11187</v>
      </c>
      <c r="U2628" s="4" t="str">
        <f t="shared" si="120"/>
        <v>困</v>
      </c>
    </row>
    <row r="2629" spans="1:22">
      <c r="A2629" s="3">
        <v>2625</v>
      </c>
      <c r="B2629" s="3" t="s">
        <v>1993</v>
      </c>
      <c r="C2629" s="3" t="s">
        <v>6049</v>
      </c>
      <c r="D2629" s="3" t="s">
        <v>5990</v>
      </c>
      <c r="E2629" s="3" t="s">
        <v>6212</v>
      </c>
      <c r="F2629" s="3" t="s">
        <v>6869</v>
      </c>
      <c r="G2629" s="3" t="s">
        <v>4210</v>
      </c>
      <c r="H2629" s="3" t="s">
        <v>2027</v>
      </c>
      <c r="I2629" s="3" t="s">
        <v>3079</v>
      </c>
      <c r="J2629" s="5" t="s">
        <v>2028</v>
      </c>
      <c r="L2629" s="3" t="s">
        <v>240</v>
      </c>
      <c r="M2629" s="3">
        <v>1</v>
      </c>
      <c r="N2629" s="4" t="s">
        <v>9665</v>
      </c>
      <c r="O2629" s="4">
        <v>138</v>
      </c>
      <c r="P2629" s="11" t="s">
        <v>9842</v>
      </c>
      <c r="Q2629" s="11" t="s">
        <v>10595</v>
      </c>
      <c r="S2629" s="4" t="b">
        <f>ISNUMBER(MATCH(Q2629,T:T,0))</f>
        <v>1</v>
      </c>
      <c r="T2629" s="4" t="s">
        <v>2028</v>
      </c>
      <c r="U2629" s="4" t="str">
        <f t="shared" si="120"/>
        <v>悶</v>
      </c>
    </row>
    <row r="2630" spans="1:22">
      <c r="A2630" s="3">
        <v>2626</v>
      </c>
      <c r="B2630" s="3" t="s">
        <v>1993</v>
      </c>
      <c r="C2630" s="3" t="s">
        <v>6089</v>
      </c>
      <c r="D2630" s="3" t="s">
        <v>5990</v>
      </c>
      <c r="E2630" s="3" t="s">
        <v>6212</v>
      </c>
      <c r="F2630" s="3" t="s">
        <v>6869</v>
      </c>
      <c r="G2630" s="3" t="s">
        <v>4210</v>
      </c>
      <c r="H2630" s="3" t="s">
        <v>2029</v>
      </c>
      <c r="I2630" s="3" t="s">
        <v>3079</v>
      </c>
      <c r="J2630" s="5" t="s">
        <v>2030</v>
      </c>
      <c r="L2630" s="3" t="s">
        <v>210</v>
      </c>
      <c r="M2630" s="3">
        <v>1</v>
      </c>
      <c r="N2630" s="4" t="s">
        <v>9665</v>
      </c>
      <c r="O2630" s="4">
        <v>138</v>
      </c>
      <c r="P2630" s="11" t="s">
        <v>9739</v>
      </c>
      <c r="Q2630" s="11" t="s">
        <v>10595</v>
      </c>
      <c r="S2630" s="4" t="b">
        <f>ISNUMBER(MATCH(Q2630,T:T,0))</f>
        <v>1</v>
      </c>
      <c r="T2630" s="4" t="s">
        <v>2030</v>
      </c>
      <c r="U2630" s="4" t="str">
        <f t="shared" si="120"/>
        <v>悶</v>
      </c>
    </row>
    <row r="2631" spans="1:22">
      <c r="A2631" s="3">
        <v>2627</v>
      </c>
      <c r="B2631" s="3" t="s">
        <v>1993</v>
      </c>
      <c r="C2631" s="3" t="s">
        <v>6083</v>
      </c>
      <c r="D2631" s="3" t="s">
        <v>5990</v>
      </c>
      <c r="E2631" s="3" t="s">
        <v>6212</v>
      </c>
      <c r="F2631" s="3" t="s">
        <v>6869</v>
      </c>
      <c r="G2631" s="3" t="s">
        <v>4210</v>
      </c>
      <c r="H2631" s="3" t="s">
        <v>2031</v>
      </c>
      <c r="I2631" s="3" t="s">
        <v>3079</v>
      </c>
      <c r="J2631" s="5" t="s">
        <v>2032</v>
      </c>
      <c r="L2631" s="3" t="s">
        <v>231</v>
      </c>
      <c r="M2631" s="3">
        <v>3</v>
      </c>
      <c r="N2631" s="4" t="s">
        <v>9665</v>
      </c>
      <c r="O2631" s="4">
        <v>138</v>
      </c>
      <c r="P2631" s="11" t="s">
        <v>9737</v>
      </c>
      <c r="Q2631" s="11" t="s">
        <v>10596</v>
      </c>
      <c r="S2631" s="4" t="b">
        <f>ISNUMBER(MATCH(Q2631,T:T,0))</f>
        <v>1</v>
      </c>
      <c r="T2631" s="4" t="s">
        <v>12294</v>
      </c>
      <c r="U2631" s="4" t="str">
        <f t="shared" si="120"/>
        <v>寸</v>
      </c>
    </row>
    <row r="2632" spans="1:22">
      <c r="A2632" s="3">
        <v>2628</v>
      </c>
      <c r="B2632" s="3" t="s">
        <v>2033</v>
      </c>
      <c r="C2632" s="3" t="s">
        <v>6067</v>
      </c>
      <c r="D2632" s="3" t="s">
        <v>5990</v>
      </c>
      <c r="E2632" s="3" t="s">
        <v>5991</v>
      </c>
      <c r="F2632" s="3" t="s">
        <v>6914</v>
      </c>
      <c r="G2632" s="3" t="s">
        <v>4210</v>
      </c>
      <c r="H2632" s="3" t="s">
        <v>2034</v>
      </c>
      <c r="I2632" s="3" t="s">
        <v>3079</v>
      </c>
      <c r="J2632" s="5" t="s">
        <v>2035</v>
      </c>
      <c r="L2632" s="3" t="s">
        <v>252</v>
      </c>
      <c r="M2632" s="3">
        <v>1</v>
      </c>
      <c r="N2632" s="4" t="s">
        <v>2035</v>
      </c>
      <c r="O2632" s="4">
        <v>139</v>
      </c>
      <c r="P2632" s="11" t="s">
        <v>9870</v>
      </c>
      <c r="Q2632" s="11" t="s">
        <v>10597</v>
      </c>
      <c r="S2632" s="4" t="b">
        <f>ISNUMBER(MATCH(Q2632,T:T,0))</f>
        <v>1</v>
      </c>
      <c r="T2632" s="4" t="s">
        <v>2035</v>
      </c>
      <c r="U2632" s="4" t="str">
        <f t="shared" si="120"/>
        <v>艮</v>
      </c>
    </row>
    <row r="2633" spans="1:22">
      <c r="A2633" s="3">
        <v>2629</v>
      </c>
      <c r="B2633" s="3" t="s">
        <v>2033</v>
      </c>
      <c r="C2633" s="3" t="s">
        <v>6025</v>
      </c>
      <c r="D2633" s="3" t="s">
        <v>5990</v>
      </c>
      <c r="E2633" s="3" t="s">
        <v>5991</v>
      </c>
      <c r="F2633" s="3" t="s">
        <v>6914</v>
      </c>
      <c r="G2633" s="3" t="s">
        <v>4210</v>
      </c>
      <c r="H2633" s="3" t="s">
        <v>2036</v>
      </c>
      <c r="I2633" s="3" t="s">
        <v>3079</v>
      </c>
      <c r="J2633" s="5" t="s">
        <v>9306</v>
      </c>
      <c r="L2633" s="3" t="s">
        <v>2037</v>
      </c>
      <c r="M2633" s="3">
        <v>4</v>
      </c>
      <c r="N2633" s="4" t="s">
        <v>2035</v>
      </c>
      <c r="O2633" s="4">
        <v>139</v>
      </c>
      <c r="P2633" s="11" t="s">
        <v>9729</v>
      </c>
      <c r="Q2633" s="11" t="s">
        <v>2035</v>
      </c>
      <c r="S2633" s="4" t="b">
        <f>ISNUMBER(MATCH(Q2633,T:T,0))</f>
        <v>1</v>
      </c>
      <c r="T2633" s="4" t="s">
        <v>10597</v>
      </c>
      <c r="U2633" s="4" t="str">
        <f t="shared" si="120"/>
        <v>恨</v>
      </c>
    </row>
    <row r="2634" spans="1:22">
      <c r="A2634" s="3">
        <v>2630</v>
      </c>
      <c r="B2634" s="3" t="s">
        <v>2033</v>
      </c>
      <c r="C2634" s="3" t="s">
        <v>6092</v>
      </c>
      <c r="D2634" s="3" t="s">
        <v>5990</v>
      </c>
      <c r="E2634" s="3" t="s">
        <v>5991</v>
      </c>
      <c r="F2634" s="3" t="s">
        <v>6914</v>
      </c>
      <c r="G2634" s="3" t="s">
        <v>4210</v>
      </c>
      <c r="H2634" s="3" t="s">
        <v>2038</v>
      </c>
      <c r="I2634" s="3" t="s">
        <v>3079</v>
      </c>
      <c r="J2634" s="5" t="s">
        <v>2039</v>
      </c>
      <c r="L2634" s="3" t="s">
        <v>2040</v>
      </c>
      <c r="M2634" s="3">
        <v>1</v>
      </c>
      <c r="N2634" s="4" t="s">
        <v>2035</v>
      </c>
      <c r="O2634" s="4">
        <v>139</v>
      </c>
      <c r="P2634" s="11" t="s">
        <v>9740</v>
      </c>
      <c r="Q2634" s="11" t="s">
        <v>2035</v>
      </c>
      <c r="S2634" s="4" t="b">
        <f>ISNUMBER(MATCH(Q2634,T:T,0))</f>
        <v>1</v>
      </c>
      <c r="T2634" s="4" t="s">
        <v>2039</v>
      </c>
      <c r="U2634" s="4" t="str">
        <f t="shared" si="120"/>
        <v>恨</v>
      </c>
    </row>
    <row r="2635" spans="1:22">
      <c r="A2635" s="3">
        <v>2631</v>
      </c>
      <c r="B2635" s="3" t="s">
        <v>2033</v>
      </c>
      <c r="C2635" s="3" t="s">
        <v>6072</v>
      </c>
      <c r="D2635" s="3" t="s">
        <v>5990</v>
      </c>
      <c r="E2635" s="3" t="s">
        <v>5991</v>
      </c>
      <c r="F2635" s="3" t="s">
        <v>6914</v>
      </c>
      <c r="G2635" s="3" t="s">
        <v>4210</v>
      </c>
      <c r="H2635" s="3" t="s">
        <v>2041</v>
      </c>
      <c r="I2635" s="3" t="s">
        <v>3079</v>
      </c>
      <c r="J2635" s="5" t="s">
        <v>2042</v>
      </c>
      <c r="L2635" s="3" t="s">
        <v>2040</v>
      </c>
      <c r="M2635" s="3">
        <v>1</v>
      </c>
      <c r="N2635" s="4" t="s">
        <v>2035</v>
      </c>
      <c r="O2635" s="4">
        <v>139</v>
      </c>
      <c r="P2635" s="11" t="s">
        <v>9734</v>
      </c>
      <c r="Q2635" s="11" t="s">
        <v>2035</v>
      </c>
      <c r="S2635" s="4" t="b">
        <f>ISNUMBER(MATCH(Q2635,T:T,0))</f>
        <v>1</v>
      </c>
      <c r="T2635" s="4" t="s">
        <v>2042</v>
      </c>
      <c r="U2635" s="4" t="str">
        <f t="shared" si="120"/>
        <v>恨</v>
      </c>
    </row>
    <row r="2636" spans="1:22" ht="39">
      <c r="A2636" s="3">
        <v>2632</v>
      </c>
      <c r="B2636" s="3" t="s">
        <v>2043</v>
      </c>
      <c r="C2636" s="3" t="s">
        <v>6067</v>
      </c>
      <c r="D2636" s="3" t="s">
        <v>5990</v>
      </c>
      <c r="E2636" s="3" t="s">
        <v>5991</v>
      </c>
      <c r="F2636" s="3" t="s">
        <v>6926</v>
      </c>
      <c r="G2636" s="3" t="s">
        <v>4210</v>
      </c>
      <c r="H2636" s="3" t="s">
        <v>2044</v>
      </c>
      <c r="I2636" s="3" t="s">
        <v>6836</v>
      </c>
      <c r="J2636" s="5" t="s">
        <v>9307</v>
      </c>
      <c r="L2636" s="3" t="s">
        <v>260</v>
      </c>
      <c r="M2636" s="3">
        <v>25</v>
      </c>
      <c r="N2636" s="4" t="s">
        <v>2045</v>
      </c>
      <c r="O2636" s="4">
        <v>140</v>
      </c>
      <c r="P2636" s="11" t="s">
        <v>5053</v>
      </c>
      <c r="Q2636" s="11" t="s">
        <v>10598</v>
      </c>
      <c r="R2636" s="4" t="s">
        <v>13144</v>
      </c>
      <c r="S2636" s="4" t="b">
        <f>ISNUMBER(MATCH(Q2636,T:T,0))</f>
        <v>0</v>
      </c>
      <c r="T2636" s="4" t="s">
        <v>12295</v>
      </c>
      <c r="U2636" s="4" t="str">
        <f t="shared" si="120"/>
        <v>幹</v>
      </c>
      <c r="V2636" s="4" t="b">
        <f>ISNUMBER(MATCH(R2636,T:T,0))</f>
        <v>1</v>
      </c>
    </row>
    <row r="2637" spans="1:22">
      <c r="A2637" s="3">
        <v>2633</v>
      </c>
      <c r="B2637" s="3" t="s">
        <v>2043</v>
      </c>
      <c r="C2637" s="3" t="s">
        <v>6079</v>
      </c>
      <c r="D2637" s="3" t="s">
        <v>5990</v>
      </c>
      <c r="E2637" s="3" t="s">
        <v>5991</v>
      </c>
      <c r="F2637" s="3" t="s">
        <v>6926</v>
      </c>
      <c r="G2637" s="3" t="s">
        <v>4210</v>
      </c>
      <c r="H2637" s="3" t="s">
        <v>264</v>
      </c>
      <c r="I2637" s="3" t="s">
        <v>6836</v>
      </c>
      <c r="J2637" s="5" t="s">
        <v>2046</v>
      </c>
      <c r="L2637" s="3" t="s">
        <v>2047</v>
      </c>
      <c r="M2637" s="3">
        <v>6</v>
      </c>
      <c r="N2637" s="4" t="s">
        <v>2045</v>
      </c>
      <c r="O2637" s="4">
        <v>140</v>
      </c>
      <c r="P2637" s="11" t="s">
        <v>9736</v>
      </c>
      <c r="Q2637" s="11" t="s">
        <v>10300</v>
      </c>
      <c r="S2637" s="4" t="b">
        <f>ISNUMBER(MATCH(Q2637,T:T,0))</f>
        <v>1</v>
      </c>
      <c r="T2637" s="4" t="s">
        <v>12296</v>
      </c>
      <c r="U2637" s="4" t="str">
        <f t="shared" si="120"/>
        <v>旦</v>
      </c>
    </row>
    <row r="2638" spans="1:22">
      <c r="A2638" s="3">
        <v>2634</v>
      </c>
      <c r="B2638" s="3" t="s">
        <v>2043</v>
      </c>
      <c r="C2638" s="3" t="s">
        <v>6072</v>
      </c>
      <c r="D2638" s="3" t="s">
        <v>5990</v>
      </c>
      <c r="E2638" s="3" t="s">
        <v>5991</v>
      </c>
      <c r="F2638" s="3" t="s">
        <v>6926</v>
      </c>
      <c r="G2638" s="3" t="s">
        <v>4210</v>
      </c>
      <c r="H2638" s="3" t="s">
        <v>2048</v>
      </c>
      <c r="I2638" s="3" t="s">
        <v>6836</v>
      </c>
      <c r="J2638" s="5" t="s">
        <v>2049</v>
      </c>
      <c r="K2638" s="3" t="s">
        <v>2050</v>
      </c>
      <c r="L2638" s="3" t="s">
        <v>2051</v>
      </c>
      <c r="M2638" s="3">
        <v>7</v>
      </c>
      <c r="N2638" s="4" t="s">
        <v>2045</v>
      </c>
      <c r="O2638" s="4">
        <v>140</v>
      </c>
      <c r="P2638" s="11" t="s">
        <v>9734</v>
      </c>
      <c r="Q2638" s="11" t="s">
        <v>10598</v>
      </c>
      <c r="R2638" s="4" t="s">
        <v>13144</v>
      </c>
      <c r="S2638" s="4" t="b">
        <f>ISNUMBER(MATCH(Q2638,T:T,0))</f>
        <v>0</v>
      </c>
      <c r="T2638" s="4" t="s">
        <v>10599</v>
      </c>
      <c r="U2638" s="4" t="str">
        <f t="shared" si="120"/>
        <v>幹</v>
      </c>
      <c r="V2638" s="4" t="b">
        <f>ISNUMBER(MATCH(R2638,T:T,0))</f>
        <v>1</v>
      </c>
    </row>
    <row r="2639" spans="1:22">
      <c r="A2639" s="3">
        <v>2635</v>
      </c>
      <c r="B2639" s="3" t="s">
        <v>2043</v>
      </c>
      <c r="C2639" s="3" t="s">
        <v>5989</v>
      </c>
      <c r="D2639" s="3" t="s">
        <v>5990</v>
      </c>
      <c r="E2639" s="3" t="s">
        <v>5991</v>
      </c>
      <c r="F2639" s="3" t="s">
        <v>6926</v>
      </c>
      <c r="G2639" s="3" t="s">
        <v>4210</v>
      </c>
      <c r="H2639" s="3" t="s">
        <v>2052</v>
      </c>
      <c r="I2639" s="3" t="s">
        <v>6836</v>
      </c>
      <c r="J2639" s="5" t="s">
        <v>2053</v>
      </c>
      <c r="L2639" s="3" t="s">
        <v>271</v>
      </c>
      <c r="M2639" s="3">
        <v>8</v>
      </c>
      <c r="N2639" s="4" t="s">
        <v>2045</v>
      </c>
      <c r="O2639" s="4">
        <v>140</v>
      </c>
      <c r="P2639" s="11" t="s">
        <v>10052</v>
      </c>
      <c r="Q2639" s="11" t="s">
        <v>10599</v>
      </c>
      <c r="S2639" s="4" t="b">
        <f>ISNUMBER(MATCH(Q2639,T:T,0))</f>
        <v>1</v>
      </c>
      <c r="T2639" s="4" t="s">
        <v>10300</v>
      </c>
      <c r="U2639" s="4" t="str">
        <f t="shared" si="120"/>
        <v>按</v>
      </c>
    </row>
    <row r="2640" spans="1:22">
      <c r="A2640" s="3">
        <v>2636</v>
      </c>
      <c r="B2640" s="3" t="s">
        <v>2043</v>
      </c>
      <c r="C2640" s="3" t="s">
        <v>5997</v>
      </c>
      <c r="D2640" s="3" t="s">
        <v>5990</v>
      </c>
      <c r="E2640" s="3" t="s">
        <v>5991</v>
      </c>
      <c r="F2640" s="3" t="s">
        <v>6926</v>
      </c>
      <c r="G2640" s="3" t="s">
        <v>4210</v>
      </c>
      <c r="H2640" s="3" t="s">
        <v>2054</v>
      </c>
      <c r="I2640" s="3" t="s">
        <v>6836</v>
      </c>
      <c r="J2640" s="5" t="s">
        <v>2055</v>
      </c>
      <c r="L2640" s="3" t="s">
        <v>271</v>
      </c>
      <c r="M2640" s="3">
        <v>6</v>
      </c>
      <c r="N2640" s="4" t="s">
        <v>2045</v>
      </c>
      <c r="O2640" s="4">
        <v>140</v>
      </c>
      <c r="P2640" s="11" t="s">
        <v>9706</v>
      </c>
      <c r="Q2640" s="11" t="s">
        <v>10600</v>
      </c>
      <c r="R2640" s="4" t="s">
        <v>13145</v>
      </c>
      <c r="S2640" s="4" t="b">
        <f>ISNUMBER(MATCH(Q2640,T:T,0))</f>
        <v>0</v>
      </c>
      <c r="T2640" s="4" t="s">
        <v>12297</v>
      </c>
      <c r="U2640" s="4" t="str">
        <f t="shared" si="120"/>
        <v>按</v>
      </c>
      <c r="V2640" s="4" t="b">
        <f t="shared" ref="V2640:V2649" si="121">ISNUMBER(MATCH(R2640,T:T,0))</f>
        <v>1</v>
      </c>
    </row>
    <row r="2641" spans="1:22">
      <c r="A2641" s="3">
        <v>2637</v>
      </c>
      <c r="B2641" s="3" t="s">
        <v>2043</v>
      </c>
      <c r="C2641" s="3" t="s">
        <v>6025</v>
      </c>
      <c r="D2641" s="3" t="s">
        <v>5990</v>
      </c>
      <c r="E2641" s="3" t="s">
        <v>5991</v>
      </c>
      <c r="F2641" s="3" t="s">
        <v>6926</v>
      </c>
      <c r="G2641" s="3" t="s">
        <v>4210</v>
      </c>
      <c r="H2641" s="3" t="s">
        <v>2056</v>
      </c>
      <c r="I2641" s="3" t="s">
        <v>6836</v>
      </c>
      <c r="J2641" s="5" t="s">
        <v>9308</v>
      </c>
      <c r="L2641" s="3" t="s">
        <v>2057</v>
      </c>
      <c r="M2641" s="3">
        <v>11</v>
      </c>
      <c r="N2641" s="4" t="s">
        <v>2045</v>
      </c>
      <c r="O2641" s="4">
        <v>140</v>
      </c>
      <c r="P2641" s="11" t="s">
        <v>9729</v>
      </c>
      <c r="Q2641" s="11" t="s">
        <v>10600</v>
      </c>
      <c r="R2641" s="4" t="s">
        <v>13145</v>
      </c>
      <c r="S2641" s="4" t="b">
        <f>ISNUMBER(MATCH(Q2641,T:T,0))</f>
        <v>0</v>
      </c>
      <c r="T2641" s="4" t="s">
        <v>12298</v>
      </c>
      <c r="U2641" s="4" t="str">
        <f t="shared" si="120"/>
        <v>按</v>
      </c>
      <c r="V2641" s="4" t="b">
        <f t="shared" si="121"/>
        <v>1</v>
      </c>
    </row>
    <row r="2642" spans="1:22">
      <c r="A2642" s="3">
        <v>2638</v>
      </c>
      <c r="B2642" s="3" t="s">
        <v>2043</v>
      </c>
      <c r="C2642" s="3" t="s">
        <v>6092</v>
      </c>
      <c r="D2642" s="3" t="s">
        <v>5990</v>
      </c>
      <c r="E2642" s="3" t="s">
        <v>5991</v>
      </c>
      <c r="F2642" s="3" t="s">
        <v>6926</v>
      </c>
      <c r="G2642" s="3" t="s">
        <v>4210</v>
      </c>
      <c r="H2642" s="3" t="s">
        <v>2058</v>
      </c>
      <c r="I2642" s="3" t="s">
        <v>6836</v>
      </c>
      <c r="J2642" s="5" t="s">
        <v>2059</v>
      </c>
      <c r="L2642" s="3" t="s">
        <v>2051</v>
      </c>
      <c r="M2642" s="3">
        <v>9</v>
      </c>
      <c r="N2642" s="4" t="s">
        <v>2045</v>
      </c>
      <c r="O2642" s="4">
        <v>140</v>
      </c>
      <c r="P2642" s="11" t="s">
        <v>9740</v>
      </c>
      <c r="Q2642" s="11" t="s">
        <v>10598</v>
      </c>
      <c r="R2642" s="4" t="s">
        <v>13144</v>
      </c>
      <c r="S2642" s="4" t="b">
        <f>ISNUMBER(MATCH(Q2642,T:T,0))</f>
        <v>0</v>
      </c>
      <c r="T2642" s="4" t="s">
        <v>12299</v>
      </c>
      <c r="U2642" s="4" t="str">
        <f t="shared" si="120"/>
        <v>幹</v>
      </c>
      <c r="V2642" s="4" t="b">
        <f t="shared" si="121"/>
        <v>1</v>
      </c>
    </row>
    <row r="2643" spans="1:22">
      <c r="A2643" s="3">
        <v>2639</v>
      </c>
      <c r="B2643" s="3" t="s">
        <v>2043</v>
      </c>
      <c r="C2643" s="3" t="s">
        <v>6038</v>
      </c>
      <c r="D2643" s="3" t="s">
        <v>5990</v>
      </c>
      <c r="E2643" s="3" t="s">
        <v>5991</v>
      </c>
      <c r="F2643" s="3" t="s">
        <v>6926</v>
      </c>
      <c r="G2643" s="3" t="s">
        <v>4210</v>
      </c>
      <c r="H2643" s="3" t="s">
        <v>2060</v>
      </c>
      <c r="I2643" s="3" t="s">
        <v>6836</v>
      </c>
      <c r="J2643" s="5" t="s">
        <v>9309</v>
      </c>
      <c r="L2643" s="3" t="s">
        <v>2061</v>
      </c>
      <c r="M2643" s="3">
        <v>6</v>
      </c>
      <c r="N2643" s="4" t="s">
        <v>2045</v>
      </c>
      <c r="O2643" s="4">
        <v>140</v>
      </c>
      <c r="P2643" s="11" t="s">
        <v>9728</v>
      </c>
      <c r="Q2643" s="11" t="s">
        <v>10598</v>
      </c>
      <c r="R2643" s="4" t="s">
        <v>13144</v>
      </c>
      <c r="S2643" s="4" t="b">
        <f>ISNUMBER(MATCH(Q2643,T:T,0))</f>
        <v>0</v>
      </c>
      <c r="T2643" s="4" t="s">
        <v>12300</v>
      </c>
      <c r="U2643" s="4" t="str">
        <f t="shared" si="120"/>
        <v>幹</v>
      </c>
      <c r="V2643" s="4" t="b">
        <f t="shared" si="121"/>
        <v>1</v>
      </c>
    </row>
    <row r="2644" spans="1:22">
      <c r="A2644" s="3">
        <v>2640</v>
      </c>
      <c r="B2644" s="3" t="s">
        <v>2043</v>
      </c>
      <c r="C2644" s="3" t="s">
        <v>6089</v>
      </c>
      <c r="D2644" s="3" t="s">
        <v>5990</v>
      </c>
      <c r="E2644" s="3" t="s">
        <v>5991</v>
      </c>
      <c r="F2644" s="3" t="s">
        <v>6926</v>
      </c>
      <c r="G2644" s="3" t="s">
        <v>4210</v>
      </c>
      <c r="H2644" s="3" t="s">
        <v>2062</v>
      </c>
      <c r="I2644" s="3" t="s">
        <v>6836</v>
      </c>
      <c r="J2644" s="5" t="s">
        <v>2063</v>
      </c>
      <c r="L2644" s="3" t="s">
        <v>260</v>
      </c>
      <c r="M2644" s="3">
        <v>9</v>
      </c>
      <c r="N2644" s="4" t="s">
        <v>2045</v>
      </c>
      <c r="O2644" s="4">
        <v>140</v>
      </c>
      <c r="P2644" s="11" t="s">
        <v>9739</v>
      </c>
      <c r="Q2644" s="11" t="s">
        <v>10598</v>
      </c>
      <c r="R2644" s="4" t="s">
        <v>13144</v>
      </c>
      <c r="S2644" s="4" t="b">
        <f>ISNUMBER(MATCH(Q2644,T:T,0))</f>
        <v>0</v>
      </c>
      <c r="T2644" s="4" t="s">
        <v>12301</v>
      </c>
      <c r="U2644" s="4" t="str">
        <f t="shared" si="120"/>
        <v>幹</v>
      </c>
      <c r="V2644" s="4" t="b">
        <f t="shared" si="121"/>
        <v>1</v>
      </c>
    </row>
    <row r="2645" spans="1:22">
      <c r="A2645" s="3">
        <v>2641</v>
      </c>
      <c r="B2645" s="3" t="s">
        <v>2043</v>
      </c>
      <c r="C2645" s="3" t="s">
        <v>6058</v>
      </c>
      <c r="D2645" s="3" t="s">
        <v>5990</v>
      </c>
      <c r="E2645" s="3" t="s">
        <v>5991</v>
      </c>
      <c r="F2645" s="3" t="s">
        <v>6926</v>
      </c>
      <c r="G2645" s="3" t="s">
        <v>4210</v>
      </c>
      <c r="H2645" s="3" t="s">
        <v>2064</v>
      </c>
      <c r="I2645" s="3" t="s">
        <v>6836</v>
      </c>
      <c r="J2645" s="5" t="s">
        <v>9310</v>
      </c>
      <c r="L2645" s="3" t="s">
        <v>2065</v>
      </c>
      <c r="M2645" s="3">
        <v>7</v>
      </c>
      <c r="N2645" s="4" t="s">
        <v>2045</v>
      </c>
      <c r="O2645" s="4">
        <v>140</v>
      </c>
      <c r="P2645" s="11" t="s">
        <v>9886</v>
      </c>
      <c r="Q2645" s="11" t="s">
        <v>10598</v>
      </c>
      <c r="R2645" s="4" t="s">
        <v>13144</v>
      </c>
      <c r="S2645" s="4" t="b">
        <f>ISNUMBER(MATCH(Q2645,T:T,0))</f>
        <v>0</v>
      </c>
      <c r="T2645" s="4" t="s">
        <v>12302</v>
      </c>
      <c r="U2645" s="4" t="str">
        <f t="shared" si="120"/>
        <v>幹</v>
      </c>
      <c r="V2645" s="4" t="b">
        <f t="shared" si="121"/>
        <v>1</v>
      </c>
    </row>
    <row r="2646" spans="1:22">
      <c r="A2646" s="3">
        <v>2642</v>
      </c>
      <c r="B2646" s="3" t="s">
        <v>2043</v>
      </c>
      <c r="C2646" s="3" t="s">
        <v>6102</v>
      </c>
      <c r="D2646" s="3" t="s">
        <v>5990</v>
      </c>
      <c r="E2646" s="3" t="s">
        <v>5991</v>
      </c>
      <c r="F2646" s="3" t="s">
        <v>6926</v>
      </c>
      <c r="G2646" s="3" t="s">
        <v>4210</v>
      </c>
      <c r="H2646" s="3" t="s">
        <v>2066</v>
      </c>
      <c r="I2646" s="3" t="s">
        <v>6836</v>
      </c>
      <c r="J2646" s="5" t="s">
        <v>2067</v>
      </c>
      <c r="L2646" s="3" t="s">
        <v>2068</v>
      </c>
      <c r="M2646" s="3">
        <v>6</v>
      </c>
      <c r="N2646" s="4" t="s">
        <v>2045</v>
      </c>
      <c r="O2646" s="4">
        <v>140</v>
      </c>
      <c r="P2646" s="11" t="s">
        <v>9744</v>
      </c>
      <c r="Q2646" s="11" t="s">
        <v>10600</v>
      </c>
      <c r="R2646" s="4" t="s">
        <v>13145</v>
      </c>
      <c r="S2646" s="4" t="b">
        <f>ISNUMBER(MATCH(Q2646,T:T,0))</f>
        <v>0</v>
      </c>
      <c r="T2646" s="4" t="s">
        <v>3139</v>
      </c>
      <c r="U2646" s="4" t="str">
        <f t="shared" si="120"/>
        <v>按</v>
      </c>
      <c r="V2646" s="4" t="b">
        <f t="shared" si="121"/>
        <v>1</v>
      </c>
    </row>
    <row r="2647" spans="1:22">
      <c r="A2647" s="3">
        <v>2643</v>
      </c>
      <c r="B2647" s="3" t="s">
        <v>2043</v>
      </c>
      <c r="C2647" s="3" t="s">
        <v>6076</v>
      </c>
      <c r="D2647" s="3" t="s">
        <v>5990</v>
      </c>
      <c r="E2647" s="3" t="s">
        <v>5991</v>
      </c>
      <c r="F2647" s="3" t="s">
        <v>6926</v>
      </c>
      <c r="G2647" s="3" t="s">
        <v>4210</v>
      </c>
      <c r="H2647" s="3" t="s">
        <v>2069</v>
      </c>
      <c r="I2647" s="3" t="s">
        <v>6836</v>
      </c>
      <c r="J2647" s="5" t="s">
        <v>9311</v>
      </c>
      <c r="L2647" s="3" t="s">
        <v>2070</v>
      </c>
      <c r="M2647" s="3">
        <v>6</v>
      </c>
      <c r="N2647" s="4" t="s">
        <v>2045</v>
      </c>
      <c r="O2647" s="4">
        <v>140</v>
      </c>
      <c r="P2647" s="11" t="s">
        <v>7388</v>
      </c>
      <c r="Q2647" s="11" t="s">
        <v>10600</v>
      </c>
      <c r="R2647" s="4" t="s">
        <v>13145</v>
      </c>
      <c r="S2647" s="4" t="b">
        <f>ISNUMBER(MATCH(Q2647,T:T,0))</f>
        <v>0</v>
      </c>
      <c r="T2647" s="4" t="s">
        <v>12303</v>
      </c>
      <c r="U2647" s="4" t="str">
        <f t="shared" si="120"/>
        <v>按</v>
      </c>
      <c r="V2647" s="4" t="b">
        <f t="shared" si="121"/>
        <v>1</v>
      </c>
    </row>
    <row r="2648" spans="1:22">
      <c r="A2648" s="3">
        <v>2644</v>
      </c>
      <c r="B2648" s="3" t="s">
        <v>2043</v>
      </c>
      <c r="C2648" s="3" t="s">
        <v>6017</v>
      </c>
      <c r="D2648" s="3" t="s">
        <v>5990</v>
      </c>
      <c r="E2648" s="3" t="s">
        <v>5991</v>
      </c>
      <c r="F2648" s="3" t="s">
        <v>6926</v>
      </c>
      <c r="G2648" s="3" t="s">
        <v>4210</v>
      </c>
      <c r="H2648" s="3" t="s">
        <v>2071</v>
      </c>
      <c r="I2648" s="3" t="s">
        <v>6836</v>
      </c>
      <c r="J2648" s="5" t="s">
        <v>2072</v>
      </c>
      <c r="L2648" s="3" t="s">
        <v>2073</v>
      </c>
      <c r="M2648" s="3">
        <v>6</v>
      </c>
      <c r="N2648" s="4" t="s">
        <v>2045</v>
      </c>
      <c r="O2648" s="4">
        <v>140</v>
      </c>
      <c r="P2648" s="11" t="s">
        <v>9741</v>
      </c>
      <c r="Q2648" s="11" t="s">
        <v>10598</v>
      </c>
      <c r="R2648" s="4" t="s">
        <v>13144</v>
      </c>
      <c r="S2648" s="4" t="b">
        <f>ISNUMBER(MATCH(Q2648,T:T,0))</f>
        <v>0</v>
      </c>
      <c r="T2648" s="4" t="s">
        <v>11728</v>
      </c>
      <c r="U2648" s="4" t="str">
        <f t="shared" si="120"/>
        <v>幹</v>
      </c>
      <c r="V2648" s="4" t="b">
        <f t="shared" si="121"/>
        <v>1</v>
      </c>
    </row>
    <row r="2649" spans="1:22">
      <c r="A2649" s="3">
        <v>2645</v>
      </c>
      <c r="B2649" s="3" t="s">
        <v>2043</v>
      </c>
      <c r="C2649" s="3" t="s">
        <v>6083</v>
      </c>
      <c r="D2649" s="3" t="s">
        <v>5990</v>
      </c>
      <c r="E2649" s="3" t="s">
        <v>5991</v>
      </c>
      <c r="F2649" s="3" t="s">
        <v>6926</v>
      </c>
      <c r="G2649" s="3" t="s">
        <v>4210</v>
      </c>
      <c r="H2649" s="3" t="s">
        <v>2074</v>
      </c>
      <c r="I2649" s="3" t="s">
        <v>6836</v>
      </c>
      <c r="J2649" s="8" t="s">
        <v>9312</v>
      </c>
      <c r="L2649" s="3" t="s">
        <v>273</v>
      </c>
      <c r="M2649" s="3">
        <v>11</v>
      </c>
      <c r="N2649" s="4" t="s">
        <v>2045</v>
      </c>
      <c r="O2649" s="4">
        <v>140</v>
      </c>
      <c r="P2649" s="11" t="s">
        <v>9875</v>
      </c>
      <c r="Q2649" s="11" t="s">
        <v>10598</v>
      </c>
      <c r="R2649" s="4" t="s">
        <v>13144</v>
      </c>
      <c r="S2649" s="4" t="b">
        <f>ISNUMBER(MATCH(Q2649,T:T,0))</f>
        <v>0</v>
      </c>
      <c r="T2649" s="4" t="s">
        <v>10601</v>
      </c>
      <c r="U2649" s="4" t="str">
        <f t="shared" si="120"/>
        <v>幹</v>
      </c>
      <c r="V2649" s="4" t="b">
        <f t="shared" si="121"/>
        <v>1</v>
      </c>
    </row>
    <row r="2650" spans="1:22">
      <c r="A2650" s="3">
        <v>2646</v>
      </c>
      <c r="B2650" s="3" t="s">
        <v>2043</v>
      </c>
      <c r="C2650" s="3" t="s">
        <v>6069</v>
      </c>
      <c r="D2650" s="3" t="s">
        <v>5990</v>
      </c>
      <c r="E2650" s="3" t="s">
        <v>5991</v>
      </c>
      <c r="F2650" s="3" t="s">
        <v>6926</v>
      </c>
      <c r="G2650" s="3" t="s">
        <v>4210</v>
      </c>
      <c r="H2650" s="3" t="s">
        <v>822</v>
      </c>
      <c r="I2650" s="3" t="s">
        <v>6836</v>
      </c>
      <c r="J2650" s="5" t="s">
        <v>9313</v>
      </c>
      <c r="L2650" s="3" t="s">
        <v>2073</v>
      </c>
      <c r="M2650" s="3">
        <v>5</v>
      </c>
      <c r="N2650" s="4" t="s">
        <v>2045</v>
      </c>
      <c r="O2650" s="4">
        <v>140</v>
      </c>
      <c r="P2650" s="11" t="s">
        <v>9733</v>
      </c>
      <c r="Q2650" s="11" t="s">
        <v>10601</v>
      </c>
      <c r="S2650" s="4" t="b">
        <f>ISNUMBER(MATCH(Q2650,T:T,0))</f>
        <v>1</v>
      </c>
      <c r="T2650" s="4" t="s">
        <v>12304</v>
      </c>
      <c r="U2650" s="4" t="str">
        <f t="shared" si="120"/>
        <v>賛</v>
      </c>
    </row>
    <row r="2651" spans="1:22">
      <c r="A2651" s="3">
        <v>2647</v>
      </c>
      <c r="B2651" s="3" t="s">
        <v>2075</v>
      </c>
      <c r="C2651" s="3" t="s">
        <v>6067</v>
      </c>
      <c r="D2651" s="3" t="s">
        <v>5990</v>
      </c>
      <c r="E2651" s="3" t="s">
        <v>6212</v>
      </c>
      <c r="F2651" s="3" t="s">
        <v>8009</v>
      </c>
      <c r="G2651" s="3" t="s">
        <v>4210</v>
      </c>
      <c r="H2651" s="3" t="s">
        <v>2076</v>
      </c>
      <c r="I2651" s="3" t="s">
        <v>6836</v>
      </c>
      <c r="J2651" s="5" t="s">
        <v>2077</v>
      </c>
      <c r="L2651" s="3" t="s">
        <v>290</v>
      </c>
      <c r="M2651" s="3">
        <v>9</v>
      </c>
      <c r="N2651" s="4" t="s">
        <v>9666</v>
      </c>
      <c r="O2651" s="4">
        <v>141</v>
      </c>
      <c r="P2651" s="11" t="s">
        <v>9870</v>
      </c>
      <c r="Q2651" s="11" t="s">
        <v>10602</v>
      </c>
      <c r="S2651" s="4" t="b">
        <f>ISNUMBER(MATCH(Q2651,T:T,0))</f>
        <v>1</v>
      </c>
      <c r="T2651" s="4" t="s">
        <v>9666</v>
      </c>
      <c r="U2651" s="4" t="str">
        <f t="shared" si="120"/>
        <v>玩</v>
      </c>
    </row>
    <row r="2652" spans="1:22">
      <c r="A2652" s="3">
        <v>2648</v>
      </c>
      <c r="B2652" s="3" t="s">
        <v>2075</v>
      </c>
      <c r="C2652" s="3" t="s">
        <v>6083</v>
      </c>
      <c r="D2652" s="3" t="s">
        <v>5990</v>
      </c>
      <c r="E2652" s="3" t="s">
        <v>6212</v>
      </c>
      <c r="F2652" s="3" t="s">
        <v>8009</v>
      </c>
      <c r="G2652" s="3" t="s">
        <v>4210</v>
      </c>
      <c r="H2652" s="3" t="s">
        <v>2078</v>
      </c>
      <c r="I2652" s="3" t="s">
        <v>6836</v>
      </c>
      <c r="J2652" s="5" t="s">
        <v>9314</v>
      </c>
      <c r="L2652" s="3" t="s">
        <v>2079</v>
      </c>
      <c r="M2652" s="3">
        <v>2</v>
      </c>
      <c r="N2652" s="4" t="s">
        <v>9666</v>
      </c>
      <c r="O2652" s="4">
        <v>141</v>
      </c>
      <c r="P2652" s="11" t="s">
        <v>9737</v>
      </c>
      <c r="Q2652" s="11" t="s">
        <v>10603</v>
      </c>
      <c r="S2652" s="4" t="b">
        <f>ISNUMBER(MATCH(Q2652,T:T,0))</f>
        <v>1</v>
      </c>
      <c r="T2652" s="4" t="s">
        <v>12305</v>
      </c>
      <c r="U2652" s="4" t="str">
        <f t="shared" si="120"/>
        <v>筭</v>
      </c>
    </row>
    <row r="2653" spans="1:22">
      <c r="A2653" s="3">
        <v>2649</v>
      </c>
      <c r="B2653" s="3" t="s">
        <v>2075</v>
      </c>
      <c r="C2653" s="3" t="s">
        <v>6072</v>
      </c>
      <c r="D2653" s="3" t="s">
        <v>5990</v>
      </c>
      <c r="E2653" s="3" t="s">
        <v>6212</v>
      </c>
      <c r="F2653" s="3" t="s">
        <v>8009</v>
      </c>
      <c r="G2653" s="3" t="s">
        <v>4210</v>
      </c>
      <c r="H2653" s="3" t="s">
        <v>2080</v>
      </c>
      <c r="I2653" s="3" t="s">
        <v>6836</v>
      </c>
      <c r="J2653" s="5" t="s">
        <v>2081</v>
      </c>
      <c r="L2653" s="3" t="s">
        <v>5658</v>
      </c>
      <c r="M2653" s="3">
        <v>6</v>
      </c>
      <c r="N2653" s="4" t="s">
        <v>9666</v>
      </c>
      <c r="O2653" s="4">
        <v>141</v>
      </c>
      <c r="P2653" s="11" t="s">
        <v>9734</v>
      </c>
      <c r="Q2653" s="11" t="s">
        <v>10604</v>
      </c>
      <c r="S2653" s="4" t="b">
        <f>ISNUMBER(MATCH(Q2653,T:T,0))</f>
        <v>1</v>
      </c>
      <c r="T2653" s="4" t="s">
        <v>12306</v>
      </c>
      <c r="U2653" s="4" t="str">
        <f t="shared" si="120"/>
        <v>貫</v>
      </c>
    </row>
    <row r="2654" spans="1:22" ht="58.5">
      <c r="A2654" s="3">
        <v>2650</v>
      </c>
      <c r="B2654" s="3" t="s">
        <v>2075</v>
      </c>
      <c r="C2654" s="3" t="s">
        <v>6025</v>
      </c>
      <c r="D2654" s="3" t="s">
        <v>5990</v>
      </c>
      <c r="E2654" s="3" t="s">
        <v>6212</v>
      </c>
      <c r="F2654" s="3" t="s">
        <v>8009</v>
      </c>
      <c r="G2654" s="3" t="s">
        <v>4210</v>
      </c>
      <c r="H2654" s="3" t="s">
        <v>2082</v>
      </c>
      <c r="I2654" s="3" t="s">
        <v>6836</v>
      </c>
      <c r="J2654" s="5" t="s">
        <v>9315</v>
      </c>
      <c r="L2654" s="3" t="s">
        <v>2083</v>
      </c>
      <c r="M2654" s="3">
        <v>28</v>
      </c>
      <c r="N2654" s="4" t="s">
        <v>9666</v>
      </c>
      <c r="O2654" s="4">
        <v>141</v>
      </c>
      <c r="P2654" s="11" t="s">
        <v>9729</v>
      </c>
      <c r="Q2654" s="11" t="s">
        <v>10602</v>
      </c>
      <c r="S2654" s="4" t="b">
        <f>ISNUMBER(MATCH(Q2654,T:T,0))</f>
        <v>1</v>
      </c>
      <c r="T2654" s="4" t="s">
        <v>10604</v>
      </c>
      <c r="U2654" s="4" t="str">
        <f t="shared" si="120"/>
        <v>玩</v>
      </c>
    </row>
    <row r="2655" spans="1:22">
      <c r="A2655" s="3">
        <v>2651</v>
      </c>
      <c r="B2655" s="3" t="s">
        <v>2075</v>
      </c>
      <c r="C2655" s="3" t="s">
        <v>6076</v>
      </c>
      <c r="D2655" s="3" t="s">
        <v>5990</v>
      </c>
      <c r="E2655" s="3" t="s">
        <v>6212</v>
      </c>
      <c r="F2655" s="3" t="s">
        <v>8009</v>
      </c>
      <c r="G2655" s="3" t="s">
        <v>4210</v>
      </c>
      <c r="H2655" s="3" t="s">
        <v>2084</v>
      </c>
      <c r="I2655" s="3" t="s">
        <v>6836</v>
      </c>
      <c r="J2655" s="5" t="s">
        <v>9316</v>
      </c>
      <c r="L2655" s="3" t="s">
        <v>2085</v>
      </c>
      <c r="M2655" s="3">
        <v>5</v>
      </c>
      <c r="N2655" s="4" t="s">
        <v>9666</v>
      </c>
      <c r="O2655" s="4">
        <v>141</v>
      </c>
      <c r="P2655" s="11" t="s">
        <v>9766</v>
      </c>
      <c r="Q2655" s="11" t="s">
        <v>10605</v>
      </c>
      <c r="S2655" s="4" t="b">
        <f>ISNUMBER(MATCH(Q2655,T:T,0))</f>
        <v>1</v>
      </c>
      <c r="T2655" s="4" t="s">
        <v>12307</v>
      </c>
      <c r="U2655" s="4" t="str">
        <f t="shared" si="120"/>
        <v>亂</v>
      </c>
    </row>
    <row r="2656" spans="1:22">
      <c r="A2656" s="3">
        <v>2652</v>
      </c>
      <c r="B2656" s="3" t="s">
        <v>2075</v>
      </c>
      <c r="C2656" s="3" t="s">
        <v>6092</v>
      </c>
      <c r="D2656" s="3" t="s">
        <v>5990</v>
      </c>
      <c r="E2656" s="3" t="s">
        <v>6212</v>
      </c>
      <c r="F2656" s="3" t="s">
        <v>8009</v>
      </c>
      <c r="G2656" s="3" t="s">
        <v>4210</v>
      </c>
      <c r="H2656" s="3" t="s">
        <v>2086</v>
      </c>
      <c r="I2656" s="3" t="s">
        <v>6836</v>
      </c>
      <c r="J2656" s="5" t="s">
        <v>9317</v>
      </c>
      <c r="L2656" s="3" t="s">
        <v>5658</v>
      </c>
      <c r="M2656" s="3">
        <v>5</v>
      </c>
      <c r="N2656" s="4" t="s">
        <v>9666</v>
      </c>
      <c r="O2656" s="4">
        <v>141</v>
      </c>
      <c r="P2656" s="11" t="s">
        <v>9740</v>
      </c>
      <c r="Q2656" s="11" t="s">
        <v>9666</v>
      </c>
      <c r="S2656" s="4" t="b">
        <f>ISNUMBER(MATCH(Q2656,T:T,0))</f>
        <v>1</v>
      </c>
      <c r="T2656" s="4" t="s">
        <v>10602</v>
      </c>
      <c r="U2656" s="4" t="str">
        <f t="shared" si="120"/>
        <v>換</v>
      </c>
    </row>
    <row r="2657" spans="1:22">
      <c r="A2657" s="3">
        <v>2653</v>
      </c>
      <c r="B2657" s="3" t="s">
        <v>2075</v>
      </c>
      <c r="C2657" s="3" t="s">
        <v>5997</v>
      </c>
      <c r="D2657" s="3" t="s">
        <v>5990</v>
      </c>
      <c r="E2657" s="3" t="s">
        <v>6212</v>
      </c>
      <c r="F2657" s="3" t="s">
        <v>8009</v>
      </c>
      <c r="G2657" s="3" t="s">
        <v>4210</v>
      </c>
      <c r="H2657" s="3" t="s">
        <v>2087</v>
      </c>
      <c r="I2657" s="3" t="s">
        <v>6836</v>
      </c>
      <c r="J2657" s="5" t="s">
        <v>2088</v>
      </c>
      <c r="L2657" s="3" t="s">
        <v>3137</v>
      </c>
      <c r="M2657" s="3">
        <v>3</v>
      </c>
      <c r="N2657" s="4" t="s">
        <v>9666</v>
      </c>
      <c r="O2657" s="4">
        <v>141</v>
      </c>
      <c r="P2657" s="11" t="s">
        <v>9706</v>
      </c>
      <c r="Q2657" s="11" t="s">
        <v>10602</v>
      </c>
      <c r="S2657" s="4" t="b">
        <f>ISNUMBER(MATCH(Q2657,T:T,0))</f>
        <v>1</v>
      </c>
      <c r="T2657" s="4" t="s">
        <v>10606</v>
      </c>
      <c r="U2657" s="4" t="str">
        <f t="shared" si="120"/>
        <v>玩</v>
      </c>
    </row>
    <row r="2658" spans="1:22">
      <c r="A2658" s="3">
        <v>2654</v>
      </c>
      <c r="B2658" s="3" t="s">
        <v>2075</v>
      </c>
      <c r="C2658" s="3" t="s">
        <v>6058</v>
      </c>
      <c r="D2658" s="3" t="s">
        <v>5990</v>
      </c>
      <c r="E2658" s="3" t="s">
        <v>6212</v>
      </c>
      <c r="F2658" s="3" t="s">
        <v>8009</v>
      </c>
      <c r="G2658" s="3" t="s">
        <v>4210</v>
      </c>
      <c r="H2658" s="3" t="s">
        <v>2089</v>
      </c>
      <c r="I2658" s="3" t="s">
        <v>6836</v>
      </c>
      <c r="J2658" s="5" t="s">
        <v>9318</v>
      </c>
      <c r="L2658" s="3" t="s">
        <v>2090</v>
      </c>
      <c r="M2658" s="3">
        <v>4</v>
      </c>
      <c r="N2658" s="4" t="s">
        <v>9666</v>
      </c>
      <c r="O2658" s="4">
        <v>141</v>
      </c>
      <c r="P2658" s="11" t="s">
        <v>9886</v>
      </c>
      <c r="Q2658" s="11" t="s">
        <v>10606</v>
      </c>
      <c r="S2658" s="4" t="b">
        <f>ISNUMBER(MATCH(Q2658,T:T,0))</f>
        <v>1</v>
      </c>
      <c r="T2658" s="4" t="s">
        <v>10605</v>
      </c>
      <c r="U2658" s="4" t="str">
        <f t="shared" si="120"/>
        <v>段</v>
      </c>
    </row>
    <row r="2659" spans="1:22">
      <c r="A2659" s="3">
        <v>2655</v>
      </c>
      <c r="B2659" s="3" t="s">
        <v>2075</v>
      </c>
      <c r="C2659" s="3" t="s">
        <v>5989</v>
      </c>
      <c r="D2659" s="3" t="s">
        <v>5990</v>
      </c>
      <c r="E2659" s="3" t="s">
        <v>6212</v>
      </c>
      <c r="F2659" s="3" t="s">
        <v>8009</v>
      </c>
      <c r="G2659" s="3" t="s">
        <v>4210</v>
      </c>
      <c r="H2659" s="3" t="s">
        <v>2091</v>
      </c>
      <c r="I2659" s="3" t="s">
        <v>6836</v>
      </c>
      <c r="J2659" s="5" t="s">
        <v>9319</v>
      </c>
      <c r="L2659" s="3" t="s">
        <v>3137</v>
      </c>
      <c r="M2659" s="3">
        <v>6</v>
      </c>
      <c r="N2659" s="4" t="s">
        <v>9666</v>
      </c>
      <c r="O2659" s="4">
        <v>141</v>
      </c>
      <c r="P2659" s="11" t="s">
        <v>9822</v>
      </c>
      <c r="Q2659" s="11" t="s">
        <v>10604</v>
      </c>
      <c r="S2659" s="4" t="b">
        <f>ISNUMBER(MATCH(Q2659,T:T,0))</f>
        <v>1</v>
      </c>
      <c r="T2659" s="4" t="s">
        <v>11742</v>
      </c>
      <c r="U2659" s="4" t="str">
        <f t="shared" si="120"/>
        <v>貫</v>
      </c>
    </row>
    <row r="2660" spans="1:22">
      <c r="A2660" s="3">
        <v>2656</v>
      </c>
      <c r="B2660" s="3" t="s">
        <v>2075</v>
      </c>
      <c r="C2660" s="3" t="s">
        <v>6079</v>
      </c>
      <c r="D2660" s="3" t="s">
        <v>5990</v>
      </c>
      <c r="E2660" s="3" t="s">
        <v>6212</v>
      </c>
      <c r="F2660" s="3" t="s">
        <v>8009</v>
      </c>
      <c r="G2660" s="3" t="s">
        <v>4210</v>
      </c>
      <c r="H2660" s="3" t="s">
        <v>2092</v>
      </c>
      <c r="I2660" s="3" t="s">
        <v>6836</v>
      </c>
      <c r="J2660" s="5" t="s">
        <v>9320</v>
      </c>
      <c r="L2660" s="3" t="s">
        <v>2093</v>
      </c>
      <c r="M2660" s="3">
        <v>4</v>
      </c>
      <c r="N2660" s="4" t="s">
        <v>9666</v>
      </c>
      <c r="O2660" s="4">
        <v>141</v>
      </c>
      <c r="P2660" s="11" t="s">
        <v>5995</v>
      </c>
      <c r="Q2660" s="11" t="s">
        <v>10604</v>
      </c>
      <c r="S2660" s="4" t="b">
        <f>ISNUMBER(MATCH(Q2660,T:T,0))</f>
        <v>1</v>
      </c>
      <c r="T2660" s="4" t="s">
        <v>12308</v>
      </c>
      <c r="U2660" s="4" t="str">
        <f t="shared" si="120"/>
        <v>貫</v>
      </c>
    </row>
    <row r="2661" spans="1:22">
      <c r="A2661" s="3">
        <v>2657</v>
      </c>
      <c r="B2661" s="3" t="s">
        <v>2075</v>
      </c>
      <c r="C2661" s="3" t="s">
        <v>6089</v>
      </c>
      <c r="D2661" s="3" t="s">
        <v>5990</v>
      </c>
      <c r="E2661" s="3" t="s">
        <v>6212</v>
      </c>
      <c r="F2661" s="3" t="s">
        <v>8009</v>
      </c>
      <c r="G2661" s="3" t="s">
        <v>4210</v>
      </c>
      <c r="H2661" s="3" t="s">
        <v>2094</v>
      </c>
      <c r="I2661" s="3" t="s">
        <v>6836</v>
      </c>
      <c r="J2661" s="5" t="s">
        <v>9321</v>
      </c>
      <c r="L2661" s="3" t="s">
        <v>290</v>
      </c>
      <c r="M2661" s="3">
        <v>8</v>
      </c>
      <c r="N2661" s="4" t="s">
        <v>9666</v>
      </c>
      <c r="O2661" s="4">
        <v>141</v>
      </c>
      <c r="P2661" s="11" t="s">
        <v>9904</v>
      </c>
      <c r="Q2661" s="11" t="s">
        <v>10604</v>
      </c>
      <c r="S2661" s="4" t="b">
        <f>ISNUMBER(MATCH(Q2661,T:T,0))</f>
        <v>1</v>
      </c>
      <c r="T2661" s="4" t="s">
        <v>10608</v>
      </c>
      <c r="U2661" s="4" t="str">
        <f t="shared" si="120"/>
        <v>貫</v>
      </c>
    </row>
    <row r="2662" spans="1:22">
      <c r="A2662" s="3">
        <v>2658</v>
      </c>
      <c r="B2662" s="3" t="s">
        <v>2075</v>
      </c>
      <c r="C2662" s="3" t="s">
        <v>6017</v>
      </c>
      <c r="D2662" s="3" t="s">
        <v>5990</v>
      </c>
      <c r="E2662" s="3" t="s">
        <v>6212</v>
      </c>
      <c r="F2662" s="3" t="s">
        <v>8009</v>
      </c>
      <c r="G2662" s="3" t="s">
        <v>4210</v>
      </c>
      <c r="H2662" s="3" t="s">
        <v>2095</v>
      </c>
      <c r="I2662" s="3" t="s">
        <v>6836</v>
      </c>
      <c r="J2662" s="5" t="s">
        <v>9322</v>
      </c>
      <c r="L2662" s="3" t="s">
        <v>2096</v>
      </c>
      <c r="M2662" s="3">
        <v>4</v>
      </c>
      <c r="N2662" s="4" t="s">
        <v>9666</v>
      </c>
      <c r="O2662" s="4">
        <v>141</v>
      </c>
      <c r="P2662" s="11" t="s">
        <v>9741</v>
      </c>
      <c r="Q2662" s="11" t="s">
        <v>10604</v>
      </c>
      <c r="S2662" s="4" t="b">
        <f>ISNUMBER(MATCH(Q2662,T:T,0))</f>
        <v>1</v>
      </c>
      <c r="T2662" s="4" t="s">
        <v>10603</v>
      </c>
      <c r="U2662" s="4" t="str">
        <f t="shared" si="120"/>
        <v>貫</v>
      </c>
    </row>
    <row r="2663" spans="1:22">
      <c r="A2663" s="3">
        <v>2659</v>
      </c>
      <c r="B2663" s="3" t="s">
        <v>2075</v>
      </c>
      <c r="C2663" s="3" t="s">
        <v>6035</v>
      </c>
      <c r="D2663" s="3" t="s">
        <v>5990</v>
      </c>
      <c r="E2663" s="3" t="s">
        <v>6212</v>
      </c>
      <c r="F2663" s="3" t="s">
        <v>8009</v>
      </c>
      <c r="G2663" s="3" t="s">
        <v>4210</v>
      </c>
      <c r="H2663" s="3" t="s">
        <v>2097</v>
      </c>
      <c r="I2663" s="3" t="s">
        <v>6836</v>
      </c>
      <c r="J2663" s="5" t="s">
        <v>2098</v>
      </c>
      <c r="L2663" s="3" t="s">
        <v>2099</v>
      </c>
      <c r="M2663" s="3">
        <v>10</v>
      </c>
      <c r="N2663" s="4" t="s">
        <v>9666</v>
      </c>
      <c r="O2663" s="4">
        <v>141</v>
      </c>
      <c r="P2663" s="11" t="s">
        <v>9719</v>
      </c>
      <c r="Q2663" s="11" t="s">
        <v>10607</v>
      </c>
      <c r="S2663" s="4" t="b">
        <f>ISNUMBER(MATCH(Q2663,T:T,0))</f>
        <v>1</v>
      </c>
      <c r="T2663" s="4" t="s">
        <v>12309</v>
      </c>
      <c r="U2663" s="4" t="str">
        <f t="shared" si="120"/>
        <v>半</v>
      </c>
    </row>
    <row r="2664" spans="1:22" ht="28.5">
      <c r="A2664" s="3">
        <v>2660</v>
      </c>
      <c r="B2664" s="3" t="s">
        <v>2075</v>
      </c>
      <c r="C2664" s="3" t="s">
        <v>6049</v>
      </c>
      <c r="D2664" s="3" t="s">
        <v>5990</v>
      </c>
      <c r="E2664" s="3" t="s">
        <v>6212</v>
      </c>
      <c r="F2664" s="3" t="s">
        <v>8009</v>
      </c>
      <c r="G2664" s="3" t="s">
        <v>4210</v>
      </c>
      <c r="H2664" s="3" t="s">
        <v>2100</v>
      </c>
      <c r="I2664" s="3" t="s">
        <v>6836</v>
      </c>
      <c r="J2664" s="5" t="s">
        <v>2101</v>
      </c>
      <c r="L2664" s="3" t="s">
        <v>313</v>
      </c>
      <c r="M2664" s="3">
        <v>7</v>
      </c>
      <c r="N2664" s="4" t="s">
        <v>9666</v>
      </c>
      <c r="O2664" s="4">
        <v>141</v>
      </c>
      <c r="P2664" s="11" t="s">
        <v>9770</v>
      </c>
      <c r="Q2664" s="11" t="s">
        <v>12991</v>
      </c>
      <c r="S2664" s="4" t="b">
        <f>ISNUMBER(MATCH(Q2664,T:T,0))</f>
        <v>1</v>
      </c>
      <c r="T2664" s="4" t="s">
        <v>10607</v>
      </c>
      <c r="U2664" s="4" t="str">
        <f t="shared" si="120"/>
        <v>慢</v>
      </c>
    </row>
    <row r="2665" spans="1:22">
      <c r="A2665" s="3">
        <v>2661</v>
      </c>
      <c r="B2665" s="3" t="s">
        <v>2075</v>
      </c>
      <c r="C2665" s="3" t="s">
        <v>6053</v>
      </c>
      <c r="D2665" s="3" t="s">
        <v>5990</v>
      </c>
      <c r="E2665" s="3" t="s">
        <v>6212</v>
      </c>
      <c r="F2665" s="3" t="s">
        <v>8009</v>
      </c>
      <c r="G2665" s="3" t="s">
        <v>4210</v>
      </c>
      <c r="H2665" s="3" t="s">
        <v>2102</v>
      </c>
      <c r="I2665" s="3" t="s">
        <v>6836</v>
      </c>
      <c r="J2665" s="5" t="s">
        <v>9323</v>
      </c>
      <c r="L2665" s="3" t="s">
        <v>2103</v>
      </c>
      <c r="M2665" s="3">
        <v>8</v>
      </c>
      <c r="N2665" s="4" t="s">
        <v>9666</v>
      </c>
      <c r="O2665" s="4">
        <v>141</v>
      </c>
      <c r="P2665" s="11" t="s">
        <v>9884</v>
      </c>
      <c r="Q2665" s="11" t="s">
        <v>10607</v>
      </c>
      <c r="S2665" s="4" t="b">
        <f>ISNUMBER(MATCH(Q2665,T:T,0))</f>
        <v>1</v>
      </c>
      <c r="T2665" s="4" t="s">
        <v>12310</v>
      </c>
      <c r="U2665" s="4" t="str">
        <f t="shared" si="120"/>
        <v>半</v>
      </c>
    </row>
    <row r="2666" spans="1:22">
      <c r="A2666" s="3">
        <v>2662</v>
      </c>
      <c r="B2666" s="3" t="s">
        <v>2075</v>
      </c>
      <c r="C2666" s="3" t="s">
        <v>6045</v>
      </c>
      <c r="D2666" s="3" t="s">
        <v>5990</v>
      </c>
      <c r="E2666" s="3" t="s">
        <v>6212</v>
      </c>
      <c r="F2666" s="3" t="s">
        <v>8009</v>
      </c>
      <c r="G2666" s="3" t="s">
        <v>4210</v>
      </c>
      <c r="H2666" s="3" t="s">
        <v>2104</v>
      </c>
      <c r="I2666" s="3" t="s">
        <v>6836</v>
      </c>
      <c r="J2666" s="5" t="s">
        <v>2105</v>
      </c>
      <c r="L2666" s="3" t="s">
        <v>313</v>
      </c>
      <c r="M2666" s="3">
        <v>4</v>
      </c>
      <c r="N2666" s="4" t="s">
        <v>9666</v>
      </c>
      <c r="O2666" s="4">
        <v>141</v>
      </c>
      <c r="P2666" s="11" t="s">
        <v>9738</v>
      </c>
      <c r="Q2666" s="11" t="s">
        <v>10607</v>
      </c>
      <c r="S2666" s="4" t="b">
        <f>ISNUMBER(MATCH(Q2666,T:T,0))</f>
        <v>1</v>
      </c>
      <c r="T2666" s="4" t="s">
        <v>12311</v>
      </c>
      <c r="U2666" s="4" t="str">
        <f t="shared" si="120"/>
        <v>半</v>
      </c>
    </row>
    <row r="2667" spans="1:22">
      <c r="A2667" s="3">
        <v>2663</v>
      </c>
      <c r="B2667" s="3" t="s">
        <v>2075</v>
      </c>
      <c r="C2667" s="3" t="s">
        <v>6102</v>
      </c>
      <c r="D2667" s="3" t="s">
        <v>5990</v>
      </c>
      <c r="E2667" s="3" t="s">
        <v>6212</v>
      </c>
      <c r="F2667" s="3" t="s">
        <v>8009</v>
      </c>
      <c r="G2667" s="3" t="s">
        <v>4210</v>
      </c>
      <c r="H2667" s="3" t="s">
        <v>2106</v>
      </c>
      <c r="I2667" s="3" t="s">
        <v>6836</v>
      </c>
      <c r="J2667" s="8" t="s">
        <v>9324</v>
      </c>
      <c r="L2667" s="3" t="s">
        <v>2107</v>
      </c>
      <c r="M2667" s="3">
        <v>5</v>
      </c>
      <c r="N2667" s="4" t="s">
        <v>9666</v>
      </c>
      <c r="O2667" s="4">
        <v>141</v>
      </c>
      <c r="P2667" s="11" t="s">
        <v>9744</v>
      </c>
      <c r="Q2667" s="11" t="s">
        <v>10605</v>
      </c>
      <c r="S2667" s="4" t="b">
        <f>ISNUMBER(MATCH(Q2667,T:T,0))</f>
        <v>1</v>
      </c>
      <c r="T2667" s="4" t="s">
        <v>12312</v>
      </c>
      <c r="U2667" s="4" t="str">
        <f t="shared" si="120"/>
        <v>亂</v>
      </c>
    </row>
    <row r="2668" spans="1:22">
      <c r="A2668" s="3">
        <v>2664</v>
      </c>
      <c r="B2668" s="3" t="s">
        <v>2075</v>
      </c>
      <c r="C2668" s="3" t="s">
        <v>6069</v>
      </c>
      <c r="D2668" s="3" t="s">
        <v>5990</v>
      </c>
      <c r="E2668" s="3" t="s">
        <v>6212</v>
      </c>
      <c r="F2668" s="3" t="s">
        <v>8009</v>
      </c>
      <c r="G2668" s="3" t="s">
        <v>4210</v>
      </c>
      <c r="H2668" s="3" t="s">
        <v>2108</v>
      </c>
      <c r="I2668" s="3" t="s">
        <v>6836</v>
      </c>
      <c r="J2668" s="8" t="s">
        <v>2109</v>
      </c>
      <c r="L2668" s="3" t="s">
        <v>2079</v>
      </c>
      <c r="M2668" s="3">
        <v>1</v>
      </c>
      <c r="N2668" s="4" t="s">
        <v>9666</v>
      </c>
      <c r="O2668" s="4">
        <v>141</v>
      </c>
      <c r="P2668" s="11" t="s">
        <v>5919</v>
      </c>
      <c r="Q2668" s="11" t="s">
        <v>10602</v>
      </c>
      <c r="S2668" s="4" t="b">
        <f>ISNUMBER(MATCH(Q2668,T:T,0))</f>
        <v>1</v>
      </c>
      <c r="T2668" s="4" t="s">
        <v>2109</v>
      </c>
      <c r="U2668" s="4" t="str">
        <f t="shared" si="120"/>
        <v>玩</v>
      </c>
    </row>
    <row r="2669" spans="1:22">
      <c r="A2669" s="3">
        <v>2665</v>
      </c>
      <c r="B2669" s="3" t="s">
        <v>2075</v>
      </c>
      <c r="C2669" s="3" t="s">
        <v>6038</v>
      </c>
      <c r="D2669" s="3" t="s">
        <v>5990</v>
      </c>
      <c r="E2669" s="3" t="s">
        <v>6212</v>
      </c>
      <c r="F2669" s="3" t="s">
        <v>8009</v>
      </c>
      <c r="G2669" s="3" t="s">
        <v>4210</v>
      </c>
      <c r="H2669" s="3" t="s">
        <v>2110</v>
      </c>
      <c r="I2669" s="3" t="s">
        <v>6836</v>
      </c>
      <c r="J2669" s="5" t="s">
        <v>2111</v>
      </c>
      <c r="L2669" s="3" t="s">
        <v>2112</v>
      </c>
      <c r="M2669" s="3">
        <v>2</v>
      </c>
      <c r="N2669" s="4" t="s">
        <v>9666</v>
      </c>
      <c r="O2669" s="4">
        <v>141</v>
      </c>
      <c r="P2669" s="11" t="s">
        <v>9915</v>
      </c>
      <c r="Q2669" s="11" t="s">
        <v>10608</v>
      </c>
      <c r="S2669" s="4" t="b">
        <f>ISNUMBER(MATCH(Q2669,T:T,0))</f>
        <v>1</v>
      </c>
      <c r="T2669" s="4" t="s">
        <v>12313</v>
      </c>
      <c r="U2669" s="4" t="str">
        <f t="shared" si="120"/>
        <v>喚</v>
      </c>
    </row>
    <row r="2670" spans="1:22">
      <c r="A2670" s="3">
        <v>2666</v>
      </c>
      <c r="B2670" s="3" t="s">
        <v>2113</v>
      </c>
      <c r="C2670" s="3" t="s">
        <v>6025</v>
      </c>
      <c r="D2670" s="3" t="s">
        <v>6157</v>
      </c>
      <c r="E2670" s="3" t="s">
        <v>5991</v>
      </c>
      <c r="F2670" s="3" t="s">
        <v>8055</v>
      </c>
      <c r="G2670" s="3" t="s">
        <v>4210</v>
      </c>
      <c r="H2670" s="3" t="s">
        <v>2114</v>
      </c>
      <c r="I2670" s="3" t="s">
        <v>6836</v>
      </c>
      <c r="J2670" s="5" t="s">
        <v>9325</v>
      </c>
      <c r="L2670" s="3" t="s">
        <v>184</v>
      </c>
      <c r="M2670" s="3">
        <v>3</v>
      </c>
      <c r="N2670" s="4" t="s">
        <v>2115</v>
      </c>
      <c r="O2670" s="4">
        <v>142</v>
      </c>
      <c r="P2670" s="11" t="s">
        <v>9729</v>
      </c>
      <c r="Q2670" s="11" t="s">
        <v>10609</v>
      </c>
      <c r="S2670" s="4" t="b">
        <f>ISNUMBER(MATCH(Q2670,T:T,0))</f>
        <v>1</v>
      </c>
      <c r="T2670" s="4" t="s">
        <v>2115</v>
      </c>
      <c r="U2670" s="4" t="str">
        <f t="shared" si="120"/>
        <v>晏</v>
      </c>
    </row>
    <row r="2671" spans="1:22">
      <c r="A2671" s="3">
        <v>2667</v>
      </c>
      <c r="B2671" s="3" t="s">
        <v>2113</v>
      </c>
      <c r="C2671" s="3" t="s">
        <v>6092</v>
      </c>
      <c r="D2671" s="3" t="s">
        <v>6157</v>
      </c>
      <c r="E2671" s="3" t="s">
        <v>5991</v>
      </c>
      <c r="F2671" s="3" t="s">
        <v>8055</v>
      </c>
      <c r="G2671" s="3" t="s">
        <v>4210</v>
      </c>
      <c r="H2671" s="3" t="s">
        <v>2116</v>
      </c>
      <c r="I2671" s="3" t="s">
        <v>6836</v>
      </c>
      <c r="J2671" s="5" t="s">
        <v>9326</v>
      </c>
      <c r="L2671" s="3" t="s">
        <v>5666</v>
      </c>
      <c r="M2671" s="3">
        <v>6</v>
      </c>
      <c r="N2671" s="4" t="s">
        <v>2115</v>
      </c>
      <c r="O2671" s="4">
        <v>142</v>
      </c>
      <c r="P2671" s="11" t="s">
        <v>9740</v>
      </c>
      <c r="Q2671" s="11" t="s">
        <v>10609</v>
      </c>
      <c r="S2671" s="4" t="b">
        <f>ISNUMBER(MATCH(Q2671,T:T,0))</f>
        <v>1</v>
      </c>
      <c r="T2671" s="4" t="s">
        <v>12314</v>
      </c>
      <c r="U2671" s="4" t="str">
        <f t="shared" si="120"/>
        <v>晏</v>
      </c>
    </row>
    <row r="2672" spans="1:22">
      <c r="A2672" s="3">
        <v>2668</v>
      </c>
      <c r="B2672" s="3" t="s">
        <v>2113</v>
      </c>
      <c r="C2672" s="3" t="s">
        <v>6072</v>
      </c>
      <c r="D2672" s="3" t="s">
        <v>6157</v>
      </c>
      <c r="E2672" s="3" t="s">
        <v>5991</v>
      </c>
      <c r="F2672" s="3" t="s">
        <v>8055</v>
      </c>
      <c r="G2672" s="3" t="s">
        <v>4210</v>
      </c>
      <c r="H2672" s="3" t="s">
        <v>2117</v>
      </c>
      <c r="I2672" s="3" t="s">
        <v>6836</v>
      </c>
      <c r="J2672" s="5" t="s">
        <v>2118</v>
      </c>
      <c r="L2672" s="3" t="s">
        <v>5666</v>
      </c>
      <c r="M2672" s="3">
        <v>5</v>
      </c>
      <c r="N2672" s="4" t="s">
        <v>2115</v>
      </c>
      <c r="O2672" s="4">
        <v>142</v>
      </c>
      <c r="P2672" s="11" t="s">
        <v>9734</v>
      </c>
      <c r="Q2672" s="11" t="s">
        <v>10610</v>
      </c>
      <c r="R2672" s="4" t="s">
        <v>13146</v>
      </c>
      <c r="S2672" s="4" t="b">
        <f>ISNUMBER(MATCH(Q2672,T:T,0))</f>
        <v>0</v>
      </c>
      <c r="T2672" s="4" t="s">
        <v>10609</v>
      </c>
      <c r="U2672" s="4" t="str">
        <f t="shared" si="120"/>
        <v>諫</v>
      </c>
      <c r="V2672" s="4" t="b">
        <f>ISNUMBER(MATCH(R2672,T:T,0))</f>
        <v>1</v>
      </c>
    </row>
    <row r="2673" spans="1:22">
      <c r="A2673" s="3">
        <v>2669</v>
      </c>
      <c r="B2673" s="3" t="s">
        <v>2113</v>
      </c>
      <c r="C2673" s="3" t="s">
        <v>6180</v>
      </c>
      <c r="D2673" s="3" t="s">
        <v>6157</v>
      </c>
      <c r="E2673" s="3" t="s">
        <v>5991</v>
      </c>
      <c r="F2673" s="3" t="s">
        <v>8055</v>
      </c>
      <c r="G2673" s="3" t="s">
        <v>4210</v>
      </c>
      <c r="H2673" s="3" t="s">
        <v>2119</v>
      </c>
      <c r="I2673" s="3" t="s">
        <v>6836</v>
      </c>
      <c r="J2673" s="5" t="s">
        <v>2120</v>
      </c>
      <c r="L2673" s="3" t="s">
        <v>3164</v>
      </c>
      <c r="M2673" s="3">
        <v>7</v>
      </c>
      <c r="N2673" s="4" t="s">
        <v>2115</v>
      </c>
      <c r="O2673" s="4">
        <v>142</v>
      </c>
      <c r="P2673" s="11" t="s">
        <v>9774</v>
      </c>
      <c r="Q2673" s="11" t="s">
        <v>10609</v>
      </c>
      <c r="S2673" s="4" t="b">
        <f>ISNUMBER(MATCH(Q2673,T:T,0))</f>
        <v>1</v>
      </c>
      <c r="T2673" s="4" t="s">
        <v>12315</v>
      </c>
      <c r="U2673" s="4" t="str">
        <f t="shared" si="120"/>
        <v>晏</v>
      </c>
    </row>
    <row r="2674" spans="1:22">
      <c r="A2674" s="3">
        <v>2670</v>
      </c>
      <c r="B2674" s="3" t="s">
        <v>2113</v>
      </c>
      <c r="C2674" s="3" t="s">
        <v>6067</v>
      </c>
      <c r="D2674" s="3" t="s">
        <v>6157</v>
      </c>
      <c r="E2674" s="3" t="s">
        <v>5991</v>
      </c>
      <c r="F2674" s="3" t="s">
        <v>8055</v>
      </c>
      <c r="G2674" s="3" t="s">
        <v>4210</v>
      </c>
      <c r="H2674" s="3" t="s">
        <v>2121</v>
      </c>
      <c r="I2674" s="3" t="s">
        <v>6836</v>
      </c>
      <c r="J2674" s="5" t="s">
        <v>9327</v>
      </c>
      <c r="L2674" s="3" t="s">
        <v>3156</v>
      </c>
      <c r="M2674" s="3">
        <v>2</v>
      </c>
      <c r="N2674" s="4" t="s">
        <v>2115</v>
      </c>
      <c r="O2674" s="4">
        <v>142</v>
      </c>
      <c r="P2674" s="11" t="s">
        <v>9771</v>
      </c>
      <c r="Q2674" s="11" t="s">
        <v>10609</v>
      </c>
      <c r="S2674" s="4" t="b">
        <f>ISNUMBER(MATCH(Q2674,T:T,0))</f>
        <v>1</v>
      </c>
      <c r="T2674" s="4" t="s">
        <v>12316</v>
      </c>
      <c r="U2674" s="4" t="str">
        <f t="shared" si="120"/>
        <v>晏</v>
      </c>
    </row>
    <row r="2675" spans="1:22">
      <c r="A2675" s="3">
        <v>2671</v>
      </c>
      <c r="B2675" s="3" t="s">
        <v>2113</v>
      </c>
      <c r="C2675" s="3" t="s">
        <v>6035</v>
      </c>
      <c r="D2675" s="3" t="s">
        <v>6157</v>
      </c>
      <c r="E2675" s="3" t="s">
        <v>5991</v>
      </c>
      <c r="F2675" s="3" t="s">
        <v>8055</v>
      </c>
      <c r="G2675" s="3" t="s">
        <v>4210</v>
      </c>
      <c r="H2675" s="3" t="s">
        <v>2122</v>
      </c>
      <c r="I2675" s="3" t="s">
        <v>6836</v>
      </c>
      <c r="J2675" s="5" t="s">
        <v>2123</v>
      </c>
      <c r="L2675" s="3" t="s">
        <v>2099</v>
      </c>
      <c r="M2675" s="3">
        <v>5</v>
      </c>
      <c r="N2675" s="4" t="s">
        <v>2115</v>
      </c>
      <c r="O2675" s="4">
        <v>142</v>
      </c>
      <c r="P2675" s="11" t="s">
        <v>10434</v>
      </c>
      <c r="Q2675" s="11" t="s">
        <v>10609</v>
      </c>
      <c r="S2675" s="4" t="b">
        <f>ISNUMBER(MATCH(Q2675,T:T,0))</f>
        <v>1</v>
      </c>
      <c r="T2675" s="4" t="s">
        <v>12317</v>
      </c>
      <c r="U2675" s="4" t="str">
        <f t="shared" si="120"/>
        <v>晏</v>
      </c>
    </row>
    <row r="2676" spans="1:22">
      <c r="A2676" s="3">
        <v>2672</v>
      </c>
      <c r="B2676" s="3" t="s">
        <v>2113</v>
      </c>
      <c r="C2676" s="3" t="s">
        <v>6072</v>
      </c>
      <c r="D2676" s="3" t="s">
        <v>6157</v>
      </c>
      <c r="E2676" s="3" t="s">
        <v>6212</v>
      </c>
      <c r="F2676" s="3" t="s">
        <v>8055</v>
      </c>
      <c r="G2676" s="3" t="s">
        <v>4210</v>
      </c>
      <c r="H2676" s="3" t="s">
        <v>2124</v>
      </c>
      <c r="I2676" s="3" t="s">
        <v>6836</v>
      </c>
      <c r="J2676" s="5" t="s">
        <v>9328</v>
      </c>
      <c r="L2676" s="3" t="s">
        <v>5658</v>
      </c>
      <c r="M2676" s="3">
        <v>3</v>
      </c>
      <c r="N2676" s="4" t="s">
        <v>2115</v>
      </c>
      <c r="O2676" s="4">
        <v>142</v>
      </c>
      <c r="P2676" s="11" t="s">
        <v>9734</v>
      </c>
      <c r="Q2676" s="11" t="s">
        <v>10611</v>
      </c>
      <c r="S2676" s="4" t="b">
        <f>ISNUMBER(MATCH(Q2676,T:T,0))</f>
        <v>1</v>
      </c>
      <c r="T2676" s="4" t="s">
        <v>3149</v>
      </c>
      <c r="U2676" s="4" t="str">
        <f t="shared" si="120"/>
        <v>患</v>
      </c>
    </row>
    <row r="2677" spans="1:22">
      <c r="A2677" s="3">
        <v>2673</v>
      </c>
      <c r="B2677" s="3" t="s">
        <v>2113</v>
      </c>
      <c r="C2677" s="3" t="s">
        <v>6067</v>
      </c>
      <c r="D2677" s="3" t="s">
        <v>6157</v>
      </c>
      <c r="E2677" s="3" t="s">
        <v>6212</v>
      </c>
      <c r="F2677" s="3" t="s">
        <v>8055</v>
      </c>
      <c r="G2677" s="3" t="s">
        <v>4210</v>
      </c>
      <c r="H2677" s="3" t="s">
        <v>2125</v>
      </c>
      <c r="I2677" s="3" t="s">
        <v>6836</v>
      </c>
      <c r="J2677" s="5" t="s">
        <v>9329</v>
      </c>
      <c r="L2677" s="3" t="s">
        <v>290</v>
      </c>
      <c r="M2677" s="3">
        <v>9</v>
      </c>
      <c r="N2677" s="4" t="s">
        <v>2115</v>
      </c>
      <c r="O2677" s="4">
        <v>142</v>
      </c>
      <c r="P2677" s="11" t="s">
        <v>9870</v>
      </c>
      <c r="Q2677" s="11" t="s">
        <v>10612</v>
      </c>
      <c r="S2677" s="4" t="b">
        <f>ISNUMBER(MATCH(Q2677,T:T,0))</f>
        <v>1</v>
      </c>
      <c r="T2677" s="4" t="s">
        <v>10611</v>
      </c>
      <c r="U2677" s="4" t="str">
        <f t="shared" si="120"/>
        <v>慣</v>
      </c>
    </row>
    <row r="2678" spans="1:22">
      <c r="A2678" s="3">
        <v>2674</v>
      </c>
      <c r="B2678" s="3" t="s">
        <v>2113</v>
      </c>
      <c r="C2678" s="3" t="s">
        <v>6025</v>
      </c>
      <c r="D2678" s="3" t="s">
        <v>6157</v>
      </c>
      <c r="E2678" s="3" t="s">
        <v>6212</v>
      </c>
      <c r="F2678" s="3" t="s">
        <v>8055</v>
      </c>
      <c r="G2678" s="3" t="s">
        <v>4210</v>
      </c>
      <c r="H2678" s="3" t="s">
        <v>2126</v>
      </c>
      <c r="I2678" s="3" t="s">
        <v>6836</v>
      </c>
      <c r="J2678" s="5" t="s">
        <v>2127</v>
      </c>
      <c r="L2678" s="3" t="s">
        <v>2083</v>
      </c>
      <c r="M2678" s="3">
        <v>6</v>
      </c>
      <c r="N2678" s="4" t="s">
        <v>2115</v>
      </c>
      <c r="O2678" s="4">
        <v>142</v>
      </c>
      <c r="P2678" s="11" t="s">
        <v>9729</v>
      </c>
      <c r="Q2678" s="11" t="s">
        <v>10611</v>
      </c>
      <c r="S2678" s="4" t="b">
        <f>ISNUMBER(MATCH(Q2678,T:T,0))</f>
        <v>1</v>
      </c>
      <c r="T2678" s="4" t="s">
        <v>10612</v>
      </c>
      <c r="U2678" s="4" t="str">
        <f t="shared" si="120"/>
        <v>患</v>
      </c>
    </row>
    <row r="2679" spans="1:22" ht="28.5">
      <c r="A2679" s="3">
        <v>2675</v>
      </c>
      <c r="B2679" s="3" t="s">
        <v>2113</v>
      </c>
      <c r="C2679" s="3" t="s">
        <v>6180</v>
      </c>
      <c r="D2679" s="3" t="s">
        <v>6157</v>
      </c>
      <c r="E2679" s="3" t="s">
        <v>6212</v>
      </c>
      <c r="F2679" s="3" t="s">
        <v>8055</v>
      </c>
      <c r="G2679" s="3" t="s">
        <v>4210</v>
      </c>
      <c r="H2679" s="3" t="s">
        <v>2128</v>
      </c>
      <c r="I2679" s="3" t="s">
        <v>6836</v>
      </c>
      <c r="J2679" s="5" t="s">
        <v>2129</v>
      </c>
      <c r="L2679" s="3" t="s">
        <v>3174</v>
      </c>
      <c r="M2679" s="3">
        <v>2</v>
      </c>
      <c r="N2679" s="4" t="s">
        <v>2115</v>
      </c>
      <c r="O2679" s="4">
        <v>142</v>
      </c>
      <c r="P2679" s="11" t="s">
        <v>6180</v>
      </c>
      <c r="Q2679" s="11" t="s">
        <v>10611</v>
      </c>
      <c r="S2679" s="4" t="b">
        <f>ISNUMBER(MATCH(Q2679,T:T,0))</f>
        <v>1</v>
      </c>
      <c r="T2679" s="4" t="s">
        <v>12318</v>
      </c>
      <c r="U2679" s="4" t="str">
        <f t="shared" si="120"/>
        <v>患</v>
      </c>
    </row>
    <row r="2680" spans="1:22" ht="28.5">
      <c r="A2680" s="3">
        <v>2676</v>
      </c>
      <c r="B2680" s="3" t="s">
        <v>2113</v>
      </c>
      <c r="C2680" s="3" t="s">
        <v>6167</v>
      </c>
      <c r="D2680" s="3" t="s">
        <v>6157</v>
      </c>
      <c r="E2680" s="3" t="s">
        <v>6212</v>
      </c>
      <c r="F2680" s="3" t="s">
        <v>8055</v>
      </c>
      <c r="G2680" s="3" t="s">
        <v>4210</v>
      </c>
      <c r="H2680" s="3" t="s">
        <v>2130</v>
      </c>
      <c r="I2680" s="3" t="s">
        <v>6836</v>
      </c>
      <c r="J2680" s="5" t="s">
        <v>2131</v>
      </c>
      <c r="L2680" s="3" t="s">
        <v>2132</v>
      </c>
      <c r="M2680" s="3">
        <v>1</v>
      </c>
      <c r="N2680" s="4" t="s">
        <v>2115</v>
      </c>
      <c r="O2680" s="4">
        <v>142</v>
      </c>
      <c r="P2680" s="11" t="s">
        <v>6167</v>
      </c>
      <c r="Q2680" s="11" t="s">
        <v>10611</v>
      </c>
      <c r="S2680" s="4" t="b">
        <f>ISNUMBER(MATCH(Q2680,T:T,0))</f>
        <v>1</v>
      </c>
      <c r="T2680" s="4" t="s">
        <v>2131</v>
      </c>
      <c r="U2680" s="4" t="str">
        <f t="shared" si="120"/>
        <v>患</v>
      </c>
    </row>
    <row r="2681" spans="1:22">
      <c r="A2681" s="3">
        <v>2677</v>
      </c>
      <c r="B2681" s="3" t="s">
        <v>2113</v>
      </c>
      <c r="C2681" s="3" t="s">
        <v>6092</v>
      </c>
      <c r="D2681" s="3" t="s">
        <v>6157</v>
      </c>
      <c r="E2681" s="3" t="s">
        <v>6212</v>
      </c>
      <c r="F2681" s="3" t="s">
        <v>8055</v>
      </c>
      <c r="G2681" s="3" t="s">
        <v>4210</v>
      </c>
      <c r="H2681" s="3" t="s">
        <v>2133</v>
      </c>
      <c r="I2681" s="3" t="s">
        <v>6836</v>
      </c>
      <c r="J2681" s="5" t="s">
        <v>2134</v>
      </c>
      <c r="L2681" s="3" t="s">
        <v>5658</v>
      </c>
      <c r="M2681" s="3">
        <v>1</v>
      </c>
      <c r="N2681" s="4" t="s">
        <v>2115</v>
      </c>
      <c r="O2681" s="4">
        <v>142</v>
      </c>
      <c r="P2681" s="11" t="s">
        <v>9740</v>
      </c>
      <c r="Q2681" s="11" t="s">
        <v>10611</v>
      </c>
      <c r="S2681" s="4" t="b">
        <f>ISNUMBER(MATCH(Q2681,T:T,0))</f>
        <v>1</v>
      </c>
      <c r="T2681" s="4" t="s">
        <v>2134</v>
      </c>
      <c r="U2681" s="4" t="str">
        <f t="shared" si="120"/>
        <v>患</v>
      </c>
    </row>
    <row r="2682" spans="1:22">
      <c r="A2682" s="3">
        <v>2678</v>
      </c>
      <c r="B2682" s="3" t="s">
        <v>2113</v>
      </c>
      <c r="C2682" s="3" t="s">
        <v>6015</v>
      </c>
      <c r="D2682" s="3" t="s">
        <v>6157</v>
      </c>
      <c r="E2682" s="3" t="s">
        <v>5991</v>
      </c>
      <c r="F2682" s="3" t="s">
        <v>8055</v>
      </c>
      <c r="G2682" s="3" t="s">
        <v>4210</v>
      </c>
      <c r="H2682" s="3" t="s">
        <v>2135</v>
      </c>
      <c r="I2682" s="3" t="s">
        <v>6836</v>
      </c>
      <c r="J2682" s="5" t="s">
        <v>2136</v>
      </c>
      <c r="L2682" s="3" t="s">
        <v>6960</v>
      </c>
      <c r="M2682" s="3">
        <v>5</v>
      </c>
      <c r="N2682" s="4" t="s">
        <v>2115</v>
      </c>
      <c r="O2682" s="4">
        <v>142</v>
      </c>
      <c r="P2682" s="11" t="s">
        <v>9777</v>
      </c>
      <c r="Q2682" s="11" t="s">
        <v>2115</v>
      </c>
      <c r="S2682" s="4" t="b">
        <f>ISNUMBER(MATCH(Q2682,T:T,0))</f>
        <v>1</v>
      </c>
      <c r="T2682" s="4" t="s">
        <v>12319</v>
      </c>
      <c r="U2682" s="4" t="str">
        <f t="shared" si="120"/>
        <v>諫</v>
      </c>
    </row>
    <row r="2683" spans="1:22">
      <c r="A2683" s="3">
        <v>2679</v>
      </c>
      <c r="B2683" s="3" t="s">
        <v>2113</v>
      </c>
      <c r="C2683" s="3" t="s">
        <v>6053</v>
      </c>
      <c r="D2683" s="3" t="s">
        <v>6157</v>
      </c>
      <c r="E2683" s="3" t="s">
        <v>5991</v>
      </c>
      <c r="F2683" s="3" t="s">
        <v>8055</v>
      </c>
      <c r="G2683" s="3" t="s">
        <v>4210</v>
      </c>
      <c r="H2683" s="3" t="s">
        <v>2137</v>
      </c>
      <c r="I2683" s="3" t="s">
        <v>6836</v>
      </c>
      <c r="J2683" s="5" t="s">
        <v>2138</v>
      </c>
      <c r="L2683" s="3" t="s">
        <v>2103</v>
      </c>
      <c r="M2683" s="3">
        <v>1</v>
      </c>
      <c r="N2683" s="4" t="s">
        <v>2115</v>
      </c>
      <c r="O2683" s="4">
        <v>142</v>
      </c>
      <c r="P2683" s="11" t="s">
        <v>9884</v>
      </c>
      <c r="Q2683" s="11" t="s">
        <v>10611</v>
      </c>
      <c r="S2683" s="4" t="b">
        <f>ISNUMBER(MATCH(Q2683,T:T,0))</f>
        <v>1</v>
      </c>
      <c r="T2683" s="4" t="s">
        <v>2138</v>
      </c>
      <c r="U2683" s="4" t="str">
        <f t="shared" si="120"/>
        <v>患</v>
      </c>
    </row>
    <row r="2684" spans="1:22">
      <c r="A2684" s="3">
        <v>2680</v>
      </c>
      <c r="B2684" s="3" t="s">
        <v>2113</v>
      </c>
      <c r="C2684" s="3" t="s">
        <v>6137</v>
      </c>
      <c r="D2684" s="3" t="s">
        <v>6157</v>
      </c>
      <c r="E2684" s="3" t="s">
        <v>6212</v>
      </c>
      <c r="F2684" s="3" t="s">
        <v>8055</v>
      </c>
      <c r="G2684" s="3" t="s">
        <v>4210</v>
      </c>
      <c r="H2684" s="3" t="s">
        <v>2139</v>
      </c>
      <c r="I2684" s="3" t="s">
        <v>6836</v>
      </c>
      <c r="J2684" s="5" t="s">
        <v>8073</v>
      </c>
      <c r="L2684" s="3" t="s">
        <v>2107</v>
      </c>
      <c r="M2684" s="3">
        <v>1</v>
      </c>
      <c r="N2684" s="4" t="s">
        <v>2115</v>
      </c>
      <c r="O2684" s="4">
        <v>142</v>
      </c>
      <c r="P2684" s="11" t="s">
        <v>9755</v>
      </c>
      <c r="Q2684" s="11" t="s">
        <v>10611</v>
      </c>
      <c r="S2684" s="4" t="b">
        <f>ISNUMBER(MATCH(Q2684,T:T,0))</f>
        <v>1</v>
      </c>
      <c r="T2684" s="4" t="s">
        <v>8073</v>
      </c>
      <c r="U2684" s="4" t="str">
        <f t="shared" si="120"/>
        <v>患</v>
      </c>
    </row>
    <row r="2685" spans="1:22">
      <c r="A2685" s="3">
        <v>2681</v>
      </c>
      <c r="B2685" s="3" t="s">
        <v>2113</v>
      </c>
      <c r="C2685" s="3" t="s">
        <v>6167</v>
      </c>
      <c r="D2685" s="3" t="s">
        <v>6157</v>
      </c>
      <c r="E2685" s="3" t="s">
        <v>5991</v>
      </c>
      <c r="F2685" s="3" t="s">
        <v>8055</v>
      </c>
      <c r="G2685" s="3" t="s">
        <v>4210</v>
      </c>
      <c r="H2685" s="3" t="s">
        <v>2140</v>
      </c>
      <c r="I2685" s="3" t="s">
        <v>6836</v>
      </c>
      <c r="J2685" s="5" t="s">
        <v>2141</v>
      </c>
      <c r="L2685" s="3" t="s">
        <v>2142</v>
      </c>
      <c r="M2685" s="3">
        <v>3</v>
      </c>
      <c r="N2685" s="4" t="s">
        <v>2115</v>
      </c>
      <c r="O2685" s="4">
        <v>142</v>
      </c>
      <c r="P2685" s="11" t="s">
        <v>6167</v>
      </c>
      <c r="Q2685" s="11" t="s">
        <v>10613</v>
      </c>
      <c r="R2685" s="4" t="s">
        <v>13147</v>
      </c>
      <c r="S2685" s="4" t="b">
        <f>ISNUMBER(MATCH(Q2685,T:T,0))</f>
        <v>0</v>
      </c>
      <c r="T2685" s="4" t="s">
        <v>12320</v>
      </c>
      <c r="U2685" s="4" t="str">
        <f t="shared" si="120"/>
        <v>雁</v>
      </c>
      <c r="V2685" s="4" t="b">
        <f>ISNUMBER(MATCH(R2685,T:T,0))</f>
        <v>1</v>
      </c>
    </row>
    <row r="2686" spans="1:22">
      <c r="A2686" s="3">
        <v>2682</v>
      </c>
      <c r="B2686" s="3" t="s">
        <v>2113</v>
      </c>
      <c r="C2686" s="3" t="s">
        <v>6011</v>
      </c>
      <c r="D2686" s="3" t="s">
        <v>6157</v>
      </c>
      <c r="E2686" s="3" t="s">
        <v>5991</v>
      </c>
      <c r="F2686" s="3" t="s">
        <v>8055</v>
      </c>
      <c r="G2686" s="3" t="s">
        <v>4210</v>
      </c>
      <c r="H2686" s="3" t="s">
        <v>2143</v>
      </c>
      <c r="I2686" s="3" t="s">
        <v>6836</v>
      </c>
      <c r="J2686" s="5" t="s">
        <v>2144</v>
      </c>
      <c r="L2686" s="3" t="s">
        <v>2142</v>
      </c>
      <c r="M2686" s="3">
        <v>2</v>
      </c>
      <c r="N2686" s="4" t="s">
        <v>2115</v>
      </c>
      <c r="O2686" s="4">
        <v>142</v>
      </c>
      <c r="P2686" s="11" t="s">
        <v>9757</v>
      </c>
      <c r="Q2686" s="11" t="s">
        <v>10609</v>
      </c>
      <c r="S2686" s="4" t="b">
        <f>ISNUMBER(MATCH(Q2686,T:T,0))</f>
        <v>1</v>
      </c>
      <c r="T2686" s="4" t="s">
        <v>12321</v>
      </c>
      <c r="U2686" s="4" t="str">
        <f t="shared" si="120"/>
        <v>晏</v>
      </c>
    </row>
    <row r="2687" spans="1:22">
      <c r="A2687" s="3">
        <v>2683</v>
      </c>
      <c r="B2687" s="3" t="s">
        <v>823</v>
      </c>
      <c r="C2687" s="3" t="s">
        <v>6025</v>
      </c>
      <c r="D2687" s="3" t="s">
        <v>6157</v>
      </c>
      <c r="E2687" s="3" t="s">
        <v>5991</v>
      </c>
      <c r="F2687" s="3" t="s">
        <v>6836</v>
      </c>
      <c r="G2687" s="3" t="s">
        <v>4210</v>
      </c>
      <c r="H2687" s="3" t="s">
        <v>2145</v>
      </c>
      <c r="I2687" s="3" t="s">
        <v>6836</v>
      </c>
      <c r="J2687" s="8" t="s">
        <v>9330</v>
      </c>
      <c r="L2687" s="3" t="s">
        <v>184</v>
      </c>
      <c r="M2687" s="3">
        <v>6</v>
      </c>
      <c r="N2687" s="4" t="s">
        <v>9667</v>
      </c>
      <c r="O2687" s="4">
        <v>143</v>
      </c>
      <c r="P2687" s="11" t="s">
        <v>9729</v>
      </c>
      <c r="Q2687" s="11" t="s">
        <v>10614</v>
      </c>
      <c r="S2687" s="4" t="b">
        <f>ISNUMBER(MATCH(Q2687,T:T,0))</f>
        <v>1</v>
      </c>
      <c r="T2687" s="4" t="s">
        <v>9667</v>
      </c>
      <c r="U2687" s="4" t="str">
        <f t="shared" si="120"/>
        <v>莧</v>
      </c>
    </row>
    <row r="2688" spans="1:22">
      <c r="A2688" s="3">
        <v>2684</v>
      </c>
      <c r="B2688" s="3" t="s">
        <v>823</v>
      </c>
      <c r="C2688" s="3" t="s">
        <v>6067</v>
      </c>
      <c r="D2688" s="3" t="s">
        <v>6157</v>
      </c>
      <c r="E2688" s="3" t="s">
        <v>5991</v>
      </c>
      <c r="F2688" s="3" t="s">
        <v>6836</v>
      </c>
      <c r="G2688" s="3" t="s">
        <v>4210</v>
      </c>
      <c r="H2688" s="3" t="s">
        <v>824</v>
      </c>
      <c r="I2688" s="3" t="s">
        <v>6836</v>
      </c>
      <c r="J2688" s="5" t="s">
        <v>9331</v>
      </c>
      <c r="L2688" s="3" t="s">
        <v>3156</v>
      </c>
      <c r="M2688" s="3">
        <v>3</v>
      </c>
      <c r="N2688" s="4" t="s">
        <v>9667</v>
      </c>
      <c r="O2688" s="4">
        <v>143</v>
      </c>
      <c r="P2688" s="11" t="s">
        <v>5053</v>
      </c>
      <c r="Q2688" s="11" t="s">
        <v>9667</v>
      </c>
      <c r="S2688" s="4" t="b">
        <f>ISNUMBER(MATCH(Q2688,T:T,0))</f>
        <v>1</v>
      </c>
      <c r="T2688" s="4" t="s">
        <v>10614</v>
      </c>
      <c r="U2688" s="4" t="str">
        <f t="shared" si="120"/>
        <v>襇</v>
      </c>
    </row>
    <row r="2689" spans="1:22">
      <c r="A2689" s="3">
        <v>2685</v>
      </c>
      <c r="B2689" s="3" t="s">
        <v>823</v>
      </c>
      <c r="C2689" s="3" t="s">
        <v>6045</v>
      </c>
      <c r="D2689" s="3" t="s">
        <v>6157</v>
      </c>
      <c r="E2689" s="3" t="s">
        <v>5991</v>
      </c>
      <c r="F2689" s="3" t="s">
        <v>6836</v>
      </c>
      <c r="G2689" s="3" t="s">
        <v>4210</v>
      </c>
      <c r="H2689" s="3" t="s">
        <v>2146</v>
      </c>
      <c r="I2689" s="3" t="s">
        <v>6836</v>
      </c>
      <c r="J2689" s="5" t="s">
        <v>2147</v>
      </c>
      <c r="K2689" s="3" t="s">
        <v>2148</v>
      </c>
      <c r="L2689" s="3" t="s">
        <v>313</v>
      </c>
      <c r="M2689" s="3">
        <v>5</v>
      </c>
      <c r="N2689" s="4" t="s">
        <v>9667</v>
      </c>
      <c r="O2689" s="4">
        <v>143</v>
      </c>
      <c r="P2689" s="11" t="s">
        <v>9965</v>
      </c>
      <c r="Q2689" s="11" t="s">
        <v>10614</v>
      </c>
      <c r="S2689" s="4" t="b">
        <f>ISNUMBER(MATCH(Q2689,T:T,0))</f>
        <v>1</v>
      </c>
      <c r="T2689" s="4" t="s">
        <v>12322</v>
      </c>
      <c r="U2689" s="4" t="str">
        <f t="shared" si="120"/>
        <v>莧</v>
      </c>
    </row>
    <row r="2690" spans="1:22">
      <c r="A2690" s="3">
        <v>2686</v>
      </c>
      <c r="B2690" s="3" t="s">
        <v>823</v>
      </c>
      <c r="C2690" s="3" t="s">
        <v>6053</v>
      </c>
      <c r="D2690" s="3" t="s">
        <v>6157</v>
      </c>
      <c r="E2690" s="3" t="s">
        <v>5991</v>
      </c>
      <c r="F2690" s="3" t="s">
        <v>6836</v>
      </c>
      <c r="G2690" s="3" t="s">
        <v>4210</v>
      </c>
      <c r="H2690" s="3" t="s">
        <v>2149</v>
      </c>
      <c r="I2690" s="3" t="s">
        <v>6836</v>
      </c>
      <c r="J2690" s="5" t="s">
        <v>2150</v>
      </c>
      <c r="L2690" s="3" t="s">
        <v>2103</v>
      </c>
      <c r="M2690" s="3">
        <v>2</v>
      </c>
      <c r="N2690" s="4" t="s">
        <v>9667</v>
      </c>
      <c r="O2690" s="4">
        <v>143</v>
      </c>
      <c r="P2690" s="11" t="s">
        <v>9772</v>
      </c>
      <c r="Q2690" s="11" t="s">
        <v>10614</v>
      </c>
      <c r="S2690" s="4" t="b">
        <f>ISNUMBER(MATCH(Q2690,T:T,0))</f>
        <v>1</v>
      </c>
      <c r="T2690" s="4" t="s">
        <v>12323</v>
      </c>
      <c r="U2690" s="4" t="str">
        <f t="shared" si="120"/>
        <v>莧</v>
      </c>
    </row>
    <row r="2691" spans="1:22">
      <c r="A2691" s="3">
        <v>2687</v>
      </c>
      <c r="B2691" s="3" t="s">
        <v>823</v>
      </c>
      <c r="C2691" s="3" t="s">
        <v>6067</v>
      </c>
      <c r="D2691" s="3" t="s">
        <v>6157</v>
      </c>
      <c r="E2691" s="3" t="s">
        <v>6212</v>
      </c>
      <c r="F2691" s="3" t="s">
        <v>6836</v>
      </c>
      <c r="G2691" s="3" t="s">
        <v>4210</v>
      </c>
      <c r="H2691" s="3" t="s">
        <v>2151</v>
      </c>
      <c r="I2691" s="3" t="s">
        <v>6836</v>
      </c>
      <c r="J2691" s="5" t="s">
        <v>2152</v>
      </c>
      <c r="L2691" s="3" t="s">
        <v>290</v>
      </c>
      <c r="M2691" s="3">
        <v>1</v>
      </c>
      <c r="N2691" s="4" t="s">
        <v>9667</v>
      </c>
      <c r="O2691" s="4">
        <v>143</v>
      </c>
      <c r="P2691" s="11" t="s">
        <v>9870</v>
      </c>
      <c r="Q2691" s="11" t="s">
        <v>10332</v>
      </c>
      <c r="R2691" s="4" t="s">
        <v>13148</v>
      </c>
      <c r="S2691" s="4" t="b">
        <f>ISNUMBER(MATCH(Q2691,T:T,0))</f>
        <v>0</v>
      </c>
      <c r="T2691" s="4" t="s">
        <v>2152</v>
      </c>
      <c r="U2691" s="4" t="str">
        <f t="shared" ref="U2691:U2754" si="122">IF(ISBLANK(R2691),Q2691,R2691)</f>
        <v>瓣</v>
      </c>
      <c r="V2691" s="4" t="b">
        <f>ISNUMBER(MATCH(R2691,T:T,0))</f>
        <v>1</v>
      </c>
    </row>
    <row r="2692" spans="1:22">
      <c r="A2692" s="3">
        <v>2688</v>
      </c>
      <c r="B2692" s="3" t="s">
        <v>823</v>
      </c>
      <c r="C2692" s="3" t="s">
        <v>6035</v>
      </c>
      <c r="D2692" s="3" t="s">
        <v>6157</v>
      </c>
      <c r="E2692" s="3" t="s">
        <v>5991</v>
      </c>
      <c r="F2692" s="3" t="s">
        <v>6836</v>
      </c>
      <c r="G2692" s="3" t="s">
        <v>4210</v>
      </c>
      <c r="H2692" s="3" t="s">
        <v>2153</v>
      </c>
      <c r="I2692" s="3" t="s">
        <v>6836</v>
      </c>
      <c r="J2692" s="8" t="s">
        <v>2154</v>
      </c>
      <c r="L2692" s="3" t="s">
        <v>2099</v>
      </c>
      <c r="M2692" s="3">
        <v>1</v>
      </c>
      <c r="N2692" s="4" t="s">
        <v>9667</v>
      </c>
      <c r="O2692" s="4">
        <v>143</v>
      </c>
      <c r="P2692" s="11" t="s">
        <v>10151</v>
      </c>
      <c r="Q2692" s="11" t="s">
        <v>10614</v>
      </c>
      <c r="S2692" s="4" t="b">
        <f>ISNUMBER(MATCH(Q2692,T:T,0))</f>
        <v>1</v>
      </c>
      <c r="T2692" s="4" t="s">
        <v>2154</v>
      </c>
      <c r="U2692" s="4" t="str">
        <f t="shared" si="122"/>
        <v>莧</v>
      </c>
    </row>
    <row r="2693" spans="1:22">
      <c r="A2693" s="3">
        <v>2689</v>
      </c>
      <c r="B2693" s="3" t="s">
        <v>823</v>
      </c>
      <c r="C2693" s="3" t="s">
        <v>6005</v>
      </c>
      <c r="D2693" s="3" t="s">
        <v>6157</v>
      </c>
      <c r="E2693" s="3" t="s">
        <v>5991</v>
      </c>
      <c r="F2693" s="3" t="s">
        <v>6836</v>
      </c>
      <c r="G2693" s="3" t="s">
        <v>4210</v>
      </c>
      <c r="H2693" s="3" t="s">
        <v>2155</v>
      </c>
      <c r="I2693" s="3" t="s">
        <v>6836</v>
      </c>
      <c r="J2693" s="5" t="s">
        <v>2156</v>
      </c>
      <c r="L2693" s="3" t="s">
        <v>6960</v>
      </c>
      <c r="M2693" s="3">
        <v>3</v>
      </c>
      <c r="N2693" s="4" t="s">
        <v>9667</v>
      </c>
      <c r="O2693" s="4">
        <v>143</v>
      </c>
      <c r="P2693" s="11" t="s">
        <v>10263</v>
      </c>
      <c r="Q2693" s="11" t="s">
        <v>10614</v>
      </c>
      <c r="S2693" s="4" t="b">
        <f>ISNUMBER(MATCH(Q2693,T:T,0))</f>
        <v>1</v>
      </c>
      <c r="T2693" s="4" t="s">
        <v>12324</v>
      </c>
      <c r="U2693" s="4" t="str">
        <f t="shared" si="122"/>
        <v>莧</v>
      </c>
    </row>
    <row r="2694" spans="1:22">
      <c r="A2694" s="3">
        <v>2690</v>
      </c>
      <c r="B2694" s="3" t="s">
        <v>823</v>
      </c>
      <c r="C2694" s="3" t="s">
        <v>6049</v>
      </c>
      <c r="D2694" s="3" t="s">
        <v>6157</v>
      </c>
      <c r="E2694" s="3" t="s">
        <v>5991</v>
      </c>
      <c r="F2694" s="3" t="s">
        <v>6836</v>
      </c>
      <c r="G2694" s="3" t="s">
        <v>4210</v>
      </c>
      <c r="H2694" s="3" t="s">
        <v>2157</v>
      </c>
      <c r="I2694" s="3" t="s">
        <v>6836</v>
      </c>
      <c r="J2694" s="5" t="s">
        <v>5839</v>
      </c>
      <c r="L2694" s="3" t="s">
        <v>313</v>
      </c>
      <c r="M2694" s="3">
        <v>1</v>
      </c>
      <c r="N2694" s="4" t="s">
        <v>9667</v>
      </c>
      <c r="O2694" s="4">
        <v>143</v>
      </c>
      <c r="P2694" s="11" t="s">
        <v>10615</v>
      </c>
      <c r="Q2694" s="11" t="s">
        <v>2152</v>
      </c>
      <c r="S2694" s="4" t="b">
        <f>ISNUMBER(MATCH(Q2694,T:T,0))</f>
        <v>1</v>
      </c>
      <c r="T2694" s="4" t="s">
        <v>5839</v>
      </c>
      <c r="U2694" s="4" t="str">
        <f t="shared" si="122"/>
        <v>幻</v>
      </c>
    </row>
    <row r="2695" spans="1:22">
      <c r="A2695" s="3">
        <v>2691</v>
      </c>
      <c r="B2695" s="3" t="s">
        <v>823</v>
      </c>
      <c r="C2695" s="3" t="s">
        <v>6025</v>
      </c>
      <c r="D2695" s="3" t="s">
        <v>6157</v>
      </c>
      <c r="E2695" s="3" t="s">
        <v>6212</v>
      </c>
      <c r="F2695" s="3" t="s">
        <v>6836</v>
      </c>
      <c r="G2695" s="3" t="s">
        <v>4210</v>
      </c>
      <c r="H2695" s="3" t="s">
        <v>2158</v>
      </c>
      <c r="I2695" s="3" t="s">
        <v>6836</v>
      </c>
      <c r="J2695" s="5" t="s">
        <v>2159</v>
      </c>
      <c r="L2695" s="3" t="s">
        <v>2083</v>
      </c>
      <c r="M2695" s="3">
        <v>1</v>
      </c>
      <c r="N2695" s="4" t="s">
        <v>9667</v>
      </c>
      <c r="O2695" s="4">
        <v>143</v>
      </c>
      <c r="P2695" s="11" t="s">
        <v>9729</v>
      </c>
      <c r="Q2695" s="11" t="s">
        <v>2152</v>
      </c>
      <c r="S2695" s="4" t="b">
        <f>ISNUMBER(MATCH(Q2695,T:T,0))</f>
        <v>1</v>
      </c>
      <c r="T2695" s="4" t="s">
        <v>2159</v>
      </c>
      <c r="U2695" s="4" t="str">
        <f t="shared" si="122"/>
        <v>幻</v>
      </c>
    </row>
    <row r="2696" spans="1:22">
      <c r="A2696" s="3">
        <v>2692</v>
      </c>
      <c r="B2696" s="3" t="s">
        <v>2160</v>
      </c>
      <c r="C2696" s="3" t="s">
        <v>6017</v>
      </c>
      <c r="D2696" s="3" t="s">
        <v>2843</v>
      </c>
      <c r="E2696" s="3" t="s">
        <v>5991</v>
      </c>
      <c r="F2696" s="3" t="s">
        <v>8121</v>
      </c>
      <c r="G2696" s="3" t="s">
        <v>4210</v>
      </c>
      <c r="H2696" s="3" t="s">
        <v>2161</v>
      </c>
      <c r="I2696" s="3" t="s">
        <v>6836</v>
      </c>
      <c r="J2696" s="5" t="s">
        <v>9332</v>
      </c>
      <c r="K2696" s="3" t="s">
        <v>621</v>
      </c>
      <c r="L2696" s="3" t="s">
        <v>3156</v>
      </c>
      <c r="M2696" s="3">
        <v>9</v>
      </c>
      <c r="N2696" s="4" t="s">
        <v>2162</v>
      </c>
      <c r="O2696" s="4">
        <v>144</v>
      </c>
      <c r="P2696" s="11" t="s">
        <v>9741</v>
      </c>
      <c r="Q2696" s="11" t="s">
        <v>10616</v>
      </c>
      <c r="R2696" s="4" t="s">
        <v>13149</v>
      </c>
      <c r="S2696" s="4" t="b">
        <f>ISNUMBER(MATCH(Q2696,T:T,0))</f>
        <v>0</v>
      </c>
      <c r="T2696" s="4" t="s">
        <v>2162</v>
      </c>
      <c r="U2696" s="4" t="str">
        <f t="shared" si="122"/>
        <v>電</v>
      </c>
      <c r="V2696" s="4" t="b">
        <f t="shared" ref="V2696:V2697" si="123">ISNUMBER(MATCH(R2696,T:T,0))</f>
        <v>1</v>
      </c>
    </row>
    <row r="2697" spans="1:22">
      <c r="A2697" s="3">
        <v>2693</v>
      </c>
      <c r="B2697" s="3" t="s">
        <v>2160</v>
      </c>
      <c r="C2697" s="3" t="s">
        <v>6076</v>
      </c>
      <c r="D2697" s="3" t="s">
        <v>2843</v>
      </c>
      <c r="E2697" s="3" t="s">
        <v>5991</v>
      </c>
      <c r="F2697" s="3" t="s">
        <v>8121</v>
      </c>
      <c r="G2697" s="3" t="s">
        <v>4210</v>
      </c>
      <c r="H2697" s="3" t="s">
        <v>2163</v>
      </c>
      <c r="I2697" s="3" t="s">
        <v>6836</v>
      </c>
      <c r="J2697" s="5" t="s">
        <v>2164</v>
      </c>
      <c r="L2697" s="3" t="s">
        <v>2165</v>
      </c>
      <c r="M2697" s="3">
        <v>13</v>
      </c>
      <c r="N2697" s="4" t="s">
        <v>2162</v>
      </c>
      <c r="O2697" s="4">
        <v>144</v>
      </c>
      <c r="P2697" s="11" t="s">
        <v>9735</v>
      </c>
      <c r="Q2697" s="11" t="s">
        <v>10617</v>
      </c>
      <c r="R2697" s="4" t="s">
        <v>13149</v>
      </c>
      <c r="S2697" s="4" t="b">
        <f>ISNUMBER(MATCH(Q2697,T:T,0))</f>
        <v>0</v>
      </c>
      <c r="T2697" s="4" t="s">
        <v>12325</v>
      </c>
      <c r="U2697" s="4" t="str">
        <f t="shared" si="122"/>
        <v>電</v>
      </c>
      <c r="V2697" s="4" t="b">
        <f t="shared" si="123"/>
        <v>1</v>
      </c>
    </row>
    <row r="2698" spans="1:22">
      <c r="A2698" s="3">
        <v>2694</v>
      </c>
      <c r="B2698" s="3" t="s">
        <v>2160</v>
      </c>
      <c r="C2698" s="3" t="s">
        <v>6089</v>
      </c>
      <c r="D2698" s="3" t="s">
        <v>2843</v>
      </c>
      <c r="E2698" s="3" t="s">
        <v>6212</v>
      </c>
      <c r="F2698" s="3" t="s">
        <v>8121</v>
      </c>
      <c r="G2698" s="3" t="s">
        <v>4210</v>
      </c>
      <c r="H2698" s="3" t="s">
        <v>2166</v>
      </c>
      <c r="I2698" s="3" t="s">
        <v>6836</v>
      </c>
      <c r="J2698" s="5" t="s">
        <v>9333</v>
      </c>
      <c r="L2698" s="3" t="s">
        <v>3216</v>
      </c>
      <c r="M2698" s="3">
        <v>8</v>
      </c>
      <c r="N2698" s="4" t="s">
        <v>2162</v>
      </c>
      <c r="O2698" s="4">
        <v>144</v>
      </c>
      <c r="P2698" s="11" t="s">
        <v>9753</v>
      </c>
      <c r="Q2698" s="11" t="s">
        <v>10618</v>
      </c>
      <c r="S2698" s="4" t="b">
        <f>ISNUMBER(MATCH(Q2698,T:T,0))</f>
        <v>1</v>
      </c>
      <c r="T2698" s="4" t="s">
        <v>12326</v>
      </c>
      <c r="U2698" s="4" t="str">
        <f t="shared" si="122"/>
        <v>縣</v>
      </c>
    </row>
    <row r="2699" spans="1:22">
      <c r="A2699" s="3">
        <v>2695</v>
      </c>
      <c r="B2699" s="3" t="s">
        <v>2160</v>
      </c>
      <c r="C2699" s="3" t="s">
        <v>6067</v>
      </c>
      <c r="D2699" s="3" t="s">
        <v>2843</v>
      </c>
      <c r="E2699" s="3" t="s">
        <v>6212</v>
      </c>
      <c r="F2699" s="3" t="s">
        <v>8121</v>
      </c>
      <c r="G2699" s="3" t="s">
        <v>4210</v>
      </c>
      <c r="H2699" s="3" t="s">
        <v>2167</v>
      </c>
      <c r="I2699" s="3" t="s">
        <v>6836</v>
      </c>
      <c r="J2699" s="5" t="s">
        <v>9334</v>
      </c>
      <c r="L2699" s="3" t="s">
        <v>3216</v>
      </c>
      <c r="M2699" s="3">
        <v>15</v>
      </c>
      <c r="N2699" s="4" t="s">
        <v>2162</v>
      </c>
      <c r="O2699" s="4">
        <v>144</v>
      </c>
      <c r="P2699" s="11" t="s">
        <v>10089</v>
      </c>
      <c r="Q2699" s="11" t="s">
        <v>10619</v>
      </c>
      <c r="S2699" s="4" t="b">
        <f>ISNUMBER(MATCH(Q2699,T:T,0))</f>
        <v>1</v>
      </c>
      <c r="T2699" s="4" t="s">
        <v>10618</v>
      </c>
      <c r="U2699" s="4" t="str">
        <f t="shared" si="122"/>
        <v>練</v>
      </c>
    </row>
    <row r="2700" spans="1:22">
      <c r="A2700" s="3">
        <v>2696</v>
      </c>
      <c r="B2700" s="3" t="s">
        <v>2160</v>
      </c>
      <c r="C2700" s="3" t="s">
        <v>6025</v>
      </c>
      <c r="D2700" s="3" t="s">
        <v>2843</v>
      </c>
      <c r="E2700" s="3" t="s">
        <v>6212</v>
      </c>
      <c r="F2700" s="3" t="s">
        <v>8121</v>
      </c>
      <c r="G2700" s="3" t="s">
        <v>4210</v>
      </c>
      <c r="H2700" s="3" t="s">
        <v>2168</v>
      </c>
      <c r="I2700" s="3" t="s">
        <v>6836</v>
      </c>
      <c r="J2700" s="5" t="s">
        <v>9335</v>
      </c>
      <c r="L2700" s="3" t="s">
        <v>198</v>
      </c>
      <c r="M2700" s="3">
        <v>11</v>
      </c>
      <c r="N2700" s="4" t="s">
        <v>2162</v>
      </c>
      <c r="O2700" s="4">
        <v>144</v>
      </c>
      <c r="P2700" s="11" t="s">
        <v>9729</v>
      </c>
      <c r="Q2700" s="11" t="s">
        <v>10618</v>
      </c>
      <c r="S2700" s="4" t="b">
        <f>ISNUMBER(MATCH(Q2700,T:T,0))</f>
        <v>1</v>
      </c>
      <c r="T2700" s="4" t="s">
        <v>12327</v>
      </c>
      <c r="U2700" s="4" t="str">
        <f t="shared" si="122"/>
        <v>縣</v>
      </c>
    </row>
    <row r="2701" spans="1:22" ht="39">
      <c r="A2701" s="3">
        <v>2697</v>
      </c>
      <c r="B2701" s="3" t="s">
        <v>2160</v>
      </c>
      <c r="C2701" s="3" t="s">
        <v>5997</v>
      </c>
      <c r="D2701" s="3" t="s">
        <v>2843</v>
      </c>
      <c r="E2701" s="3" t="s">
        <v>5991</v>
      </c>
      <c r="F2701" s="3" t="s">
        <v>8121</v>
      </c>
      <c r="G2701" s="3" t="s">
        <v>4210</v>
      </c>
      <c r="H2701" s="3" t="s">
        <v>2169</v>
      </c>
      <c r="I2701" s="3" t="s">
        <v>6836</v>
      </c>
      <c r="J2701" s="5" t="s">
        <v>9336</v>
      </c>
      <c r="K2701" s="3" t="s">
        <v>8136</v>
      </c>
      <c r="L2701" s="3" t="s">
        <v>3203</v>
      </c>
      <c r="M2701" s="3">
        <v>18</v>
      </c>
      <c r="N2701" s="4" t="s">
        <v>2162</v>
      </c>
      <c r="O2701" s="4">
        <v>144</v>
      </c>
      <c r="P2701" s="11" t="s">
        <v>10620</v>
      </c>
      <c r="Q2701" s="11" t="s">
        <v>10619</v>
      </c>
      <c r="S2701" s="4" t="b">
        <f>ISNUMBER(MATCH(Q2701,T:T,0))</f>
        <v>1</v>
      </c>
      <c r="T2701" s="4" t="s">
        <v>10621</v>
      </c>
      <c r="U2701" s="4" t="str">
        <f t="shared" si="122"/>
        <v>練</v>
      </c>
    </row>
    <row r="2702" spans="1:22">
      <c r="A2702" s="3">
        <v>2698</v>
      </c>
      <c r="B2702" s="3" t="s">
        <v>2160</v>
      </c>
      <c r="C2702" s="3" t="s">
        <v>6079</v>
      </c>
      <c r="D2702" s="3" t="s">
        <v>2843</v>
      </c>
      <c r="E2702" s="3" t="s">
        <v>5991</v>
      </c>
      <c r="F2702" s="3" t="s">
        <v>8121</v>
      </c>
      <c r="G2702" s="3" t="s">
        <v>4210</v>
      </c>
      <c r="H2702" s="3" t="s">
        <v>2170</v>
      </c>
      <c r="I2702" s="3" t="s">
        <v>6836</v>
      </c>
      <c r="J2702" s="5" t="s">
        <v>9337</v>
      </c>
      <c r="L2702" s="3" t="s">
        <v>2171</v>
      </c>
      <c r="M2702" s="3">
        <v>4</v>
      </c>
      <c r="N2702" s="4" t="s">
        <v>2162</v>
      </c>
      <c r="O2702" s="4">
        <v>144</v>
      </c>
      <c r="P2702" s="11" t="s">
        <v>9736</v>
      </c>
      <c r="Q2702" s="11" t="s">
        <v>10617</v>
      </c>
      <c r="R2702" s="4" t="s">
        <v>13149</v>
      </c>
      <c r="S2702" s="4" t="b">
        <f>ISNUMBER(MATCH(Q2702,T:T,0))</f>
        <v>0</v>
      </c>
      <c r="T2702" s="4" t="s">
        <v>12328</v>
      </c>
      <c r="U2702" s="4" t="str">
        <f t="shared" si="122"/>
        <v>電</v>
      </c>
      <c r="V2702" s="4" t="b">
        <f t="shared" ref="V2702:V2703" si="124">ISNUMBER(MATCH(R2702,T:T,0))</f>
        <v>1</v>
      </c>
    </row>
    <row r="2703" spans="1:22">
      <c r="A2703" s="3">
        <v>2699</v>
      </c>
      <c r="B2703" s="3" t="s">
        <v>2160</v>
      </c>
      <c r="C2703" s="3" t="s">
        <v>6058</v>
      </c>
      <c r="D2703" s="3" t="s">
        <v>2843</v>
      </c>
      <c r="E2703" s="3" t="s">
        <v>5991</v>
      </c>
      <c r="F2703" s="3" t="s">
        <v>8121</v>
      </c>
      <c r="G2703" s="3" t="s">
        <v>4210</v>
      </c>
      <c r="H2703" s="3" t="s">
        <v>2172</v>
      </c>
      <c r="I2703" s="3" t="s">
        <v>6836</v>
      </c>
      <c r="J2703" s="5" t="s">
        <v>9338</v>
      </c>
      <c r="L2703" s="3" t="s">
        <v>2173</v>
      </c>
      <c r="M2703" s="3">
        <v>15</v>
      </c>
      <c r="N2703" s="4" t="s">
        <v>2162</v>
      </c>
      <c r="O2703" s="4">
        <v>144</v>
      </c>
      <c r="P2703" s="11" t="s">
        <v>9886</v>
      </c>
      <c r="Q2703" s="11" t="s">
        <v>10617</v>
      </c>
      <c r="R2703" s="4" t="s">
        <v>13149</v>
      </c>
      <c r="S2703" s="4" t="b">
        <f>ISNUMBER(MATCH(Q2703,T:T,0))</f>
        <v>0</v>
      </c>
      <c r="T2703" s="4" t="s">
        <v>10619</v>
      </c>
      <c r="U2703" s="4" t="str">
        <f t="shared" si="122"/>
        <v>電</v>
      </c>
      <c r="V2703" s="4" t="b">
        <f t="shared" si="124"/>
        <v>1</v>
      </c>
    </row>
    <row r="2704" spans="1:22">
      <c r="A2704" s="3">
        <v>2700</v>
      </c>
      <c r="B2704" s="3" t="s">
        <v>2160</v>
      </c>
      <c r="C2704" s="3" t="s">
        <v>6025</v>
      </c>
      <c r="D2704" s="3" t="s">
        <v>2843</v>
      </c>
      <c r="E2704" s="3" t="s">
        <v>5991</v>
      </c>
      <c r="F2704" s="3" t="s">
        <v>8121</v>
      </c>
      <c r="G2704" s="3" t="s">
        <v>4210</v>
      </c>
      <c r="H2704" s="3" t="s">
        <v>2174</v>
      </c>
      <c r="I2704" s="3" t="s">
        <v>6836</v>
      </c>
      <c r="J2704" s="5" t="s">
        <v>9339</v>
      </c>
      <c r="L2704" s="3" t="s">
        <v>184</v>
      </c>
      <c r="M2704" s="3">
        <v>2</v>
      </c>
      <c r="N2704" s="4" t="s">
        <v>2162</v>
      </c>
      <c r="O2704" s="4">
        <v>144</v>
      </c>
      <c r="P2704" s="11" t="s">
        <v>9729</v>
      </c>
      <c r="Q2704" s="11" t="s">
        <v>10621</v>
      </c>
      <c r="S2704" s="4" t="b">
        <f>ISNUMBER(MATCH(Q2704,T:T,0))</f>
        <v>1</v>
      </c>
      <c r="T2704" s="4" t="s">
        <v>6025</v>
      </c>
      <c r="U2704" s="4" t="str">
        <f t="shared" si="122"/>
        <v>電</v>
      </c>
    </row>
    <row r="2705" spans="1:22">
      <c r="A2705" s="3">
        <v>2701</v>
      </c>
      <c r="B2705" s="3" t="s">
        <v>2160</v>
      </c>
      <c r="C2705" s="3" t="s">
        <v>6102</v>
      </c>
      <c r="D2705" s="3" t="s">
        <v>2843</v>
      </c>
      <c r="E2705" s="3" t="s">
        <v>5991</v>
      </c>
      <c r="F2705" s="3" t="s">
        <v>8121</v>
      </c>
      <c r="G2705" s="3" t="s">
        <v>4210</v>
      </c>
      <c r="H2705" s="3" t="s">
        <v>2175</v>
      </c>
      <c r="I2705" s="3" t="s">
        <v>6836</v>
      </c>
      <c r="J2705" s="5" t="s">
        <v>2176</v>
      </c>
      <c r="L2705" s="3" t="s">
        <v>2177</v>
      </c>
      <c r="M2705" s="3">
        <v>4</v>
      </c>
      <c r="N2705" s="4" t="s">
        <v>2162</v>
      </c>
      <c r="O2705" s="4">
        <v>144</v>
      </c>
      <c r="P2705" s="11" t="s">
        <v>9744</v>
      </c>
      <c r="Q2705" s="11" t="s">
        <v>10617</v>
      </c>
      <c r="R2705" s="4" t="s">
        <v>13149</v>
      </c>
      <c r="S2705" s="4" t="b">
        <f>ISNUMBER(MATCH(Q2705,T:T,0))</f>
        <v>0</v>
      </c>
      <c r="T2705" s="4" t="s">
        <v>12329</v>
      </c>
      <c r="U2705" s="4" t="str">
        <f t="shared" si="122"/>
        <v>電</v>
      </c>
      <c r="V2705" s="4" t="b">
        <f t="shared" ref="V2705:V2713" si="125">ISNUMBER(MATCH(R2705,T:T,0))</f>
        <v>1</v>
      </c>
    </row>
    <row r="2706" spans="1:22">
      <c r="A2706" s="3">
        <v>2702</v>
      </c>
      <c r="B2706" s="3" t="s">
        <v>2160</v>
      </c>
      <c r="C2706" s="3" t="s">
        <v>6038</v>
      </c>
      <c r="D2706" s="3" t="s">
        <v>2843</v>
      </c>
      <c r="E2706" s="3" t="s">
        <v>5991</v>
      </c>
      <c r="F2706" s="3" t="s">
        <v>8121</v>
      </c>
      <c r="G2706" s="3" t="s">
        <v>4210</v>
      </c>
      <c r="H2706" s="3" t="s">
        <v>2178</v>
      </c>
      <c r="I2706" s="3" t="s">
        <v>6836</v>
      </c>
      <c r="J2706" s="5" t="s">
        <v>2179</v>
      </c>
      <c r="K2706" s="3" t="s">
        <v>2180</v>
      </c>
      <c r="L2706" s="3" t="s">
        <v>2165</v>
      </c>
      <c r="M2706" s="3">
        <v>8</v>
      </c>
      <c r="N2706" s="4" t="s">
        <v>2162</v>
      </c>
      <c r="O2706" s="4">
        <v>144</v>
      </c>
      <c r="P2706" s="11" t="s">
        <v>9728</v>
      </c>
      <c r="Q2706" s="11" t="s">
        <v>10617</v>
      </c>
      <c r="R2706" s="4" t="s">
        <v>13149</v>
      </c>
      <c r="S2706" s="4" t="b">
        <f>ISNUMBER(MATCH(Q2706,T:T,0))</f>
        <v>0</v>
      </c>
      <c r="T2706" s="4" t="s">
        <v>12330</v>
      </c>
      <c r="U2706" s="4" t="str">
        <f t="shared" si="122"/>
        <v>電</v>
      </c>
      <c r="V2706" s="4" t="b">
        <f t="shared" si="125"/>
        <v>1</v>
      </c>
    </row>
    <row r="2707" spans="1:22">
      <c r="A2707" s="3">
        <v>2703</v>
      </c>
      <c r="B2707" s="3" t="s">
        <v>2160</v>
      </c>
      <c r="C2707" s="3" t="s">
        <v>6067</v>
      </c>
      <c r="D2707" s="3" t="s">
        <v>2843</v>
      </c>
      <c r="E2707" s="3" t="s">
        <v>5991</v>
      </c>
      <c r="F2707" s="3" t="s">
        <v>8121</v>
      </c>
      <c r="G2707" s="3" t="s">
        <v>4210</v>
      </c>
      <c r="H2707" s="3" t="s">
        <v>2181</v>
      </c>
      <c r="I2707" s="3" t="s">
        <v>6836</v>
      </c>
      <c r="J2707" s="5" t="s">
        <v>2182</v>
      </c>
      <c r="L2707" s="3" t="s">
        <v>3156</v>
      </c>
      <c r="M2707" s="3">
        <v>4</v>
      </c>
      <c r="N2707" s="4" t="s">
        <v>2162</v>
      </c>
      <c r="O2707" s="4">
        <v>144</v>
      </c>
      <c r="P2707" s="11" t="s">
        <v>9870</v>
      </c>
      <c r="Q2707" s="11" t="s">
        <v>10617</v>
      </c>
      <c r="R2707" s="4" t="s">
        <v>13149</v>
      </c>
      <c r="S2707" s="4" t="b">
        <f>ISNUMBER(MATCH(Q2707,T:T,0))</f>
        <v>0</v>
      </c>
      <c r="T2707" s="4" t="s">
        <v>12331</v>
      </c>
      <c r="U2707" s="4" t="str">
        <f t="shared" si="122"/>
        <v>電</v>
      </c>
      <c r="V2707" s="4" t="b">
        <f t="shared" si="125"/>
        <v>1</v>
      </c>
    </row>
    <row r="2708" spans="1:22">
      <c r="A2708" s="3">
        <v>2704</v>
      </c>
      <c r="B2708" s="3" t="s">
        <v>2160</v>
      </c>
      <c r="C2708" s="3" t="s">
        <v>6092</v>
      </c>
      <c r="D2708" s="3" t="s">
        <v>2843</v>
      </c>
      <c r="E2708" s="3" t="s">
        <v>5991</v>
      </c>
      <c r="F2708" s="3" t="s">
        <v>8121</v>
      </c>
      <c r="G2708" s="3" t="s">
        <v>4210</v>
      </c>
      <c r="H2708" s="3" t="s">
        <v>2183</v>
      </c>
      <c r="I2708" s="3" t="s">
        <v>6836</v>
      </c>
      <c r="J2708" s="5" t="s">
        <v>2184</v>
      </c>
      <c r="L2708" s="3" t="s">
        <v>5666</v>
      </c>
      <c r="M2708" s="3">
        <v>6</v>
      </c>
      <c r="N2708" s="4" t="s">
        <v>2162</v>
      </c>
      <c r="O2708" s="4">
        <v>144</v>
      </c>
      <c r="P2708" s="11" t="s">
        <v>9876</v>
      </c>
      <c r="Q2708" s="11" t="s">
        <v>10617</v>
      </c>
      <c r="R2708" s="4" t="s">
        <v>13149</v>
      </c>
      <c r="S2708" s="4" t="b">
        <f>ISNUMBER(MATCH(Q2708,T:T,0))</f>
        <v>0</v>
      </c>
      <c r="T2708" s="4" t="s">
        <v>12332</v>
      </c>
      <c r="U2708" s="4" t="str">
        <f t="shared" si="122"/>
        <v>電</v>
      </c>
      <c r="V2708" s="4" t="b">
        <f t="shared" si="125"/>
        <v>1</v>
      </c>
    </row>
    <row r="2709" spans="1:22">
      <c r="A2709" s="3">
        <v>2705</v>
      </c>
      <c r="B2709" s="3" t="s">
        <v>2160</v>
      </c>
      <c r="C2709" s="3" t="s">
        <v>6072</v>
      </c>
      <c r="D2709" s="3" t="s">
        <v>2843</v>
      </c>
      <c r="E2709" s="3" t="s">
        <v>5991</v>
      </c>
      <c r="F2709" s="3" t="s">
        <v>8121</v>
      </c>
      <c r="G2709" s="3" t="s">
        <v>4210</v>
      </c>
      <c r="H2709" s="3" t="s">
        <v>2185</v>
      </c>
      <c r="I2709" s="3" t="s">
        <v>6836</v>
      </c>
      <c r="J2709" s="5" t="s">
        <v>2186</v>
      </c>
      <c r="L2709" s="3" t="s">
        <v>5666</v>
      </c>
      <c r="M2709" s="3">
        <v>13</v>
      </c>
      <c r="N2709" s="4" t="s">
        <v>2162</v>
      </c>
      <c r="O2709" s="4">
        <v>144</v>
      </c>
      <c r="P2709" s="11" t="s">
        <v>9754</v>
      </c>
      <c r="Q2709" s="11" t="s">
        <v>10617</v>
      </c>
      <c r="R2709" s="4" t="s">
        <v>13149</v>
      </c>
      <c r="S2709" s="4" t="b">
        <f>ISNUMBER(MATCH(Q2709,T:T,0))</f>
        <v>0</v>
      </c>
      <c r="T2709" s="4" t="s">
        <v>12333</v>
      </c>
      <c r="U2709" s="4" t="str">
        <f t="shared" si="122"/>
        <v>電</v>
      </c>
      <c r="V2709" s="4" t="b">
        <f t="shared" si="125"/>
        <v>1</v>
      </c>
    </row>
    <row r="2710" spans="1:22">
      <c r="A2710" s="3">
        <v>2706</v>
      </c>
      <c r="B2710" s="3" t="s">
        <v>2160</v>
      </c>
      <c r="C2710" s="3" t="s">
        <v>6083</v>
      </c>
      <c r="D2710" s="3" t="s">
        <v>2843</v>
      </c>
      <c r="E2710" s="3" t="s">
        <v>5991</v>
      </c>
      <c r="F2710" s="3" t="s">
        <v>8121</v>
      </c>
      <c r="G2710" s="3" t="s">
        <v>4210</v>
      </c>
      <c r="H2710" s="3" t="s">
        <v>2187</v>
      </c>
      <c r="I2710" s="3" t="s">
        <v>6836</v>
      </c>
      <c r="J2710" s="5" t="s">
        <v>2188</v>
      </c>
      <c r="L2710" s="3" t="s">
        <v>184</v>
      </c>
      <c r="M2710" s="3">
        <v>2</v>
      </c>
      <c r="N2710" s="4" t="s">
        <v>2162</v>
      </c>
      <c r="O2710" s="4">
        <v>144</v>
      </c>
      <c r="P2710" s="11" t="s">
        <v>9745</v>
      </c>
      <c r="Q2710" s="11" t="s">
        <v>10617</v>
      </c>
      <c r="R2710" s="4" t="s">
        <v>13149</v>
      </c>
      <c r="S2710" s="4" t="b">
        <f>ISNUMBER(MATCH(Q2710,T:T,0))</f>
        <v>0</v>
      </c>
      <c r="T2710" s="4" t="s">
        <v>12334</v>
      </c>
      <c r="U2710" s="4" t="str">
        <f t="shared" si="122"/>
        <v>電</v>
      </c>
      <c r="V2710" s="4" t="b">
        <f t="shared" si="125"/>
        <v>1</v>
      </c>
    </row>
    <row r="2711" spans="1:22">
      <c r="A2711" s="3">
        <v>2707</v>
      </c>
      <c r="B2711" s="3" t="s">
        <v>2160</v>
      </c>
      <c r="C2711" s="3" t="s">
        <v>6035</v>
      </c>
      <c r="D2711" s="3" t="s">
        <v>2843</v>
      </c>
      <c r="E2711" s="3" t="s">
        <v>5991</v>
      </c>
      <c r="F2711" s="3" t="s">
        <v>8121</v>
      </c>
      <c r="G2711" s="3" t="s">
        <v>4210</v>
      </c>
      <c r="H2711" s="3" t="s">
        <v>2189</v>
      </c>
      <c r="I2711" s="3" t="s">
        <v>6836</v>
      </c>
      <c r="J2711" s="8" t="s">
        <v>9340</v>
      </c>
      <c r="L2711" s="3" t="s">
        <v>2190</v>
      </c>
      <c r="M2711" s="3">
        <v>8</v>
      </c>
      <c r="N2711" s="4" t="s">
        <v>2162</v>
      </c>
      <c r="O2711" s="4">
        <v>144</v>
      </c>
      <c r="P2711" s="11" t="s">
        <v>9719</v>
      </c>
      <c r="Q2711" s="11" t="s">
        <v>10617</v>
      </c>
      <c r="R2711" s="4" t="s">
        <v>13149</v>
      </c>
      <c r="S2711" s="4" t="b">
        <f>ISNUMBER(MATCH(Q2711,T:T,0))</f>
        <v>0</v>
      </c>
      <c r="T2711" s="4" t="s">
        <v>12335</v>
      </c>
      <c r="U2711" s="4" t="str">
        <f t="shared" si="122"/>
        <v>電</v>
      </c>
      <c r="V2711" s="4" t="b">
        <f t="shared" si="125"/>
        <v>1</v>
      </c>
    </row>
    <row r="2712" spans="1:22">
      <c r="A2712" s="3">
        <v>2708</v>
      </c>
      <c r="B2712" s="3" t="s">
        <v>2160</v>
      </c>
      <c r="C2712" s="3" t="s">
        <v>6053</v>
      </c>
      <c r="D2712" s="3" t="s">
        <v>2843</v>
      </c>
      <c r="E2712" s="3" t="s">
        <v>5991</v>
      </c>
      <c r="F2712" s="3" t="s">
        <v>8121</v>
      </c>
      <c r="G2712" s="3" t="s">
        <v>4210</v>
      </c>
      <c r="H2712" s="3" t="s">
        <v>2191</v>
      </c>
      <c r="I2712" s="3" t="s">
        <v>6836</v>
      </c>
      <c r="J2712" s="5" t="s">
        <v>2192</v>
      </c>
      <c r="L2712" s="3" t="s">
        <v>2193</v>
      </c>
      <c r="M2712" s="3">
        <v>3</v>
      </c>
      <c r="N2712" s="4" t="s">
        <v>2162</v>
      </c>
      <c r="O2712" s="4">
        <v>144</v>
      </c>
      <c r="P2712" s="11" t="s">
        <v>9884</v>
      </c>
      <c r="Q2712" s="11" t="s">
        <v>10622</v>
      </c>
      <c r="R2712" s="4" t="s">
        <v>13150</v>
      </c>
      <c r="S2712" s="4" t="b">
        <f>ISNUMBER(MATCH(Q2712,T:T,0))</f>
        <v>0</v>
      </c>
      <c r="T2712" s="4" t="s">
        <v>12336</v>
      </c>
      <c r="U2712" s="4" t="str">
        <f t="shared" si="122"/>
        <v>麫</v>
      </c>
      <c r="V2712" s="4" t="b">
        <f t="shared" si="125"/>
        <v>1</v>
      </c>
    </row>
    <row r="2713" spans="1:22">
      <c r="A2713" s="3">
        <v>2709</v>
      </c>
      <c r="B2713" s="3" t="s">
        <v>2160</v>
      </c>
      <c r="C2713" s="3" t="s">
        <v>6069</v>
      </c>
      <c r="D2713" s="3" t="s">
        <v>2843</v>
      </c>
      <c r="E2713" s="3" t="s">
        <v>5991</v>
      </c>
      <c r="F2713" s="3" t="s">
        <v>8121</v>
      </c>
      <c r="G2713" s="3" t="s">
        <v>4210</v>
      </c>
      <c r="H2713" s="3" t="s">
        <v>2194</v>
      </c>
      <c r="I2713" s="3" t="s">
        <v>6836</v>
      </c>
      <c r="J2713" s="5" t="s">
        <v>9341</v>
      </c>
      <c r="L2713" s="3" t="s">
        <v>184</v>
      </c>
      <c r="M2713" s="3">
        <v>7</v>
      </c>
      <c r="N2713" s="4" t="s">
        <v>2162</v>
      </c>
      <c r="O2713" s="4">
        <v>144</v>
      </c>
      <c r="P2713" s="11" t="s">
        <v>5919</v>
      </c>
      <c r="Q2713" s="11" t="s">
        <v>10617</v>
      </c>
      <c r="R2713" s="4" t="s">
        <v>13149</v>
      </c>
      <c r="S2713" s="4" t="b">
        <f>ISNUMBER(MATCH(Q2713,T:T,0))</f>
        <v>0</v>
      </c>
      <c r="T2713" s="4" t="s">
        <v>12337</v>
      </c>
      <c r="U2713" s="4" t="str">
        <f t="shared" si="122"/>
        <v>電</v>
      </c>
      <c r="V2713" s="4" t="b">
        <f t="shared" si="125"/>
        <v>1</v>
      </c>
    </row>
    <row r="2714" spans="1:22">
      <c r="A2714" s="3">
        <v>2710</v>
      </c>
      <c r="B2714" s="3" t="s">
        <v>2160</v>
      </c>
      <c r="C2714" s="3" t="s">
        <v>6072</v>
      </c>
      <c r="D2714" s="3" t="s">
        <v>2843</v>
      </c>
      <c r="E2714" s="3" t="s">
        <v>6212</v>
      </c>
      <c r="F2714" s="3" t="s">
        <v>8121</v>
      </c>
      <c r="G2714" s="3" t="s">
        <v>4210</v>
      </c>
      <c r="H2714" s="3" t="s">
        <v>2195</v>
      </c>
      <c r="I2714" s="3" t="s">
        <v>6836</v>
      </c>
      <c r="J2714" s="5" t="s">
        <v>2196</v>
      </c>
      <c r="L2714" s="3" t="s">
        <v>5648</v>
      </c>
      <c r="M2714" s="3">
        <v>4</v>
      </c>
      <c r="N2714" s="4" t="s">
        <v>2162</v>
      </c>
      <c r="O2714" s="4">
        <v>144</v>
      </c>
      <c r="P2714" s="11" t="s">
        <v>9734</v>
      </c>
      <c r="Q2714" s="11" t="s">
        <v>10618</v>
      </c>
      <c r="S2714" s="4" t="b">
        <f>ISNUMBER(MATCH(Q2714,T:T,0))</f>
        <v>1</v>
      </c>
      <c r="T2714" s="4" t="s">
        <v>12338</v>
      </c>
      <c r="U2714" s="4" t="str">
        <f t="shared" si="122"/>
        <v>縣</v>
      </c>
    </row>
    <row r="2715" spans="1:22">
      <c r="A2715" s="3">
        <v>2711</v>
      </c>
      <c r="B2715" s="3" t="s">
        <v>2160</v>
      </c>
      <c r="C2715" s="3" t="s">
        <v>5989</v>
      </c>
      <c r="D2715" s="3" t="s">
        <v>2843</v>
      </c>
      <c r="E2715" s="3" t="s">
        <v>5991</v>
      </c>
      <c r="F2715" s="3" t="s">
        <v>8121</v>
      </c>
      <c r="G2715" s="3" t="s">
        <v>4210</v>
      </c>
      <c r="H2715" s="3" t="s">
        <v>2197</v>
      </c>
      <c r="I2715" s="3" t="s">
        <v>6836</v>
      </c>
      <c r="J2715" s="5" t="s">
        <v>2198</v>
      </c>
      <c r="L2715" s="3" t="s">
        <v>3203</v>
      </c>
      <c r="M2715" s="3">
        <v>3</v>
      </c>
      <c r="N2715" s="4" t="s">
        <v>2162</v>
      </c>
      <c r="O2715" s="4">
        <v>144</v>
      </c>
      <c r="P2715" s="11" t="s">
        <v>9742</v>
      </c>
      <c r="Q2715" s="11" t="s">
        <v>10617</v>
      </c>
      <c r="R2715" s="4" t="s">
        <v>13149</v>
      </c>
      <c r="S2715" s="4" t="b">
        <f>ISNUMBER(MATCH(Q2715,T:T,0))</f>
        <v>0</v>
      </c>
      <c r="T2715" s="4" t="s">
        <v>12339</v>
      </c>
      <c r="U2715" s="4" t="str">
        <f t="shared" si="122"/>
        <v>電</v>
      </c>
      <c r="V2715" s="4" t="b">
        <f t="shared" ref="V2715:V2716" si="126">ISNUMBER(MATCH(R2715,T:T,0))</f>
        <v>1</v>
      </c>
    </row>
    <row r="2716" spans="1:22">
      <c r="A2716" s="3">
        <v>2712</v>
      </c>
      <c r="B2716" s="3" t="s">
        <v>2160</v>
      </c>
      <c r="C2716" s="3" t="s">
        <v>6089</v>
      </c>
      <c r="D2716" s="3" t="s">
        <v>2843</v>
      </c>
      <c r="E2716" s="3" t="s">
        <v>5991</v>
      </c>
      <c r="F2716" s="3" t="s">
        <v>8121</v>
      </c>
      <c r="G2716" s="3" t="s">
        <v>4210</v>
      </c>
      <c r="H2716" s="3" t="s">
        <v>2199</v>
      </c>
      <c r="I2716" s="3" t="s">
        <v>6836</v>
      </c>
      <c r="J2716" s="5" t="s">
        <v>2200</v>
      </c>
      <c r="L2716" s="3" t="s">
        <v>3156</v>
      </c>
      <c r="M2716" s="3">
        <v>1</v>
      </c>
      <c r="N2716" s="4" t="s">
        <v>2162</v>
      </c>
      <c r="O2716" s="4">
        <v>144</v>
      </c>
      <c r="P2716" s="11" t="s">
        <v>9739</v>
      </c>
      <c r="Q2716" s="11" t="s">
        <v>10617</v>
      </c>
      <c r="R2716" s="4" t="s">
        <v>13149</v>
      </c>
      <c r="S2716" s="4" t="b">
        <f>ISNUMBER(MATCH(Q2716,T:T,0))</f>
        <v>0</v>
      </c>
      <c r="T2716" s="4" t="s">
        <v>12340</v>
      </c>
      <c r="U2716" s="4" t="str">
        <f t="shared" si="122"/>
        <v>電</v>
      </c>
      <c r="V2716" s="4" t="b">
        <f t="shared" si="126"/>
        <v>1</v>
      </c>
    </row>
    <row r="2717" spans="1:22">
      <c r="A2717" s="3">
        <v>2754</v>
      </c>
      <c r="B2717" s="3" t="s">
        <v>2160</v>
      </c>
      <c r="C2717" s="3" t="s">
        <v>6049</v>
      </c>
      <c r="D2717" s="3" t="s">
        <v>2843</v>
      </c>
      <c r="E2717" s="3" t="s">
        <v>5991</v>
      </c>
      <c r="F2717" s="3" t="s">
        <v>8121</v>
      </c>
      <c r="G2717" s="3" t="s">
        <v>4210</v>
      </c>
      <c r="H2717" s="3" t="s">
        <v>2269</v>
      </c>
      <c r="I2717" s="3" t="s">
        <v>6836</v>
      </c>
      <c r="J2717" s="8" t="s">
        <v>9356</v>
      </c>
      <c r="L2717" s="3" t="s">
        <v>3222</v>
      </c>
      <c r="M2717" s="3">
        <v>2</v>
      </c>
      <c r="N2717" s="4" t="s">
        <v>2162</v>
      </c>
      <c r="O2717" s="4">
        <v>144</v>
      </c>
      <c r="P2717" s="11" t="s">
        <v>9723</v>
      </c>
      <c r="Q2717" s="11" t="s">
        <v>6025</v>
      </c>
      <c r="S2717" s="4" t="b">
        <f>ISNUMBER(MATCH(Q2717,T:T,0))</f>
        <v>1</v>
      </c>
      <c r="T2717" s="4" t="s">
        <v>12360</v>
      </c>
      <c r="U2717" s="4" t="str">
        <f t="shared" si="122"/>
        <v>見</v>
      </c>
    </row>
    <row r="2718" spans="1:22">
      <c r="A2718" s="3">
        <v>2713</v>
      </c>
      <c r="B2718" s="3" t="s">
        <v>2201</v>
      </c>
      <c r="C2718" s="3" t="s">
        <v>6017</v>
      </c>
      <c r="D2718" s="3" t="s">
        <v>6001</v>
      </c>
      <c r="E2718" s="3" t="s">
        <v>5991</v>
      </c>
      <c r="F2718" s="3" t="s">
        <v>8163</v>
      </c>
      <c r="G2718" s="3" t="s">
        <v>4210</v>
      </c>
      <c r="H2718" s="3" t="s">
        <v>2202</v>
      </c>
      <c r="I2718" s="3" t="s">
        <v>6836</v>
      </c>
      <c r="J2718" s="5" t="s">
        <v>9342</v>
      </c>
      <c r="L2718" s="3" t="s">
        <v>3156</v>
      </c>
      <c r="M2718" s="3">
        <v>4</v>
      </c>
      <c r="N2718" s="4" t="s">
        <v>9668</v>
      </c>
      <c r="O2718" s="4">
        <v>145</v>
      </c>
      <c r="P2718" s="11" t="s">
        <v>9746</v>
      </c>
      <c r="Q2718" s="11" t="s">
        <v>10623</v>
      </c>
      <c r="S2718" s="4" t="b">
        <f>ISNUMBER(MATCH(Q2718,T:T,0))</f>
        <v>1</v>
      </c>
      <c r="T2718" s="4" t="s">
        <v>9668</v>
      </c>
      <c r="U2718" s="4" t="str">
        <f t="shared" si="122"/>
        <v>箭</v>
      </c>
    </row>
    <row r="2719" spans="1:22">
      <c r="A2719" s="3">
        <v>2714</v>
      </c>
      <c r="B2719" s="3" t="s">
        <v>2201</v>
      </c>
      <c r="C2719" s="3" t="s">
        <v>6009</v>
      </c>
      <c r="D2719" s="3" t="s">
        <v>6001</v>
      </c>
      <c r="E2719" s="3" t="s">
        <v>5991</v>
      </c>
      <c r="F2719" s="3" t="s">
        <v>8163</v>
      </c>
      <c r="G2719" s="3" t="s">
        <v>4210</v>
      </c>
      <c r="H2719" s="3" t="s">
        <v>2203</v>
      </c>
      <c r="I2719" s="3" t="s">
        <v>6836</v>
      </c>
      <c r="J2719" s="5" t="s">
        <v>2204</v>
      </c>
      <c r="L2719" s="3" t="s">
        <v>6960</v>
      </c>
      <c r="M2719" s="3">
        <v>2</v>
      </c>
      <c r="N2719" s="4" t="s">
        <v>9668</v>
      </c>
      <c r="O2719" s="4">
        <v>145</v>
      </c>
      <c r="P2719" s="11" t="s">
        <v>6396</v>
      </c>
      <c r="Q2719" s="11" t="s">
        <v>10624</v>
      </c>
      <c r="R2719" s="4" t="s">
        <v>13151</v>
      </c>
      <c r="S2719" s="4" t="b">
        <f>ISNUMBER(MATCH(Q2719,T:T,0))</f>
        <v>0</v>
      </c>
      <c r="T2719" s="4" t="s">
        <v>10625</v>
      </c>
      <c r="U2719" s="4" t="str">
        <f t="shared" si="122"/>
        <v>繕</v>
      </c>
      <c r="V2719" s="4" t="b">
        <f>ISNUMBER(MATCH(R2719,T:T,0))</f>
        <v>1</v>
      </c>
    </row>
    <row r="2720" spans="1:22">
      <c r="A2720" s="3">
        <v>2715</v>
      </c>
      <c r="B2720" s="3" t="s">
        <v>2201</v>
      </c>
      <c r="C2720" s="3" t="s">
        <v>6148</v>
      </c>
      <c r="D2720" s="3" t="s">
        <v>6001</v>
      </c>
      <c r="E2720" s="3" t="s">
        <v>5991</v>
      </c>
      <c r="F2720" s="3" t="s">
        <v>8163</v>
      </c>
      <c r="G2720" s="3" t="s">
        <v>4210</v>
      </c>
      <c r="H2720" s="3" t="s">
        <v>2205</v>
      </c>
      <c r="I2720" s="3" t="s">
        <v>6836</v>
      </c>
      <c r="J2720" s="5" t="s">
        <v>9343</v>
      </c>
      <c r="L2720" s="3" t="s">
        <v>3164</v>
      </c>
      <c r="M2720" s="3">
        <v>12</v>
      </c>
      <c r="N2720" s="4" t="s">
        <v>9668</v>
      </c>
      <c r="O2720" s="4">
        <v>145</v>
      </c>
      <c r="P2720" s="11" t="s">
        <v>10190</v>
      </c>
      <c r="Q2720" s="11" t="s">
        <v>10625</v>
      </c>
      <c r="S2720" s="4" t="b">
        <f>ISNUMBER(MATCH(Q2720,T:T,0))</f>
        <v>1</v>
      </c>
      <c r="T2720" s="4" t="s">
        <v>12341</v>
      </c>
      <c r="U2720" s="4" t="str">
        <f t="shared" si="122"/>
        <v>戰</v>
      </c>
    </row>
    <row r="2721" spans="1:21">
      <c r="A2721" s="3">
        <v>2716</v>
      </c>
      <c r="B2721" s="3" t="s">
        <v>2201</v>
      </c>
      <c r="C2721" s="3" t="s">
        <v>6092</v>
      </c>
      <c r="D2721" s="3" t="s">
        <v>6001</v>
      </c>
      <c r="E2721" s="3" t="s">
        <v>5991</v>
      </c>
      <c r="F2721" s="3" t="s">
        <v>8177</v>
      </c>
      <c r="G2721" s="3" t="s">
        <v>4210</v>
      </c>
      <c r="H2721" s="3" t="s">
        <v>2206</v>
      </c>
      <c r="I2721" s="3" t="s">
        <v>6836</v>
      </c>
      <c r="J2721" s="5" t="s">
        <v>9344</v>
      </c>
      <c r="L2721" s="3" t="s">
        <v>5666</v>
      </c>
      <c r="M2721" s="3">
        <v>6</v>
      </c>
      <c r="N2721" s="4" t="s">
        <v>9668</v>
      </c>
      <c r="O2721" s="4">
        <v>145</v>
      </c>
      <c r="P2721" s="11" t="s">
        <v>6462</v>
      </c>
      <c r="Q2721" s="11" t="s">
        <v>2236</v>
      </c>
      <c r="S2721" s="4" t="b">
        <f>ISNUMBER(MATCH(Q2721,T:T,0))</f>
        <v>1</v>
      </c>
      <c r="T2721" s="4" t="s">
        <v>12342</v>
      </c>
      <c r="U2721" s="4" t="str">
        <f t="shared" si="122"/>
        <v>變</v>
      </c>
    </row>
    <row r="2722" spans="1:21">
      <c r="A2722" s="3">
        <v>2717</v>
      </c>
      <c r="B2722" s="3" t="s">
        <v>2201</v>
      </c>
      <c r="C2722" s="3" t="s">
        <v>6038</v>
      </c>
      <c r="D2722" s="3" t="s">
        <v>6001</v>
      </c>
      <c r="E2722" s="3" t="s">
        <v>5991</v>
      </c>
      <c r="F2722" s="3" t="s">
        <v>8163</v>
      </c>
      <c r="G2722" s="3" t="s">
        <v>4210</v>
      </c>
      <c r="H2722" s="3" t="s">
        <v>2207</v>
      </c>
      <c r="I2722" s="3" t="s">
        <v>6836</v>
      </c>
      <c r="J2722" s="5" t="s">
        <v>9345</v>
      </c>
      <c r="L2722" s="3" t="s">
        <v>2165</v>
      </c>
      <c r="M2722" s="3">
        <v>5</v>
      </c>
      <c r="N2722" s="4" t="s">
        <v>9668</v>
      </c>
      <c r="O2722" s="4">
        <v>145</v>
      </c>
      <c r="P2722" s="11" t="s">
        <v>4210</v>
      </c>
      <c r="Q2722" s="11" t="s">
        <v>10625</v>
      </c>
      <c r="S2722" s="4" t="b">
        <f>ISNUMBER(MATCH(Q2722,T:T,0))</f>
        <v>1</v>
      </c>
      <c r="T2722" s="4" t="s">
        <v>12343</v>
      </c>
      <c r="U2722" s="4" t="str">
        <f t="shared" si="122"/>
        <v>戰</v>
      </c>
    </row>
    <row r="2723" spans="1:21">
      <c r="A2723" s="3">
        <v>2718</v>
      </c>
      <c r="B2723" s="3" t="s">
        <v>2201</v>
      </c>
      <c r="C2723" s="3" t="s">
        <v>6025</v>
      </c>
      <c r="D2723" s="3" t="s">
        <v>6001</v>
      </c>
      <c r="E2723" s="3" t="s">
        <v>6212</v>
      </c>
      <c r="F2723" s="3" t="s">
        <v>8163</v>
      </c>
      <c r="G2723" s="3" t="s">
        <v>4210</v>
      </c>
      <c r="H2723" s="3" t="s">
        <v>2208</v>
      </c>
      <c r="I2723" s="3" t="s">
        <v>6836</v>
      </c>
      <c r="J2723" s="5" t="s">
        <v>2209</v>
      </c>
      <c r="L2723" s="3" t="s">
        <v>198</v>
      </c>
      <c r="M2723" s="3">
        <v>5</v>
      </c>
      <c r="N2723" s="4" t="s">
        <v>9668</v>
      </c>
      <c r="O2723" s="4">
        <v>145</v>
      </c>
      <c r="P2723" s="11" t="s">
        <v>10626</v>
      </c>
      <c r="Q2723" s="11" t="s">
        <v>10627</v>
      </c>
      <c r="S2723" s="4" t="b">
        <f>ISNUMBER(MATCH(Q2723,T:T,0))</f>
        <v>1</v>
      </c>
      <c r="T2723" s="4" t="s">
        <v>10629</v>
      </c>
      <c r="U2723" s="4" t="str">
        <f t="shared" si="122"/>
        <v>掾</v>
      </c>
    </row>
    <row r="2724" spans="1:21">
      <c r="A2724" s="3">
        <v>2719</v>
      </c>
      <c r="B2724" s="3" t="s">
        <v>2201</v>
      </c>
      <c r="C2724" s="3" t="s">
        <v>6032</v>
      </c>
      <c r="D2724" s="3" t="s">
        <v>6001</v>
      </c>
      <c r="E2724" s="3" t="s">
        <v>6212</v>
      </c>
      <c r="F2724" s="3" t="s">
        <v>8177</v>
      </c>
      <c r="G2724" s="3" t="s">
        <v>4210</v>
      </c>
      <c r="H2724" s="3" t="s">
        <v>2210</v>
      </c>
      <c r="I2724" s="3" t="s">
        <v>6836</v>
      </c>
      <c r="J2724" s="5" t="s">
        <v>2211</v>
      </c>
      <c r="L2724" s="3" t="s">
        <v>5648</v>
      </c>
      <c r="M2724" s="3">
        <v>5</v>
      </c>
      <c r="N2724" s="4" t="s">
        <v>9668</v>
      </c>
      <c r="O2724" s="4">
        <v>145</v>
      </c>
      <c r="P2724" s="11" t="s">
        <v>9949</v>
      </c>
      <c r="Q2724" s="11" t="s">
        <v>10628</v>
      </c>
      <c r="S2724" s="4" t="b">
        <f>ISNUMBER(MATCH(Q2724,T:T,0))</f>
        <v>1</v>
      </c>
      <c r="T2724" s="4" t="s">
        <v>12344</v>
      </c>
      <c r="U2724" s="4" t="str">
        <f t="shared" si="122"/>
        <v>眷</v>
      </c>
    </row>
    <row r="2725" spans="1:21">
      <c r="A2725" s="3">
        <v>2720</v>
      </c>
      <c r="B2725" s="3" t="s">
        <v>2201</v>
      </c>
      <c r="C2725" s="3" t="s">
        <v>6035</v>
      </c>
      <c r="D2725" s="3" t="s">
        <v>6001</v>
      </c>
      <c r="E2725" s="3" t="s">
        <v>5991</v>
      </c>
      <c r="F2725" s="3" t="s">
        <v>8163</v>
      </c>
      <c r="G2725" s="3" t="s">
        <v>4210</v>
      </c>
      <c r="H2725" s="3" t="s">
        <v>2212</v>
      </c>
      <c r="I2725" s="3" t="s">
        <v>6836</v>
      </c>
      <c r="J2725" s="5" t="s">
        <v>2213</v>
      </c>
      <c r="L2725" s="3" t="s">
        <v>2190</v>
      </c>
      <c r="M2725" s="3">
        <v>2</v>
      </c>
      <c r="N2725" s="4" t="s">
        <v>9668</v>
      </c>
      <c r="O2725" s="4">
        <v>145</v>
      </c>
      <c r="P2725" s="11" t="s">
        <v>9941</v>
      </c>
      <c r="Q2725" s="11" t="s">
        <v>10623</v>
      </c>
      <c r="S2725" s="4" t="b">
        <f>ISNUMBER(MATCH(Q2725,T:T,0))</f>
        <v>1</v>
      </c>
      <c r="T2725" s="4" t="s">
        <v>10635</v>
      </c>
      <c r="U2725" s="4" t="str">
        <f t="shared" si="122"/>
        <v>箭</v>
      </c>
    </row>
    <row r="2726" spans="1:21" ht="28.5">
      <c r="A2726" s="3">
        <v>2721</v>
      </c>
      <c r="B2726" s="3" t="s">
        <v>2201</v>
      </c>
      <c r="C2726" s="3" t="s">
        <v>6055</v>
      </c>
      <c r="D2726" s="3" t="s">
        <v>6001</v>
      </c>
      <c r="E2726" s="3" t="s">
        <v>6212</v>
      </c>
      <c r="F2726" s="3" t="s">
        <v>8163</v>
      </c>
      <c r="G2726" s="3" t="s">
        <v>4210</v>
      </c>
      <c r="H2726" s="3" t="s">
        <v>2214</v>
      </c>
      <c r="I2726" s="3" t="s">
        <v>6836</v>
      </c>
      <c r="J2726" s="5" t="s">
        <v>2215</v>
      </c>
      <c r="L2726" s="3" t="s">
        <v>2132</v>
      </c>
      <c r="M2726" s="3">
        <v>4</v>
      </c>
      <c r="N2726" s="4" t="s">
        <v>9668</v>
      </c>
      <c r="O2726" s="4">
        <v>145</v>
      </c>
      <c r="P2726" s="11" t="s">
        <v>9749</v>
      </c>
      <c r="Q2726" s="11" t="s">
        <v>10629</v>
      </c>
      <c r="S2726" s="4" t="b">
        <f>ISNUMBER(MATCH(Q2726,T:T,0))</f>
        <v>1</v>
      </c>
      <c r="T2726" s="4" t="s">
        <v>10636</v>
      </c>
      <c r="U2726" s="4" t="str">
        <f t="shared" si="122"/>
        <v>絹</v>
      </c>
    </row>
    <row r="2727" spans="1:21">
      <c r="A2727" s="3">
        <v>2722</v>
      </c>
      <c r="B2727" s="3" t="s">
        <v>2201</v>
      </c>
      <c r="C2727" s="3" t="s">
        <v>6028</v>
      </c>
      <c r="D2727" s="3" t="s">
        <v>6001</v>
      </c>
      <c r="E2727" s="3" t="s">
        <v>6212</v>
      </c>
      <c r="F2727" s="3" t="s">
        <v>8163</v>
      </c>
      <c r="G2727" s="3" t="s">
        <v>4210</v>
      </c>
      <c r="H2727" s="3" t="s">
        <v>2216</v>
      </c>
      <c r="I2727" s="3" t="s">
        <v>6836</v>
      </c>
      <c r="J2727" s="5" t="s">
        <v>9346</v>
      </c>
      <c r="L2727" s="3" t="s">
        <v>5648</v>
      </c>
      <c r="M2727" s="3">
        <v>4</v>
      </c>
      <c r="N2727" s="4" t="s">
        <v>9668</v>
      </c>
      <c r="O2727" s="4">
        <v>145</v>
      </c>
      <c r="P2727" s="11" t="s">
        <v>6028</v>
      </c>
      <c r="Q2727" s="11" t="s">
        <v>10629</v>
      </c>
      <c r="S2727" s="4" t="b">
        <f>ISNUMBER(MATCH(Q2727,T:T,0))</f>
        <v>1</v>
      </c>
      <c r="T2727" s="4" t="s">
        <v>10627</v>
      </c>
      <c r="U2727" s="4" t="str">
        <f t="shared" si="122"/>
        <v>絹</v>
      </c>
    </row>
    <row r="2728" spans="1:21">
      <c r="A2728" s="3">
        <v>2723</v>
      </c>
      <c r="B2728" s="3" t="s">
        <v>2201</v>
      </c>
      <c r="C2728" s="3" t="s">
        <v>6000</v>
      </c>
      <c r="D2728" s="3" t="s">
        <v>6001</v>
      </c>
      <c r="E2728" s="3" t="s">
        <v>5991</v>
      </c>
      <c r="F2728" s="3" t="s">
        <v>8177</v>
      </c>
      <c r="G2728" s="3" t="s">
        <v>4210</v>
      </c>
      <c r="H2728" s="3" t="s">
        <v>2217</v>
      </c>
      <c r="I2728" s="3" t="s">
        <v>6836</v>
      </c>
      <c r="J2728" s="5" t="s">
        <v>2218</v>
      </c>
      <c r="L2728" s="3" t="s">
        <v>6960</v>
      </c>
      <c r="M2728" s="3">
        <v>3</v>
      </c>
      <c r="N2728" s="4" t="s">
        <v>9668</v>
      </c>
      <c r="O2728" s="4">
        <v>145</v>
      </c>
      <c r="P2728" s="11" t="s">
        <v>9707</v>
      </c>
      <c r="Q2728" s="11" t="s">
        <v>10630</v>
      </c>
      <c r="S2728" s="4" t="b">
        <f>ISNUMBER(MATCH(Q2728,T:T,0))</f>
        <v>1</v>
      </c>
      <c r="T2728" s="4" t="s">
        <v>12345</v>
      </c>
      <c r="U2728" s="4" t="str">
        <f t="shared" si="122"/>
        <v>扇</v>
      </c>
    </row>
    <row r="2729" spans="1:21">
      <c r="A2729" s="3">
        <v>2724</v>
      </c>
      <c r="B2729" s="3" t="s">
        <v>2201</v>
      </c>
      <c r="C2729" s="3" t="s">
        <v>6021</v>
      </c>
      <c r="D2729" s="3" t="s">
        <v>6001</v>
      </c>
      <c r="E2729" s="3" t="s">
        <v>6212</v>
      </c>
      <c r="F2729" s="3" t="s">
        <v>8163</v>
      </c>
      <c r="G2729" s="3" t="s">
        <v>4210</v>
      </c>
      <c r="H2729" s="3" t="s">
        <v>2219</v>
      </c>
      <c r="I2729" s="3" t="s">
        <v>6836</v>
      </c>
      <c r="J2729" s="5" t="s">
        <v>2220</v>
      </c>
      <c r="L2729" s="3" t="s">
        <v>2221</v>
      </c>
      <c r="M2729" s="3">
        <v>1</v>
      </c>
      <c r="N2729" s="4" t="s">
        <v>9668</v>
      </c>
      <c r="O2729" s="4">
        <v>145</v>
      </c>
      <c r="P2729" s="11" t="s">
        <v>9798</v>
      </c>
      <c r="Q2729" s="11" t="s">
        <v>10629</v>
      </c>
      <c r="S2729" s="4" t="b">
        <f>ISNUMBER(MATCH(Q2729,T:T,0))</f>
        <v>1</v>
      </c>
      <c r="T2729" s="4" t="s">
        <v>2220</v>
      </c>
      <c r="U2729" s="4" t="str">
        <f t="shared" si="122"/>
        <v>絹</v>
      </c>
    </row>
    <row r="2730" spans="1:21">
      <c r="A2730" s="3">
        <v>2725</v>
      </c>
      <c r="B2730" s="3" t="s">
        <v>2201</v>
      </c>
      <c r="C2730" s="3" t="s">
        <v>6083</v>
      </c>
      <c r="D2730" s="3" t="s">
        <v>6001</v>
      </c>
      <c r="E2730" s="3" t="s">
        <v>5991</v>
      </c>
      <c r="F2730" s="3" t="s">
        <v>8163</v>
      </c>
      <c r="G2730" s="3" t="s">
        <v>4210</v>
      </c>
      <c r="H2730" s="3" t="s">
        <v>2222</v>
      </c>
      <c r="I2730" s="3" t="s">
        <v>6836</v>
      </c>
      <c r="J2730" s="5" t="s">
        <v>2223</v>
      </c>
      <c r="L2730" s="3" t="s">
        <v>184</v>
      </c>
      <c r="M2730" s="3">
        <v>9</v>
      </c>
      <c r="N2730" s="4" t="s">
        <v>9668</v>
      </c>
      <c r="O2730" s="4">
        <v>145</v>
      </c>
      <c r="P2730" s="11" t="s">
        <v>9737</v>
      </c>
      <c r="Q2730" s="11" t="s">
        <v>10631</v>
      </c>
      <c r="S2730" s="4" t="b">
        <f>ISNUMBER(MATCH(Q2730,T:T,0))</f>
        <v>1</v>
      </c>
      <c r="T2730" s="4" t="s">
        <v>10623</v>
      </c>
      <c r="U2730" s="4" t="str">
        <f t="shared" si="122"/>
        <v>賤</v>
      </c>
    </row>
    <row r="2731" spans="1:21">
      <c r="A2731" s="3">
        <v>2726</v>
      </c>
      <c r="B2731" s="3" t="s">
        <v>2201</v>
      </c>
      <c r="C2731" s="3" t="s">
        <v>6055</v>
      </c>
      <c r="D2731" s="3" t="s">
        <v>6001</v>
      </c>
      <c r="E2731" s="3" t="s">
        <v>5991</v>
      </c>
      <c r="F2731" s="3" t="s">
        <v>8163</v>
      </c>
      <c r="G2731" s="3" t="s">
        <v>4210</v>
      </c>
      <c r="H2731" s="3" t="s">
        <v>2224</v>
      </c>
      <c r="I2731" s="3" t="s">
        <v>6836</v>
      </c>
      <c r="J2731" s="8" t="s">
        <v>2225</v>
      </c>
      <c r="L2731" s="3" t="s">
        <v>2142</v>
      </c>
      <c r="M2731" s="3">
        <v>1</v>
      </c>
      <c r="N2731" s="4" t="s">
        <v>9668</v>
      </c>
      <c r="O2731" s="4">
        <v>145</v>
      </c>
      <c r="P2731" s="11" t="s">
        <v>6055</v>
      </c>
      <c r="Q2731" s="11" t="s">
        <v>10625</v>
      </c>
      <c r="S2731" s="4" t="b">
        <f>ISNUMBER(MATCH(Q2731,T:T,0))</f>
        <v>1</v>
      </c>
      <c r="T2731" s="4" t="s">
        <v>2225</v>
      </c>
      <c r="U2731" s="4" t="str">
        <f t="shared" si="122"/>
        <v>戰</v>
      </c>
    </row>
    <row r="2732" spans="1:21">
      <c r="A2732" s="3">
        <v>2727</v>
      </c>
      <c r="B2732" s="3" t="s">
        <v>2201</v>
      </c>
      <c r="C2732" s="3" t="s">
        <v>6120</v>
      </c>
      <c r="D2732" s="3" t="s">
        <v>6001</v>
      </c>
      <c r="E2732" s="3" t="s">
        <v>5991</v>
      </c>
      <c r="F2732" s="3" t="s">
        <v>8163</v>
      </c>
      <c r="G2732" s="3" t="s">
        <v>4210</v>
      </c>
      <c r="H2732" s="3" t="s">
        <v>2226</v>
      </c>
      <c r="I2732" s="3" t="s">
        <v>6836</v>
      </c>
      <c r="J2732" s="5" t="s">
        <v>2227</v>
      </c>
      <c r="L2732" s="3" t="s">
        <v>3164</v>
      </c>
      <c r="M2732" s="3">
        <v>4</v>
      </c>
      <c r="N2732" s="4" t="s">
        <v>9668</v>
      </c>
      <c r="O2732" s="4">
        <v>145</v>
      </c>
      <c r="P2732" s="11" t="s">
        <v>9793</v>
      </c>
      <c r="Q2732" s="11" t="s">
        <v>10625</v>
      </c>
      <c r="S2732" s="4" t="b">
        <f>ISNUMBER(MATCH(Q2732,T:T,0))</f>
        <v>1</v>
      </c>
      <c r="T2732" s="4" t="s">
        <v>10630</v>
      </c>
      <c r="U2732" s="4" t="str">
        <f t="shared" si="122"/>
        <v>戰</v>
      </c>
    </row>
    <row r="2733" spans="1:21">
      <c r="A2733" s="3">
        <v>2728</v>
      </c>
      <c r="B2733" s="3" t="s">
        <v>2201</v>
      </c>
      <c r="C2733" s="3" t="s">
        <v>6072</v>
      </c>
      <c r="D2733" s="3" t="s">
        <v>6001</v>
      </c>
      <c r="E2733" s="3" t="s">
        <v>5991</v>
      </c>
      <c r="F2733" s="3" t="s">
        <v>8163</v>
      </c>
      <c r="G2733" s="3" t="s">
        <v>4210</v>
      </c>
      <c r="H2733" s="3" t="s">
        <v>2228</v>
      </c>
      <c r="I2733" s="3" t="s">
        <v>6836</v>
      </c>
      <c r="J2733" s="5" t="s">
        <v>2229</v>
      </c>
      <c r="L2733" s="3" t="s">
        <v>5666</v>
      </c>
      <c r="M2733" s="3">
        <v>3</v>
      </c>
      <c r="N2733" s="4" t="s">
        <v>9668</v>
      </c>
      <c r="O2733" s="4">
        <v>145</v>
      </c>
      <c r="P2733" s="11" t="s">
        <v>9754</v>
      </c>
      <c r="Q2733" s="11" t="s">
        <v>10630</v>
      </c>
      <c r="S2733" s="4" t="b">
        <f>ISNUMBER(MATCH(Q2733,T:T,0))</f>
        <v>1</v>
      </c>
      <c r="T2733" s="4" t="s">
        <v>12346</v>
      </c>
      <c r="U2733" s="4" t="str">
        <f t="shared" si="122"/>
        <v>扇</v>
      </c>
    </row>
    <row r="2734" spans="1:21">
      <c r="A2734" s="3">
        <v>2729</v>
      </c>
      <c r="B2734" s="3" t="s">
        <v>2201</v>
      </c>
      <c r="C2734" s="3" t="s">
        <v>6025</v>
      </c>
      <c r="D2734" s="3" t="s">
        <v>6001</v>
      </c>
      <c r="E2734" s="3" t="s">
        <v>6212</v>
      </c>
      <c r="F2734" s="3" t="s">
        <v>8177</v>
      </c>
      <c r="G2734" s="3" t="s">
        <v>4210</v>
      </c>
      <c r="H2734" s="3" t="s">
        <v>2230</v>
      </c>
      <c r="I2734" s="3" t="s">
        <v>6836</v>
      </c>
      <c r="J2734" s="5" t="s">
        <v>9347</v>
      </c>
      <c r="L2734" s="3" t="s">
        <v>198</v>
      </c>
      <c r="M2734" s="3">
        <v>15</v>
      </c>
      <c r="N2734" s="4" t="s">
        <v>9668</v>
      </c>
      <c r="O2734" s="4">
        <v>145</v>
      </c>
      <c r="P2734" s="11" t="s">
        <v>9717</v>
      </c>
      <c r="Q2734" s="11" t="s">
        <v>10632</v>
      </c>
      <c r="S2734" s="4" t="b">
        <f>ISNUMBER(MATCH(Q2734,T:T,0))</f>
        <v>1</v>
      </c>
      <c r="T2734" s="4" t="s">
        <v>10628</v>
      </c>
      <c r="U2734" s="4" t="str">
        <f t="shared" si="122"/>
        <v>倦</v>
      </c>
    </row>
    <row r="2735" spans="1:21">
      <c r="A2735" s="3">
        <v>2730</v>
      </c>
      <c r="B2735" s="3" t="s">
        <v>2201</v>
      </c>
      <c r="C2735" s="3" t="s">
        <v>6041</v>
      </c>
      <c r="D2735" s="3" t="s">
        <v>6001</v>
      </c>
      <c r="E2735" s="3" t="s">
        <v>6212</v>
      </c>
      <c r="F2735" s="3" t="s">
        <v>8177</v>
      </c>
      <c r="G2735" s="3" t="s">
        <v>4210</v>
      </c>
      <c r="H2735" s="3" t="s">
        <v>2231</v>
      </c>
      <c r="I2735" s="3" t="s">
        <v>6836</v>
      </c>
      <c r="J2735" s="5" t="s">
        <v>9348</v>
      </c>
      <c r="L2735" s="3" t="s">
        <v>198</v>
      </c>
      <c r="M2735" s="3">
        <v>5</v>
      </c>
      <c r="N2735" s="4" t="s">
        <v>9668</v>
      </c>
      <c r="O2735" s="4">
        <v>145</v>
      </c>
      <c r="P2735" s="11" t="s">
        <v>9721</v>
      </c>
      <c r="Q2735" s="11" t="s">
        <v>10633</v>
      </c>
      <c r="S2735" s="4" t="b">
        <f>ISNUMBER(MATCH(Q2735,T:T,0))</f>
        <v>1</v>
      </c>
      <c r="T2735" s="4" t="s">
        <v>10632</v>
      </c>
      <c r="U2735" s="4" t="str">
        <f t="shared" si="122"/>
        <v>卷</v>
      </c>
    </row>
    <row r="2736" spans="1:21">
      <c r="A2736" s="3">
        <v>2731</v>
      </c>
      <c r="B2736" s="3" t="s">
        <v>2201</v>
      </c>
      <c r="C2736" s="3" t="s">
        <v>6058</v>
      </c>
      <c r="D2736" s="3" t="s">
        <v>6001</v>
      </c>
      <c r="E2736" s="3" t="s">
        <v>6212</v>
      </c>
      <c r="F2736" s="3" t="s">
        <v>8163</v>
      </c>
      <c r="G2736" s="3" t="s">
        <v>4210</v>
      </c>
      <c r="H2736" s="3" t="s">
        <v>2232</v>
      </c>
      <c r="I2736" s="3" t="s">
        <v>6836</v>
      </c>
      <c r="J2736" s="5" t="s">
        <v>9349</v>
      </c>
      <c r="L2736" s="3" t="s">
        <v>2090</v>
      </c>
      <c r="M2736" s="3">
        <v>4</v>
      </c>
      <c r="N2736" s="4" t="s">
        <v>9668</v>
      </c>
      <c r="O2736" s="4">
        <v>145</v>
      </c>
      <c r="P2736" s="11" t="s">
        <v>9727</v>
      </c>
      <c r="Q2736" s="11" t="s">
        <v>10633</v>
      </c>
      <c r="S2736" s="4" t="b">
        <f>ISNUMBER(MATCH(Q2736,T:T,0))</f>
        <v>1</v>
      </c>
      <c r="T2736" s="4" t="s">
        <v>10634</v>
      </c>
      <c r="U2736" s="4" t="str">
        <f t="shared" si="122"/>
        <v>卷</v>
      </c>
    </row>
    <row r="2737" spans="1:21" ht="28.5">
      <c r="A2737" s="3">
        <v>2732</v>
      </c>
      <c r="B2737" s="3" t="s">
        <v>2201</v>
      </c>
      <c r="C2737" s="3" t="s">
        <v>6011</v>
      </c>
      <c r="D2737" s="3" t="s">
        <v>6001</v>
      </c>
      <c r="E2737" s="3" t="s">
        <v>6212</v>
      </c>
      <c r="F2737" s="3" t="s">
        <v>8177</v>
      </c>
      <c r="G2737" s="3" t="s">
        <v>4210</v>
      </c>
      <c r="H2737" s="3" t="s">
        <v>2233</v>
      </c>
      <c r="I2737" s="3" t="s">
        <v>6836</v>
      </c>
      <c r="J2737" s="5" t="s">
        <v>2234</v>
      </c>
      <c r="L2737" s="3" t="s">
        <v>2132</v>
      </c>
      <c r="M2737" s="3">
        <v>2</v>
      </c>
      <c r="N2737" s="4" t="s">
        <v>9668</v>
      </c>
      <c r="O2737" s="4">
        <v>145</v>
      </c>
      <c r="P2737" s="11" t="s">
        <v>9757</v>
      </c>
      <c r="Q2737" s="11" t="s">
        <v>10634</v>
      </c>
      <c r="S2737" s="4" t="b">
        <f>ISNUMBER(MATCH(Q2737,T:T,0))</f>
        <v>1</v>
      </c>
      <c r="T2737" s="4" t="s">
        <v>11265</v>
      </c>
      <c r="U2737" s="4" t="str">
        <f t="shared" si="122"/>
        <v>戀</v>
      </c>
    </row>
    <row r="2738" spans="1:21">
      <c r="A2738" s="3">
        <v>2733</v>
      </c>
      <c r="B2738" s="3" t="s">
        <v>2201</v>
      </c>
      <c r="C2738" s="3" t="s">
        <v>6049</v>
      </c>
      <c r="D2738" s="3" t="s">
        <v>6001</v>
      </c>
      <c r="E2738" s="3" t="s">
        <v>5991</v>
      </c>
      <c r="F2738" s="3" t="s">
        <v>8177</v>
      </c>
      <c r="G2738" s="3" t="s">
        <v>4210</v>
      </c>
      <c r="H2738" s="3" t="s">
        <v>2235</v>
      </c>
      <c r="I2738" s="3" t="s">
        <v>6836</v>
      </c>
      <c r="J2738" s="5" t="s">
        <v>2236</v>
      </c>
      <c r="L2738" s="3" t="s">
        <v>3222</v>
      </c>
      <c r="M2738" s="3">
        <v>1</v>
      </c>
      <c r="N2738" s="4" t="s">
        <v>9668</v>
      </c>
      <c r="O2738" s="4">
        <v>145</v>
      </c>
      <c r="P2738" s="11" t="s">
        <v>9786</v>
      </c>
      <c r="Q2738" s="11" t="s">
        <v>10628</v>
      </c>
      <c r="S2738" s="4" t="b">
        <f>ISNUMBER(MATCH(Q2738,T:T,0))</f>
        <v>1</v>
      </c>
      <c r="T2738" s="4" t="s">
        <v>2236</v>
      </c>
      <c r="U2738" s="4" t="str">
        <f t="shared" si="122"/>
        <v>眷</v>
      </c>
    </row>
    <row r="2739" spans="1:21" ht="28.5">
      <c r="A2739" s="3">
        <v>2734</v>
      </c>
      <c r="B2739" s="3" t="s">
        <v>2201</v>
      </c>
      <c r="C2739" s="3" t="s">
        <v>6180</v>
      </c>
      <c r="D2739" s="3" t="s">
        <v>6001</v>
      </c>
      <c r="E2739" s="3" t="s">
        <v>6212</v>
      </c>
      <c r="F2739" s="3" t="s">
        <v>8177</v>
      </c>
      <c r="G2739" s="3" t="s">
        <v>4210</v>
      </c>
      <c r="H2739" s="3" t="s">
        <v>2237</v>
      </c>
      <c r="I2739" s="3" t="s">
        <v>6836</v>
      </c>
      <c r="J2739" s="5" t="s">
        <v>2238</v>
      </c>
      <c r="L2739" s="3" t="s">
        <v>3174</v>
      </c>
      <c r="M2739" s="3">
        <v>2</v>
      </c>
      <c r="N2739" s="4" t="s">
        <v>9668</v>
      </c>
      <c r="O2739" s="4">
        <v>145</v>
      </c>
      <c r="P2739" s="11" t="s">
        <v>9774</v>
      </c>
      <c r="Q2739" s="11" t="s">
        <v>10628</v>
      </c>
      <c r="S2739" s="4" t="b">
        <f>ISNUMBER(MATCH(Q2739,T:T,0))</f>
        <v>1</v>
      </c>
      <c r="T2739" s="4" t="s">
        <v>12347</v>
      </c>
      <c r="U2739" s="4" t="str">
        <f t="shared" si="122"/>
        <v>眷</v>
      </c>
    </row>
    <row r="2740" spans="1:21">
      <c r="A2740" s="3">
        <v>2735</v>
      </c>
      <c r="B2740" s="3" t="s">
        <v>2201</v>
      </c>
      <c r="C2740" s="3" t="s">
        <v>6076</v>
      </c>
      <c r="D2740" s="3" t="s">
        <v>6001</v>
      </c>
      <c r="E2740" s="3" t="s">
        <v>6212</v>
      </c>
      <c r="F2740" s="3" t="s">
        <v>8163</v>
      </c>
      <c r="G2740" s="3" t="s">
        <v>4210</v>
      </c>
      <c r="H2740" s="3" t="s">
        <v>2239</v>
      </c>
      <c r="I2740" s="3" t="s">
        <v>6836</v>
      </c>
      <c r="J2740" s="5" t="s">
        <v>2240</v>
      </c>
      <c r="L2740" s="3" t="s">
        <v>5655</v>
      </c>
      <c r="M2740" s="3">
        <v>3</v>
      </c>
      <c r="N2740" s="4" t="s">
        <v>9668</v>
      </c>
      <c r="O2740" s="4">
        <v>145</v>
      </c>
      <c r="P2740" s="11" t="s">
        <v>9766</v>
      </c>
      <c r="Q2740" s="11" t="s">
        <v>10629</v>
      </c>
      <c r="S2740" s="4" t="b">
        <f>ISNUMBER(MATCH(Q2740,T:T,0))</f>
        <v>1</v>
      </c>
      <c r="T2740" s="4" t="s">
        <v>12348</v>
      </c>
      <c r="U2740" s="4" t="str">
        <f t="shared" si="122"/>
        <v>絹</v>
      </c>
    </row>
    <row r="2741" spans="1:21">
      <c r="A2741" s="3">
        <v>2736</v>
      </c>
      <c r="B2741" s="3" t="s">
        <v>2201</v>
      </c>
      <c r="C2741" s="3" t="s">
        <v>6045</v>
      </c>
      <c r="D2741" s="3" t="s">
        <v>6001</v>
      </c>
      <c r="E2741" s="3" t="s">
        <v>5991</v>
      </c>
      <c r="F2741" s="3" t="s">
        <v>8177</v>
      </c>
      <c r="G2741" s="3" t="s">
        <v>4210</v>
      </c>
      <c r="H2741" s="3" t="s">
        <v>2241</v>
      </c>
      <c r="I2741" s="3" t="s">
        <v>6836</v>
      </c>
      <c r="J2741" s="5" t="s">
        <v>9350</v>
      </c>
      <c r="L2741" s="3" t="s">
        <v>3222</v>
      </c>
      <c r="M2741" s="3">
        <v>15</v>
      </c>
      <c r="N2741" s="4" t="s">
        <v>9668</v>
      </c>
      <c r="O2741" s="4">
        <v>145</v>
      </c>
      <c r="P2741" s="11" t="s">
        <v>10154</v>
      </c>
      <c r="Q2741" s="11" t="s">
        <v>2236</v>
      </c>
      <c r="S2741" s="4" t="b">
        <f>ISNUMBER(MATCH(Q2741,T:T,0))</f>
        <v>1</v>
      </c>
      <c r="T2741" s="4" t="s">
        <v>12349</v>
      </c>
      <c r="U2741" s="4" t="str">
        <f t="shared" si="122"/>
        <v>變</v>
      </c>
    </row>
    <row r="2742" spans="1:21">
      <c r="A2742" s="3">
        <v>2737</v>
      </c>
      <c r="B2742" s="3" t="s">
        <v>2201</v>
      </c>
      <c r="C2742" s="3" t="s">
        <v>6123</v>
      </c>
      <c r="D2742" s="3" t="s">
        <v>6001</v>
      </c>
      <c r="E2742" s="3" t="s">
        <v>6212</v>
      </c>
      <c r="F2742" s="3" t="s">
        <v>8163</v>
      </c>
      <c r="G2742" s="3" t="s">
        <v>4210</v>
      </c>
      <c r="H2742" s="7" t="s">
        <v>825</v>
      </c>
      <c r="I2742" s="3" t="s">
        <v>6836</v>
      </c>
      <c r="J2742" s="5" t="s">
        <v>2242</v>
      </c>
      <c r="L2742" s="3" t="s">
        <v>3216</v>
      </c>
      <c r="M2742" s="3">
        <v>9</v>
      </c>
      <c r="N2742" s="4" t="s">
        <v>9668</v>
      </c>
      <c r="O2742" s="4">
        <v>145</v>
      </c>
      <c r="P2742" s="11" t="s">
        <v>10303</v>
      </c>
      <c r="Q2742" s="11" t="s">
        <v>10634</v>
      </c>
      <c r="S2742" s="4" t="b">
        <f>ISNUMBER(MATCH(Q2742,T:T,0))</f>
        <v>1</v>
      </c>
      <c r="T2742" s="4" t="s">
        <v>12350</v>
      </c>
      <c r="U2742" s="4" t="str">
        <f t="shared" si="122"/>
        <v>戀</v>
      </c>
    </row>
    <row r="2743" spans="1:21">
      <c r="A2743" s="3">
        <v>2738</v>
      </c>
      <c r="B2743" s="3" t="s">
        <v>2201</v>
      </c>
      <c r="C2743" s="3" t="s">
        <v>6017</v>
      </c>
      <c r="D2743" s="3" t="s">
        <v>6001</v>
      </c>
      <c r="E2743" s="3" t="s">
        <v>6212</v>
      </c>
      <c r="F2743" s="3" t="s">
        <v>8163</v>
      </c>
      <c r="G2743" s="3" t="s">
        <v>4210</v>
      </c>
      <c r="H2743" s="3" t="s">
        <v>2243</v>
      </c>
      <c r="I2743" s="3" t="s">
        <v>6836</v>
      </c>
      <c r="J2743" s="5" t="s">
        <v>9351</v>
      </c>
      <c r="L2743" s="3" t="s">
        <v>3216</v>
      </c>
      <c r="M2743" s="3">
        <v>8</v>
      </c>
      <c r="N2743" s="4" t="s">
        <v>9668</v>
      </c>
      <c r="O2743" s="4">
        <v>145</v>
      </c>
      <c r="P2743" s="11" t="s">
        <v>9714</v>
      </c>
      <c r="Q2743" s="11" t="s">
        <v>10628</v>
      </c>
      <c r="S2743" s="4" t="b">
        <f>ISNUMBER(MATCH(Q2743,T:T,0))</f>
        <v>1</v>
      </c>
      <c r="T2743" s="4" t="s">
        <v>11781</v>
      </c>
      <c r="U2743" s="4" t="str">
        <f t="shared" si="122"/>
        <v>眷</v>
      </c>
    </row>
    <row r="2744" spans="1:21" ht="28.5">
      <c r="A2744" s="3">
        <v>2739</v>
      </c>
      <c r="B2744" s="3" t="s">
        <v>2201</v>
      </c>
      <c r="C2744" s="3" t="s">
        <v>6015</v>
      </c>
      <c r="D2744" s="3" t="s">
        <v>6001</v>
      </c>
      <c r="E2744" s="3" t="s">
        <v>6212</v>
      </c>
      <c r="F2744" s="3" t="s">
        <v>8177</v>
      </c>
      <c r="G2744" s="3" t="s">
        <v>4210</v>
      </c>
      <c r="H2744" s="3" t="s">
        <v>2244</v>
      </c>
      <c r="I2744" s="3" t="s">
        <v>6836</v>
      </c>
      <c r="J2744" s="8" t="s">
        <v>9352</v>
      </c>
      <c r="L2744" s="3" t="s">
        <v>3174</v>
      </c>
      <c r="M2744" s="3">
        <v>9</v>
      </c>
      <c r="N2744" s="4" t="s">
        <v>9668</v>
      </c>
      <c r="O2744" s="4">
        <v>145</v>
      </c>
      <c r="P2744" s="11" t="s">
        <v>9777</v>
      </c>
      <c r="Q2744" s="11" t="s">
        <v>10634</v>
      </c>
      <c r="S2744" s="4" t="b">
        <f>ISNUMBER(MATCH(Q2744,T:T,0))</f>
        <v>1</v>
      </c>
      <c r="T2744" s="4" t="s">
        <v>12351</v>
      </c>
      <c r="U2744" s="4" t="str">
        <f t="shared" si="122"/>
        <v>戀</v>
      </c>
    </row>
    <row r="2745" spans="1:21" ht="28.5">
      <c r="A2745" s="3">
        <v>2740</v>
      </c>
      <c r="B2745" s="3" t="s">
        <v>2201</v>
      </c>
      <c r="C2745" s="3" t="s">
        <v>6318</v>
      </c>
      <c r="D2745" s="3" t="s">
        <v>6001</v>
      </c>
      <c r="E2745" s="3" t="s">
        <v>6212</v>
      </c>
      <c r="F2745" s="3" t="s">
        <v>8177</v>
      </c>
      <c r="G2745" s="3" t="s">
        <v>4210</v>
      </c>
      <c r="H2745" s="3" t="s">
        <v>2245</v>
      </c>
      <c r="I2745" s="3" t="s">
        <v>6836</v>
      </c>
      <c r="J2745" s="8" t="s">
        <v>2246</v>
      </c>
      <c r="L2745" s="3" t="s">
        <v>3277</v>
      </c>
      <c r="M2745" s="3">
        <v>1</v>
      </c>
      <c r="N2745" s="4" t="s">
        <v>9668</v>
      </c>
      <c r="O2745" s="4">
        <v>145</v>
      </c>
      <c r="P2745" s="11" t="s">
        <v>6318</v>
      </c>
      <c r="Q2745" s="11" t="s">
        <v>10628</v>
      </c>
      <c r="S2745" s="4" t="b">
        <f>ISNUMBER(MATCH(Q2745,T:T,0))</f>
        <v>1</v>
      </c>
      <c r="T2745" s="4" t="s">
        <v>2246</v>
      </c>
      <c r="U2745" s="4" t="str">
        <f t="shared" si="122"/>
        <v>眷</v>
      </c>
    </row>
    <row r="2746" spans="1:21" ht="28.5">
      <c r="A2746" s="3">
        <v>2741</v>
      </c>
      <c r="B2746" s="3" t="s">
        <v>2201</v>
      </c>
      <c r="C2746" s="3" t="s">
        <v>6005</v>
      </c>
      <c r="D2746" s="3" t="s">
        <v>6001</v>
      </c>
      <c r="E2746" s="3" t="s">
        <v>6212</v>
      </c>
      <c r="F2746" s="3" t="s">
        <v>8177</v>
      </c>
      <c r="G2746" s="3" t="s">
        <v>4210</v>
      </c>
      <c r="H2746" s="3" t="s">
        <v>2247</v>
      </c>
      <c r="I2746" s="3" t="s">
        <v>6836</v>
      </c>
      <c r="J2746" s="5" t="s">
        <v>2248</v>
      </c>
      <c r="L2746" s="3" t="s">
        <v>3277</v>
      </c>
      <c r="M2746" s="3">
        <v>2</v>
      </c>
      <c r="N2746" s="4" t="s">
        <v>9668</v>
      </c>
      <c r="O2746" s="4">
        <v>145</v>
      </c>
      <c r="P2746" s="11" t="s">
        <v>9709</v>
      </c>
      <c r="Q2746" s="11" t="s">
        <v>10634</v>
      </c>
      <c r="S2746" s="4" t="b">
        <f>ISNUMBER(MATCH(Q2746,T:T,0))</f>
        <v>1</v>
      </c>
      <c r="T2746" s="4" t="s">
        <v>12352</v>
      </c>
      <c r="U2746" s="4" t="str">
        <f t="shared" si="122"/>
        <v>戀</v>
      </c>
    </row>
    <row r="2747" spans="1:21">
      <c r="A2747" s="3">
        <v>2742</v>
      </c>
      <c r="B2747" s="3" t="s">
        <v>2201</v>
      </c>
      <c r="C2747" s="3" t="s">
        <v>6069</v>
      </c>
      <c r="D2747" s="3" t="s">
        <v>6001</v>
      </c>
      <c r="E2747" s="3" t="s">
        <v>5991</v>
      </c>
      <c r="F2747" s="3" t="s">
        <v>8163</v>
      </c>
      <c r="G2747" s="3" t="s">
        <v>4210</v>
      </c>
      <c r="H2747" s="3" t="s">
        <v>2249</v>
      </c>
      <c r="I2747" s="3" t="s">
        <v>6836</v>
      </c>
      <c r="J2747" s="5" t="s">
        <v>2250</v>
      </c>
      <c r="L2747" s="3" t="s">
        <v>184</v>
      </c>
      <c r="M2747" s="3">
        <v>3</v>
      </c>
      <c r="N2747" s="4" t="s">
        <v>9668</v>
      </c>
      <c r="O2747" s="4">
        <v>145</v>
      </c>
      <c r="P2747" s="11" t="s">
        <v>9925</v>
      </c>
      <c r="Q2747" s="11" t="s">
        <v>9668</v>
      </c>
      <c r="S2747" s="4" t="b">
        <f>ISNUMBER(MATCH(Q2747,T:T,0))</f>
        <v>1</v>
      </c>
      <c r="T2747" s="4" t="s">
        <v>10631</v>
      </c>
      <c r="U2747" s="4" t="str">
        <f t="shared" si="122"/>
        <v>線</v>
      </c>
    </row>
    <row r="2748" spans="1:21">
      <c r="A2748" s="3">
        <v>2743</v>
      </c>
      <c r="B2748" s="3" t="s">
        <v>2201</v>
      </c>
      <c r="C2748" s="3" t="s">
        <v>6123</v>
      </c>
      <c r="D2748" s="3" t="s">
        <v>6001</v>
      </c>
      <c r="E2748" s="3" t="s">
        <v>5991</v>
      </c>
      <c r="F2748" s="3" t="s">
        <v>8163</v>
      </c>
      <c r="G2748" s="3" t="s">
        <v>4210</v>
      </c>
      <c r="H2748" s="3" t="s">
        <v>2251</v>
      </c>
      <c r="I2748" s="3" t="s">
        <v>6836</v>
      </c>
      <c r="J2748" s="5" t="s">
        <v>2252</v>
      </c>
      <c r="L2748" s="3" t="s">
        <v>3156</v>
      </c>
      <c r="M2748" s="3">
        <v>2</v>
      </c>
      <c r="N2748" s="4" t="s">
        <v>9668</v>
      </c>
      <c r="O2748" s="4">
        <v>145</v>
      </c>
      <c r="P2748" s="11" t="s">
        <v>9833</v>
      </c>
      <c r="Q2748" s="11" t="s">
        <v>10635</v>
      </c>
      <c r="S2748" s="4" t="b">
        <f>ISNUMBER(MATCH(Q2748,T:T,0))</f>
        <v>1</v>
      </c>
      <c r="T2748" s="4" t="s">
        <v>12353</v>
      </c>
      <c r="U2748" s="4" t="str">
        <f t="shared" si="122"/>
        <v>面</v>
      </c>
    </row>
    <row r="2749" spans="1:21">
      <c r="A2749" s="3">
        <v>2744</v>
      </c>
      <c r="B2749" s="3" t="s">
        <v>2201</v>
      </c>
      <c r="C2749" s="3" t="s">
        <v>6053</v>
      </c>
      <c r="D2749" s="3" t="s">
        <v>6001</v>
      </c>
      <c r="E2749" s="3" t="s">
        <v>5991</v>
      </c>
      <c r="F2749" s="3" t="s">
        <v>8163</v>
      </c>
      <c r="G2749" s="3" t="s">
        <v>4210</v>
      </c>
      <c r="H2749" s="3" t="s">
        <v>2253</v>
      </c>
      <c r="I2749" s="3" t="s">
        <v>6836</v>
      </c>
      <c r="J2749" s="8" t="s">
        <v>9353</v>
      </c>
      <c r="L2749" s="3" t="s">
        <v>2193</v>
      </c>
      <c r="M2749" s="3">
        <v>2</v>
      </c>
      <c r="N2749" s="4" t="s">
        <v>9668</v>
      </c>
      <c r="O2749" s="4">
        <v>145</v>
      </c>
      <c r="P2749" s="11" t="s">
        <v>9772</v>
      </c>
      <c r="Q2749" s="11" t="s">
        <v>10625</v>
      </c>
      <c r="S2749" s="4" t="b">
        <f>ISNUMBER(MATCH(Q2749,T:T,0))</f>
        <v>1</v>
      </c>
      <c r="T2749" s="4" t="s">
        <v>12354</v>
      </c>
      <c r="U2749" s="4" t="str">
        <f t="shared" si="122"/>
        <v>戰</v>
      </c>
    </row>
    <row r="2750" spans="1:21" ht="28.5">
      <c r="A2750" s="3">
        <v>2745</v>
      </c>
      <c r="B2750" s="3" t="s">
        <v>2201</v>
      </c>
      <c r="C2750" s="3" t="s">
        <v>6148</v>
      </c>
      <c r="D2750" s="3" t="s">
        <v>6001</v>
      </c>
      <c r="E2750" s="3" t="s">
        <v>6212</v>
      </c>
      <c r="F2750" s="3" t="s">
        <v>8163</v>
      </c>
      <c r="G2750" s="3" t="s">
        <v>4210</v>
      </c>
      <c r="H2750" s="3" t="s">
        <v>2254</v>
      </c>
      <c r="I2750" s="3" t="s">
        <v>6836</v>
      </c>
      <c r="J2750" s="5" t="s">
        <v>9354</v>
      </c>
      <c r="L2750" s="3" t="s">
        <v>3174</v>
      </c>
      <c r="M2750" s="3">
        <v>2</v>
      </c>
      <c r="N2750" s="4" t="s">
        <v>9668</v>
      </c>
      <c r="O2750" s="4">
        <v>145</v>
      </c>
      <c r="P2750" s="11" t="s">
        <v>10190</v>
      </c>
      <c r="Q2750" s="11" t="s">
        <v>10636</v>
      </c>
      <c r="S2750" s="4" t="b">
        <f>ISNUMBER(MATCH(Q2750,T:T,0))</f>
        <v>1</v>
      </c>
      <c r="T2750" s="4" t="s">
        <v>12355</v>
      </c>
      <c r="U2750" s="4" t="str">
        <f t="shared" si="122"/>
        <v>釧</v>
      </c>
    </row>
    <row r="2751" spans="1:21">
      <c r="A2751" s="3">
        <v>2746</v>
      </c>
      <c r="B2751" s="3" t="s">
        <v>2201</v>
      </c>
      <c r="C2751" s="3" t="s">
        <v>6137</v>
      </c>
      <c r="D2751" s="3" t="s">
        <v>6001</v>
      </c>
      <c r="E2751" s="3" t="s">
        <v>5991</v>
      </c>
      <c r="F2751" s="3" t="s">
        <v>8177</v>
      </c>
      <c r="G2751" s="3" t="s">
        <v>4210</v>
      </c>
      <c r="H2751" s="3" t="s">
        <v>2255</v>
      </c>
      <c r="I2751" s="3" t="s">
        <v>6836</v>
      </c>
      <c r="J2751" s="5" t="s">
        <v>2256</v>
      </c>
      <c r="L2751" s="3" t="s">
        <v>2177</v>
      </c>
      <c r="M2751" s="3">
        <v>2</v>
      </c>
      <c r="N2751" s="4" t="s">
        <v>9668</v>
      </c>
      <c r="O2751" s="4">
        <v>145</v>
      </c>
      <c r="P2751" s="11" t="s">
        <v>9755</v>
      </c>
      <c r="Q2751" s="11" t="s">
        <v>10623</v>
      </c>
      <c r="S2751" s="4" t="b">
        <f>ISNUMBER(MATCH(Q2751,T:T,0))</f>
        <v>1</v>
      </c>
      <c r="T2751" s="4" t="s">
        <v>12356</v>
      </c>
      <c r="U2751" s="4" t="str">
        <f t="shared" si="122"/>
        <v>箭</v>
      </c>
    </row>
    <row r="2752" spans="1:21" ht="28.5">
      <c r="A2752" s="3">
        <v>2747</v>
      </c>
      <c r="B2752" s="3" t="s">
        <v>2201</v>
      </c>
      <c r="C2752" s="3" t="s">
        <v>6000</v>
      </c>
      <c r="D2752" s="3" t="s">
        <v>6001</v>
      </c>
      <c r="E2752" s="3" t="s">
        <v>6212</v>
      </c>
      <c r="F2752" s="3" t="s">
        <v>8177</v>
      </c>
      <c r="G2752" s="3" t="s">
        <v>4210</v>
      </c>
      <c r="H2752" s="3" t="s">
        <v>2257</v>
      </c>
      <c r="I2752" s="3" t="s">
        <v>6836</v>
      </c>
      <c r="J2752" s="5" t="s">
        <v>2258</v>
      </c>
      <c r="L2752" s="3" t="s">
        <v>3277</v>
      </c>
      <c r="M2752" s="3">
        <v>3</v>
      </c>
      <c r="N2752" s="4" t="s">
        <v>9668</v>
      </c>
      <c r="O2752" s="4">
        <v>145</v>
      </c>
      <c r="P2752" s="11" t="s">
        <v>6000</v>
      </c>
      <c r="Q2752" s="11" t="s">
        <v>10634</v>
      </c>
      <c r="S2752" s="4" t="b">
        <f>ISNUMBER(MATCH(Q2752,T:T,0))</f>
        <v>1</v>
      </c>
      <c r="T2752" s="4" t="s">
        <v>10639</v>
      </c>
      <c r="U2752" s="4" t="str">
        <f t="shared" si="122"/>
        <v>戀</v>
      </c>
    </row>
    <row r="2753" spans="1:22" ht="28.5">
      <c r="A2753" s="3">
        <v>2748</v>
      </c>
      <c r="B2753" s="3" t="s">
        <v>2201</v>
      </c>
      <c r="C2753" s="3" t="s">
        <v>6028</v>
      </c>
      <c r="D2753" s="3" t="s">
        <v>6001</v>
      </c>
      <c r="E2753" s="3" t="s">
        <v>5991</v>
      </c>
      <c r="F2753" s="3" t="s">
        <v>8163</v>
      </c>
      <c r="G2753" s="3" t="s">
        <v>4210</v>
      </c>
      <c r="H2753" s="3" t="s">
        <v>2259</v>
      </c>
      <c r="I2753" s="3" t="s">
        <v>6836</v>
      </c>
      <c r="J2753" s="5" t="s">
        <v>2260</v>
      </c>
      <c r="L2753" s="3" t="s">
        <v>5666</v>
      </c>
      <c r="M2753" s="3">
        <v>8</v>
      </c>
      <c r="N2753" s="4" t="s">
        <v>9668</v>
      </c>
      <c r="O2753" s="4">
        <v>145</v>
      </c>
      <c r="P2753" s="11" t="s">
        <v>9859</v>
      </c>
      <c r="Q2753" s="11" t="s">
        <v>12992</v>
      </c>
      <c r="S2753" s="4" t="b">
        <f>ISNUMBER(MATCH(Q2753,T:T,0))</f>
        <v>1</v>
      </c>
      <c r="T2753" s="4" t="s">
        <v>12357</v>
      </c>
      <c r="U2753" s="4" t="str">
        <f t="shared" si="122"/>
        <v>線</v>
      </c>
    </row>
    <row r="2754" spans="1:22">
      <c r="A2754" s="3">
        <v>2749</v>
      </c>
      <c r="B2754" s="3" t="s">
        <v>2201</v>
      </c>
      <c r="C2754" s="3" t="s">
        <v>6045</v>
      </c>
      <c r="D2754" s="3" t="s">
        <v>6001</v>
      </c>
      <c r="E2754" s="3" t="s">
        <v>5991</v>
      </c>
      <c r="F2754" s="3" t="s">
        <v>8163</v>
      </c>
      <c r="G2754" s="3" t="s">
        <v>4210</v>
      </c>
      <c r="H2754" s="3" t="s">
        <v>2261</v>
      </c>
      <c r="I2754" s="3" t="s">
        <v>6836</v>
      </c>
      <c r="J2754" s="5" t="s">
        <v>2262</v>
      </c>
      <c r="L2754" s="3" t="s">
        <v>3222</v>
      </c>
      <c r="M2754" s="3">
        <v>1</v>
      </c>
      <c r="N2754" s="4" t="s">
        <v>9668</v>
      </c>
      <c r="O2754" s="4">
        <v>145</v>
      </c>
      <c r="P2754" s="11" t="s">
        <v>10209</v>
      </c>
      <c r="Q2754" s="11" t="s">
        <v>10635</v>
      </c>
      <c r="S2754" s="4" t="b">
        <f>ISNUMBER(MATCH(Q2754,T:T,0))</f>
        <v>1</v>
      </c>
      <c r="T2754" s="4" t="s">
        <v>2262</v>
      </c>
      <c r="U2754" s="4" t="str">
        <f t="shared" si="122"/>
        <v>面</v>
      </c>
    </row>
    <row r="2755" spans="1:22">
      <c r="A2755" s="3">
        <v>2750</v>
      </c>
      <c r="B2755" s="3" t="s">
        <v>2201</v>
      </c>
      <c r="C2755" s="3" t="s">
        <v>6005</v>
      </c>
      <c r="D2755" s="3" t="s">
        <v>6001</v>
      </c>
      <c r="E2755" s="3" t="s">
        <v>5991</v>
      </c>
      <c r="F2755" s="3" t="s">
        <v>8177</v>
      </c>
      <c r="G2755" s="3" t="s">
        <v>4210</v>
      </c>
      <c r="H2755" s="3" t="s">
        <v>2263</v>
      </c>
      <c r="I2755" s="3" t="s">
        <v>6836</v>
      </c>
      <c r="J2755" s="5" t="s">
        <v>2264</v>
      </c>
      <c r="L2755" s="3" t="s">
        <v>6960</v>
      </c>
      <c r="M2755" s="3">
        <v>2</v>
      </c>
      <c r="N2755" s="4" t="s">
        <v>9668</v>
      </c>
      <c r="O2755" s="4">
        <v>145</v>
      </c>
      <c r="P2755" s="11" t="s">
        <v>9832</v>
      </c>
      <c r="Q2755" s="11" t="s">
        <v>10637</v>
      </c>
      <c r="R2755" s="4" t="s">
        <v>13152</v>
      </c>
      <c r="S2755" s="4" t="b">
        <f>ISNUMBER(MATCH(Q2755,T:T,0))</f>
        <v>0</v>
      </c>
      <c r="T2755" s="4" t="s">
        <v>6959</v>
      </c>
      <c r="U2755" s="4" t="str">
        <f t="shared" ref="U2755:U2818" si="127">IF(ISBLANK(R2755),Q2755,R2755)</f>
        <v>輾</v>
      </c>
      <c r="V2755" s="4" t="b">
        <f t="shared" ref="V2755:V2756" si="128">ISNUMBER(MATCH(R2755,T:T,0))</f>
        <v>1</v>
      </c>
    </row>
    <row r="2756" spans="1:22">
      <c r="A2756" s="3">
        <v>2751</v>
      </c>
      <c r="B2756" s="3" t="s">
        <v>2201</v>
      </c>
      <c r="C2756" s="3" t="s">
        <v>6058</v>
      </c>
      <c r="D2756" s="3" t="s">
        <v>6001</v>
      </c>
      <c r="E2756" s="3" t="s">
        <v>5991</v>
      </c>
      <c r="F2756" s="3" t="s">
        <v>8163</v>
      </c>
      <c r="G2756" s="3" t="s">
        <v>4210</v>
      </c>
      <c r="H2756" s="3" t="s">
        <v>826</v>
      </c>
      <c r="I2756" s="3" t="s">
        <v>6836</v>
      </c>
      <c r="J2756" s="5" t="s">
        <v>2265</v>
      </c>
      <c r="L2756" s="3" t="s">
        <v>2173</v>
      </c>
      <c r="M2756" s="3">
        <v>2</v>
      </c>
      <c r="N2756" s="4" t="s">
        <v>9668</v>
      </c>
      <c r="O2756" s="4">
        <v>145</v>
      </c>
      <c r="P2756" s="11" t="s">
        <v>10008</v>
      </c>
      <c r="Q2756" s="11" t="s">
        <v>10638</v>
      </c>
      <c r="R2756" s="4" t="s">
        <v>13153</v>
      </c>
      <c r="S2756" s="4" t="b">
        <f>ISNUMBER(MATCH(Q2756,T:T,0))</f>
        <v>0</v>
      </c>
      <c r="T2756" s="4" t="s">
        <v>12358</v>
      </c>
      <c r="U2756" s="4" t="str">
        <f t="shared" si="127"/>
        <v>彥</v>
      </c>
      <c r="V2756" s="4" t="b">
        <f t="shared" si="128"/>
        <v>1</v>
      </c>
    </row>
    <row r="2757" spans="1:22">
      <c r="A2757" s="3">
        <v>2752</v>
      </c>
      <c r="B2757" s="3" t="s">
        <v>2201</v>
      </c>
      <c r="C2757" s="3" t="s">
        <v>6038</v>
      </c>
      <c r="D2757" s="3" t="s">
        <v>6001</v>
      </c>
      <c r="E2757" s="3" t="s">
        <v>6212</v>
      </c>
      <c r="F2757" s="3" t="s">
        <v>8177</v>
      </c>
      <c r="G2757" s="3" t="s">
        <v>4210</v>
      </c>
      <c r="H2757" s="3" t="s">
        <v>2266</v>
      </c>
      <c r="I2757" s="3" t="s">
        <v>6836</v>
      </c>
      <c r="J2757" s="5" t="s">
        <v>9355</v>
      </c>
      <c r="L2757" s="3" t="s">
        <v>5655</v>
      </c>
      <c r="M2757" s="3">
        <v>3</v>
      </c>
      <c r="N2757" s="4" t="s">
        <v>9668</v>
      </c>
      <c r="O2757" s="4">
        <v>145</v>
      </c>
      <c r="P2757" s="11" t="s">
        <v>10461</v>
      </c>
      <c r="Q2757" s="11" t="s">
        <v>10632</v>
      </c>
      <c r="S2757" s="4" t="b">
        <f>ISNUMBER(MATCH(Q2757,T:T,0))</f>
        <v>1</v>
      </c>
      <c r="T2757" s="4" t="s">
        <v>12359</v>
      </c>
      <c r="U2757" s="4" t="str">
        <f t="shared" si="127"/>
        <v>倦</v>
      </c>
    </row>
    <row r="2758" spans="1:22" ht="28.5">
      <c r="A2758" s="3">
        <v>2753</v>
      </c>
      <c r="B2758" s="3" t="s">
        <v>2201</v>
      </c>
      <c r="C2758" s="3" t="s">
        <v>6009</v>
      </c>
      <c r="D2758" s="3" t="s">
        <v>6001</v>
      </c>
      <c r="E2758" s="3" t="s">
        <v>6212</v>
      </c>
      <c r="F2758" s="3" t="s">
        <v>8163</v>
      </c>
      <c r="G2758" s="3" t="s">
        <v>4210</v>
      </c>
      <c r="H2758" s="3" t="s">
        <v>2267</v>
      </c>
      <c r="I2758" s="3" t="s">
        <v>6836</v>
      </c>
      <c r="J2758" s="5" t="s">
        <v>2268</v>
      </c>
      <c r="L2758" s="3" t="s">
        <v>3277</v>
      </c>
      <c r="M2758" s="3">
        <v>1</v>
      </c>
      <c r="N2758" s="4" t="s">
        <v>9668</v>
      </c>
      <c r="O2758" s="4">
        <v>145</v>
      </c>
      <c r="P2758" s="11" t="s">
        <v>6396</v>
      </c>
      <c r="Q2758" s="11" t="s">
        <v>10639</v>
      </c>
      <c r="S2758" s="4" t="b">
        <f>ISNUMBER(MATCH(Q2758,T:T,0))</f>
        <v>1</v>
      </c>
      <c r="T2758" s="4" t="s">
        <v>2268</v>
      </c>
      <c r="U2758" s="4" t="str">
        <f t="shared" si="127"/>
        <v>囀</v>
      </c>
    </row>
    <row r="2759" spans="1:22">
      <c r="A2759" s="3">
        <v>2755</v>
      </c>
      <c r="B2759" s="3" t="s">
        <v>2270</v>
      </c>
      <c r="C2759" s="3" t="s">
        <v>6017</v>
      </c>
      <c r="D2759" s="3" t="s">
        <v>2843</v>
      </c>
      <c r="E2759" s="3" t="s">
        <v>5991</v>
      </c>
      <c r="F2759" s="3" t="s">
        <v>8250</v>
      </c>
      <c r="G2759" s="3" t="s">
        <v>4210</v>
      </c>
      <c r="H2759" s="3" t="s">
        <v>2271</v>
      </c>
      <c r="I2759" s="3" t="s">
        <v>8252</v>
      </c>
      <c r="J2759" s="5" t="s">
        <v>9357</v>
      </c>
      <c r="L2759" s="3" t="s">
        <v>6984</v>
      </c>
      <c r="M2759" s="3">
        <v>5</v>
      </c>
      <c r="N2759" s="4" t="s">
        <v>2272</v>
      </c>
      <c r="O2759" s="4">
        <v>146</v>
      </c>
      <c r="P2759" s="11" t="s">
        <v>9741</v>
      </c>
      <c r="Q2759" s="11" t="s">
        <v>10640</v>
      </c>
      <c r="S2759" s="4" t="b">
        <f>ISNUMBER(MATCH(Q2759,T:T,0))</f>
        <v>1</v>
      </c>
      <c r="T2759" s="4" t="s">
        <v>2272</v>
      </c>
      <c r="U2759" s="4" t="str">
        <f t="shared" si="127"/>
        <v>弔</v>
      </c>
    </row>
    <row r="2760" spans="1:22">
      <c r="A2760" s="3">
        <v>2756</v>
      </c>
      <c r="B2760" s="3" t="s">
        <v>2270</v>
      </c>
      <c r="C2760" s="3" t="s">
        <v>6079</v>
      </c>
      <c r="D2760" s="3" t="s">
        <v>2843</v>
      </c>
      <c r="E2760" s="3" t="s">
        <v>5991</v>
      </c>
      <c r="F2760" s="3" t="s">
        <v>8250</v>
      </c>
      <c r="G2760" s="3" t="s">
        <v>4210</v>
      </c>
      <c r="H2760" s="3" t="s">
        <v>2273</v>
      </c>
      <c r="I2760" s="3" t="s">
        <v>8252</v>
      </c>
      <c r="J2760" s="5" t="s">
        <v>9358</v>
      </c>
      <c r="L2760" s="3" t="s">
        <v>2274</v>
      </c>
      <c r="M2760" s="3">
        <v>10</v>
      </c>
      <c r="N2760" s="4" t="s">
        <v>2272</v>
      </c>
      <c r="O2760" s="4">
        <v>146</v>
      </c>
      <c r="P2760" s="11" t="s">
        <v>9736</v>
      </c>
      <c r="Q2760" s="11" t="s">
        <v>10640</v>
      </c>
      <c r="S2760" s="4" t="b">
        <f>ISNUMBER(MATCH(Q2760,T:T,0))</f>
        <v>1</v>
      </c>
      <c r="T2760" s="4" t="s">
        <v>12361</v>
      </c>
      <c r="U2760" s="4" t="str">
        <f t="shared" si="127"/>
        <v>弔</v>
      </c>
    </row>
    <row r="2761" spans="1:22">
      <c r="A2761" s="3">
        <v>2757</v>
      </c>
      <c r="B2761" s="3" t="s">
        <v>2270</v>
      </c>
      <c r="C2761" s="3" t="s">
        <v>5989</v>
      </c>
      <c r="D2761" s="3" t="s">
        <v>2843</v>
      </c>
      <c r="E2761" s="3" t="s">
        <v>5991</v>
      </c>
      <c r="F2761" s="3" t="s">
        <v>8250</v>
      </c>
      <c r="G2761" s="3" t="s">
        <v>4210</v>
      </c>
      <c r="H2761" s="3" t="s">
        <v>2275</v>
      </c>
      <c r="I2761" s="3" t="s">
        <v>8252</v>
      </c>
      <c r="J2761" s="5" t="s">
        <v>9359</v>
      </c>
      <c r="L2761" s="3" t="s">
        <v>6987</v>
      </c>
      <c r="M2761" s="3">
        <v>7</v>
      </c>
      <c r="N2761" s="4" t="s">
        <v>2272</v>
      </c>
      <c r="O2761" s="4">
        <v>146</v>
      </c>
      <c r="P2761" s="11" t="s">
        <v>9975</v>
      </c>
      <c r="Q2761" s="11" t="s">
        <v>2272</v>
      </c>
      <c r="S2761" s="4" t="b">
        <f>ISNUMBER(MATCH(Q2761,T:T,0))</f>
        <v>1</v>
      </c>
      <c r="T2761" s="4" t="s">
        <v>10640</v>
      </c>
      <c r="U2761" s="4" t="str">
        <f t="shared" si="127"/>
        <v>嘯</v>
      </c>
    </row>
    <row r="2762" spans="1:22">
      <c r="A2762" s="3">
        <v>2758</v>
      </c>
      <c r="B2762" s="3" t="s">
        <v>2270</v>
      </c>
      <c r="C2762" s="3" t="s">
        <v>6025</v>
      </c>
      <c r="D2762" s="3" t="s">
        <v>2843</v>
      </c>
      <c r="E2762" s="3" t="s">
        <v>5991</v>
      </c>
      <c r="F2762" s="3" t="s">
        <v>8250</v>
      </c>
      <c r="G2762" s="3" t="s">
        <v>4210</v>
      </c>
      <c r="H2762" s="3" t="s">
        <v>2276</v>
      </c>
      <c r="I2762" s="3" t="s">
        <v>8252</v>
      </c>
      <c r="J2762" s="5" t="s">
        <v>9360</v>
      </c>
      <c r="L2762" s="3" t="s">
        <v>7038</v>
      </c>
      <c r="M2762" s="3">
        <v>12</v>
      </c>
      <c r="N2762" s="4" t="s">
        <v>2272</v>
      </c>
      <c r="O2762" s="4">
        <v>146</v>
      </c>
      <c r="P2762" s="11" t="s">
        <v>9729</v>
      </c>
      <c r="Q2762" s="11" t="s">
        <v>10640</v>
      </c>
      <c r="S2762" s="4" t="b">
        <f>ISNUMBER(MATCH(Q2762,T:T,0))</f>
        <v>1</v>
      </c>
      <c r="T2762" s="4" t="s">
        <v>10641</v>
      </c>
      <c r="U2762" s="4" t="str">
        <f t="shared" si="127"/>
        <v>弔</v>
      </c>
    </row>
    <row r="2763" spans="1:22">
      <c r="A2763" s="3">
        <v>2759</v>
      </c>
      <c r="B2763" s="3" t="s">
        <v>2270</v>
      </c>
      <c r="C2763" s="3" t="s">
        <v>6102</v>
      </c>
      <c r="D2763" s="3" t="s">
        <v>2843</v>
      </c>
      <c r="E2763" s="3" t="s">
        <v>5991</v>
      </c>
      <c r="F2763" s="3" t="s">
        <v>8250</v>
      </c>
      <c r="G2763" s="3" t="s">
        <v>4210</v>
      </c>
      <c r="H2763" s="3" t="s">
        <v>2277</v>
      </c>
      <c r="I2763" s="3" t="s">
        <v>8252</v>
      </c>
      <c r="J2763" s="5" t="s">
        <v>2278</v>
      </c>
      <c r="L2763" s="3" t="s">
        <v>2279</v>
      </c>
      <c r="M2763" s="3">
        <v>2</v>
      </c>
      <c r="N2763" s="4" t="s">
        <v>2272</v>
      </c>
      <c r="O2763" s="4">
        <v>146</v>
      </c>
      <c r="P2763" s="11" t="s">
        <v>9744</v>
      </c>
      <c r="Q2763" s="11" t="s">
        <v>10640</v>
      </c>
      <c r="S2763" s="4" t="b">
        <f>ISNUMBER(MATCH(Q2763,T:T,0))</f>
        <v>1</v>
      </c>
      <c r="T2763" s="4" t="s">
        <v>12362</v>
      </c>
      <c r="U2763" s="4" t="str">
        <f t="shared" si="127"/>
        <v>弔</v>
      </c>
    </row>
    <row r="2764" spans="1:22">
      <c r="A2764" s="3">
        <v>2760</v>
      </c>
      <c r="B2764" s="3" t="s">
        <v>2270</v>
      </c>
      <c r="C2764" s="3" t="s">
        <v>5997</v>
      </c>
      <c r="D2764" s="3" t="s">
        <v>2843</v>
      </c>
      <c r="E2764" s="3" t="s">
        <v>5991</v>
      </c>
      <c r="F2764" s="3" t="s">
        <v>8250</v>
      </c>
      <c r="G2764" s="3" t="s">
        <v>4210</v>
      </c>
      <c r="H2764" s="3" t="s">
        <v>2280</v>
      </c>
      <c r="I2764" s="3" t="s">
        <v>8252</v>
      </c>
      <c r="J2764" s="5" t="s">
        <v>9361</v>
      </c>
      <c r="L2764" s="3" t="s">
        <v>6987</v>
      </c>
      <c r="M2764" s="3">
        <v>7</v>
      </c>
      <c r="N2764" s="4" t="s">
        <v>2272</v>
      </c>
      <c r="O2764" s="4">
        <v>146</v>
      </c>
      <c r="P2764" s="11" t="s">
        <v>9706</v>
      </c>
      <c r="Q2764" s="11" t="s">
        <v>10640</v>
      </c>
      <c r="S2764" s="4" t="b">
        <f>ISNUMBER(MATCH(Q2764,T:T,0))</f>
        <v>1</v>
      </c>
      <c r="T2764" s="4" t="s">
        <v>12363</v>
      </c>
      <c r="U2764" s="4" t="str">
        <f t="shared" si="127"/>
        <v>弔</v>
      </c>
    </row>
    <row r="2765" spans="1:22">
      <c r="A2765" s="3">
        <v>2761</v>
      </c>
      <c r="B2765" s="3" t="s">
        <v>2270</v>
      </c>
      <c r="C2765" s="3" t="s">
        <v>6038</v>
      </c>
      <c r="D2765" s="3" t="s">
        <v>2843</v>
      </c>
      <c r="E2765" s="3" t="s">
        <v>5991</v>
      </c>
      <c r="F2765" s="3" t="s">
        <v>8250</v>
      </c>
      <c r="G2765" s="3" t="s">
        <v>4210</v>
      </c>
      <c r="H2765" s="3" t="s">
        <v>2281</v>
      </c>
      <c r="I2765" s="3" t="s">
        <v>8252</v>
      </c>
      <c r="J2765" s="5" t="s">
        <v>2282</v>
      </c>
      <c r="L2765" s="3" t="s">
        <v>2283</v>
      </c>
      <c r="M2765" s="3">
        <v>2</v>
      </c>
      <c r="N2765" s="4" t="s">
        <v>2272</v>
      </c>
      <c r="O2765" s="4">
        <v>146</v>
      </c>
      <c r="P2765" s="11" t="s">
        <v>9728</v>
      </c>
      <c r="Q2765" s="11" t="s">
        <v>10640</v>
      </c>
      <c r="S2765" s="4" t="b">
        <f>ISNUMBER(MATCH(Q2765,T:T,0))</f>
        <v>1</v>
      </c>
      <c r="T2765" s="4" t="s">
        <v>12364</v>
      </c>
      <c r="U2765" s="4" t="str">
        <f t="shared" si="127"/>
        <v>弔</v>
      </c>
    </row>
    <row r="2766" spans="1:22">
      <c r="A2766" s="3">
        <v>2762</v>
      </c>
      <c r="B2766" s="3" t="s">
        <v>2270</v>
      </c>
      <c r="C2766" s="3" t="s">
        <v>6058</v>
      </c>
      <c r="D2766" s="3" t="s">
        <v>2843</v>
      </c>
      <c r="E2766" s="3" t="s">
        <v>5991</v>
      </c>
      <c r="F2766" s="3" t="s">
        <v>8250</v>
      </c>
      <c r="G2766" s="3" t="s">
        <v>4210</v>
      </c>
      <c r="H2766" s="3" t="s">
        <v>2284</v>
      </c>
      <c r="I2766" s="3" t="s">
        <v>8252</v>
      </c>
      <c r="J2766" s="5" t="s">
        <v>9362</v>
      </c>
      <c r="L2766" s="3" t="s">
        <v>2285</v>
      </c>
      <c r="M2766" s="3">
        <v>9</v>
      </c>
      <c r="N2766" s="4" t="s">
        <v>2272</v>
      </c>
      <c r="O2766" s="4">
        <v>146</v>
      </c>
      <c r="P2766" s="11" t="s">
        <v>9727</v>
      </c>
      <c r="Q2766" s="11" t="s">
        <v>10640</v>
      </c>
      <c r="S2766" s="4" t="b">
        <f>ISNUMBER(MATCH(Q2766,T:T,0))</f>
        <v>1</v>
      </c>
      <c r="T2766" s="4" t="s">
        <v>12365</v>
      </c>
      <c r="U2766" s="4" t="str">
        <f t="shared" si="127"/>
        <v>弔</v>
      </c>
    </row>
    <row r="2767" spans="1:22">
      <c r="A2767" s="3">
        <v>2763</v>
      </c>
      <c r="B2767" s="3" t="s">
        <v>2270</v>
      </c>
      <c r="C2767" s="3" t="s">
        <v>6092</v>
      </c>
      <c r="D2767" s="3" t="s">
        <v>2843</v>
      </c>
      <c r="E2767" s="3" t="s">
        <v>5991</v>
      </c>
      <c r="F2767" s="3" t="s">
        <v>8250</v>
      </c>
      <c r="G2767" s="3" t="s">
        <v>4210</v>
      </c>
      <c r="H2767" s="3" t="s">
        <v>2286</v>
      </c>
      <c r="I2767" s="3" t="s">
        <v>8252</v>
      </c>
      <c r="J2767" s="5" t="s">
        <v>2287</v>
      </c>
      <c r="L2767" s="3" t="s">
        <v>2288</v>
      </c>
      <c r="M2767" s="3">
        <v>5</v>
      </c>
      <c r="N2767" s="4" t="s">
        <v>2272</v>
      </c>
      <c r="O2767" s="4">
        <v>146</v>
      </c>
      <c r="P2767" s="11" t="s">
        <v>9740</v>
      </c>
      <c r="Q2767" s="11" t="s">
        <v>10640</v>
      </c>
      <c r="S2767" s="4" t="b">
        <f>ISNUMBER(MATCH(Q2767,T:T,0))</f>
        <v>1</v>
      </c>
      <c r="T2767" s="4" t="s">
        <v>12366</v>
      </c>
      <c r="U2767" s="4" t="str">
        <f t="shared" si="127"/>
        <v>弔</v>
      </c>
    </row>
    <row r="2768" spans="1:22">
      <c r="A2768" s="3">
        <v>2764</v>
      </c>
      <c r="B2768" s="3" t="s">
        <v>2270</v>
      </c>
      <c r="C2768" s="3" t="s">
        <v>6072</v>
      </c>
      <c r="D2768" s="3" t="s">
        <v>2843</v>
      </c>
      <c r="E2768" s="3" t="s">
        <v>5991</v>
      </c>
      <c r="F2768" s="3" t="s">
        <v>8250</v>
      </c>
      <c r="G2768" s="3" t="s">
        <v>4210</v>
      </c>
      <c r="H2768" s="3" t="s">
        <v>2289</v>
      </c>
      <c r="I2768" s="3" t="s">
        <v>8252</v>
      </c>
      <c r="J2768" s="5" t="s">
        <v>2290</v>
      </c>
      <c r="L2768" s="3" t="s">
        <v>2288</v>
      </c>
      <c r="M2768" s="3">
        <v>2</v>
      </c>
      <c r="N2768" s="4" t="s">
        <v>2272</v>
      </c>
      <c r="O2768" s="4">
        <v>146</v>
      </c>
      <c r="P2768" s="11" t="s">
        <v>9734</v>
      </c>
      <c r="Q2768" s="11" t="s">
        <v>10641</v>
      </c>
      <c r="S2768" s="4" t="b">
        <f>ISNUMBER(MATCH(Q2768,T:T,0))</f>
        <v>1</v>
      </c>
      <c r="T2768" s="4" t="s">
        <v>12367</v>
      </c>
      <c r="U2768" s="4" t="str">
        <f t="shared" si="127"/>
        <v>叫</v>
      </c>
    </row>
    <row r="2769" spans="1:22">
      <c r="A2769" s="3">
        <v>2765</v>
      </c>
      <c r="B2769" s="3" t="s">
        <v>2270</v>
      </c>
      <c r="C2769" s="3" t="s">
        <v>6089</v>
      </c>
      <c r="D2769" s="3" t="s">
        <v>2843</v>
      </c>
      <c r="E2769" s="3" t="s">
        <v>5991</v>
      </c>
      <c r="F2769" s="3" t="s">
        <v>8250</v>
      </c>
      <c r="G2769" s="3" t="s">
        <v>4210</v>
      </c>
      <c r="H2769" s="3" t="s">
        <v>2291</v>
      </c>
      <c r="I2769" s="3" t="s">
        <v>8252</v>
      </c>
      <c r="J2769" s="5" t="s">
        <v>9363</v>
      </c>
      <c r="L2769" s="3" t="s">
        <v>6984</v>
      </c>
      <c r="M2769" s="3">
        <v>3</v>
      </c>
      <c r="N2769" s="4" t="s">
        <v>2272</v>
      </c>
      <c r="O2769" s="4">
        <v>146</v>
      </c>
      <c r="P2769" s="11" t="s">
        <v>9904</v>
      </c>
      <c r="Q2769" s="11" t="s">
        <v>10640</v>
      </c>
      <c r="S2769" s="4" t="b">
        <f>ISNUMBER(MATCH(Q2769,T:T,0))</f>
        <v>1</v>
      </c>
      <c r="T2769" s="4" t="s">
        <v>12368</v>
      </c>
      <c r="U2769" s="4" t="str">
        <f t="shared" si="127"/>
        <v>弔</v>
      </c>
    </row>
    <row r="2770" spans="1:22">
      <c r="A2770" s="3">
        <v>2766</v>
      </c>
      <c r="B2770" s="3" t="s">
        <v>2292</v>
      </c>
      <c r="C2770" s="3" t="s">
        <v>6017</v>
      </c>
      <c r="D2770" s="3" t="s">
        <v>6001</v>
      </c>
      <c r="E2770" s="3" t="s">
        <v>5991</v>
      </c>
      <c r="F2770" s="3" t="s">
        <v>8274</v>
      </c>
      <c r="G2770" s="3" t="s">
        <v>4210</v>
      </c>
      <c r="H2770" s="3" t="s">
        <v>2293</v>
      </c>
      <c r="I2770" s="3" t="s">
        <v>8252</v>
      </c>
      <c r="J2770" s="5" t="s">
        <v>9364</v>
      </c>
      <c r="L2770" s="3" t="s">
        <v>6984</v>
      </c>
      <c r="M2770" s="3">
        <v>5</v>
      </c>
      <c r="N2770" s="4" t="s">
        <v>9669</v>
      </c>
      <c r="O2770" s="4">
        <v>147</v>
      </c>
      <c r="P2770" s="11" t="s">
        <v>9746</v>
      </c>
      <c r="Q2770" s="11" t="s">
        <v>10642</v>
      </c>
      <c r="S2770" s="4" t="b">
        <f>ISNUMBER(MATCH(Q2770,T:T,0))</f>
        <v>1</v>
      </c>
      <c r="T2770" s="4" t="s">
        <v>9669</v>
      </c>
      <c r="U2770" s="4" t="str">
        <f t="shared" si="127"/>
        <v>妙</v>
      </c>
    </row>
    <row r="2771" spans="1:22">
      <c r="A2771" s="3">
        <v>2767</v>
      </c>
      <c r="B2771" s="3" t="s">
        <v>2292</v>
      </c>
      <c r="C2771" s="3" t="s">
        <v>6009</v>
      </c>
      <c r="D2771" s="3" t="s">
        <v>6001</v>
      </c>
      <c r="E2771" s="3" t="s">
        <v>5991</v>
      </c>
      <c r="F2771" s="3" t="s">
        <v>8274</v>
      </c>
      <c r="G2771" s="3" t="s">
        <v>4210</v>
      </c>
      <c r="H2771" s="3" t="s">
        <v>6998</v>
      </c>
      <c r="I2771" s="3" t="s">
        <v>8252</v>
      </c>
      <c r="J2771" s="5" t="s">
        <v>2294</v>
      </c>
      <c r="L2771" s="3" t="s">
        <v>6997</v>
      </c>
      <c r="M2771" s="3">
        <v>5</v>
      </c>
      <c r="N2771" s="4" t="s">
        <v>9669</v>
      </c>
      <c r="O2771" s="4">
        <v>147</v>
      </c>
      <c r="P2771" s="11" t="s">
        <v>6396</v>
      </c>
      <c r="Q2771" s="11" t="s">
        <v>10341</v>
      </c>
      <c r="S2771" s="4" t="b">
        <f>ISNUMBER(MATCH(Q2771,T:T,0))</f>
        <v>1</v>
      </c>
      <c r="T2771" s="4" t="s">
        <v>10643</v>
      </c>
      <c r="U2771" s="4" t="str">
        <f t="shared" si="127"/>
        <v>少</v>
      </c>
    </row>
    <row r="2772" spans="1:22">
      <c r="A2772" s="3">
        <v>2768</v>
      </c>
      <c r="B2772" s="3" t="s">
        <v>2292</v>
      </c>
      <c r="C2772" s="3" t="s">
        <v>6028</v>
      </c>
      <c r="D2772" s="3" t="s">
        <v>6001</v>
      </c>
      <c r="E2772" s="3" t="s">
        <v>5991</v>
      </c>
      <c r="F2772" s="3" t="s">
        <v>8274</v>
      </c>
      <c r="G2772" s="3" t="s">
        <v>4210</v>
      </c>
      <c r="H2772" s="3" t="s">
        <v>2295</v>
      </c>
      <c r="I2772" s="3" t="s">
        <v>8252</v>
      </c>
      <c r="J2772" s="5" t="s">
        <v>9365</v>
      </c>
      <c r="K2772" s="3" t="s">
        <v>2296</v>
      </c>
      <c r="L2772" s="3" t="s">
        <v>2288</v>
      </c>
      <c r="M2772" s="3">
        <v>17</v>
      </c>
      <c r="N2772" s="4" t="s">
        <v>9669</v>
      </c>
      <c r="O2772" s="4">
        <v>147</v>
      </c>
      <c r="P2772" s="11" t="s">
        <v>9779</v>
      </c>
      <c r="Q2772" s="11" t="s">
        <v>10643</v>
      </c>
      <c r="S2772" s="4" t="b">
        <f>ISNUMBER(MATCH(Q2772,T:T,0))</f>
        <v>1</v>
      </c>
      <c r="T2772" s="4" t="s">
        <v>12369</v>
      </c>
      <c r="U2772" s="4" t="str">
        <f t="shared" si="127"/>
        <v>照</v>
      </c>
    </row>
    <row r="2773" spans="1:22">
      <c r="A2773" s="3">
        <v>2769</v>
      </c>
      <c r="B2773" s="3" t="s">
        <v>2292</v>
      </c>
      <c r="C2773" s="3" t="s">
        <v>6072</v>
      </c>
      <c r="D2773" s="3" t="s">
        <v>6001</v>
      </c>
      <c r="E2773" s="3" t="s">
        <v>5991</v>
      </c>
      <c r="F2773" s="3" t="s">
        <v>8274</v>
      </c>
      <c r="G2773" s="3" t="s">
        <v>4210</v>
      </c>
      <c r="H2773" s="3" t="s">
        <v>2297</v>
      </c>
      <c r="I2773" s="3" t="s">
        <v>8252</v>
      </c>
      <c r="J2773" s="5" t="s">
        <v>2298</v>
      </c>
      <c r="L2773" s="3" t="s">
        <v>2288</v>
      </c>
      <c r="M2773" s="3">
        <v>3</v>
      </c>
      <c r="N2773" s="4" t="s">
        <v>9669</v>
      </c>
      <c r="O2773" s="4">
        <v>147</v>
      </c>
      <c r="P2773" s="11" t="s">
        <v>9754</v>
      </c>
      <c r="Q2773" s="11" t="s">
        <v>9669</v>
      </c>
      <c r="S2773" s="4" t="b">
        <f>ISNUMBER(MATCH(Q2773,T:T,0))</f>
        <v>1</v>
      </c>
      <c r="T2773" s="4" t="s">
        <v>10647</v>
      </c>
      <c r="U2773" s="4" t="str">
        <f t="shared" si="127"/>
        <v>笑</v>
      </c>
    </row>
    <row r="2774" spans="1:22">
      <c r="A2774" s="3">
        <v>2770</v>
      </c>
      <c r="B2774" s="3" t="s">
        <v>2292</v>
      </c>
      <c r="C2774" s="3" t="s">
        <v>6005</v>
      </c>
      <c r="D2774" s="3" t="s">
        <v>6001</v>
      </c>
      <c r="E2774" s="3" t="s">
        <v>5991</v>
      </c>
      <c r="F2774" s="3" t="s">
        <v>8276</v>
      </c>
      <c r="G2774" s="3" t="s">
        <v>4210</v>
      </c>
      <c r="H2774" s="3" t="s">
        <v>2299</v>
      </c>
      <c r="I2774" s="3" t="s">
        <v>8252</v>
      </c>
      <c r="J2774" s="5" t="s">
        <v>2300</v>
      </c>
      <c r="L2774" s="3" t="s">
        <v>6997</v>
      </c>
      <c r="M2774" s="3">
        <v>1</v>
      </c>
      <c r="N2774" s="4" t="s">
        <v>9669</v>
      </c>
      <c r="O2774" s="4">
        <v>147</v>
      </c>
      <c r="P2774" s="11" t="s">
        <v>9709</v>
      </c>
      <c r="Q2774" s="11" t="s">
        <v>10643</v>
      </c>
      <c r="S2774" s="4" t="b">
        <f>ISNUMBER(MATCH(Q2774,T:T,0))</f>
        <v>1</v>
      </c>
      <c r="T2774" s="4" t="s">
        <v>2300</v>
      </c>
      <c r="U2774" s="4" t="str">
        <f t="shared" si="127"/>
        <v>照</v>
      </c>
    </row>
    <row r="2775" spans="1:22">
      <c r="A2775" s="3">
        <v>2771</v>
      </c>
      <c r="B2775" s="3" t="s">
        <v>2292</v>
      </c>
      <c r="C2775" s="3" t="s">
        <v>6148</v>
      </c>
      <c r="D2775" s="3" t="s">
        <v>6001</v>
      </c>
      <c r="E2775" s="3" t="s">
        <v>5991</v>
      </c>
      <c r="F2775" s="3" t="s">
        <v>8274</v>
      </c>
      <c r="G2775" s="3" t="s">
        <v>4210</v>
      </c>
      <c r="H2775" s="3" t="s">
        <v>2301</v>
      </c>
      <c r="I2775" s="3" t="s">
        <v>8252</v>
      </c>
      <c r="J2775" s="5" t="s">
        <v>2302</v>
      </c>
      <c r="L2775" s="3" t="s">
        <v>7022</v>
      </c>
      <c r="M2775" s="3">
        <v>7</v>
      </c>
      <c r="N2775" s="4" t="s">
        <v>9669</v>
      </c>
      <c r="O2775" s="4">
        <v>147</v>
      </c>
      <c r="P2775" s="11" t="s">
        <v>10644</v>
      </c>
      <c r="Q2775" s="11" t="s">
        <v>10643</v>
      </c>
      <c r="S2775" s="4" t="b">
        <f>ISNUMBER(MATCH(Q2775,T:T,0))</f>
        <v>1</v>
      </c>
      <c r="T2775" s="4" t="s">
        <v>12370</v>
      </c>
      <c r="U2775" s="4" t="str">
        <f t="shared" si="127"/>
        <v>照</v>
      </c>
    </row>
    <row r="2776" spans="1:22">
      <c r="A2776" s="3">
        <v>2772</v>
      </c>
      <c r="B2776" s="3" t="s">
        <v>2292</v>
      </c>
      <c r="C2776" s="3" t="s">
        <v>6041</v>
      </c>
      <c r="D2776" s="3" t="s">
        <v>6001</v>
      </c>
      <c r="E2776" s="3" t="s">
        <v>5991</v>
      </c>
      <c r="F2776" s="3" t="s">
        <v>8276</v>
      </c>
      <c r="G2776" s="3" t="s">
        <v>4210</v>
      </c>
      <c r="H2776" s="3" t="s">
        <v>2303</v>
      </c>
      <c r="I2776" s="3" t="s">
        <v>8252</v>
      </c>
      <c r="J2776" s="5" t="s">
        <v>2304</v>
      </c>
      <c r="L2776" s="3" t="s">
        <v>7038</v>
      </c>
      <c r="M2776" s="3">
        <v>2</v>
      </c>
      <c r="N2776" s="4" t="s">
        <v>9669</v>
      </c>
      <c r="O2776" s="4">
        <v>147</v>
      </c>
      <c r="P2776" s="11" t="s">
        <v>9721</v>
      </c>
      <c r="Q2776" s="11" t="s">
        <v>10645</v>
      </c>
      <c r="S2776" s="4" t="b">
        <f>ISNUMBER(MATCH(Q2776,T:T,0))</f>
        <v>1</v>
      </c>
      <c r="T2776" s="4" t="s">
        <v>12371</v>
      </c>
      <c r="U2776" s="4" t="str">
        <f t="shared" si="127"/>
        <v>廟</v>
      </c>
    </row>
    <row r="2777" spans="1:22">
      <c r="A2777" s="3">
        <v>2773</v>
      </c>
      <c r="B2777" s="3" t="s">
        <v>2292</v>
      </c>
      <c r="C2777" s="3" t="s">
        <v>6053</v>
      </c>
      <c r="D2777" s="3" t="s">
        <v>6001</v>
      </c>
      <c r="E2777" s="3" t="s">
        <v>5991</v>
      </c>
      <c r="F2777" s="3" t="s">
        <v>8274</v>
      </c>
      <c r="G2777" s="3" t="s">
        <v>4210</v>
      </c>
      <c r="H2777" s="3" t="s">
        <v>2305</v>
      </c>
      <c r="I2777" s="3" t="s">
        <v>8252</v>
      </c>
      <c r="J2777" s="5" t="s">
        <v>9366</v>
      </c>
      <c r="L2777" s="3" t="s">
        <v>2306</v>
      </c>
      <c r="M2777" s="3">
        <v>11</v>
      </c>
      <c r="N2777" s="4" t="s">
        <v>9669</v>
      </c>
      <c r="O2777" s="4">
        <v>147</v>
      </c>
      <c r="P2777" s="11" t="s">
        <v>9772</v>
      </c>
      <c r="Q2777" s="11" t="s">
        <v>10642</v>
      </c>
      <c r="S2777" s="4" t="b">
        <f>ISNUMBER(MATCH(Q2777,T:T,0))</f>
        <v>1</v>
      </c>
      <c r="T2777" s="4" t="s">
        <v>12372</v>
      </c>
      <c r="U2777" s="4" t="str">
        <f t="shared" si="127"/>
        <v>妙</v>
      </c>
    </row>
    <row r="2778" spans="1:22">
      <c r="A2778" s="3">
        <v>2774</v>
      </c>
      <c r="B2778" s="3" t="s">
        <v>2292</v>
      </c>
      <c r="C2778" s="3" t="s">
        <v>6069</v>
      </c>
      <c r="D2778" s="3" t="s">
        <v>6001</v>
      </c>
      <c r="E2778" s="3" t="s">
        <v>5991</v>
      </c>
      <c r="F2778" s="3" t="s">
        <v>8274</v>
      </c>
      <c r="G2778" s="3" t="s">
        <v>4210</v>
      </c>
      <c r="H2778" s="3" t="s">
        <v>2307</v>
      </c>
      <c r="I2778" s="3" t="s">
        <v>8252</v>
      </c>
      <c r="J2778" s="8" t="s">
        <v>9367</v>
      </c>
      <c r="L2778" s="3" t="s">
        <v>7038</v>
      </c>
      <c r="M2778" s="3">
        <v>4</v>
      </c>
      <c r="N2778" s="4" t="s">
        <v>9669</v>
      </c>
      <c r="O2778" s="4">
        <v>147</v>
      </c>
      <c r="P2778" s="11" t="s">
        <v>9925</v>
      </c>
      <c r="Q2778" s="11" t="s">
        <v>9669</v>
      </c>
      <c r="S2778" s="4" t="b">
        <f>ISNUMBER(MATCH(Q2778,T:T,0))</f>
        <v>1</v>
      </c>
      <c r="T2778" s="4" t="s">
        <v>12373</v>
      </c>
      <c r="U2778" s="4" t="str">
        <f t="shared" si="127"/>
        <v>笑</v>
      </c>
    </row>
    <row r="2779" spans="1:22">
      <c r="A2779" s="3">
        <v>2775</v>
      </c>
      <c r="B2779" s="3" t="s">
        <v>2292</v>
      </c>
      <c r="C2779" s="3" t="s">
        <v>6035</v>
      </c>
      <c r="D2779" s="3" t="s">
        <v>6001</v>
      </c>
      <c r="E2779" s="3" t="s">
        <v>5991</v>
      </c>
      <c r="F2779" s="3" t="s">
        <v>8274</v>
      </c>
      <c r="G2779" s="3" t="s">
        <v>4210</v>
      </c>
      <c r="H2779" s="3" t="s">
        <v>2308</v>
      </c>
      <c r="I2779" s="3" t="s">
        <v>8252</v>
      </c>
      <c r="J2779" s="5" t="s">
        <v>2309</v>
      </c>
      <c r="L2779" s="3" t="s">
        <v>2310</v>
      </c>
      <c r="M2779" s="3">
        <v>3</v>
      </c>
      <c r="N2779" s="4" t="s">
        <v>9669</v>
      </c>
      <c r="O2779" s="4">
        <v>147</v>
      </c>
      <c r="P2779" s="11" t="s">
        <v>9941</v>
      </c>
      <c r="Q2779" s="11" t="s">
        <v>9669</v>
      </c>
      <c r="S2779" s="4" t="b">
        <f>ISNUMBER(MATCH(Q2779,T:T,0))</f>
        <v>1</v>
      </c>
      <c r="T2779" s="4" t="s">
        <v>10642</v>
      </c>
      <c r="U2779" s="4" t="str">
        <f t="shared" si="127"/>
        <v>笑</v>
      </c>
    </row>
    <row r="2780" spans="1:22">
      <c r="A2780" s="3">
        <v>2776</v>
      </c>
      <c r="B2780" s="3" t="s">
        <v>2292</v>
      </c>
      <c r="C2780" s="3" t="s">
        <v>6076</v>
      </c>
      <c r="D2780" s="3" t="s">
        <v>6001</v>
      </c>
      <c r="E2780" s="3" t="s">
        <v>5991</v>
      </c>
      <c r="F2780" s="3" t="s">
        <v>8274</v>
      </c>
      <c r="G2780" s="3" t="s">
        <v>4210</v>
      </c>
      <c r="H2780" s="3" t="s">
        <v>2311</v>
      </c>
      <c r="I2780" s="3" t="s">
        <v>8252</v>
      </c>
      <c r="J2780" s="8" t="s">
        <v>9368</v>
      </c>
      <c r="L2780" s="3" t="s">
        <v>2283</v>
      </c>
      <c r="M2780" s="3">
        <v>8</v>
      </c>
      <c r="N2780" s="4" t="s">
        <v>9669</v>
      </c>
      <c r="O2780" s="4">
        <v>147</v>
      </c>
      <c r="P2780" s="11" t="s">
        <v>9766</v>
      </c>
      <c r="Q2780" s="11" t="s">
        <v>10646</v>
      </c>
      <c r="R2780" s="4" t="s">
        <v>13154</v>
      </c>
      <c r="S2780" s="4" t="b">
        <f>ISNUMBER(MATCH(Q2780,T:T,0))</f>
        <v>0</v>
      </c>
      <c r="T2780" s="4" t="s">
        <v>12374</v>
      </c>
      <c r="U2780" s="4" t="str">
        <f t="shared" si="127"/>
        <v>笑</v>
      </c>
      <c r="V2780" s="4" t="b">
        <f>ISNUMBER(MATCH(R2780,T:T,0))</f>
        <v>1</v>
      </c>
    </row>
    <row r="2781" spans="1:22">
      <c r="A2781" s="3">
        <v>2777</v>
      </c>
      <c r="B2781" s="3" t="s">
        <v>2292</v>
      </c>
      <c r="C2781" s="3" t="s">
        <v>6058</v>
      </c>
      <c r="D2781" s="3" t="s">
        <v>6001</v>
      </c>
      <c r="E2781" s="3" t="s">
        <v>5991</v>
      </c>
      <c r="F2781" s="3" t="s">
        <v>8274</v>
      </c>
      <c r="G2781" s="3" t="s">
        <v>4210</v>
      </c>
      <c r="H2781" s="3" t="s">
        <v>2312</v>
      </c>
      <c r="I2781" s="3" t="s">
        <v>8252</v>
      </c>
      <c r="J2781" s="5" t="s">
        <v>9369</v>
      </c>
      <c r="L2781" s="3" t="s">
        <v>2285</v>
      </c>
      <c r="M2781" s="3">
        <v>8</v>
      </c>
      <c r="N2781" s="4" t="s">
        <v>9669</v>
      </c>
      <c r="O2781" s="4">
        <v>147</v>
      </c>
      <c r="P2781" s="11" t="s">
        <v>9727</v>
      </c>
      <c r="Q2781" s="11" t="s">
        <v>10643</v>
      </c>
      <c r="S2781" s="4" t="b">
        <f>ISNUMBER(MATCH(Q2781,T:T,0))</f>
        <v>1</v>
      </c>
      <c r="T2781" s="4" t="s">
        <v>12375</v>
      </c>
      <c r="U2781" s="4" t="str">
        <f t="shared" si="127"/>
        <v>照</v>
      </c>
    </row>
    <row r="2782" spans="1:22">
      <c r="A2782" s="3">
        <v>2778</v>
      </c>
      <c r="B2782" s="3" t="s">
        <v>2292</v>
      </c>
      <c r="C2782" s="3" t="s">
        <v>6038</v>
      </c>
      <c r="D2782" s="3" t="s">
        <v>6001</v>
      </c>
      <c r="E2782" s="3" t="s">
        <v>5991</v>
      </c>
      <c r="F2782" s="3" t="s">
        <v>8276</v>
      </c>
      <c r="G2782" s="3" t="s">
        <v>4210</v>
      </c>
      <c r="H2782" s="3" t="s">
        <v>2313</v>
      </c>
      <c r="I2782" s="3" t="s">
        <v>8252</v>
      </c>
      <c r="J2782" s="5" t="s">
        <v>2314</v>
      </c>
      <c r="L2782" s="3" t="s">
        <v>2283</v>
      </c>
      <c r="M2782" s="3">
        <v>5</v>
      </c>
      <c r="N2782" s="4" t="s">
        <v>9669</v>
      </c>
      <c r="O2782" s="4">
        <v>147</v>
      </c>
      <c r="P2782" s="11" t="s">
        <v>9825</v>
      </c>
      <c r="Q2782" s="11" t="s">
        <v>2300</v>
      </c>
      <c r="S2782" s="4" t="b">
        <f>ISNUMBER(MATCH(Q2782,T:T,0))</f>
        <v>1</v>
      </c>
      <c r="T2782" s="4" t="s">
        <v>12376</v>
      </c>
      <c r="U2782" s="4" t="str">
        <f t="shared" si="127"/>
        <v>召</v>
      </c>
    </row>
    <row r="2783" spans="1:22">
      <c r="A2783" s="3">
        <v>2779</v>
      </c>
      <c r="B2783" s="3" t="s">
        <v>2292</v>
      </c>
      <c r="C2783" s="3" t="s">
        <v>6092</v>
      </c>
      <c r="D2783" s="3" t="s">
        <v>6001</v>
      </c>
      <c r="E2783" s="3" t="s">
        <v>5991</v>
      </c>
      <c r="F2783" s="3" t="s">
        <v>8276</v>
      </c>
      <c r="G2783" s="3" t="s">
        <v>4210</v>
      </c>
      <c r="H2783" s="3" t="s">
        <v>2315</v>
      </c>
      <c r="I2783" s="3" t="s">
        <v>8252</v>
      </c>
      <c r="J2783" s="5" t="s">
        <v>2316</v>
      </c>
      <c r="L2783" s="3" t="s">
        <v>2288</v>
      </c>
      <c r="M2783" s="3">
        <v>1</v>
      </c>
      <c r="N2783" s="4" t="s">
        <v>9669</v>
      </c>
      <c r="O2783" s="4">
        <v>147</v>
      </c>
      <c r="P2783" s="11" t="s">
        <v>5008</v>
      </c>
      <c r="Q2783" s="11" t="s">
        <v>2300</v>
      </c>
      <c r="S2783" s="4" t="b">
        <f>ISNUMBER(MATCH(Q2783,T:T,0))</f>
        <v>1</v>
      </c>
      <c r="T2783" s="4" t="s">
        <v>2316</v>
      </c>
      <c r="U2783" s="4" t="str">
        <f t="shared" si="127"/>
        <v>召</v>
      </c>
    </row>
    <row r="2784" spans="1:22">
      <c r="A2784" s="3">
        <v>2780</v>
      </c>
      <c r="B2784" s="3" t="s">
        <v>2292</v>
      </c>
      <c r="C2784" s="3" t="s">
        <v>6083</v>
      </c>
      <c r="D2784" s="3" t="s">
        <v>6001</v>
      </c>
      <c r="E2784" s="3" t="s">
        <v>5991</v>
      </c>
      <c r="F2784" s="3" t="s">
        <v>8274</v>
      </c>
      <c r="G2784" s="3" t="s">
        <v>4210</v>
      </c>
      <c r="H2784" s="3" t="s">
        <v>2317</v>
      </c>
      <c r="I2784" s="3" t="s">
        <v>8252</v>
      </c>
      <c r="J2784" s="5" t="s">
        <v>9370</v>
      </c>
      <c r="K2784" s="3" t="s">
        <v>622</v>
      </c>
      <c r="L2784" s="3" t="s">
        <v>7038</v>
      </c>
      <c r="M2784" s="3">
        <v>11</v>
      </c>
      <c r="N2784" s="4" t="s">
        <v>9669</v>
      </c>
      <c r="O2784" s="4">
        <v>147</v>
      </c>
      <c r="P2784" s="11" t="s">
        <v>9737</v>
      </c>
      <c r="Q2784" s="11" t="s">
        <v>10646</v>
      </c>
      <c r="R2784" s="4" t="s">
        <v>13154</v>
      </c>
      <c r="S2784" s="4" t="b">
        <f>ISNUMBER(MATCH(Q2784,T:T,0))</f>
        <v>0</v>
      </c>
      <c r="T2784" s="4" t="s">
        <v>12377</v>
      </c>
      <c r="U2784" s="4" t="str">
        <f t="shared" si="127"/>
        <v>笑</v>
      </c>
      <c r="V2784" s="4" t="b">
        <f>ISNUMBER(MATCH(R2784,T:T,0))</f>
        <v>1</v>
      </c>
    </row>
    <row r="2785" spans="1:22">
      <c r="A2785" s="3">
        <v>2781</v>
      </c>
      <c r="B2785" s="3" t="s">
        <v>2292</v>
      </c>
      <c r="C2785" s="3" t="s">
        <v>6035</v>
      </c>
      <c r="D2785" s="3" t="s">
        <v>6001</v>
      </c>
      <c r="E2785" s="3" t="s">
        <v>5991</v>
      </c>
      <c r="F2785" s="3" t="s">
        <v>8276</v>
      </c>
      <c r="G2785" s="3" t="s">
        <v>4210</v>
      </c>
      <c r="H2785" s="3" t="s">
        <v>2318</v>
      </c>
      <c r="I2785" s="3" t="s">
        <v>8252</v>
      </c>
      <c r="J2785" s="5" t="s">
        <v>9371</v>
      </c>
      <c r="L2785" s="3" t="s">
        <v>2310</v>
      </c>
      <c r="M2785" s="3">
        <v>2</v>
      </c>
      <c r="N2785" s="4" t="s">
        <v>9669</v>
      </c>
      <c r="O2785" s="4">
        <v>147</v>
      </c>
      <c r="P2785" s="11" t="s">
        <v>9817</v>
      </c>
      <c r="Q2785" s="11" t="s">
        <v>2300</v>
      </c>
      <c r="S2785" s="4" t="b">
        <f>ISNUMBER(MATCH(Q2785,T:T,0))</f>
        <v>1</v>
      </c>
      <c r="T2785" s="4" t="s">
        <v>10645</v>
      </c>
      <c r="U2785" s="4" t="str">
        <f t="shared" si="127"/>
        <v>召</v>
      </c>
    </row>
    <row r="2786" spans="1:22">
      <c r="A2786" s="3">
        <v>2782</v>
      </c>
      <c r="B2786" s="3" t="s">
        <v>2292</v>
      </c>
      <c r="C2786" s="3" t="s">
        <v>6045</v>
      </c>
      <c r="D2786" s="3" t="s">
        <v>6001</v>
      </c>
      <c r="E2786" s="3" t="s">
        <v>5991</v>
      </c>
      <c r="F2786" s="3" t="s">
        <v>8274</v>
      </c>
      <c r="G2786" s="3" t="s">
        <v>4210</v>
      </c>
      <c r="H2786" s="3" t="s">
        <v>2319</v>
      </c>
      <c r="I2786" s="3" t="s">
        <v>8252</v>
      </c>
      <c r="J2786" s="5" t="s">
        <v>2320</v>
      </c>
      <c r="L2786" s="3" t="s">
        <v>7013</v>
      </c>
      <c r="M2786" s="3">
        <v>1</v>
      </c>
      <c r="N2786" s="4" t="s">
        <v>9669</v>
      </c>
      <c r="O2786" s="4">
        <v>147</v>
      </c>
      <c r="P2786" s="11" t="s">
        <v>10275</v>
      </c>
      <c r="Q2786" s="11" t="s">
        <v>2300</v>
      </c>
      <c r="S2786" s="4" t="b">
        <f>ISNUMBER(MATCH(Q2786,T:T,0))</f>
        <v>1</v>
      </c>
      <c r="T2786" s="4" t="s">
        <v>12378</v>
      </c>
      <c r="U2786" s="4" t="str">
        <f t="shared" si="127"/>
        <v>召</v>
      </c>
    </row>
    <row r="2787" spans="1:22">
      <c r="A2787" s="3">
        <v>2783</v>
      </c>
      <c r="B2787" s="3" t="s">
        <v>2292</v>
      </c>
      <c r="C2787" s="3" t="s">
        <v>6120</v>
      </c>
      <c r="D2787" s="3" t="s">
        <v>6001</v>
      </c>
      <c r="E2787" s="3" t="s">
        <v>5991</v>
      </c>
      <c r="F2787" s="3" t="s">
        <v>8274</v>
      </c>
      <c r="G2787" s="3" t="s">
        <v>4210</v>
      </c>
      <c r="H2787" s="3" t="s">
        <v>2321</v>
      </c>
      <c r="I2787" s="3" t="s">
        <v>8252</v>
      </c>
      <c r="J2787" s="5" t="s">
        <v>2322</v>
      </c>
      <c r="L2787" s="3" t="s">
        <v>7022</v>
      </c>
      <c r="M2787" s="3">
        <v>2</v>
      </c>
      <c r="N2787" s="4" t="s">
        <v>9669</v>
      </c>
      <c r="O2787" s="4">
        <v>147</v>
      </c>
      <c r="P2787" s="11" t="s">
        <v>9931</v>
      </c>
      <c r="Q2787" s="11" t="s">
        <v>10643</v>
      </c>
      <c r="S2787" s="4" t="b">
        <f>ISNUMBER(MATCH(Q2787,T:T,0))</f>
        <v>1</v>
      </c>
      <c r="T2787" s="4" t="s">
        <v>10341</v>
      </c>
      <c r="U2787" s="4" t="str">
        <f t="shared" si="127"/>
        <v>照</v>
      </c>
    </row>
    <row r="2788" spans="1:22">
      <c r="A2788" s="3">
        <v>2784</v>
      </c>
      <c r="B2788" s="3" t="s">
        <v>2292</v>
      </c>
      <c r="C2788" s="3" t="s">
        <v>6011</v>
      </c>
      <c r="D2788" s="3" t="s">
        <v>6001</v>
      </c>
      <c r="E2788" s="3" t="s">
        <v>5991</v>
      </c>
      <c r="F2788" s="3" t="s">
        <v>8276</v>
      </c>
      <c r="G2788" s="3" t="s">
        <v>4210</v>
      </c>
      <c r="H2788" s="3" t="s">
        <v>2323</v>
      </c>
      <c r="I2788" s="3" t="s">
        <v>8252</v>
      </c>
      <c r="J2788" s="5" t="s">
        <v>2324</v>
      </c>
      <c r="L2788" s="3" t="s">
        <v>2325</v>
      </c>
      <c r="M2788" s="3">
        <v>1</v>
      </c>
      <c r="N2788" s="4" t="s">
        <v>9669</v>
      </c>
      <c r="O2788" s="4">
        <v>147</v>
      </c>
      <c r="P2788" s="11" t="s">
        <v>9757</v>
      </c>
      <c r="Q2788" s="11" t="s">
        <v>2300</v>
      </c>
      <c r="S2788" s="4" t="b">
        <f>ISNUMBER(MATCH(Q2788,T:T,0))</f>
        <v>1</v>
      </c>
      <c r="T2788" s="4" t="s">
        <v>2324</v>
      </c>
      <c r="U2788" s="4" t="str">
        <f t="shared" si="127"/>
        <v>召</v>
      </c>
    </row>
    <row r="2789" spans="1:22">
      <c r="A2789" s="3">
        <v>2785</v>
      </c>
      <c r="B2789" s="3" t="s">
        <v>2292</v>
      </c>
      <c r="C2789" s="3" t="s">
        <v>6049</v>
      </c>
      <c r="D2789" s="3" t="s">
        <v>6001</v>
      </c>
      <c r="E2789" s="3" t="s">
        <v>5991</v>
      </c>
      <c r="F2789" s="3" t="s">
        <v>8276</v>
      </c>
      <c r="G2789" s="3" t="s">
        <v>4210</v>
      </c>
      <c r="H2789" s="3" t="s">
        <v>2326</v>
      </c>
      <c r="I2789" s="3" t="s">
        <v>8252</v>
      </c>
      <c r="J2789" s="5" t="s">
        <v>2327</v>
      </c>
      <c r="L2789" s="3" t="s">
        <v>7013</v>
      </c>
      <c r="M2789" s="3">
        <v>2</v>
      </c>
      <c r="N2789" s="4" t="s">
        <v>9669</v>
      </c>
      <c r="O2789" s="4">
        <v>147</v>
      </c>
      <c r="P2789" s="11" t="s">
        <v>9723</v>
      </c>
      <c r="Q2789" s="11" t="s">
        <v>10645</v>
      </c>
      <c r="S2789" s="4" t="b">
        <f>ISNUMBER(MATCH(Q2789,T:T,0))</f>
        <v>1</v>
      </c>
      <c r="T2789" s="4" t="s">
        <v>12379</v>
      </c>
      <c r="U2789" s="4" t="str">
        <f t="shared" si="127"/>
        <v>廟</v>
      </c>
    </row>
    <row r="2790" spans="1:22">
      <c r="A2790" s="3">
        <v>2786</v>
      </c>
      <c r="B2790" s="3" t="s">
        <v>2292</v>
      </c>
      <c r="C2790" s="3" t="s">
        <v>6041</v>
      </c>
      <c r="D2790" s="3" t="s">
        <v>6001</v>
      </c>
      <c r="E2790" s="3" t="s">
        <v>5991</v>
      </c>
      <c r="F2790" s="3" t="s">
        <v>8274</v>
      </c>
      <c r="G2790" s="3" t="s">
        <v>4210</v>
      </c>
      <c r="H2790" s="3" t="s">
        <v>2328</v>
      </c>
      <c r="I2790" s="3" t="s">
        <v>8252</v>
      </c>
      <c r="J2790" s="5" t="s">
        <v>2329</v>
      </c>
      <c r="L2790" s="3" t="s">
        <v>7038</v>
      </c>
      <c r="M2790" s="3">
        <v>1</v>
      </c>
      <c r="N2790" s="4" t="s">
        <v>9669</v>
      </c>
      <c r="O2790" s="4">
        <v>147</v>
      </c>
      <c r="P2790" s="11" t="s">
        <v>9789</v>
      </c>
      <c r="Q2790" s="11" t="s">
        <v>10647</v>
      </c>
      <c r="S2790" s="4" t="b">
        <f>ISNUMBER(MATCH(Q2790,T:T,0))</f>
        <v>1</v>
      </c>
      <c r="T2790" s="4" t="s">
        <v>2329</v>
      </c>
      <c r="U2790" s="4" t="str">
        <f t="shared" si="127"/>
        <v>要</v>
      </c>
    </row>
    <row r="2791" spans="1:22">
      <c r="A2791" s="3">
        <v>2787</v>
      </c>
      <c r="B2791" s="3" t="s">
        <v>2292</v>
      </c>
      <c r="C2791" s="3" t="s">
        <v>6021</v>
      </c>
      <c r="D2791" s="3" t="s">
        <v>6001</v>
      </c>
      <c r="E2791" s="3" t="s">
        <v>5991</v>
      </c>
      <c r="F2791" s="3" t="s">
        <v>8274</v>
      </c>
      <c r="G2791" s="3" t="s">
        <v>4210</v>
      </c>
      <c r="H2791" s="3" t="s">
        <v>2330</v>
      </c>
      <c r="I2791" s="3" t="s">
        <v>8252</v>
      </c>
      <c r="J2791" s="5" t="s">
        <v>2331</v>
      </c>
      <c r="L2791" s="3" t="s">
        <v>2332</v>
      </c>
      <c r="M2791" s="3">
        <v>2</v>
      </c>
      <c r="N2791" s="4" t="s">
        <v>9669</v>
      </c>
      <c r="O2791" s="4">
        <v>147</v>
      </c>
      <c r="P2791" s="11" t="s">
        <v>9798</v>
      </c>
      <c r="Q2791" s="11" t="s">
        <v>10647</v>
      </c>
      <c r="S2791" s="4" t="b">
        <f>ISNUMBER(MATCH(Q2791,T:T,0))</f>
        <v>1</v>
      </c>
      <c r="T2791" s="4" t="s">
        <v>11281</v>
      </c>
      <c r="U2791" s="4" t="str">
        <f t="shared" si="127"/>
        <v>要</v>
      </c>
    </row>
    <row r="2792" spans="1:22">
      <c r="A2792" s="3">
        <v>2788</v>
      </c>
      <c r="B2792" s="3" t="s">
        <v>2333</v>
      </c>
      <c r="C2792" s="3" t="s">
        <v>6067</v>
      </c>
      <c r="D2792" s="3" t="s">
        <v>6157</v>
      </c>
      <c r="E2792" s="3" t="s">
        <v>5991</v>
      </c>
      <c r="F2792" s="3" t="s">
        <v>8329</v>
      </c>
      <c r="G2792" s="3" t="s">
        <v>4210</v>
      </c>
      <c r="H2792" s="3" t="s">
        <v>827</v>
      </c>
      <c r="I2792" s="3" t="s">
        <v>8252</v>
      </c>
      <c r="J2792" s="5" t="s">
        <v>9372</v>
      </c>
      <c r="L2792" s="3" t="s">
        <v>6984</v>
      </c>
      <c r="M2792" s="3">
        <v>8</v>
      </c>
      <c r="N2792" s="4" t="s">
        <v>8252</v>
      </c>
      <c r="O2792" s="4">
        <v>148</v>
      </c>
      <c r="P2792" s="11" t="s">
        <v>9870</v>
      </c>
      <c r="Q2792" s="11" t="s">
        <v>10648</v>
      </c>
      <c r="S2792" s="4" t="b">
        <f>ISNUMBER(MATCH(Q2792,T:T,0))</f>
        <v>1</v>
      </c>
      <c r="T2792" s="4" t="s">
        <v>8252</v>
      </c>
      <c r="U2792" s="4" t="str">
        <f t="shared" si="127"/>
        <v>敎</v>
      </c>
    </row>
    <row r="2793" spans="1:22">
      <c r="A2793" s="3">
        <v>2789</v>
      </c>
      <c r="B2793" s="3" t="s">
        <v>2333</v>
      </c>
      <c r="C2793" s="3" t="s">
        <v>6025</v>
      </c>
      <c r="D2793" s="3" t="s">
        <v>6157</v>
      </c>
      <c r="E2793" s="3" t="s">
        <v>5991</v>
      </c>
      <c r="F2793" s="3" t="s">
        <v>8329</v>
      </c>
      <c r="G2793" s="3" t="s">
        <v>4210</v>
      </c>
      <c r="H2793" s="3" t="s">
        <v>2334</v>
      </c>
      <c r="I2793" s="3" t="s">
        <v>8252</v>
      </c>
      <c r="J2793" s="8" t="s">
        <v>9373</v>
      </c>
      <c r="L2793" s="3" t="s">
        <v>7038</v>
      </c>
      <c r="M2793" s="3">
        <v>11</v>
      </c>
      <c r="N2793" s="4" t="s">
        <v>8252</v>
      </c>
      <c r="O2793" s="4">
        <v>148</v>
      </c>
      <c r="P2793" s="11" t="s">
        <v>9729</v>
      </c>
      <c r="Q2793" s="11" t="s">
        <v>10649</v>
      </c>
      <c r="S2793" s="4" t="b">
        <f>ISNUMBER(MATCH(Q2793,T:T,0))</f>
        <v>1</v>
      </c>
      <c r="T2793" s="4" t="s">
        <v>10648</v>
      </c>
      <c r="U2793" s="4" t="str">
        <f t="shared" si="127"/>
        <v>孝</v>
      </c>
    </row>
    <row r="2794" spans="1:22">
      <c r="A2794" s="3">
        <v>2790</v>
      </c>
      <c r="B2794" s="3" t="s">
        <v>2333</v>
      </c>
      <c r="C2794" s="3" t="s">
        <v>6089</v>
      </c>
      <c r="D2794" s="3" t="s">
        <v>6157</v>
      </c>
      <c r="E2794" s="3" t="s">
        <v>5991</v>
      </c>
      <c r="F2794" s="3" t="s">
        <v>8329</v>
      </c>
      <c r="G2794" s="3" t="s">
        <v>4210</v>
      </c>
      <c r="H2794" s="3" t="s">
        <v>828</v>
      </c>
      <c r="I2794" s="3" t="s">
        <v>8252</v>
      </c>
      <c r="J2794" s="5" t="s">
        <v>2335</v>
      </c>
      <c r="L2794" s="3" t="s">
        <v>6984</v>
      </c>
      <c r="M2794" s="3">
        <v>6</v>
      </c>
      <c r="N2794" s="4" t="s">
        <v>8252</v>
      </c>
      <c r="O2794" s="4">
        <v>148</v>
      </c>
      <c r="P2794" s="11" t="s">
        <v>9739</v>
      </c>
      <c r="Q2794" s="11" t="s">
        <v>10648</v>
      </c>
      <c r="S2794" s="4" t="b">
        <f>ISNUMBER(MATCH(Q2794,T:T,0))</f>
        <v>1</v>
      </c>
      <c r="T2794" s="4" t="s">
        <v>10649</v>
      </c>
      <c r="U2794" s="4" t="str">
        <f t="shared" si="127"/>
        <v>敎</v>
      </c>
    </row>
    <row r="2795" spans="1:22">
      <c r="A2795" s="3">
        <v>2791</v>
      </c>
      <c r="B2795" s="3" t="s">
        <v>2333</v>
      </c>
      <c r="C2795" s="3" t="s">
        <v>6000</v>
      </c>
      <c r="D2795" s="3" t="s">
        <v>6157</v>
      </c>
      <c r="E2795" s="3" t="s">
        <v>5991</v>
      </c>
      <c r="F2795" s="3" t="s">
        <v>8329</v>
      </c>
      <c r="G2795" s="3" t="s">
        <v>4210</v>
      </c>
      <c r="H2795" s="3" t="s">
        <v>829</v>
      </c>
      <c r="I2795" s="3" t="s">
        <v>8252</v>
      </c>
      <c r="J2795" s="5" t="s">
        <v>2336</v>
      </c>
      <c r="L2795" s="3" t="s">
        <v>6997</v>
      </c>
      <c r="M2795" s="3">
        <v>5</v>
      </c>
      <c r="N2795" s="4" t="s">
        <v>8252</v>
      </c>
      <c r="O2795" s="4">
        <v>148</v>
      </c>
      <c r="P2795" s="11" t="s">
        <v>9742</v>
      </c>
      <c r="Q2795" s="11" t="s">
        <v>10648</v>
      </c>
      <c r="S2795" s="4" t="b">
        <f>ISNUMBER(MATCH(Q2795,T:T,0))</f>
        <v>1</v>
      </c>
      <c r="T2795" s="4" t="s">
        <v>12380</v>
      </c>
      <c r="U2795" s="4" t="str">
        <f t="shared" si="127"/>
        <v>敎</v>
      </c>
    </row>
    <row r="2796" spans="1:22">
      <c r="A2796" s="3">
        <v>2792</v>
      </c>
      <c r="B2796" s="3" t="s">
        <v>2333</v>
      </c>
      <c r="C2796" s="3" t="s">
        <v>6049</v>
      </c>
      <c r="D2796" s="3" t="s">
        <v>6157</v>
      </c>
      <c r="E2796" s="3" t="s">
        <v>5991</v>
      </c>
      <c r="F2796" s="3" t="s">
        <v>8329</v>
      </c>
      <c r="G2796" s="3" t="s">
        <v>4210</v>
      </c>
      <c r="H2796" s="3" t="s">
        <v>830</v>
      </c>
      <c r="I2796" s="3" t="s">
        <v>8252</v>
      </c>
      <c r="J2796" s="5" t="s">
        <v>2337</v>
      </c>
      <c r="L2796" s="3" t="s">
        <v>7063</v>
      </c>
      <c r="M2796" s="3">
        <v>5</v>
      </c>
      <c r="N2796" s="4" t="s">
        <v>8252</v>
      </c>
      <c r="O2796" s="4">
        <v>148</v>
      </c>
      <c r="P2796" s="11" t="s">
        <v>9979</v>
      </c>
      <c r="Q2796" s="11" t="s">
        <v>10648</v>
      </c>
      <c r="S2796" s="4" t="b">
        <f>ISNUMBER(MATCH(Q2796,T:T,0))</f>
        <v>1</v>
      </c>
      <c r="T2796" s="4" t="s">
        <v>12381</v>
      </c>
      <c r="U2796" s="4" t="str">
        <f t="shared" si="127"/>
        <v>敎</v>
      </c>
    </row>
    <row r="2797" spans="1:22">
      <c r="A2797" s="3">
        <v>2793</v>
      </c>
      <c r="B2797" s="3" t="s">
        <v>2333</v>
      </c>
      <c r="C2797" s="3" t="s">
        <v>6038</v>
      </c>
      <c r="D2797" s="3" t="s">
        <v>6157</v>
      </c>
      <c r="E2797" s="3" t="s">
        <v>5991</v>
      </c>
      <c r="F2797" s="3" t="s">
        <v>8329</v>
      </c>
      <c r="G2797" s="3" t="s">
        <v>4210</v>
      </c>
      <c r="H2797" s="3" t="s">
        <v>831</v>
      </c>
      <c r="I2797" s="3" t="s">
        <v>8252</v>
      </c>
      <c r="J2797" s="5" t="s">
        <v>2338</v>
      </c>
      <c r="L2797" s="3" t="s">
        <v>2283</v>
      </c>
      <c r="M2797" s="3">
        <v>3</v>
      </c>
      <c r="N2797" s="4" t="s">
        <v>8252</v>
      </c>
      <c r="O2797" s="4">
        <v>148</v>
      </c>
      <c r="P2797" s="11" t="s">
        <v>9728</v>
      </c>
      <c r="Q2797" s="11" t="s">
        <v>10648</v>
      </c>
      <c r="S2797" s="4" t="b">
        <f>ISNUMBER(MATCH(Q2797,T:T,0))</f>
        <v>1</v>
      </c>
      <c r="T2797" s="4" t="s">
        <v>11303</v>
      </c>
      <c r="U2797" s="4" t="str">
        <f t="shared" si="127"/>
        <v>敎</v>
      </c>
    </row>
    <row r="2798" spans="1:22">
      <c r="A2798" s="3">
        <v>2794</v>
      </c>
      <c r="B2798" s="3" t="s">
        <v>2333</v>
      </c>
      <c r="C2798" s="3" t="s">
        <v>6035</v>
      </c>
      <c r="D2798" s="3" t="s">
        <v>6157</v>
      </c>
      <c r="E2798" s="3" t="s">
        <v>5991</v>
      </c>
      <c r="F2798" s="3" t="s">
        <v>8329</v>
      </c>
      <c r="G2798" s="3" t="s">
        <v>4210</v>
      </c>
      <c r="H2798" s="3" t="s">
        <v>832</v>
      </c>
      <c r="I2798" s="3" t="s">
        <v>8252</v>
      </c>
      <c r="J2798" s="5" t="s">
        <v>9374</v>
      </c>
      <c r="L2798" s="3" t="s">
        <v>2339</v>
      </c>
      <c r="M2798" s="3">
        <v>7</v>
      </c>
      <c r="N2798" s="4" t="s">
        <v>8252</v>
      </c>
      <c r="O2798" s="4">
        <v>148</v>
      </c>
      <c r="P2798" s="11" t="s">
        <v>9719</v>
      </c>
      <c r="Q2798" s="11" t="s">
        <v>10648</v>
      </c>
      <c r="S2798" s="4" t="b">
        <f>ISNUMBER(MATCH(Q2798,T:T,0))</f>
        <v>1</v>
      </c>
      <c r="T2798" s="4" t="s">
        <v>12382</v>
      </c>
      <c r="U2798" s="4" t="str">
        <f t="shared" si="127"/>
        <v>敎</v>
      </c>
    </row>
    <row r="2799" spans="1:22">
      <c r="A2799" s="3">
        <v>2795</v>
      </c>
      <c r="B2799" s="3" t="s">
        <v>2333</v>
      </c>
      <c r="C2799" s="3" t="s">
        <v>6053</v>
      </c>
      <c r="D2799" s="3" t="s">
        <v>6157</v>
      </c>
      <c r="E2799" s="3" t="s">
        <v>5991</v>
      </c>
      <c r="F2799" s="3" t="s">
        <v>8329</v>
      </c>
      <c r="G2799" s="3" t="s">
        <v>4210</v>
      </c>
      <c r="H2799" s="3" t="s">
        <v>833</v>
      </c>
      <c r="I2799" s="3" t="s">
        <v>8252</v>
      </c>
      <c r="J2799" s="5" t="s">
        <v>9375</v>
      </c>
      <c r="L2799" s="3" t="s">
        <v>2340</v>
      </c>
      <c r="M2799" s="3">
        <v>6</v>
      </c>
      <c r="N2799" s="4" t="s">
        <v>8252</v>
      </c>
      <c r="O2799" s="4">
        <v>148</v>
      </c>
      <c r="P2799" s="11" t="s">
        <v>9772</v>
      </c>
      <c r="Q2799" s="11" t="s">
        <v>10650</v>
      </c>
      <c r="R2799" s="4" t="s">
        <v>13155</v>
      </c>
      <c r="S2799" s="4" t="b">
        <f>ISNUMBER(MATCH(Q2799,T:T,0))</f>
        <v>0</v>
      </c>
      <c r="T2799" s="4" t="s">
        <v>12383</v>
      </c>
      <c r="U2799" s="4" t="str">
        <f t="shared" si="127"/>
        <v>貌</v>
      </c>
      <c r="V2799" s="4" t="b">
        <f>ISNUMBER(MATCH(R2799,T:T,0))</f>
        <v>1</v>
      </c>
    </row>
    <row r="2800" spans="1:22">
      <c r="A2800" s="3">
        <v>2796</v>
      </c>
      <c r="B2800" s="3" t="s">
        <v>2333</v>
      </c>
      <c r="C2800" s="3" t="s">
        <v>6011</v>
      </c>
      <c r="D2800" s="3" t="s">
        <v>6157</v>
      </c>
      <c r="E2800" s="3" t="s">
        <v>5991</v>
      </c>
      <c r="F2800" s="3" t="s">
        <v>8329</v>
      </c>
      <c r="G2800" s="3" t="s">
        <v>4210</v>
      </c>
      <c r="H2800" s="3" t="s">
        <v>834</v>
      </c>
      <c r="I2800" s="3" t="s">
        <v>8252</v>
      </c>
      <c r="J2800" s="5" t="s">
        <v>2341</v>
      </c>
      <c r="L2800" s="3" t="s">
        <v>2325</v>
      </c>
      <c r="M2800" s="3">
        <v>2</v>
      </c>
      <c r="N2800" s="4" t="s">
        <v>8252</v>
      </c>
      <c r="O2800" s="4">
        <v>148</v>
      </c>
      <c r="P2800" s="11" t="s">
        <v>9757</v>
      </c>
      <c r="Q2800" s="11" t="s">
        <v>10648</v>
      </c>
      <c r="S2800" s="4" t="b">
        <f>ISNUMBER(MATCH(Q2800,T:T,0))</f>
        <v>1</v>
      </c>
      <c r="T2800" s="4" t="s">
        <v>12384</v>
      </c>
      <c r="U2800" s="4" t="str">
        <f t="shared" si="127"/>
        <v>敎</v>
      </c>
    </row>
    <row r="2801" spans="1:21">
      <c r="A2801" s="3">
        <v>2797</v>
      </c>
      <c r="B2801" s="3" t="s">
        <v>2333</v>
      </c>
      <c r="C2801" s="3" t="s">
        <v>6180</v>
      </c>
      <c r="D2801" s="3" t="s">
        <v>6157</v>
      </c>
      <c r="E2801" s="3" t="s">
        <v>5991</v>
      </c>
      <c r="F2801" s="3" t="s">
        <v>8329</v>
      </c>
      <c r="G2801" s="3" t="s">
        <v>4210</v>
      </c>
      <c r="H2801" s="3" t="s">
        <v>835</v>
      </c>
      <c r="I2801" s="3" t="s">
        <v>8252</v>
      </c>
      <c r="J2801" s="5" t="s">
        <v>9376</v>
      </c>
      <c r="L2801" s="3" t="s">
        <v>7022</v>
      </c>
      <c r="M2801" s="3">
        <v>7</v>
      </c>
      <c r="N2801" s="4" t="s">
        <v>8252</v>
      </c>
      <c r="O2801" s="4">
        <v>148</v>
      </c>
      <c r="P2801" s="11" t="s">
        <v>9774</v>
      </c>
      <c r="Q2801" s="11" t="s">
        <v>10648</v>
      </c>
      <c r="S2801" s="4" t="b">
        <f>ISNUMBER(MATCH(Q2801,T:T,0))</f>
        <v>1</v>
      </c>
      <c r="T2801" s="4" t="s">
        <v>10651</v>
      </c>
      <c r="U2801" s="4" t="str">
        <f t="shared" si="127"/>
        <v>敎</v>
      </c>
    </row>
    <row r="2802" spans="1:21">
      <c r="A2802" s="3">
        <v>2798</v>
      </c>
      <c r="B2802" s="3" t="s">
        <v>2333</v>
      </c>
      <c r="C2802" s="3" t="s">
        <v>6005</v>
      </c>
      <c r="D2802" s="3" t="s">
        <v>6157</v>
      </c>
      <c r="E2802" s="3" t="s">
        <v>5991</v>
      </c>
      <c r="F2802" s="3" t="s">
        <v>8329</v>
      </c>
      <c r="G2802" s="3" t="s">
        <v>4210</v>
      </c>
      <c r="H2802" s="3" t="s">
        <v>836</v>
      </c>
      <c r="I2802" s="3" t="s">
        <v>8252</v>
      </c>
      <c r="J2802" s="5" t="s">
        <v>2342</v>
      </c>
      <c r="L2802" s="3" t="s">
        <v>6997</v>
      </c>
      <c r="M2802" s="3">
        <v>4</v>
      </c>
      <c r="N2802" s="4" t="s">
        <v>8252</v>
      </c>
      <c r="O2802" s="4">
        <v>148</v>
      </c>
      <c r="P2802" s="11" t="s">
        <v>9709</v>
      </c>
      <c r="Q2802" s="11" t="s">
        <v>10648</v>
      </c>
      <c r="S2802" s="4" t="b">
        <f>ISNUMBER(MATCH(Q2802,T:T,0))</f>
        <v>1</v>
      </c>
      <c r="T2802" s="4" t="s">
        <v>12385</v>
      </c>
      <c r="U2802" s="4" t="str">
        <f t="shared" si="127"/>
        <v>敎</v>
      </c>
    </row>
    <row r="2803" spans="1:21">
      <c r="A2803" s="3">
        <v>2799</v>
      </c>
      <c r="B2803" s="3" t="s">
        <v>2333</v>
      </c>
      <c r="C2803" s="3" t="s">
        <v>6137</v>
      </c>
      <c r="D2803" s="3" t="s">
        <v>6157</v>
      </c>
      <c r="E2803" s="3" t="s">
        <v>5991</v>
      </c>
      <c r="F2803" s="3" t="s">
        <v>8329</v>
      </c>
      <c r="G2803" s="3" t="s">
        <v>4210</v>
      </c>
      <c r="H2803" s="3" t="s">
        <v>837</v>
      </c>
      <c r="I2803" s="3" t="s">
        <v>8252</v>
      </c>
      <c r="J2803" s="5" t="s">
        <v>9377</v>
      </c>
      <c r="L2803" s="3" t="s">
        <v>2343</v>
      </c>
      <c r="M2803" s="3">
        <v>4</v>
      </c>
      <c r="N2803" s="4" t="s">
        <v>8252</v>
      </c>
      <c r="O2803" s="4">
        <v>148</v>
      </c>
      <c r="P2803" s="11" t="s">
        <v>9744</v>
      </c>
      <c r="Q2803" s="11" t="s">
        <v>10648</v>
      </c>
      <c r="S2803" s="4" t="b">
        <f>ISNUMBER(MATCH(Q2803,T:T,0))</f>
        <v>1</v>
      </c>
      <c r="T2803" s="4" t="s">
        <v>12386</v>
      </c>
      <c r="U2803" s="4" t="str">
        <f t="shared" si="127"/>
        <v>敎</v>
      </c>
    </row>
    <row r="2804" spans="1:21">
      <c r="A2804" s="3">
        <v>2800</v>
      </c>
      <c r="B2804" s="3" t="s">
        <v>2333</v>
      </c>
      <c r="C2804" s="3" t="s">
        <v>6318</v>
      </c>
      <c r="D2804" s="3" t="s">
        <v>6157</v>
      </c>
      <c r="E2804" s="3" t="s">
        <v>5991</v>
      </c>
      <c r="F2804" s="3" t="s">
        <v>8329</v>
      </c>
      <c r="G2804" s="3" t="s">
        <v>4210</v>
      </c>
      <c r="H2804" s="3" t="s">
        <v>838</v>
      </c>
      <c r="I2804" s="3" t="s">
        <v>8252</v>
      </c>
      <c r="J2804" s="5" t="s">
        <v>9378</v>
      </c>
      <c r="L2804" s="3" t="s">
        <v>6997</v>
      </c>
      <c r="M2804" s="3">
        <v>3</v>
      </c>
      <c r="N2804" s="4" t="s">
        <v>8252</v>
      </c>
      <c r="O2804" s="4">
        <v>148</v>
      </c>
      <c r="P2804" s="11" t="s">
        <v>9804</v>
      </c>
      <c r="Q2804" s="11" t="s">
        <v>10648</v>
      </c>
      <c r="S2804" s="4" t="b">
        <f>ISNUMBER(MATCH(Q2804,T:T,0))</f>
        <v>1</v>
      </c>
      <c r="T2804" s="4" t="s">
        <v>12387</v>
      </c>
      <c r="U2804" s="4" t="str">
        <f t="shared" si="127"/>
        <v>敎</v>
      </c>
    </row>
    <row r="2805" spans="1:21">
      <c r="A2805" s="3">
        <v>2801</v>
      </c>
      <c r="B2805" s="3" t="s">
        <v>2333</v>
      </c>
      <c r="C2805" s="3" t="s">
        <v>6045</v>
      </c>
      <c r="D2805" s="3" t="s">
        <v>6157</v>
      </c>
      <c r="E2805" s="3" t="s">
        <v>5991</v>
      </c>
      <c r="F2805" s="3" t="s">
        <v>8329</v>
      </c>
      <c r="G2805" s="3" t="s">
        <v>4210</v>
      </c>
      <c r="H2805" s="3" t="s">
        <v>839</v>
      </c>
      <c r="I2805" s="3" t="s">
        <v>8252</v>
      </c>
      <c r="J2805" s="8" t="s">
        <v>9379</v>
      </c>
      <c r="L2805" s="3" t="s">
        <v>7063</v>
      </c>
      <c r="M2805" s="3">
        <v>5</v>
      </c>
      <c r="N2805" s="4" t="s">
        <v>8252</v>
      </c>
      <c r="O2805" s="4">
        <v>148</v>
      </c>
      <c r="P2805" s="11" t="s">
        <v>2566</v>
      </c>
      <c r="Q2805" s="11" t="s">
        <v>10648</v>
      </c>
      <c r="S2805" s="4" t="b">
        <f>ISNUMBER(MATCH(Q2805,T:T,0))</f>
        <v>1</v>
      </c>
      <c r="T2805" s="4" t="s">
        <v>12388</v>
      </c>
      <c r="U2805" s="4" t="str">
        <f t="shared" si="127"/>
        <v>敎</v>
      </c>
    </row>
    <row r="2806" spans="1:21">
      <c r="A2806" s="3">
        <v>2802</v>
      </c>
      <c r="B2806" s="3" t="s">
        <v>2333</v>
      </c>
      <c r="C2806" s="3" t="s">
        <v>6167</v>
      </c>
      <c r="D2806" s="3" t="s">
        <v>6157</v>
      </c>
      <c r="E2806" s="3" t="s">
        <v>5991</v>
      </c>
      <c r="F2806" s="3" t="s">
        <v>8329</v>
      </c>
      <c r="G2806" s="3" t="s">
        <v>4210</v>
      </c>
      <c r="H2806" s="3" t="s">
        <v>840</v>
      </c>
      <c r="I2806" s="3" t="s">
        <v>8252</v>
      </c>
      <c r="J2806" s="5" t="s">
        <v>9380</v>
      </c>
      <c r="L2806" s="3" t="s">
        <v>2325</v>
      </c>
      <c r="M2806" s="3">
        <v>8</v>
      </c>
      <c r="N2806" s="4" t="s">
        <v>8252</v>
      </c>
      <c r="O2806" s="4">
        <v>148</v>
      </c>
      <c r="P2806" s="11" t="s">
        <v>6167</v>
      </c>
      <c r="Q2806" s="11" t="s">
        <v>10648</v>
      </c>
      <c r="S2806" s="4" t="b">
        <f>ISNUMBER(MATCH(Q2806,T:T,0))</f>
        <v>1</v>
      </c>
      <c r="T2806" s="4" t="s">
        <v>11305</v>
      </c>
      <c r="U2806" s="4" t="str">
        <f t="shared" si="127"/>
        <v>敎</v>
      </c>
    </row>
    <row r="2807" spans="1:21">
      <c r="A2807" s="3">
        <v>2803</v>
      </c>
      <c r="B2807" s="3" t="s">
        <v>2333</v>
      </c>
      <c r="C2807" s="3" t="s">
        <v>6072</v>
      </c>
      <c r="D2807" s="3" t="s">
        <v>6157</v>
      </c>
      <c r="E2807" s="3" t="s">
        <v>5991</v>
      </c>
      <c r="F2807" s="3" t="s">
        <v>8329</v>
      </c>
      <c r="G2807" s="3" t="s">
        <v>4210</v>
      </c>
      <c r="H2807" s="3" t="s">
        <v>841</v>
      </c>
      <c r="I2807" s="3" t="s">
        <v>8252</v>
      </c>
      <c r="J2807" s="5" t="s">
        <v>9381</v>
      </c>
      <c r="L2807" s="3" t="s">
        <v>2288</v>
      </c>
      <c r="M2807" s="3">
        <v>5</v>
      </c>
      <c r="N2807" s="4" t="s">
        <v>8252</v>
      </c>
      <c r="O2807" s="4">
        <v>148</v>
      </c>
      <c r="P2807" s="11" t="s">
        <v>9754</v>
      </c>
      <c r="Q2807" s="11" t="s">
        <v>10648</v>
      </c>
      <c r="S2807" s="4" t="b">
        <f>ISNUMBER(MATCH(Q2807,T:T,0))</f>
        <v>1</v>
      </c>
      <c r="T2807" s="4" t="s">
        <v>12389</v>
      </c>
      <c r="U2807" s="4" t="str">
        <f t="shared" si="127"/>
        <v>敎</v>
      </c>
    </row>
    <row r="2808" spans="1:21">
      <c r="A2808" s="3">
        <v>2804</v>
      </c>
      <c r="B2808" s="3" t="s">
        <v>2333</v>
      </c>
      <c r="C2808" s="3" t="s">
        <v>6092</v>
      </c>
      <c r="D2808" s="3" t="s">
        <v>6157</v>
      </c>
      <c r="E2808" s="3" t="s">
        <v>5991</v>
      </c>
      <c r="F2808" s="3" t="s">
        <v>8329</v>
      </c>
      <c r="G2808" s="3" t="s">
        <v>4210</v>
      </c>
      <c r="H2808" s="3" t="s">
        <v>842</v>
      </c>
      <c r="I2808" s="3" t="s">
        <v>8252</v>
      </c>
      <c r="J2808" s="5" t="s">
        <v>2344</v>
      </c>
      <c r="L2808" s="3" t="s">
        <v>2288</v>
      </c>
      <c r="M2808" s="3">
        <v>2</v>
      </c>
      <c r="N2808" s="4" t="s">
        <v>8252</v>
      </c>
      <c r="O2808" s="4">
        <v>148</v>
      </c>
      <c r="P2808" s="11" t="s">
        <v>9740</v>
      </c>
      <c r="Q2808" s="11" t="s">
        <v>10648</v>
      </c>
      <c r="S2808" s="4" t="b">
        <f>ISNUMBER(MATCH(Q2808,T:T,0))</f>
        <v>1</v>
      </c>
      <c r="T2808" s="4" t="s">
        <v>12390</v>
      </c>
      <c r="U2808" s="4" t="str">
        <f t="shared" si="127"/>
        <v>敎</v>
      </c>
    </row>
    <row r="2809" spans="1:21">
      <c r="A2809" s="3">
        <v>2805</v>
      </c>
      <c r="B2809" s="3" t="s">
        <v>2333</v>
      </c>
      <c r="C2809" s="3" t="s">
        <v>6015</v>
      </c>
      <c r="D2809" s="3" t="s">
        <v>6157</v>
      </c>
      <c r="E2809" s="3" t="s">
        <v>5991</v>
      </c>
      <c r="F2809" s="3" t="s">
        <v>8329</v>
      </c>
      <c r="G2809" s="3" t="s">
        <v>4210</v>
      </c>
      <c r="H2809" s="3" t="s">
        <v>2345</v>
      </c>
      <c r="I2809" s="3" t="s">
        <v>8252</v>
      </c>
      <c r="J2809" s="5" t="s">
        <v>2346</v>
      </c>
      <c r="L2809" s="3" t="s">
        <v>6997</v>
      </c>
      <c r="M2809" s="3">
        <v>1</v>
      </c>
      <c r="N2809" s="4" t="s">
        <v>8252</v>
      </c>
      <c r="O2809" s="4">
        <v>148</v>
      </c>
      <c r="P2809" s="11" t="s">
        <v>9777</v>
      </c>
      <c r="Q2809" s="11" t="s">
        <v>10651</v>
      </c>
      <c r="S2809" s="4" t="b">
        <f>ISNUMBER(MATCH(Q2809,T:T,0))</f>
        <v>1</v>
      </c>
      <c r="T2809" s="4" t="s">
        <v>2346</v>
      </c>
      <c r="U2809" s="4" t="str">
        <f t="shared" si="127"/>
        <v>稍</v>
      </c>
    </row>
    <row r="2810" spans="1:21">
      <c r="A2810" s="3">
        <v>2806</v>
      </c>
      <c r="B2810" s="3" t="s">
        <v>843</v>
      </c>
      <c r="C2810" s="3" t="s">
        <v>6067</v>
      </c>
      <c r="D2810" s="3" t="s">
        <v>5990</v>
      </c>
      <c r="E2810" s="3" t="s">
        <v>5991</v>
      </c>
      <c r="F2810" s="3" t="s">
        <v>8367</v>
      </c>
      <c r="G2810" s="3" t="s">
        <v>4210</v>
      </c>
      <c r="H2810" s="3" t="s">
        <v>2347</v>
      </c>
      <c r="I2810" s="3" t="s">
        <v>8252</v>
      </c>
      <c r="J2810" s="8" t="s">
        <v>9382</v>
      </c>
      <c r="L2810" s="3" t="s">
        <v>7075</v>
      </c>
      <c r="M2810" s="3">
        <v>6</v>
      </c>
      <c r="N2810" s="4" t="s">
        <v>2348</v>
      </c>
      <c r="O2810" s="4">
        <v>149</v>
      </c>
      <c r="P2810" s="11" t="s">
        <v>9870</v>
      </c>
      <c r="Q2810" s="11" t="s">
        <v>10652</v>
      </c>
      <c r="S2810" s="4" t="b">
        <f>ISNUMBER(MATCH(Q2810,T:T,0))</f>
        <v>1</v>
      </c>
      <c r="T2810" s="4" t="s">
        <v>2348</v>
      </c>
      <c r="U2810" s="4" t="str">
        <f t="shared" si="127"/>
        <v>倒</v>
      </c>
    </row>
    <row r="2811" spans="1:21">
      <c r="A2811" s="3">
        <v>2807</v>
      </c>
      <c r="B2811" s="3" t="s">
        <v>843</v>
      </c>
      <c r="C2811" s="3" t="s">
        <v>5997</v>
      </c>
      <c r="D2811" s="3" t="s">
        <v>5990</v>
      </c>
      <c r="E2811" s="3" t="s">
        <v>5991</v>
      </c>
      <c r="F2811" s="3" t="s">
        <v>8367</v>
      </c>
      <c r="G2811" s="3" t="s">
        <v>4210</v>
      </c>
      <c r="H2811" s="3" t="s">
        <v>2349</v>
      </c>
      <c r="I2811" s="3" t="s">
        <v>8252</v>
      </c>
      <c r="J2811" s="5" t="s">
        <v>2350</v>
      </c>
      <c r="K2811" s="3" t="s">
        <v>2351</v>
      </c>
      <c r="L2811" s="3" t="s">
        <v>7084</v>
      </c>
      <c r="M2811" s="3">
        <v>14</v>
      </c>
      <c r="N2811" s="4" t="s">
        <v>2348</v>
      </c>
      <c r="O2811" s="4">
        <v>149</v>
      </c>
      <c r="P2811" s="11" t="s">
        <v>9706</v>
      </c>
      <c r="Q2811" s="11" t="s">
        <v>10653</v>
      </c>
      <c r="S2811" s="4" t="b">
        <f>ISNUMBER(MATCH(Q2811,T:T,0))</f>
        <v>1</v>
      </c>
      <c r="T2811" s="4" t="s">
        <v>10654</v>
      </c>
      <c r="U2811" s="4" t="str">
        <f t="shared" si="127"/>
        <v>到</v>
      </c>
    </row>
    <row r="2812" spans="1:21">
      <c r="A2812" s="3">
        <v>2808</v>
      </c>
      <c r="B2812" s="3" t="s">
        <v>843</v>
      </c>
      <c r="C2812" s="3" t="s">
        <v>5989</v>
      </c>
      <c r="D2812" s="3" t="s">
        <v>5990</v>
      </c>
      <c r="E2812" s="3" t="s">
        <v>5991</v>
      </c>
      <c r="F2812" s="3" t="s">
        <v>8367</v>
      </c>
      <c r="G2812" s="3" t="s">
        <v>4210</v>
      </c>
      <c r="H2812" s="3" t="s">
        <v>2352</v>
      </c>
      <c r="I2812" s="3" t="s">
        <v>8252</v>
      </c>
      <c r="J2812" s="5" t="s">
        <v>2353</v>
      </c>
      <c r="L2812" s="3" t="s">
        <v>7084</v>
      </c>
      <c r="M2812" s="3">
        <v>6</v>
      </c>
      <c r="N2812" s="4" t="s">
        <v>2348</v>
      </c>
      <c r="O2812" s="4">
        <v>149</v>
      </c>
      <c r="P2812" s="11" t="s">
        <v>9742</v>
      </c>
      <c r="Q2812" s="11" t="s">
        <v>10654</v>
      </c>
      <c r="S2812" s="4" t="b">
        <f>ISNUMBER(MATCH(Q2812,T:T,0))</f>
        <v>1</v>
      </c>
      <c r="T2812" s="4" t="s">
        <v>10653</v>
      </c>
      <c r="U2812" s="4" t="str">
        <f t="shared" si="127"/>
        <v>導</v>
      </c>
    </row>
    <row r="2813" spans="1:21">
      <c r="A2813" s="3">
        <v>2809</v>
      </c>
      <c r="B2813" s="3" t="s">
        <v>843</v>
      </c>
      <c r="C2813" s="3" t="s">
        <v>6025</v>
      </c>
      <c r="D2813" s="3" t="s">
        <v>5990</v>
      </c>
      <c r="E2813" s="3" t="s">
        <v>5991</v>
      </c>
      <c r="F2813" s="3" t="s">
        <v>8367</v>
      </c>
      <c r="G2813" s="3" t="s">
        <v>4210</v>
      </c>
      <c r="H2813" s="3" t="s">
        <v>2354</v>
      </c>
      <c r="I2813" s="3" t="s">
        <v>8252</v>
      </c>
      <c r="J2813" s="5" t="s">
        <v>9383</v>
      </c>
      <c r="L2813" s="3" t="s">
        <v>2355</v>
      </c>
      <c r="M2813" s="3">
        <v>7</v>
      </c>
      <c r="N2813" s="4" t="s">
        <v>2348</v>
      </c>
      <c r="O2813" s="4">
        <v>149</v>
      </c>
      <c r="P2813" s="11" t="s">
        <v>9729</v>
      </c>
      <c r="Q2813" s="11" t="s">
        <v>10653</v>
      </c>
      <c r="S2813" s="4" t="b">
        <f>ISNUMBER(MATCH(Q2813,T:T,0))</f>
        <v>1</v>
      </c>
      <c r="T2813" s="4" t="s">
        <v>12391</v>
      </c>
      <c r="U2813" s="4" t="str">
        <f t="shared" si="127"/>
        <v>到</v>
      </c>
    </row>
    <row r="2814" spans="1:21">
      <c r="A2814" s="3">
        <v>2810</v>
      </c>
      <c r="B2814" s="3" t="s">
        <v>843</v>
      </c>
      <c r="C2814" s="3" t="s">
        <v>6092</v>
      </c>
      <c r="D2814" s="3" t="s">
        <v>5990</v>
      </c>
      <c r="E2814" s="3" t="s">
        <v>5991</v>
      </c>
      <c r="F2814" s="3" t="s">
        <v>8367</v>
      </c>
      <c r="G2814" s="3" t="s">
        <v>4210</v>
      </c>
      <c r="H2814" s="3" t="s">
        <v>2356</v>
      </c>
      <c r="I2814" s="3" t="s">
        <v>8252</v>
      </c>
      <c r="J2814" s="5" t="s">
        <v>9384</v>
      </c>
      <c r="L2814" s="3" t="s">
        <v>2357</v>
      </c>
      <c r="M2814" s="3">
        <v>8</v>
      </c>
      <c r="N2814" s="4" t="s">
        <v>2348</v>
      </c>
      <c r="O2814" s="4">
        <v>149</v>
      </c>
      <c r="P2814" s="11" t="s">
        <v>9740</v>
      </c>
      <c r="Q2814" s="11" t="s">
        <v>10653</v>
      </c>
      <c r="S2814" s="4" t="b">
        <f>ISNUMBER(MATCH(Q2814,T:T,0))</f>
        <v>1</v>
      </c>
      <c r="T2814" s="4" t="s">
        <v>12392</v>
      </c>
      <c r="U2814" s="4" t="str">
        <f t="shared" si="127"/>
        <v>到</v>
      </c>
    </row>
    <row r="2815" spans="1:21" ht="39">
      <c r="A2815" s="3">
        <v>2811</v>
      </c>
      <c r="B2815" s="3" t="s">
        <v>843</v>
      </c>
      <c r="C2815" s="3" t="s">
        <v>6035</v>
      </c>
      <c r="D2815" s="3" t="s">
        <v>5990</v>
      </c>
      <c r="E2815" s="3" t="s">
        <v>5991</v>
      </c>
      <c r="F2815" s="3" t="s">
        <v>8367</v>
      </c>
      <c r="G2815" s="3" t="s">
        <v>4210</v>
      </c>
      <c r="H2815" s="3" t="s">
        <v>2358</v>
      </c>
      <c r="I2815" s="3" t="s">
        <v>8252</v>
      </c>
      <c r="J2815" s="5" t="s">
        <v>9385</v>
      </c>
      <c r="L2815" s="3" t="s">
        <v>2339</v>
      </c>
      <c r="M2815" s="3">
        <v>19</v>
      </c>
      <c r="N2815" s="4" t="s">
        <v>2348</v>
      </c>
      <c r="O2815" s="4">
        <v>149</v>
      </c>
      <c r="P2815" s="11" t="s">
        <v>9719</v>
      </c>
      <c r="Q2815" s="11" t="s">
        <v>2365</v>
      </c>
      <c r="S2815" s="4" t="b">
        <f>ISNUMBER(MATCH(Q2815,T:T,0))</f>
        <v>1</v>
      </c>
      <c r="T2815" s="4" t="s">
        <v>12393</v>
      </c>
      <c r="U2815" s="4" t="str">
        <f t="shared" si="127"/>
        <v>報</v>
      </c>
    </row>
    <row r="2816" spans="1:21">
      <c r="A2816" s="3">
        <v>2812</v>
      </c>
      <c r="B2816" s="3" t="s">
        <v>843</v>
      </c>
      <c r="C2816" s="3" t="s">
        <v>6058</v>
      </c>
      <c r="D2816" s="3" t="s">
        <v>5990</v>
      </c>
      <c r="E2816" s="3" t="s">
        <v>5991</v>
      </c>
      <c r="F2816" s="3" t="s">
        <v>8367</v>
      </c>
      <c r="G2816" s="3" t="s">
        <v>4210</v>
      </c>
      <c r="H2816" s="3" t="s">
        <v>2359</v>
      </c>
      <c r="I2816" s="3" t="s">
        <v>8252</v>
      </c>
      <c r="J2816" s="5" t="s">
        <v>9386</v>
      </c>
      <c r="L2816" s="3" t="s">
        <v>2360</v>
      </c>
      <c r="M2816" s="3">
        <v>8</v>
      </c>
      <c r="N2816" s="4" t="s">
        <v>2348</v>
      </c>
      <c r="O2816" s="4">
        <v>149</v>
      </c>
      <c r="P2816" s="11" t="s">
        <v>9886</v>
      </c>
      <c r="Q2816" s="11" t="s">
        <v>10653</v>
      </c>
      <c r="S2816" s="4" t="b">
        <f>ISNUMBER(MATCH(Q2816,T:T,0))</f>
        <v>1</v>
      </c>
      <c r="T2816" s="4" t="s">
        <v>12394</v>
      </c>
      <c r="U2816" s="4" t="str">
        <f t="shared" si="127"/>
        <v>到</v>
      </c>
    </row>
    <row r="2817" spans="1:21">
      <c r="A2817" s="3">
        <v>2813</v>
      </c>
      <c r="B2817" s="3" t="s">
        <v>843</v>
      </c>
      <c r="C2817" s="3" t="s">
        <v>6076</v>
      </c>
      <c r="D2817" s="3" t="s">
        <v>5990</v>
      </c>
      <c r="E2817" s="3" t="s">
        <v>5991</v>
      </c>
      <c r="F2817" s="3" t="s">
        <v>8367</v>
      </c>
      <c r="G2817" s="3" t="s">
        <v>4210</v>
      </c>
      <c r="H2817" s="3" t="s">
        <v>2361</v>
      </c>
      <c r="I2817" s="3" t="s">
        <v>8252</v>
      </c>
      <c r="J2817" s="5" t="s">
        <v>9387</v>
      </c>
      <c r="L2817" s="3" t="s">
        <v>2362</v>
      </c>
      <c r="M2817" s="3">
        <v>7</v>
      </c>
      <c r="N2817" s="4" t="s">
        <v>2348</v>
      </c>
      <c r="O2817" s="4">
        <v>149</v>
      </c>
      <c r="P2817" s="11" t="s">
        <v>9766</v>
      </c>
      <c r="Q2817" s="11" t="s">
        <v>10653</v>
      </c>
      <c r="S2817" s="4" t="b">
        <f>ISNUMBER(MATCH(Q2817,T:T,0))</f>
        <v>1</v>
      </c>
      <c r="T2817" s="4" t="s">
        <v>11320</v>
      </c>
      <c r="U2817" s="4" t="str">
        <f t="shared" si="127"/>
        <v>到</v>
      </c>
    </row>
    <row r="2818" spans="1:21">
      <c r="A2818" s="3">
        <v>2814</v>
      </c>
      <c r="B2818" s="3" t="s">
        <v>843</v>
      </c>
      <c r="C2818" s="3" t="s">
        <v>6045</v>
      </c>
      <c r="D2818" s="3" t="s">
        <v>5990</v>
      </c>
      <c r="E2818" s="3" t="s">
        <v>5991</v>
      </c>
      <c r="F2818" s="3" t="s">
        <v>8367</v>
      </c>
      <c r="G2818" s="3" t="s">
        <v>4210</v>
      </c>
      <c r="H2818" s="3" t="s">
        <v>2363</v>
      </c>
      <c r="I2818" s="3" t="s">
        <v>8252</v>
      </c>
      <c r="J2818" s="5" t="s">
        <v>9388</v>
      </c>
      <c r="L2818" s="3" t="s">
        <v>7063</v>
      </c>
      <c r="M2818" s="3">
        <v>9</v>
      </c>
      <c r="N2818" s="4" t="s">
        <v>2348</v>
      </c>
      <c r="O2818" s="4">
        <v>149</v>
      </c>
      <c r="P2818" s="11" t="s">
        <v>9738</v>
      </c>
      <c r="Q2818" s="11" t="s">
        <v>2365</v>
      </c>
      <c r="S2818" s="4" t="b">
        <f>ISNUMBER(MATCH(Q2818,T:T,0))</f>
        <v>1</v>
      </c>
      <c r="T2818" s="4" t="s">
        <v>12395</v>
      </c>
      <c r="U2818" s="4" t="str">
        <f t="shared" si="127"/>
        <v>報</v>
      </c>
    </row>
    <row r="2819" spans="1:21">
      <c r="A2819" s="3">
        <v>2815</v>
      </c>
      <c r="B2819" s="3" t="s">
        <v>843</v>
      </c>
      <c r="C2819" s="3" t="s">
        <v>6049</v>
      </c>
      <c r="D2819" s="3" t="s">
        <v>5990</v>
      </c>
      <c r="E2819" s="3" t="s">
        <v>5991</v>
      </c>
      <c r="F2819" s="3" t="s">
        <v>8367</v>
      </c>
      <c r="G2819" s="3" t="s">
        <v>4210</v>
      </c>
      <c r="H2819" s="3" t="s">
        <v>2364</v>
      </c>
      <c r="I2819" s="3" t="s">
        <v>8252</v>
      </c>
      <c r="J2819" s="5" t="s">
        <v>2365</v>
      </c>
      <c r="L2819" s="3" t="s">
        <v>7063</v>
      </c>
      <c r="M2819" s="3">
        <v>1</v>
      </c>
      <c r="N2819" s="4" t="s">
        <v>2348</v>
      </c>
      <c r="O2819" s="4">
        <v>149</v>
      </c>
      <c r="P2819" s="11" t="s">
        <v>9770</v>
      </c>
      <c r="Q2819" s="11" t="s">
        <v>10655</v>
      </c>
      <c r="S2819" s="4" t="b">
        <f>ISNUMBER(MATCH(Q2819,T:T,0))</f>
        <v>1</v>
      </c>
      <c r="T2819" s="4" t="s">
        <v>2365</v>
      </c>
      <c r="U2819" s="4" t="str">
        <f t="shared" ref="U2819:U2882" si="129">IF(ISBLANK(R2819),Q2819,R2819)</f>
        <v>耗</v>
      </c>
    </row>
    <row r="2820" spans="1:21">
      <c r="A2820" s="3">
        <v>2816</v>
      </c>
      <c r="B2820" s="3" t="s">
        <v>843</v>
      </c>
      <c r="C2820" s="3" t="s">
        <v>6069</v>
      </c>
      <c r="D2820" s="3" t="s">
        <v>5990</v>
      </c>
      <c r="E2820" s="3" t="s">
        <v>5991</v>
      </c>
      <c r="F2820" s="3" t="s">
        <v>8367</v>
      </c>
      <c r="G2820" s="3" t="s">
        <v>4210</v>
      </c>
      <c r="H2820" s="3" t="s">
        <v>2366</v>
      </c>
      <c r="I2820" s="3" t="s">
        <v>8252</v>
      </c>
      <c r="J2820" s="5" t="s">
        <v>2367</v>
      </c>
      <c r="L2820" s="3" t="s">
        <v>7095</v>
      </c>
      <c r="M2820" s="3">
        <v>2</v>
      </c>
      <c r="N2820" s="4" t="s">
        <v>2348</v>
      </c>
      <c r="O2820" s="4">
        <v>149</v>
      </c>
      <c r="P2820" s="11" t="s">
        <v>5919</v>
      </c>
      <c r="Q2820" s="11" t="s">
        <v>10653</v>
      </c>
      <c r="S2820" s="4" t="b">
        <f>ISNUMBER(MATCH(Q2820,T:T,0))</f>
        <v>1</v>
      </c>
      <c r="T2820" s="4" t="s">
        <v>12396</v>
      </c>
      <c r="U2820" s="4" t="str">
        <f t="shared" si="129"/>
        <v>到</v>
      </c>
    </row>
    <row r="2821" spans="1:21">
      <c r="A2821" s="3">
        <v>2817</v>
      </c>
      <c r="B2821" s="3" t="s">
        <v>843</v>
      </c>
      <c r="C2821" s="3" t="s">
        <v>6072</v>
      </c>
      <c r="D2821" s="3" t="s">
        <v>5990</v>
      </c>
      <c r="E2821" s="3" t="s">
        <v>5991</v>
      </c>
      <c r="F2821" s="3" t="s">
        <v>8367</v>
      </c>
      <c r="G2821" s="3" t="s">
        <v>4210</v>
      </c>
      <c r="H2821" s="3" t="s">
        <v>2368</v>
      </c>
      <c r="I2821" s="3" t="s">
        <v>8252</v>
      </c>
      <c r="J2821" s="8" t="s">
        <v>9389</v>
      </c>
      <c r="L2821" s="3" t="s">
        <v>2357</v>
      </c>
      <c r="M2821" s="3">
        <v>11</v>
      </c>
      <c r="N2821" s="4" t="s">
        <v>2348</v>
      </c>
      <c r="O2821" s="4">
        <v>149</v>
      </c>
      <c r="P2821" s="11" t="s">
        <v>9734</v>
      </c>
      <c r="Q2821" s="11" t="s">
        <v>10653</v>
      </c>
      <c r="S2821" s="4" t="b">
        <f>ISNUMBER(MATCH(Q2821,T:T,0))</f>
        <v>1</v>
      </c>
      <c r="T2821" s="4" t="s">
        <v>12397</v>
      </c>
      <c r="U2821" s="4" t="str">
        <f t="shared" si="129"/>
        <v>到</v>
      </c>
    </row>
    <row r="2822" spans="1:21">
      <c r="A2822" s="3">
        <v>2818</v>
      </c>
      <c r="B2822" s="3" t="s">
        <v>843</v>
      </c>
      <c r="C2822" s="3" t="s">
        <v>6017</v>
      </c>
      <c r="D2822" s="3" t="s">
        <v>5990</v>
      </c>
      <c r="E2822" s="3" t="s">
        <v>5991</v>
      </c>
      <c r="F2822" s="3" t="s">
        <v>8367</v>
      </c>
      <c r="G2822" s="3" t="s">
        <v>4210</v>
      </c>
      <c r="H2822" s="3" t="s">
        <v>2369</v>
      </c>
      <c r="I2822" s="3" t="s">
        <v>8252</v>
      </c>
      <c r="J2822" s="5" t="s">
        <v>9390</v>
      </c>
      <c r="L2822" s="3" t="s">
        <v>2370</v>
      </c>
      <c r="M2822" s="3">
        <v>9</v>
      </c>
      <c r="N2822" s="4" t="s">
        <v>2348</v>
      </c>
      <c r="O2822" s="4">
        <v>149</v>
      </c>
      <c r="P2822" s="11" t="s">
        <v>9741</v>
      </c>
      <c r="Q2822" s="11" t="s">
        <v>10653</v>
      </c>
      <c r="S2822" s="4" t="b">
        <f>ISNUMBER(MATCH(Q2822,T:T,0))</f>
        <v>1</v>
      </c>
      <c r="T2822" s="4" t="s">
        <v>12398</v>
      </c>
      <c r="U2822" s="4" t="str">
        <f t="shared" si="129"/>
        <v>到</v>
      </c>
    </row>
    <row r="2823" spans="1:21">
      <c r="A2823" s="3">
        <v>2819</v>
      </c>
      <c r="B2823" s="3" t="s">
        <v>843</v>
      </c>
      <c r="C2823" s="3" t="s">
        <v>6038</v>
      </c>
      <c r="D2823" s="3" t="s">
        <v>5990</v>
      </c>
      <c r="E2823" s="3" t="s">
        <v>5991</v>
      </c>
      <c r="F2823" s="3" t="s">
        <v>8367</v>
      </c>
      <c r="G2823" s="3" t="s">
        <v>4210</v>
      </c>
      <c r="H2823" s="3" t="s">
        <v>2371</v>
      </c>
      <c r="I2823" s="3" t="s">
        <v>8252</v>
      </c>
      <c r="J2823" s="5" t="s">
        <v>9391</v>
      </c>
      <c r="L2823" s="3" t="s">
        <v>2372</v>
      </c>
      <c r="M2823" s="3">
        <v>5</v>
      </c>
      <c r="N2823" s="4" t="s">
        <v>2348</v>
      </c>
      <c r="O2823" s="4">
        <v>149</v>
      </c>
      <c r="P2823" s="11" t="s">
        <v>9728</v>
      </c>
      <c r="Q2823" s="11" t="s">
        <v>10653</v>
      </c>
      <c r="S2823" s="4" t="b">
        <f>ISNUMBER(MATCH(Q2823,T:T,0))</f>
        <v>1</v>
      </c>
      <c r="T2823" s="4" t="s">
        <v>12399</v>
      </c>
      <c r="U2823" s="4" t="str">
        <f t="shared" si="129"/>
        <v>到</v>
      </c>
    </row>
    <row r="2824" spans="1:21">
      <c r="A2824" s="3">
        <v>2820</v>
      </c>
      <c r="B2824" s="3" t="s">
        <v>843</v>
      </c>
      <c r="C2824" s="3" t="s">
        <v>6083</v>
      </c>
      <c r="D2824" s="3" t="s">
        <v>5990</v>
      </c>
      <c r="E2824" s="3" t="s">
        <v>5991</v>
      </c>
      <c r="F2824" s="3" t="s">
        <v>8367</v>
      </c>
      <c r="G2824" s="3" t="s">
        <v>4210</v>
      </c>
      <c r="H2824" s="3" t="s">
        <v>2373</v>
      </c>
      <c r="I2824" s="3" t="s">
        <v>8252</v>
      </c>
      <c r="J2824" s="8" t="s">
        <v>9392</v>
      </c>
      <c r="L2824" s="3" t="s">
        <v>7095</v>
      </c>
      <c r="M2824" s="3">
        <v>3</v>
      </c>
      <c r="N2824" s="4" t="s">
        <v>2348</v>
      </c>
      <c r="O2824" s="4">
        <v>149</v>
      </c>
      <c r="P2824" s="11" t="s">
        <v>9875</v>
      </c>
      <c r="Q2824" s="11" t="s">
        <v>10653</v>
      </c>
      <c r="S2824" s="4" t="b">
        <f>ISNUMBER(MATCH(Q2824,T:T,0))</f>
        <v>1</v>
      </c>
      <c r="T2824" s="4" t="s">
        <v>12400</v>
      </c>
      <c r="U2824" s="4" t="str">
        <f t="shared" si="129"/>
        <v>到</v>
      </c>
    </row>
    <row r="2825" spans="1:21" ht="28.5">
      <c r="A2825" s="3">
        <v>2821</v>
      </c>
      <c r="B2825" s="3" t="s">
        <v>843</v>
      </c>
      <c r="C2825" s="3" t="s">
        <v>6089</v>
      </c>
      <c r="D2825" s="3" t="s">
        <v>5990</v>
      </c>
      <c r="E2825" s="3" t="s">
        <v>5991</v>
      </c>
      <c r="F2825" s="3" t="s">
        <v>8367</v>
      </c>
      <c r="G2825" s="3" t="s">
        <v>4210</v>
      </c>
      <c r="H2825" s="3" t="s">
        <v>2374</v>
      </c>
      <c r="I2825" s="3" t="s">
        <v>8252</v>
      </c>
      <c r="J2825" s="5" t="s">
        <v>2375</v>
      </c>
      <c r="K2825" s="3" t="s">
        <v>623</v>
      </c>
      <c r="L2825" s="3" t="s">
        <v>7075</v>
      </c>
      <c r="M2825" s="3">
        <v>4</v>
      </c>
      <c r="N2825" s="4" t="s">
        <v>2348</v>
      </c>
      <c r="O2825" s="4">
        <v>149</v>
      </c>
      <c r="P2825" s="11" t="s">
        <v>9739</v>
      </c>
      <c r="Q2825" s="11" t="s">
        <v>10653</v>
      </c>
      <c r="S2825" s="4" t="b">
        <f>ISNUMBER(MATCH(Q2825,T:T,0))</f>
        <v>1</v>
      </c>
      <c r="T2825" s="4" t="s">
        <v>10655</v>
      </c>
      <c r="U2825" s="4" t="str">
        <f t="shared" si="129"/>
        <v>到</v>
      </c>
    </row>
    <row r="2826" spans="1:21">
      <c r="A2826" s="3">
        <v>2822</v>
      </c>
      <c r="B2826" s="3" t="s">
        <v>843</v>
      </c>
      <c r="C2826" s="3" t="s">
        <v>6102</v>
      </c>
      <c r="D2826" s="3" t="s">
        <v>5990</v>
      </c>
      <c r="E2826" s="3" t="s">
        <v>5991</v>
      </c>
      <c r="F2826" s="3" t="s">
        <v>8367</v>
      </c>
      <c r="G2826" s="3" t="s">
        <v>4210</v>
      </c>
      <c r="H2826" s="3" t="s">
        <v>2376</v>
      </c>
      <c r="I2826" s="3" t="s">
        <v>8252</v>
      </c>
      <c r="J2826" s="8" t="s">
        <v>9393</v>
      </c>
      <c r="L2826" s="3" t="s">
        <v>2343</v>
      </c>
      <c r="M2826" s="3">
        <v>3</v>
      </c>
      <c r="N2826" s="4" t="s">
        <v>2348</v>
      </c>
      <c r="O2826" s="4">
        <v>149</v>
      </c>
      <c r="P2826" s="11" t="s">
        <v>9971</v>
      </c>
      <c r="Q2826" s="11" t="s">
        <v>10653</v>
      </c>
      <c r="S2826" s="4" t="b">
        <f>ISNUMBER(MATCH(Q2826,T:T,0))</f>
        <v>1</v>
      </c>
      <c r="T2826" s="4" t="s">
        <v>12401</v>
      </c>
      <c r="U2826" s="4" t="str">
        <f t="shared" si="129"/>
        <v>到</v>
      </c>
    </row>
    <row r="2827" spans="1:21">
      <c r="A2827" s="3">
        <v>4009</v>
      </c>
      <c r="B2827" s="3" t="s">
        <v>843</v>
      </c>
      <c r="C2827" s="3" t="s">
        <v>6079</v>
      </c>
      <c r="D2827" s="3" t="s">
        <v>5990</v>
      </c>
      <c r="E2827" s="3" t="s">
        <v>5991</v>
      </c>
      <c r="F2827" s="3" t="s">
        <v>8367</v>
      </c>
      <c r="G2827" s="3" t="s">
        <v>4210</v>
      </c>
      <c r="H2827" s="3" t="s">
        <v>908</v>
      </c>
      <c r="I2827" s="3" t="s">
        <v>8252</v>
      </c>
      <c r="J2827" s="5" t="s">
        <v>6745</v>
      </c>
      <c r="N2827" s="4" t="s">
        <v>2348</v>
      </c>
      <c r="O2827" s="4">
        <v>149</v>
      </c>
      <c r="P2827" s="11" t="s">
        <v>10906</v>
      </c>
      <c r="Q2827" s="11" t="s">
        <v>2348</v>
      </c>
      <c r="S2827" s="4" t="b">
        <f>ISNUMBER(MATCH(Q2827,T:T,0))</f>
        <v>1</v>
      </c>
      <c r="T2827" s="4" t="s">
        <v>12984</v>
      </c>
      <c r="U2827" s="4" t="str">
        <f t="shared" si="129"/>
        <v>号</v>
      </c>
    </row>
    <row r="2828" spans="1:21">
      <c r="A2828" s="3">
        <v>2823</v>
      </c>
      <c r="B2828" s="3" t="s">
        <v>2377</v>
      </c>
      <c r="C2828" s="3" t="s">
        <v>6025</v>
      </c>
      <c r="D2828" s="3" t="s">
        <v>5990</v>
      </c>
      <c r="E2828" s="3" t="s">
        <v>5991</v>
      </c>
      <c r="F2828" s="3" t="s">
        <v>4547</v>
      </c>
      <c r="G2828" s="3" t="s">
        <v>4210</v>
      </c>
      <c r="H2828" s="3" t="s">
        <v>2378</v>
      </c>
      <c r="I2828" s="3" t="s">
        <v>4549</v>
      </c>
      <c r="J2828" s="5" t="s">
        <v>9394</v>
      </c>
      <c r="L2828" s="3" t="s">
        <v>2379</v>
      </c>
      <c r="M2828" s="3">
        <v>3</v>
      </c>
      <c r="N2828" s="4" t="s">
        <v>2380</v>
      </c>
      <c r="O2828" s="4">
        <v>150</v>
      </c>
      <c r="P2828" s="11" t="s">
        <v>9729</v>
      </c>
      <c r="Q2828" s="11" t="s">
        <v>10656</v>
      </c>
      <c r="S2828" s="4" t="b">
        <f>ISNUMBER(MATCH(Q2828,T:T,0))</f>
        <v>1</v>
      </c>
      <c r="T2828" s="4" t="s">
        <v>2380</v>
      </c>
      <c r="U2828" s="4" t="str">
        <f t="shared" si="129"/>
        <v>賀</v>
      </c>
    </row>
    <row r="2829" spans="1:21">
      <c r="A2829" s="3">
        <v>2824</v>
      </c>
      <c r="B2829" s="3" t="s">
        <v>2377</v>
      </c>
      <c r="C2829" s="3" t="s">
        <v>6067</v>
      </c>
      <c r="D2829" s="3" t="s">
        <v>5990</v>
      </c>
      <c r="E2829" s="3" t="s">
        <v>5991</v>
      </c>
      <c r="F2829" s="3" t="s">
        <v>4547</v>
      </c>
      <c r="G2829" s="3" t="s">
        <v>4210</v>
      </c>
      <c r="H2829" s="3" t="s">
        <v>2381</v>
      </c>
      <c r="I2829" s="3" t="s">
        <v>4549</v>
      </c>
      <c r="J2829" s="5" t="s">
        <v>9395</v>
      </c>
      <c r="L2829" s="3" t="s">
        <v>7135</v>
      </c>
      <c r="M2829" s="3">
        <v>4</v>
      </c>
      <c r="N2829" s="4" t="s">
        <v>2380</v>
      </c>
      <c r="O2829" s="4">
        <v>150</v>
      </c>
      <c r="P2829" s="11" t="s">
        <v>9870</v>
      </c>
      <c r="Q2829" s="11" t="s">
        <v>2380</v>
      </c>
      <c r="S2829" s="4" t="b">
        <f>ISNUMBER(MATCH(Q2829,T:T,0))</f>
        <v>1</v>
      </c>
      <c r="T2829" s="4" t="s">
        <v>10656</v>
      </c>
      <c r="U2829" s="4" t="str">
        <f t="shared" si="129"/>
        <v>箇</v>
      </c>
    </row>
    <row r="2830" spans="1:21">
      <c r="A2830" s="3">
        <v>2825</v>
      </c>
      <c r="B2830" s="3" t="s">
        <v>2377</v>
      </c>
      <c r="C2830" s="3" t="s">
        <v>6083</v>
      </c>
      <c r="D2830" s="3" t="s">
        <v>5990</v>
      </c>
      <c r="E2830" s="3" t="s">
        <v>5991</v>
      </c>
      <c r="F2830" s="3" t="s">
        <v>4547</v>
      </c>
      <c r="G2830" s="3" t="s">
        <v>4210</v>
      </c>
      <c r="H2830" s="3" t="s">
        <v>2382</v>
      </c>
      <c r="I2830" s="3" t="s">
        <v>4549</v>
      </c>
      <c r="J2830" s="5" t="s">
        <v>9396</v>
      </c>
      <c r="L2830" s="3" t="s">
        <v>7157</v>
      </c>
      <c r="M2830" s="3">
        <v>6</v>
      </c>
      <c r="N2830" s="4" t="s">
        <v>2380</v>
      </c>
      <c r="O2830" s="4">
        <v>150</v>
      </c>
      <c r="P2830" s="11" t="s">
        <v>9875</v>
      </c>
      <c r="Q2830" s="11" t="s">
        <v>2380</v>
      </c>
      <c r="S2830" s="4" t="b">
        <f>ISNUMBER(MATCH(Q2830,T:T,0))</f>
        <v>1</v>
      </c>
      <c r="T2830" s="4" t="s">
        <v>10657</v>
      </c>
      <c r="U2830" s="4" t="str">
        <f t="shared" si="129"/>
        <v>箇</v>
      </c>
    </row>
    <row r="2831" spans="1:21">
      <c r="A2831" s="3">
        <v>2826</v>
      </c>
      <c r="B2831" s="3" t="s">
        <v>2377</v>
      </c>
      <c r="C2831" s="3" t="s">
        <v>5989</v>
      </c>
      <c r="D2831" s="3" t="s">
        <v>5990</v>
      </c>
      <c r="E2831" s="3" t="s">
        <v>5991</v>
      </c>
      <c r="F2831" s="3" t="s">
        <v>4547</v>
      </c>
      <c r="G2831" s="3" t="s">
        <v>4210</v>
      </c>
      <c r="H2831" s="3" t="s">
        <v>2383</v>
      </c>
      <c r="I2831" s="3" t="s">
        <v>4549</v>
      </c>
      <c r="J2831" s="5" t="s">
        <v>2384</v>
      </c>
      <c r="L2831" s="3" t="s">
        <v>7122</v>
      </c>
      <c r="M2831" s="3">
        <v>4</v>
      </c>
      <c r="N2831" s="4" t="s">
        <v>2380</v>
      </c>
      <c r="O2831" s="4">
        <v>150</v>
      </c>
      <c r="P2831" s="11" t="s">
        <v>9822</v>
      </c>
      <c r="Q2831" s="11" t="s">
        <v>10657</v>
      </c>
      <c r="S2831" s="4" t="b">
        <f>ISNUMBER(MATCH(Q2831,T:T,0))</f>
        <v>1</v>
      </c>
      <c r="T2831" s="4" t="s">
        <v>12402</v>
      </c>
      <c r="U2831" s="4" t="str">
        <f t="shared" si="129"/>
        <v>佐</v>
      </c>
    </row>
    <row r="2832" spans="1:21">
      <c r="A2832" s="3">
        <v>2827</v>
      </c>
      <c r="B2832" s="3" t="s">
        <v>2377</v>
      </c>
      <c r="C2832" s="3" t="s">
        <v>6058</v>
      </c>
      <c r="D2832" s="3" t="s">
        <v>5990</v>
      </c>
      <c r="E2832" s="3" t="s">
        <v>5991</v>
      </c>
      <c r="F2832" s="3" t="s">
        <v>4547</v>
      </c>
      <c r="G2832" s="3" t="s">
        <v>4210</v>
      </c>
      <c r="H2832" s="3" t="s">
        <v>2385</v>
      </c>
      <c r="I2832" s="3" t="s">
        <v>4549</v>
      </c>
      <c r="J2832" s="5" t="s">
        <v>2386</v>
      </c>
      <c r="L2832" s="3" t="s">
        <v>2387</v>
      </c>
      <c r="M2832" s="3">
        <v>3</v>
      </c>
      <c r="N2832" s="4" t="s">
        <v>2380</v>
      </c>
      <c r="O2832" s="4">
        <v>150</v>
      </c>
      <c r="P2832" s="11" t="s">
        <v>9886</v>
      </c>
      <c r="Q2832" s="11" t="s">
        <v>10657</v>
      </c>
      <c r="S2832" s="4" t="b">
        <f>ISNUMBER(MATCH(Q2832,T:T,0))</f>
        <v>1</v>
      </c>
      <c r="T2832" s="4" t="s">
        <v>10659</v>
      </c>
      <c r="U2832" s="4" t="str">
        <f t="shared" si="129"/>
        <v>佐</v>
      </c>
    </row>
    <row r="2833" spans="1:22">
      <c r="A2833" s="3">
        <v>2828</v>
      </c>
      <c r="B2833" s="3" t="s">
        <v>2377</v>
      </c>
      <c r="C2833" s="3" t="s">
        <v>6038</v>
      </c>
      <c r="D2833" s="3" t="s">
        <v>5990</v>
      </c>
      <c r="E2833" s="3" t="s">
        <v>5991</v>
      </c>
      <c r="F2833" s="3" t="s">
        <v>4547</v>
      </c>
      <c r="G2833" s="3" t="s">
        <v>4210</v>
      </c>
      <c r="H2833" s="3" t="s">
        <v>2388</v>
      </c>
      <c r="I2833" s="3" t="s">
        <v>4549</v>
      </c>
      <c r="J2833" s="5" t="s">
        <v>2389</v>
      </c>
      <c r="L2833" s="3" t="s">
        <v>2390</v>
      </c>
      <c r="M2833" s="3">
        <v>4</v>
      </c>
      <c r="N2833" s="4" t="s">
        <v>2380</v>
      </c>
      <c r="O2833" s="4">
        <v>150</v>
      </c>
      <c r="P2833" s="11" t="s">
        <v>9915</v>
      </c>
      <c r="Q2833" s="11" t="s">
        <v>2380</v>
      </c>
      <c r="S2833" s="4" t="b">
        <f>ISNUMBER(MATCH(Q2833,T:T,0))</f>
        <v>1</v>
      </c>
      <c r="T2833" s="4" t="s">
        <v>12403</v>
      </c>
      <c r="U2833" s="4" t="str">
        <f t="shared" si="129"/>
        <v>箇</v>
      </c>
    </row>
    <row r="2834" spans="1:22">
      <c r="A2834" s="3">
        <v>2829</v>
      </c>
      <c r="B2834" s="3" t="s">
        <v>2377</v>
      </c>
      <c r="C2834" s="3" t="s">
        <v>6092</v>
      </c>
      <c r="D2834" s="3" t="s">
        <v>5990</v>
      </c>
      <c r="E2834" s="3" t="s">
        <v>5991</v>
      </c>
      <c r="F2834" s="3" t="s">
        <v>4547</v>
      </c>
      <c r="G2834" s="3" t="s">
        <v>4210</v>
      </c>
      <c r="H2834" s="3" t="s">
        <v>844</v>
      </c>
      <c r="I2834" s="3" t="s">
        <v>4549</v>
      </c>
      <c r="J2834" s="5" t="s">
        <v>2391</v>
      </c>
      <c r="L2834" s="3" t="s">
        <v>2392</v>
      </c>
      <c r="M2834" s="3">
        <v>1</v>
      </c>
      <c r="N2834" s="4" t="s">
        <v>2380</v>
      </c>
      <c r="O2834" s="4">
        <v>150</v>
      </c>
      <c r="P2834" s="11" t="s">
        <v>9740</v>
      </c>
      <c r="Q2834" s="11" t="s">
        <v>10658</v>
      </c>
      <c r="R2834" s="4" t="s">
        <v>13156</v>
      </c>
      <c r="S2834" s="4" t="b">
        <f>ISNUMBER(MATCH(Q2834,T:T,0))</f>
        <v>0</v>
      </c>
      <c r="T2834" s="4" t="s">
        <v>2391</v>
      </c>
      <c r="U2834" s="4" t="str">
        <f t="shared" si="129"/>
        <v>箇</v>
      </c>
      <c r="V2834" s="4" t="b">
        <f>ISNUMBER(MATCH(R2834,T:T,0))</f>
        <v>1</v>
      </c>
    </row>
    <row r="2835" spans="1:22">
      <c r="A2835" s="3">
        <v>2830</v>
      </c>
      <c r="B2835" s="3" t="s">
        <v>2377</v>
      </c>
      <c r="C2835" s="3" t="s">
        <v>5997</v>
      </c>
      <c r="D2835" s="3" t="s">
        <v>5990</v>
      </c>
      <c r="E2835" s="3" t="s">
        <v>5991</v>
      </c>
      <c r="F2835" s="3" t="s">
        <v>4547</v>
      </c>
      <c r="G2835" s="3" t="s">
        <v>4210</v>
      </c>
      <c r="H2835" s="3" t="s">
        <v>2393</v>
      </c>
      <c r="I2835" s="3" t="s">
        <v>4549</v>
      </c>
      <c r="J2835" s="5" t="s">
        <v>9397</v>
      </c>
      <c r="L2835" s="3" t="s">
        <v>7122</v>
      </c>
      <c r="M2835" s="3">
        <v>2</v>
      </c>
      <c r="N2835" s="4" t="s">
        <v>2380</v>
      </c>
      <c r="O2835" s="4">
        <v>150</v>
      </c>
      <c r="P2835" s="11" t="s">
        <v>1032</v>
      </c>
      <c r="Q2835" s="11" t="s">
        <v>10657</v>
      </c>
      <c r="S2835" s="4" t="b">
        <f>ISNUMBER(MATCH(Q2835,T:T,0))</f>
        <v>1</v>
      </c>
      <c r="T2835" s="4" t="s">
        <v>12404</v>
      </c>
      <c r="U2835" s="4" t="str">
        <f t="shared" si="129"/>
        <v>佐</v>
      </c>
    </row>
    <row r="2836" spans="1:22">
      <c r="A2836" s="3">
        <v>2831</v>
      </c>
      <c r="B2836" s="3" t="s">
        <v>2377</v>
      </c>
      <c r="C2836" s="3" t="s">
        <v>6102</v>
      </c>
      <c r="D2836" s="3" t="s">
        <v>5990</v>
      </c>
      <c r="E2836" s="3" t="s">
        <v>5991</v>
      </c>
      <c r="F2836" s="3" t="s">
        <v>4547</v>
      </c>
      <c r="G2836" s="3" t="s">
        <v>4210</v>
      </c>
      <c r="H2836" s="3" t="s">
        <v>2394</v>
      </c>
      <c r="I2836" s="3" t="s">
        <v>4549</v>
      </c>
      <c r="J2836" s="5" t="s">
        <v>2395</v>
      </c>
      <c r="L2836" s="3" t="s">
        <v>2396</v>
      </c>
      <c r="M2836" s="3">
        <v>2</v>
      </c>
      <c r="N2836" s="4" t="s">
        <v>2380</v>
      </c>
      <c r="O2836" s="4">
        <v>150</v>
      </c>
      <c r="P2836" s="11" t="s">
        <v>9744</v>
      </c>
      <c r="Q2836" s="11" t="s">
        <v>2380</v>
      </c>
      <c r="S2836" s="4" t="b">
        <f>ISNUMBER(MATCH(Q2836,T:T,0))</f>
        <v>1</v>
      </c>
      <c r="T2836" s="4" t="s">
        <v>9971</v>
      </c>
      <c r="U2836" s="4" t="str">
        <f t="shared" si="129"/>
        <v>箇</v>
      </c>
    </row>
    <row r="2837" spans="1:22">
      <c r="A2837" s="3">
        <v>2832</v>
      </c>
      <c r="B2837" s="3" t="s">
        <v>2377</v>
      </c>
      <c r="C2837" s="3" t="s">
        <v>6017</v>
      </c>
      <c r="D2837" s="3" t="s">
        <v>5990</v>
      </c>
      <c r="E2837" s="3" t="s">
        <v>5991</v>
      </c>
      <c r="F2837" s="3" t="s">
        <v>4547</v>
      </c>
      <c r="G2837" s="3" t="s">
        <v>4210</v>
      </c>
      <c r="H2837" s="3" t="s">
        <v>2397</v>
      </c>
      <c r="I2837" s="3" t="s">
        <v>4549</v>
      </c>
      <c r="J2837" s="5" t="s">
        <v>963</v>
      </c>
      <c r="L2837" s="3" t="s">
        <v>2398</v>
      </c>
      <c r="M2837" s="3">
        <v>1</v>
      </c>
      <c r="N2837" s="4" t="s">
        <v>2380</v>
      </c>
      <c r="O2837" s="4">
        <v>150</v>
      </c>
      <c r="P2837" s="11" t="s">
        <v>9741</v>
      </c>
      <c r="Q2837" s="11" t="s">
        <v>2380</v>
      </c>
      <c r="S2837" s="4" t="b">
        <f>ISNUMBER(MATCH(Q2837,T:T,0))</f>
        <v>1</v>
      </c>
      <c r="T2837" s="4" t="s">
        <v>963</v>
      </c>
      <c r="U2837" s="4" t="str">
        <f t="shared" si="129"/>
        <v>箇</v>
      </c>
    </row>
    <row r="2838" spans="1:22">
      <c r="A2838" s="3">
        <v>2833</v>
      </c>
      <c r="B2838" s="3" t="s">
        <v>2377</v>
      </c>
      <c r="C2838" s="3" t="s">
        <v>6089</v>
      </c>
      <c r="D2838" s="3" t="s">
        <v>5990</v>
      </c>
      <c r="E2838" s="3" t="s">
        <v>5991</v>
      </c>
      <c r="F2838" s="3" t="s">
        <v>4547</v>
      </c>
      <c r="G2838" s="3" t="s">
        <v>4210</v>
      </c>
      <c r="H2838" s="3" t="s">
        <v>2399</v>
      </c>
      <c r="I2838" s="3" t="s">
        <v>4549</v>
      </c>
      <c r="J2838" s="5" t="s">
        <v>2400</v>
      </c>
      <c r="L2838" s="3" t="s">
        <v>7135</v>
      </c>
      <c r="M2838" s="3">
        <v>2</v>
      </c>
      <c r="N2838" s="4" t="s">
        <v>2380</v>
      </c>
      <c r="O2838" s="4">
        <v>150</v>
      </c>
      <c r="P2838" s="11" t="s">
        <v>9739</v>
      </c>
      <c r="Q2838" s="11" t="s">
        <v>2380</v>
      </c>
      <c r="S2838" s="4" t="b">
        <f>ISNUMBER(MATCH(Q2838,T:T,0))</f>
        <v>1</v>
      </c>
      <c r="T2838" s="4" t="s">
        <v>10838</v>
      </c>
      <c r="U2838" s="4" t="str">
        <f t="shared" si="129"/>
        <v>箇</v>
      </c>
    </row>
    <row r="2839" spans="1:22">
      <c r="A2839" s="3">
        <v>2834</v>
      </c>
      <c r="B2839" s="3" t="s">
        <v>2377</v>
      </c>
      <c r="C2839" s="3" t="s">
        <v>6079</v>
      </c>
      <c r="D2839" s="3" t="s">
        <v>5990</v>
      </c>
      <c r="E2839" s="3" t="s">
        <v>5991</v>
      </c>
      <c r="F2839" s="3" t="s">
        <v>4547</v>
      </c>
      <c r="G2839" s="3" t="s">
        <v>4210</v>
      </c>
      <c r="H2839" s="3" t="s">
        <v>2401</v>
      </c>
      <c r="I2839" s="3" t="s">
        <v>4549</v>
      </c>
      <c r="J2839" s="5" t="s">
        <v>2402</v>
      </c>
      <c r="L2839" s="3" t="s">
        <v>2403</v>
      </c>
      <c r="M2839" s="3">
        <v>1</v>
      </c>
      <c r="N2839" s="4" t="s">
        <v>2380</v>
      </c>
      <c r="O2839" s="4">
        <v>150</v>
      </c>
      <c r="P2839" s="11" t="s">
        <v>9967</v>
      </c>
      <c r="Q2839" s="11" t="s">
        <v>10659</v>
      </c>
      <c r="S2839" s="4" t="b">
        <f>ISNUMBER(MATCH(Q2839,T:T,0))</f>
        <v>1</v>
      </c>
      <c r="T2839" s="4" t="s">
        <v>2402</v>
      </c>
      <c r="U2839" s="4" t="str">
        <f t="shared" si="129"/>
        <v>邏</v>
      </c>
    </row>
    <row r="2840" spans="1:22">
      <c r="A2840" s="3">
        <v>2855</v>
      </c>
      <c r="B2840" s="3" t="s">
        <v>2377</v>
      </c>
      <c r="C2840" s="3" t="s">
        <v>6072</v>
      </c>
      <c r="D2840" s="3" t="s">
        <v>5990</v>
      </c>
      <c r="E2840" s="3" t="s">
        <v>5991</v>
      </c>
      <c r="F2840" s="3" t="s">
        <v>4547</v>
      </c>
      <c r="G2840" s="3" t="s">
        <v>4210</v>
      </c>
      <c r="H2840" s="3" t="s">
        <v>2436</v>
      </c>
      <c r="I2840" s="3" t="s">
        <v>4549</v>
      </c>
      <c r="J2840" s="5" t="s">
        <v>2437</v>
      </c>
      <c r="L2840" s="3" t="s">
        <v>2392</v>
      </c>
      <c r="M2840" s="3">
        <v>1</v>
      </c>
      <c r="N2840" s="4" t="s">
        <v>2380</v>
      </c>
      <c r="O2840" s="4">
        <v>150</v>
      </c>
      <c r="P2840" s="11" t="s">
        <v>9969</v>
      </c>
      <c r="Q2840" s="11" t="s">
        <v>10656</v>
      </c>
      <c r="S2840" s="4" t="b">
        <f>ISNUMBER(MATCH(Q2840,T:T,0))</f>
        <v>1</v>
      </c>
      <c r="T2840" s="4" t="s">
        <v>2437</v>
      </c>
      <c r="U2840" s="4" t="str">
        <f t="shared" si="129"/>
        <v>賀</v>
      </c>
    </row>
    <row r="2841" spans="1:22">
      <c r="A2841" s="3">
        <v>2835</v>
      </c>
      <c r="B2841" s="3" t="s">
        <v>2404</v>
      </c>
      <c r="C2841" s="3" t="s">
        <v>6025</v>
      </c>
      <c r="D2841" s="3" t="s">
        <v>5990</v>
      </c>
      <c r="E2841" s="3" t="s">
        <v>6212</v>
      </c>
      <c r="F2841" s="3" t="s">
        <v>4588</v>
      </c>
      <c r="G2841" s="3" t="s">
        <v>4210</v>
      </c>
      <c r="H2841" s="3" t="s">
        <v>845</v>
      </c>
      <c r="I2841" s="3" t="s">
        <v>4549</v>
      </c>
      <c r="J2841" s="5" t="s">
        <v>2405</v>
      </c>
      <c r="L2841" s="3" t="s">
        <v>2406</v>
      </c>
      <c r="M2841" s="3">
        <v>7</v>
      </c>
      <c r="N2841" s="4" t="s">
        <v>9670</v>
      </c>
      <c r="O2841" s="4">
        <v>151</v>
      </c>
      <c r="P2841" s="11" t="s">
        <v>9729</v>
      </c>
      <c r="Q2841" s="11" t="s">
        <v>10660</v>
      </c>
      <c r="S2841" s="4" t="b">
        <f>ISNUMBER(MATCH(Q2841,T:T,0))</f>
        <v>0</v>
      </c>
      <c r="T2841" s="4" t="s">
        <v>9670</v>
      </c>
      <c r="U2841" s="4" t="str">
        <f t="shared" si="129"/>
        <v>卧</v>
      </c>
      <c r="V2841" s="4" t="b">
        <f t="shared" ref="V2841:V2845" si="130">ISNUMBER(MATCH(R2841,T:T,0))</f>
        <v>0</v>
      </c>
    </row>
    <row r="2842" spans="1:22">
      <c r="A2842" s="3">
        <v>2836</v>
      </c>
      <c r="B2842" s="3" t="s">
        <v>2404</v>
      </c>
      <c r="C2842" s="3" t="s">
        <v>6067</v>
      </c>
      <c r="D2842" s="3" t="s">
        <v>5990</v>
      </c>
      <c r="E2842" s="3" t="s">
        <v>6212</v>
      </c>
      <c r="F2842" s="3" t="s">
        <v>4588</v>
      </c>
      <c r="G2842" s="3" t="s">
        <v>4210</v>
      </c>
      <c r="H2842" s="3" t="s">
        <v>846</v>
      </c>
      <c r="I2842" s="3" t="s">
        <v>4549</v>
      </c>
      <c r="J2842" s="5" t="s">
        <v>9398</v>
      </c>
      <c r="L2842" s="3" t="s">
        <v>7172</v>
      </c>
      <c r="M2842" s="3">
        <v>3</v>
      </c>
      <c r="N2842" s="4" t="s">
        <v>9670</v>
      </c>
      <c r="O2842" s="4">
        <v>151</v>
      </c>
      <c r="P2842" s="11" t="s">
        <v>9870</v>
      </c>
      <c r="Q2842" s="11" t="s">
        <v>10660</v>
      </c>
      <c r="S2842" s="4" t="b">
        <f>ISNUMBER(MATCH(Q2842,T:T,0))</f>
        <v>0</v>
      </c>
      <c r="T2842" s="4" t="s">
        <v>10058</v>
      </c>
      <c r="U2842" s="4" t="str">
        <f t="shared" si="129"/>
        <v>卧</v>
      </c>
      <c r="V2842" s="4" t="b">
        <f t="shared" si="130"/>
        <v>0</v>
      </c>
    </row>
    <row r="2843" spans="1:22">
      <c r="A2843" s="3">
        <v>2837</v>
      </c>
      <c r="B2843" s="3" t="s">
        <v>2404</v>
      </c>
      <c r="C2843" s="3" t="s">
        <v>6083</v>
      </c>
      <c r="D2843" s="3" t="s">
        <v>5990</v>
      </c>
      <c r="E2843" s="3" t="s">
        <v>6212</v>
      </c>
      <c r="F2843" s="3" t="s">
        <v>4588</v>
      </c>
      <c r="G2843" s="3" t="s">
        <v>4210</v>
      </c>
      <c r="H2843" s="3" t="s">
        <v>847</v>
      </c>
      <c r="I2843" s="3" t="s">
        <v>4549</v>
      </c>
      <c r="J2843" s="5" t="s">
        <v>2407</v>
      </c>
      <c r="L2843" s="3" t="s">
        <v>7157</v>
      </c>
      <c r="M2843" s="3">
        <v>3</v>
      </c>
      <c r="N2843" s="4" t="s">
        <v>9670</v>
      </c>
      <c r="O2843" s="4">
        <v>151</v>
      </c>
      <c r="P2843" s="11" t="s">
        <v>9875</v>
      </c>
      <c r="Q2843" s="11" t="s">
        <v>10660</v>
      </c>
      <c r="S2843" s="4" t="b">
        <f>ISNUMBER(MATCH(Q2843,T:T,0))</f>
        <v>0</v>
      </c>
      <c r="T2843" s="4" t="s">
        <v>12405</v>
      </c>
      <c r="U2843" s="4" t="str">
        <f t="shared" si="129"/>
        <v>卧</v>
      </c>
      <c r="V2843" s="4" t="b">
        <f t="shared" si="130"/>
        <v>0</v>
      </c>
    </row>
    <row r="2844" spans="1:22">
      <c r="A2844" s="3">
        <v>2838</v>
      </c>
      <c r="B2844" s="3" t="s">
        <v>2404</v>
      </c>
      <c r="C2844" s="3" t="s">
        <v>6038</v>
      </c>
      <c r="D2844" s="3" t="s">
        <v>5990</v>
      </c>
      <c r="E2844" s="3" t="s">
        <v>6212</v>
      </c>
      <c r="F2844" s="3" t="s">
        <v>4588</v>
      </c>
      <c r="G2844" s="3" t="s">
        <v>4210</v>
      </c>
      <c r="H2844" s="3" t="s">
        <v>848</v>
      </c>
      <c r="I2844" s="3" t="s">
        <v>4549</v>
      </c>
      <c r="J2844" s="5" t="s">
        <v>2408</v>
      </c>
      <c r="L2844" s="3" t="s">
        <v>2409</v>
      </c>
      <c r="M2844" s="3">
        <v>7</v>
      </c>
      <c r="N2844" s="4" t="s">
        <v>9670</v>
      </c>
      <c r="O2844" s="4">
        <v>151</v>
      </c>
      <c r="P2844" s="11" t="s">
        <v>9728</v>
      </c>
      <c r="Q2844" s="11" t="s">
        <v>10660</v>
      </c>
      <c r="S2844" s="4" t="b">
        <f>ISNUMBER(MATCH(Q2844,T:T,0))</f>
        <v>0</v>
      </c>
      <c r="T2844" s="4" t="s">
        <v>12406</v>
      </c>
      <c r="U2844" s="4" t="str">
        <f t="shared" si="129"/>
        <v>卧</v>
      </c>
      <c r="V2844" s="4" t="b">
        <f t="shared" si="130"/>
        <v>0</v>
      </c>
    </row>
    <row r="2845" spans="1:22">
      <c r="A2845" s="3">
        <v>2839</v>
      </c>
      <c r="B2845" s="3" t="s">
        <v>2404</v>
      </c>
      <c r="C2845" s="3" t="s">
        <v>6079</v>
      </c>
      <c r="D2845" s="3" t="s">
        <v>5990</v>
      </c>
      <c r="E2845" s="3" t="s">
        <v>6212</v>
      </c>
      <c r="F2845" s="3" t="s">
        <v>4588</v>
      </c>
      <c r="G2845" s="3" t="s">
        <v>4210</v>
      </c>
      <c r="H2845" s="3" t="s">
        <v>849</v>
      </c>
      <c r="I2845" s="3" t="s">
        <v>4549</v>
      </c>
      <c r="J2845" s="5" t="s">
        <v>9399</v>
      </c>
      <c r="L2845" s="3" t="s">
        <v>2403</v>
      </c>
      <c r="M2845" s="3">
        <v>7</v>
      </c>
      <c r="N2845" s="4" t="s">
        <v>9670</v>
      </c>
      <c r="O2845" s="4">
        <v>151</v>
      </c>
      <c r="P2845" s="11" t="s">
        <v>10519</v>
      </c>
      <c r="Q2845" s="11" t="s">
        <v>10660</v>
      </c>
      <c r="S2845" s="4" t="b">
        <f>ISNUMBER(MATCH(Q2845,T:T,0))</f>
        <v>0</v>
      </c>
      <c r="T2845" s="4" t="s">
        <v>10662</v>
      </c>
      <c r="U2845" s="4" t="str">
        <f t="shared" si="129"/>
        <v>卧</v>
      </c>
      <c r="V2845" s="4" t="b">
        <f t="shared" si="130"/>
        <v>0</v>
      </c>
    </row>
    <row r="2846" spans="1:22">
      <c r="A2846" s="3">
        <v>2840</v>
      </c>
      <c r="B2846" s="3" t="s">
        <v>2404</v>
      </c>
      <c r="C2846" s="3" t="s">
        <v>6049</v>
      </c>
      <c r="D2846" s="3" t="s">
        <v>5990</v>
      </c>
      <c r="E2846" s="3" t="s">
        <v>6212</v>
      </c>
      <c r="F2846" s="3" t="s">
        <v>4588</v>
      </c>
      <c r="G2846" s="3" t="s">
        <v>4210</v>
      </c>
      <c r="H2846" s="3" t="s">
        <v>2410</v>
      </c>
      <c r="I2846" s="3" t="s">
        <v>4549</v>
      </c>
      <c r="J2846" s="5" t="s">
        <v>2411</v>
      </c>
      <c r="L2846" s="3" t="s">
        <v>7180</v>
      </c>
      <c r="M2846" s="3">
        <v>5</v>
      </c>
      <c r="N2846" s="4" t="s">
        <v>9670</v>
      </c>
      <c r="O2846" s="4">
        <v>151</v>
      </c>
      <c r="P2846" s="11" t="s">
        <v>10253</v>
      </c>
      <c r="Q2846" s="11" t="s">
        <v>9670</v>
      </c>
      <c r="S2846" s="4" t="b">
        <f>ISNUMBER(MATCH(Q2846,T:T,0))</f>
        <v>1</v>
      </c>
      <c r="T2846" s="4" t="s">
        <v>12407</v>
      </c>
      <c r="U2846" s="4" t="str">
        <f t="shared" si="129"/>
        <v>過</v>
      </c>
    </row>
    <row r="2847" spans="1:22">
      <c r="A2847" s="3">
        <v>2841</v>
      </c>
      <c r="B2847" s="3" t="s">
        <v>2404</v>
      </c>
      <c r="C2847" s="3" t="s">
        <v>6076</v>
      </c>
      <c r="D2847" s="3" t="s">
        <v>5990</v>
      </c>
      <c r="E2847" s="3" t="s">
        <v>6212</v>
      </c>
      <c r="F2847" s="3" t="s">
        <v>4588</v>
      </c>
      <c r="G2847" s="3" t="s">
        <v>4210</v>
      </c>
      <c r="H2847" s="3" t="s">
        <v>850</v>
      </c>
      <c r="I2847" s="3" t="s">
        <v>4549</v>
      </c>
      <c r="J2847" s="5" t="s">
        <v>2412</v>
      </c>
      <c r="L2847" s="3" t="s">
        <v>2413</v>
      </c>
      <c r="M2847" s="3">
        <v>3</v>
      </c>
      <c r="N2847" s="4" t="s">
        <v>9670</v>
      </c>
      <c r="O2847" s="4">
        <v>151</v>
      </c>
      <c r="P2847" s="11" t="s">
        <v>10544</v>
      </c>
      <c r="Q2847" s="11" t="s">
        <v>10660</v>
      </c>
      <c r="S2847" s="4" t="b">
        <f>ISNUMBER(MATCH(Q2847,T:T,0))</f>
        <v>0</v>
      </c>
      <c r="T2847" s="4" t="s">
        <v>12408</v>
      </c>
      <c r="U2847" s="4" t="str">
        <f t="shared" si="129"/>
        <v>卧</v>
      </c>
      <c r="V2847" s="4" t="b">
        <f t="shared" ref="V2847:V2849" si="131">ISNUMBER(MATCH(R2847,T:T,0))</f>
        <v>0</v>
      </c>
    </row>
    <row r="2848" spans="1:22">
      <c r="A2848" s="3">
        <v>2842</v>
      </c>
      <c r="B2848" s="3" t="s">
        <v>2404</v>
      </c>
      <c r="C2848" s="3" t="s">
        <v>6035</v>
      </c>
      <c r="D2848" s="3" t="s">
        <v>5990</v>
      </c>
      <c r="E2848" s="3" t="s">
        <v>6212</v>
      </c>
      <c r="F2848" s="3" t="s">
        <v>4588</v>
      </c>
      <c r="G2848" s="3" t="s">
        <v>4210</v>
      </c>
      <c r="H2848" s="3" t="s">
        <v>851</v>
      </c>
      <c r="I2848" s="3" t="s">
        <v>4549</v>
      </c>
      <c r="J2848" s="5" t="s">
        <v>2414</v>
      </c>
      <c r="L2848" s="3" t="s">
        <v>2415</v>
      </c>
      <c r="M2848" s="3">
        <v>4</v>
      </c>
      <c r="N2848" s="4" t="s">
        <v>9670</v>
      </c>
      <c r="O2848" s="4">
        <v>151</v>
      </c>
      <c r="P2848" s="11" t="s">
        <v>10661</v>
      </c>
      <c r="Q2848" s="11" t="s">
        <v>10660</v>
      </c>
      <c r="S2848" s="4" t="b">
        <f>ISNUMBER(MATCH(Q2848,T:T,0))</f>
        <v>0</v>
      </c>
      <c r="T2848" s="4" t="s">
        <v>12409</v>
      </c>
      <c r="U2848" s="4" t="str">
        <f t="shared" si="129"/>
        <v>卧</v>
      </c>
      <c r="V2848" s="4" t="b">
        <f t="shared" si="131"/>
        <v>0</v>
      </c>
    </row>
    <row r="2849" spans="1:22">
      <c r="A2849" s="3">
        <v>2843</v>
      </c>
      <c r="B2849" s="3" t="s">
        <v>2404</v>
      </c>
      <c r="C2849" s="3" t="s">
        <v>6102</v>
      </c>
      <c r="D2849" s="3" t="s">
        <v>5990</v>
      </c>
      <c r="E2849" s="3" t="s">
        <v>6212</v>
      </c>
      <c r="F2849" s="3" t="s">
        <v>4588</v>
      </c>
      <c r="G2849" s="3" t="s">
        <v>4210</v>
      </c>
      <c r="H2849" s="3" t="s">
        <v>852</v>
      </c>
      <c r="I2849" s="3" t="s">
        <v>4549</v>
      </c>
      <c r="J2849" s="8" t="s">
        <v>9400</v>
      </c>
      <c r="L2849" s="3" t="s">
        <v>2396</v>
      </c>
      <c r="M2849" s="3">
        <v>4</v>
      </c>
      <c r="N2849" s="4" t="s">
        <v>9670</v>
      </c>
      <c r="O2849" s="4">
        <v>151</v>
      </c>
      <c r="P2849" s="11" t="s">
        <v>9873</v>
      </c>
      <c r="Q2849" s="11" t="s">
        <v>10660</v>
      </c>
      <c r="S2849" s="4" t="b">
        <f>ISNUMBER(MATCH(Q2849,T:T,0))</f>
        <v>0</v>
      </c>
      <c r="T2849" s="4" t="s">
        <v>12410</v>
      </c>
      <c r="U2849" s="4" t="str">
        <f t="shared" si="129"/>
        <v>卧</v>
      </c>
      <c r="V2849" s="4" t="b">
        <f t="shared" si="131"/>
        <v>0</v>
      </c>
    </row>
    <row r="2850" spans="1:22">
      <c r="A2850" s="3">
        <v>2844</v>
      </c>
      <c r="B2850" s="3" t="s">
        <v>2404</v>
      </c>
      <c r="C2850" s="3" t="s">
        <v>6053</v>
      </c>
      <c r="D2850" s="3" t="s">
        <v>5990</v>
      </c>
      <c r="E2850" s="3" t="s">
        <v>6212</v>
      </c>
      <c r="F2850" s="3" t="s">
        <v>4588</v>
      </c>
      <c r="G2850" s="3" t="s">
        <v>4210</v>
      </c>
      <c r="H2850" s="3" t="s">
        <v>2416</v>
      </c>
      <c r="I2850" s="3" t="s">
        <v>4549</v>
      </c>
      <c r="J2850" s="5" t="s">
        <v>2417</v>
      </c>
      <c r="L2850" s="3" t="s">
        <v>2418</v>
      </c>
      <c r="M2850" s="3">
        <v>2</v>
      </c>
      <c r="N2850" s="4" t="s">
        <v>9670</v>
      </c>
      <c r="O2850" s="4">
        <v>151</v>
      </c>
      <c r="P2850" s="11" t="s">
        <v>9884</v>
      </c>
      <c r="Q2850" s="11" t="s">
        <v>9670</v>
      </c>
      <c r="S2850" s="4" t="b">
        <f>ISNUMBER(MATCH(Q2850,T:T,0))</f>
        <v>1</v>
      </c>
      <c r="T2850" s="4" t="s">
        <v>12411</v>
      </c>
      <c r="U2850" s="4" t="str">
        <f t="shared" si="129"/>
        <v>過</v>
      </c>
    </row>
    <row r="2851" spans="1:22">
      <c r="A2851" s="3">
        <v>2845</v>
      </c>
      <c r="B2851" s="3" t="s">
        <v>2404</v>
      </c>
      <c r="C2851" s="3" t="s">
        <v>6069</v>
      </c>
      <c r="D2851" s="3" t="s">
        <v>5990</v>
      </c>
      <c r="E2851" s="3" t="s">
        <v>6212</v>
      </c>
      <c r="F2851" s="3" t="s">
        <v>4588</v>
      </c>
      <c r="G2851" s="3" t="s">
        <v>4210</v>
      </c>
      <c r="H2851" s="3" t="s">
        <v>853</v>
      </c>
      <c r="I2851" s="3" t="s">
        <v>4549</v>
      </c>
      <c r="J2851" s="5" t="s">
        <v>2419</v>
      </c>
      <c r="L2851" s="3" t="s">
        <v>7157</v>
      </c>
      <c r="M2851" s="3">
        <v>2</v>
      </c>
      <c r="N2851" s="4" t="s">
        <v>9670</v>
      </c>
      <c r="O2851" s="4">
        <v>151</v>
      </c>
      <c r="P2851" s="11" t="s">
        <v>9733</v>
      </c>
      <c r="Q2851" s="11" t="s">
        <v>10660</v>
      </c>
      <c r="S2851" s="4" t="b">
        <f>ISNUMBER(MATCH(Q2851,T:T,0))</f>
        <v>0</v>
      </c>
      <c r="T2851" s="4" t="s">
        <v>12412</v>
      </c>
      <c r="U2851" s="4" t="str">
        <f t="shared" si="129"/>
        <v>卧</v>
      </c>
      <c r="V2851" s="4" t="b">
        <f>ISNUMBER(MATCH(R2851,T:T,0))</f>
        <v>0</v>
      </c>
    </row>
    <row r="2852" spans="1:22">
      <c r="A2852" s="3">
        <v>2846</v>
      </c>
      <c r="B2852" s="3" t="s">
        <v>2404</v>
      </c>
      <c r="C2852" s="3" t="s">
        <v>6092</v>
      </c>
      <c r="D2852" s="3" t="s">
        <v>5990</v>
      </c>
      <c r="E2852" s="3" t="s">
        <v>6212</v>
      </c>
      <c r="F2852" s="3" t="s">
        <v>4588</v>
      </c>
      <c r="G2852" s="3" t="s">
        <v>4210</v>
      </c>
      <c r="H2852" s="3" t="s">
        <v>2420</v>
      </c>
      <c r="I2852" s="3" t="s">
        <v>4549</v>
      </c>
      <c r="J2852" s="5" t="s">
        <v>2421</v>
      </c>
      <c r="L2852" s="3" t="s">
        <v>2422</v>
      </c>
      <c r="M2852" s="3">
        <v>1</v>
      </c>
      <c r="N2852" s="4" t="s">
        <v>9670</v>
      </c>
      <c r="O2852" s="4">
        <v>151</v>
      </c>
      <c r="P2852" s="11" t="s">
        <v>9876</v>
      </c>
      <c r="Q2852" s="11" t="s">
        <v>2425</v>
      </c>
      <c r="S2852" s="4" t="b">
        <f>ISNUMBER(MATCH(Q2852,T:T,0))</f>
        <v>1</v>
      </c>
      <c r="T2852" s="4" t="s">
        <v>2421</v>
      </c>
      <c r="U2852" s="4" t="str">
        <f t="shared" si="129"/>
        <v>貨</v>
      </c>
    </row>
    <row r="2853" spans="1:22">
      <c r="A2853" s="3">
        <v>2847</v>
      </c>
      <c r="B2853" s="3" t="s">
        <v>2404</v>
      </c>
      <c r="C2853" s="3" t="s">
        <v>6076</v>
      </c>
      <c r="D2853" s="3" t="s">
        <v>5990</v>
      </c>
      <c r="E2853" s="3" t="s">
        <v>6212</v>
      </c>
      <c r="F2853" s="3" t="s">
        <v>4588</v>
      </c>
      <c r="G2853" s="3" t="s">
        <v>4210</v>
      </c>
      <c r="H2853" s="3" t="s">
        <v>2423</v>
      </c>
      <c r="I2853" s="3" t="s">
        <v>4549</v>
      </c>
      <c r="J2853" s="8" t="s">
        <v>9401</v>
      </c>
      <c r="L2853" s="3" t="s">
        <v>2413</v>
      </c>
      <c r="M2853" s="3">
        <v>2</v>
      </c>
      <c r="N2853" s="4" t="s">
        <v>9670</v>
      </c>
      <c r="O2853" s="4">
        <v>151</v>
      </c>
      <c r="P2853" s="11" t="s">
        <v>10150</v>
      </c>
      <c r="Q2853" s="11" t="s">
        <v>9670</v>
      </c>
      <c r="S2853" s="4" t="b">
        <f>ISNUMBER(MATCH(Q2853,T:T,0))</f>
        <v>1</v>
      </c>
      <c r="T2853" s="4" t="s">
        <v>12413</v>
      </c>
      <c r="U2853" s="4" t="str">
        <f t="shared" si="129"/>
        <v>過</v>
      </c>
    </row>
    <row r="2854" spans="1:22">
      <c r="A2854" s="3">
        <v>2848</v>
      </c>
      <c r="B2854" s="3" t="s">
        <v>2404</v>
      </c>
      <c r="C2854" s="3" t="s">
        <v>6089</v>
      </c>
      <c r="D2854" s="3" t="s">
        <v>5990</v>
      </c>
      <c r="E2854" s="3" t="s">
        <v>6212</v>
      </c>
      <c r="F2854" s="3" t="s">
        <v>4588</v>
      </c>
      <c r="G2854" s="3" t="s">
        <v>4210</v>
      </c>
      <c r="H2854" s="3" t="s">
        <v>2424</v>
      </c>
      <c r="I2854" s="3" t="s">
        <v>4549</v>
      </c>
      <c r="J2854" s="5" t="s">
        <v>2425</v>
      </c>
      <c r="L2854" s="3" t="s">
        <v>7172</v>
      </c>
      <c r="M2854" s="3">
        <v>1</v>
      </c>
      <c r="N2854" s="4" t="s">
        <v>9670</v>
      </c>
      <c r="O2854" s="4">
        <v>151</v>
      </c>
      <c r="P2854" s="11" t="s">
        <v>9739</v>
      </c>
      <c r="Q2854" s="11" t="s">
        <v>2421</v>
      </c>
      <c r="S2854" s="4" t="b">
        <f>ISNUMBER(MATCH(Q2854,T:T,0))</f>
        <v>1</v>
      </c>
      <c r="T2854" s="4" t="s">
        <v>2425</v>
      </c>
      <c r="U2854" s="4" t="str">
        <f t="shared" si="129"/>
        <v>臥</v>
      </c>
    </row>
    <row r="2855" spans="1:22">
      <c r="A2855" s="3">
        <v>2849</v>
      </c>
      <c r="B2855" s="3" t="s">
        <v>2404</v>
      </c>
      <c r="C2855" s="3" t="s">
        <v>5997</v>
      </c>
      <c r="D2855" s="3" t="s">
        <v>5990</v>
      </c>
      <c r="E2855" s="3" t="s">
        <v>6212</v>
      </c>
      <c r="F2855" s="3" t="s">
        <v>4588</v>
      </c>
      <c r="G2855" s="3" t="s">
        <v>4210</v>
      </c>
      <c r="H2855" s="3" t="s">
        <v>2426</v>
      </c>
      <c r="I2855" s="3" t="s">
        <v>4549</v>
      </c>
      <c r="J2855" s="5" t="s">
        <v>9402</v>
      </c>
      <c r="L2855" s="3" t="s">
        <v>7122</v>
      </c>
      <c r="M2855" s="3">
        <v>4</v>
      </c>
      <c r="N2855" s="4" t="s">
        <v>9670</v>
      </c>
      <c r="O2855" s="4">
        <v>151</v>
      </c>
      <c r="P2855" s="11" t="s">
        <v>9706</v>
      </c>
      <c r="Q2855" s="11" t="s">
        <v>2421</v>
      </c>
      <c r="S2855" s="4" t="b">
        <f>ISNUMBER(MATCH(Q2855,T:T,0))</f>
        <v>1</v>
      </c>
      <c r="T2855" s="4" t="s">
        <v>12414</v>
      </c>
      <c r="U2855" s="4" t="str">
        <f t="shared" si="129"/>
        <v>臥</v>
      </c>
    </row>
    <row r="2856" spans="1:22">
      <c r="A2856" s="3">
        <v>2850</v>
      </c>
      <c r="B2856" s="3" t="s">
        <v>2404</v>
      </c>
      <c r="C2856" s="3" t="s">
        <v>6045</v>
      </c>
      <c r="D2856" s="3" t="s">
        <v>5990</v>
      </c>
      <c r="E2856" s="3" t="s">
        <v>6212</v>
      </c>
      <c r="F2856" s="3" t="s">
        <v>4588</v>
      </c>
      <c r="G2856" s="3" t="s">
        <v>4210</v>
      </c>
      <c r="H2856" s="3" t="s">
        <v>2427</v>
      </c>
      <c r="I2856" s="3" t="s">
        <v>4549</v>
      </c>
      <c r="J2856" s="5" t="s">
        <v>2428</v>
      </c>
      <c r="L2856" s="3" t="s">
        <v>7180</v>
      </c>
      <c r="M2856" s="3">
        <v>1</v>
      </c>
      <c r="N2856" s="4" t="s">
        <v>9670</v>
      </c>
      <c r="O2856" s="4">
        <v>151</v>
      </c>
      <c r="P2856" s="11" t="s">
        <v>9759</v>
      </c>
      <c r="Q2856" s="11" t="s">
        <v>2421</v>
      </c>
      <c r="S2856" s="4" t="b">
        <f>ISNUMBER(MATCH(Q2856,T:T,0))</f>
        <v>1</v>
      </c>
      <c r="T2856" s="4" t="s">
        <v>2428</v>
      </c>
      <c r="U2856" s="4" t="str">
        <f t="shared" si="129"/>
        <v>臥</v>
      </c>
    </row>
    <row r="2857" spans="1:22">
      <c r="A2857" s="3">
        <v>2851</v>
      </c>
      <c r="B2857" s="3" t="s">
        <v>2404</v>
      </c>
      <c r="C2857" s="3" t="s">
        <v>6058</v>
      </c>
      <c r="D2857" s="3" t="s">
        <v>5990</v>
      </c>
      <c r="E2857" s="3" t="s">
        <v>6212</v>
      </c>
      <c r="F2857" s="3" t="s">
        <v>4588</v>
      </c>
      <c r="G2857" s="3" t="s">
        <v>4210</v>
      </c>
      <c r="H2857" s="3" t="s">
        <v>2429</v>
      </c>
      <c r="I2857" s="3" t="s">
        <v>4549</v>
      </c>
      <c r="J2857" s="5" t="s">
        <v>2430</v>
      </c>
      <c r="K2857" s="3" t="s">
        <v>624</v>
      </c>
      <c r="L2857" s="3" t="s">
        <v>2387</v>
      </c>
      <c r="M2857" s="3">
        <v>7</v>
      </c>
      <c r="N2857" s="4" t="s">
        <v>9670</v>
      </c>
      <c r="O2857" s="4">
        <v>151</v>
      </c>
      <c r="P2857" s="11" t="s">
        <v>9920</v>
      </c>
      <c r="Q2857" s="11" t="s">
        <v>9670</v>
      </c>
      <c r="S2857" s="4" t="b">
        <f>ISNUMBER(MATCH(Q2857,T:T,0))</f>
        <v>1</v>
      </c>
      <c r="T2857" s="4" t="s">
        <v>12415</v>
      </c>
      <c r="U2857" s="4" t="str">
        <f t="shared" si="129"/>
        <v>過</v>
      </c>
    </row>
    <row r="2858" spans="1:22">
      <c r="A2858" s="3">
        <v>2852</v>
      </c>
      <c r="B2858" s="3" t="s">
        <v>2404</v>
      </c>
      <c r="C2858" s="3" t="s">
        <v>5989</v>
      </c>
      <c r="D2858" s="3" t="s">
        <v>5990</v>
      </c>
      <c r="E2858" s="3" t="s">
        <v>6212</v>
      </c>
      <c r="F2858" s="3" t="s">
        <v>4588</v>
      </c>
      <c r="G2858" s="3" t="s">
        <v>4210</v>
      </c>
      <c r="H2858" s="3" t="s">
        <v>2431</v>
      </c>
      <c r="I2858" s="3" t="s">
        <v>4549</v>
      </c>
      <c r="J2858" s="8" t="s">
        <v>9403</v>
      </c>
      <c r="L2858" s="3" t="s">
        <v>7122</v>
      </c>
      <c r="M2858" s="3">
        <v>4</v>
      </c>
      <c r="N2858" s="4" t="s">
        <v>9670</v>
      </c>
      <c r="O2858" s="4">
        <v>151</v>
      </c>
      <c r="P2858" s="11" t="s">
        <v>9742</v>
      </c>
      <c r="Q2858" s="11" t="s">
        <v>10662</v>
      </c>
      <c r="S2858" s="4" t="b">
        <f>ISNUMBER(MATCH(Q2858,T:T,0))</f>
        <v>1</v>
      </c>
      <c r="T2858" s="4" t="s">
        <v>12416</v>
      </c>
      <c r="U2858" s="4" t="str">
        <f t="shared" si="129"/>
        <v>唾</v>
      </c>
    </row>
    <row r="2859" spans="1:22">
      <c r="A2859" s="3">
        <v>2853</v>
      </c>
      <c r="B2859" s="3" t="s">
        <v>2404</v>
      </c>
      <c r="C2859" s="3" t="s">
        <v>6076</v>
      </c>
      <c r="D2859" s="3" t="s">
        <v>5990</v>
      </c>
      <c r="E2859" s="3" t="s">
        <v>6212</v>
      </c>
      <c r="F2859" s="3" t="s">
        <v>4588</v>
      </c>
      <c r="G2859" s="3" t="s">
        <v>4210</v>
      </c>
      <c r="H2859" s="3" t="s">
        <v>2432</v>
      </c>
      <c r="I2859" s="3" t="s">
        <v>4549</v>
      </c>
      <c r="J2859" s="5" t="s">
        <v>2433</v>
      </c>
      <c r="L2859" s="3" t="s">
        <v>2413</v>
      </c>
      <c r="M2859" s="3">
        <v>1</v>
      </c>
      <c r="N2859" s="4" t="s">
        <v>9670</v>
      </c>
      <c r="O2859" s="4">
        <v>151</v>
      </c>
      <c r="P2859" s="11" t="s">
        <v>9766</v>
      </c>
      <c r="Q2859" s="11" t="s">
        <v>9670</v>
      </c>
      <c r="S2859" s="4" t="b">
        <f>ISNUMBER(MATCH(Q2859,T:T,0))</f>
        <v>1</v>
      </c>
      <c r="T2859" s="4" t="s">
        <v>2433</v>
      </c>
      <c r="U2859" s="4" t="str">
        <f t="shared" si="129"/>
        <v>過</v>
      </c>
    </row>
    <row r="2860" spans="1:22">
      <c r="A2860" s="3">
        <v>2854</v>
      </c>
      <c r="B2860" s="3" t="s">
        <v>2404</v>
      </c>
      <c r="C2860" s="3" t="s">
        <v>6017</v>
      </c>
      <c r="D2860" s="3" t="s">
        <v>5990</v>
      </c>
      <c r="E2860" s="3" t="s">
        <v>6212</v>
      </c>
      <c r="F2860" s="3" t="s">
        <v>4588</v>
      </c>
      <c r="G2860" s="3" t="s">
        <v>4210</v>
      </c>
      <c r="H2860" s="3" t="s">
        <v>2434</v>
      </c>
      <c r="I2860" s="3" t="s">
        <v>4549</v>
      </c>
      <c r="J2860" s="5" t="s">
        <v>2435</v>
      </c>
      <c r="L2860" s="3" t="s">
        <v>2398</v>
      </c>
      <c r="M2860" s="3">
        <v>1</v>
      </c>
      <c r="N2860" s="4" t="s">
        <v>9670</v>
      </c>
      <c r="O2860" s="4">
        <v>151</v>
      </c>
      <c r="P2860" s="11" t="s">
        <v>8121</v>
      </c>
      <c r="Q2860" s="11" t="s">
        <v>2421</v>
      </c>
      <c r="S2860" s="4" t="b">
        <f>ISNUMBER(MATCH(Q2860,T:T,0))</f>
        <v>1</v>
      </c>
      <c r="T2860" s="4" t="s">
        <v>2435</v>
      </c>
      <c r="U2860" s="4" t="str">
        <f t="shared" si="129"/>
        <v>臥</v>
      </c>
    </row>
    <row r="2861" spans="1:22">
      <c r="A2861" s="3">
        <v>2856</v>
      </c>
      <c r="B2861" s="3" t="s">
        <v>2404</v>
      </c>
      <c r="C2861" s="3" t="s">
        <v>6072</v>
      </c>
      <c r="D2861" s="3" t="s">
        <v>5990</v>
      </c>
      <c r="E2861" s="3" t="s">
        <v>6212</v>
      </c>
      <c r="F2861" s="3" t="s">
        <v>4588</v>
      </c>
      <c r="G2861" s="3" t="s">
        <v>4210</v>
      </c>
      <c r="H2861" s="3" t="s">
        <v>2438</v>
      </c>
      <c r="I2861" s="3" t="s">
        <v>4549</v>
      </c>
      <c r="J2861" s="5" t="s">
        <v>2439</v>
      </c>
      <c r="L2861" s="3" t="s">
        <v>2422</v>
      </c>
      <c r="M2861" s="3">
        <v>1</v>
      </c>
      <c r="N2861" s="4" t="s">
        <v>9670</v>
      </c>
      <c r="O2861" s="4">
        <v>151</v>
      </c>
      <c r="P2861" s="11" t="s">
        <v>9734</v>
      </c>
      <c r="Q2861" s="11" t="s">
        <v>2421</v>
      </c>
      <c r="S2861" s="4" t="b">
        <f>ISNUMBER(MATCH(Q2861,T:T,0))</f>
        <v>1</v>
      </c>
      <c r="T2861" s="4" t="s">
        <v>2439</v>
      </c>
      <c r="U2861" s="4" t="str">
        <f t="shared" si="129"/>
        <v>臥</v>
      </c>
    </row>
    <row r="2862" spans="1:22">
      <c r="A2862" s="3">
        <v>2857</v>
      </c>
      <c r="B2862" s="3" t="s">
        <v>2440</v>
      </c>
      <c r="C2862" s="3" t="s">
        <v>6035</v>
      </c>
      <c r="D2862" s="3" t="s">
        <v>6157</v>
      </c>
      <c r="E2862" s="3" t="s">
        <v>5991</v>
      </c>
      <c r="F2862" s="3" t="s">
        <v>4650</v>
      </c>
      <c r="G2862" s="3" t="s">
        <v>4210</v>
      </c>
      <c r="H2862" s="3" t="s">
        <v>2441</v>
      </c>
      <c r="I2862" s="3" t="s">
        <v>4652</v>
      </c>
      <c r="J2862" s="5" t="s">
        <v>9404</v>
      </c>
      <c r="L2862" s="3" t="s">
        <v>2442</v>
      </c>
      <c r="M2862" s="3">
        <v>9</v>
      </c>
      <c r="N2862" s="4" t="s">
        <v>2443</v>
      </c>
      <c r="O2862" s="4">
        <v>152</v>
      </c>
      <c r="P2862" s="11" t="s">
        <v>9719</v>
      </c>
      <c r="Q2862" s="11" t="s">
        <v>10663</v>
      </c>
      <c r="S2862" s="4" t="b">
        <f>ISNUMBER(MATCH(Q2862,T:T,0))</f>
        <v>1</v>
      </c>
      <c r="T2862" s="4" t="s">
        <v>10673</v>
      </c>
      <c r="U2862" s="4" t="str">
        <f t="shared" si="129"/>
        <v>駕</v>
      </c>
    </row>
    <row r="2863" spans="1:22">
      <c r="A2863" s="3">
        <v>2858</v>
      </c>
      <c r="B2863" s="3" t="s">
        <v>2440</v>
      </c>
      <c r="C2863" s="3" t="s">
        <v>6025</v>
      </c>
      <c r="D2863" s="3" t="s">
        <v>6157</v>
      </c>
      <c r="E2863" s="3" t="s">
        <v>5991</v>
      </c>
      <c r="F2863" s="3" t="s">
        <v>4650</v>
      </c>
      <c r="G2863" s="3" t="s">
        <v>4210</v>
      </c>
      <c r="H2863" s="3" t="s">
        <v>2444</v>
      </c>
      <c r="I2863" s="3" t="s">
        <v>4652</v>
      </c>
      <c r="J2863" s="5" t="s">
        <v>2445</v>
      </c>
      <c r="L2863" s="3" t="s">
        <v>5391</v>
      </c>
      <c r="M2863" s="3">
        <v>12</v>
      </c>
      <c r="N2863" s="4" t="s">
        <v>2443</v>
      </c>
      <c r="O2863" s="4">
        <v>152</v>
      </c>
      <c r="P2863" s="11" t="s">
        <v>9729</v>
      </c>
      <c r="Q2863" s="11" t="s">
        <v>10664</v>
      </c>
      <c r="R2863" s="4" t="s">
        <v>13157</v>
      </c>
      <c r="S2863" s="4" t="b">
        <f>ISNUMBER(MATCH(Q2863,T:T,0))</f>
        <v>0</v>
      </c>
      <c r="T2863" s="4" t="s">
        <v>10663</v>
      </c>
      <c r="U2863" s="4" t="str">
        <f t="shared" si="129"/>
        <v>呀</v>
      </c>
      <c r="V2863" s="4" t="b">
        <f t="shared" ref="V2863:V2865" si="132">ISNUMBER(MATCH(R2863,T:T,0))</f>
        <v>1</v>
      </c>
    </row>
    <row r="2864" spans="1:22">
      <c r="A2864" s="3">
        <v>2859</v>
      </c>
      <c r="B2864" s="3" t="s">
        <v>2440</v>
      </c>
      <c r="C2864" s="3" t="s">
        <v>6072</v>
      </c>
      <c r="D2864" s="3" t="s">
        <v>6157</v>
      </c>
      <c r="E2864" s="3" t="s">
        <v>5991</v>
      </c>
      <c r="F2864" s="3" t="s">
        <v>4650</v>
      </c>
      <c r="G2864" s="3" t="s">
        <v>4210</v>
      </c>
      <c r="H2864" s="3" t="s">
        <v>2446</v>
      </c>
      <c r="I2864" s="3" t="s">
        <v>4652</v>
      </c>
      <c r="J2864" s="5" t="s">
        <v>9405</v>
      </c>
      <c r="L2864" s="3" t="s">
        <v>5402</v>
      </c>
      <c r="M2864" s="3">
        <v>10</v>
      </c>
      <c r="N2864" s="4" t="s">
        <v>2443</v>
      </c>
      <c r="O2864" s="4">
        <v>152</v>
      </c>
      <c r="P2864" s="11" t="s">
        <v>1378</v>
      </c>
      <c r="Q2864" s="11" t="s">
        <v>10665</v>
      </c>
      <c r="R2864" s="4" t="s">
        <v>13158</v>
      </c>
      <c r="S2864" s="4" t="b">
        <f>ISNUMBER(MATCH(Q2864,T:T,0))</f>
        <v>0</v>
      </c>
      <c r="T2864" s="4" t="s">
        <v>10666</v>
      </c>
      <c r="U2864" s="4" t="str">
        <f t="shared" si="129"/>
        <v>駕</v>
      </c>
      <c r="V2864" s="4" t="b">
        <f t="shared" si="132"/>
        <v>1</v>
      </c>
    </row>
    <row r="2865" spans="1:22">
      <c r="A2865" s="3">
        <v>2860</v>
      </c>
      <c r="B2865" s="3" t="s">
        <v>2440</v>
      </c>
      <c r="C2865" s="3" t="s">
        <v>6089</v>
      </c>
      <c r="D2865" s="3" t="s">
        <v>6157</v>
      </c>
      <c r="E2865" s="3" t="s">
        <v>5991</v>
      </c>
      <c r="F2865" s="3" t="s">
        <v>4650</v>
      </c>
      <c r="G2865" s="3" t="s">
        <v>4210</v>
      </c>
      <c r="H2865" s="3" t="s">
        <v>2447</v>
      </c>
      <c r="I2865" s="3" t="s">
        <v>4652</v>
      </c>
      <c r="J2865" s="5" t="s">
        <v>2448</v>
      </c>
      <c r="L2865" s="3" t="s">
        <v>5805</v>
      </c>
      <c r="M2865" s="3">
        <v>8</v>
      </c>
      <c r="N2865" s="4" t="s">
        <v>2443</v>
      </c>
      <c r="O2865" s="4">
        <v>152</v>
      </c>
      <c r="P2865" s="11" t="s">
        <v>9739</v>
      </c>
      <c r="Q2865" s="11" t="s">
        <v>10664</v>
      </c>
      <c r="R2865" s="4" t="s">
        <v>13157</v>
      </c>
      <c r="S2865" s="4" t="b">
        <f>ISNUMBER(MATCH(Q2865,T:T,0))</f>
        <v>0</v>
      </c>
      <c r="T2865" s="4" t="s">
        <v>12417</v>
      </c>
      <c r="U2865" s="4" t="str">
        <f t="shared" si="129"/>
        <v>呀</v>
      </c>
      <c r="V2865" s="4" t="b">
        <f t="shared" si="132"/>
        <v>1</v>
      </c>
    </row>
    <row r="2866" spans="1:22">
      <c r="A2866" s="3">
        <v>2861</v>
      </c>
      <c r="B2866" s="3" t="s">
        <v>2440</v>
      </c>
      <c r="C2866" s="3" t="s">
        <v>6092</v>
      </c>
      <c r="D2866" s="3" t="s">
        <v>6157</v>
      </c>
      <c r="E2866" s="3" t="s">
        <v>5991</v>
      </c>
      <c r="F2866" s="3" t="s">
        <v>4650</v>
      </c>
      <c r="G2866" s="3" t="s">
        <v>4210</v>
      </c>
      <c r="H2866" s="3" t="s">
        <v>2449</v>
      </c>
      <c r="I2866" s="3" t="s">
        <v>4652</v>
      </c>
      <c r="J2866" s="5" t="s">
        <v>2450</v>
      </c>
      <c r="L2866" s="3" t="s">
        <v>5402</v>
      </c>
      <c r="M2866" s="3">
        <v>6</v>
      </c>
      <c r="N2866" s="4" t="s">
        <v>2443</v>
      </c>
      <c r="O2866" s="4">
        <v>152</v>
      </c>
      <c r="P2866" s="11" t="s">
        <v>9876</v>
      </c>
      <c r="Q2866" s="11" t="s">
        <v>10663</v>
      </c>
      <c r="S2866" s="4" t="b">
        <f>ISNUMBER(MATCH(Q2866,T:T,0))</f>
        <v>1</v>
      </c>
      <c r="T2866" s="4" t="s">
        <v>12418</v>
      </c>
      <c r="U2866" s="4" t="str">
        <f t="shared" si="129"/>
        <v>駕</v>
      </c>
    </row>
    <row r="2867" spans="1:22">
      <c r="A2867" s="3">
        <v>2862</v>
      </c>
      <c r="B2867" s="3" t="s">
        <v>2440</v>
      </c>
      <c r="C2867" s="3" t="s">
        <v>6011</v>
      </c>
      <c r="D2867" s="3" t="s">
        <v>6157</v>
      </c>
      <c r="E2867" s="3" t="s">
        <v>5991</v>
      </c>
      <c r="F2867" s="3" t="s">
        <v>4650</v>
      </c>
      <c r="G2867" s="3" t="s">
        <v>4210</v>
      </c>
      <c r="H2867" s="3" t="s">
        <v>2451</v>
      </c>
      <c r="I2867" s="3" t="s">
        <v>4652</v>
      </c>
      <c r="J2867" s="5" t="s">
        <v>2452</v>
      </c>
      <c r="L2867" s="3" t="s">
        <v>2453</v>
      </c>
      <c r="M2867" s="3">
        <v>3</v>
      </c>
      <c r="N2867" s="4" t="s">
        <v>2443</v>
      </c>
      <c r="O2867" s="4">
        <v>152</v>
      </c>
      <c r="P2867" s="11" t="s">
        <v>9757</v>
      </c>
      <c r="Q2867" s="11" t="s">
        <v>10666</v>
      </c>
      <c r="S2867" s="4" t="b">
        <f>ISNUMBER(MATCH(Q2867,T:T,0))</f>
        <v>1</v>
      </c>
      <c r="T2867" s="4" t="s">
        <v>12419</v>
      </c>
      <c r="U2867" s="4" t="str">
        <f t="shared" si="129"/>
        <v>亞</v>
      </c>
    </row>
    <row r="2868" spans="1:22">
      <c r="A2868" s="3">
        <v>2863</v>
      </c>
      <c r="B2868" s="3" t="s">
        <v>2440</v>
      </c>
      <c r="C2868" s="3" t="s">
        <v>6000</v>
      </c>
      <c r="D2868" s="3" t="s">
        <v>6157</v>
      </c>
      <c r="E2868" s="3" t="s">
        <v>5991</v>
      </c>
      <c r="F2868" s="3" t="s">
        <v>4650</v>
      </c>
      <c r="G2868" s="3" t="s">
        <v>4210</v>
      </c>
      <c r="H2868" s="3" t="s">
        <v>2454</v>
      </c>
      <c r="I2868" s="3" t="s">
        <v>4652</v>
      </c>
      <c r="J2868" s="5" t="s">
        <v>9406</v>
      </c>
      <c r="L2868" s="3" t="s">
        <v>2455</v>
      </c>
      <c r="M2868" s="3">
        <v>12</v>
      </c>
      <c r="N2868" s="4" t="s">
        <v>2443</v>
      </c>
      <c r="O2868" s="4">
        <v>152</v>
      </c>
      <c r="P2868" s="11" t="s">
        <v>9707</v>
      </c>
      <c r="Q2868" s="11" t="s">
        <v>10663</v>
      </c>
      <c r="S2868" s="4" t="b">
        <f>ISNUMBER(MATCH(Q2868,T:T,0))</f>
        <v>1</v>
      </c>
      <c r="T2868" s="4" t="s">
        <v>12420</v>
      </c>
      <c r="U2868" s="4" t="str">
        <f t="shared" si="129"/>
        <v>駕</v>
      </c>
    </row>
    <row r="2869" spans="1:22">
      <c r="A2869" s="3">
        <v>2864</v>
      </c>
      <c r="B2869" s="3" t="s">
        <v>2440</v>
      </c>
      <c r="C2869" s="3" t="s">
        <v>6318</v>
      </c>
      <c r="D2869" s="3" t="s">
        <v>6157</v>
      </c>
      <c r="E2869" s="3" t="s">
        <v>5991</v>
      </c>
      <c r="F2869" s="3" t="s">
        <v>4650</v>
      </c>
      <c r="G2869" s="3" t="s">
        <v>4210</v>
      </c>
      <c r="H2869" s="3" t="s">
        <v>2456</v>
      </c>
      <c r="I2869" s="3" t="s">
        <v>4652</v>
      </c>
      <c r="J2869" s="5" t="s">
        <v>2457</v>
      </c>
      <c r="L2869" s="3" t="s">
        <v>2455</v>
      </c>
      <c r="M2869" s="3">
        <v>6</v>
      </c>
      <c r="N2869" s="4" t="s">
        <v>2443</v>
      </c>
      <c r="O2869" s="4">
        <v>152</v>
      </c>
      <c r="P2869" s="11" t="s">
        <v>9804</v>
      </c>
      <c r="Q2869" s="11" t="s">
        <v>10663</v>
      </c>
      <c r="S2869" s="4" t="b">
        <f>ISNUMBER(MATCH(Q2869,T:T,0))</f>
        <v>1</v>
      </c>
      <c r="T2869" s="4" t="s">
        <v>12421</v>
      </c>
      <c r="U2869" s="4" t="str">
        <f t="shared" si="129"/>
        <v>駕</v>
      </c>
    </row>
    <row r="2870" spans="1:22">
      <c r="A2870" s="3">
        <v>2865</v>
      </c>
      <c r="B2870" s="3" t="s">
        <v>2440</v>
      </c>
      <c r="C2870" s="3" t="s">
        <v>6015</v>
      </c>
      <c r="D2870" s="3" t="s">
        <v>6157</v>
      </c>
      <c r="E2870" s="3" t="s">
        <v>5991</v>
      </c>
      <c r="F2870" s="3" t="s">
        <v>4650</v>
      </c>
      <c r="G2870" s="3" t="s">
        <v>4210</v>
      </c>
      <c r="H2870" s="3" t="s">
        <v>2458</v>
      </c>
      <c r="I2870" s="3" t="s">
        <v>4652</v>
      </c>
      <c r="J2870" s="5" t="s">
        <v>2459</v>
      </c>
      <c r="L2870" s="3" t="s">
        <v>2455</v>
      </c>
      <c r="M2870" s="3">
        <v>5</v>
      </c>
      <c r="N2870" s="4" t="s">
        <v>2443</v>
      </c>
      <c r="O2870" s="4">
        <v>152</v>
      </c>
      <c r="P2870" s="11" t="s">
        <v>9713</v>
      </c>
      <c r="Q2870" s="11" t="s">
        <v>10663</v>
      </c>
      <c r="S2870" s="4" t="b">
        <f>ISNUMBER(MATCH(Q2870,T:T,0))</f>
        <v>1</v>
      </c>
      <c r="T2870" s="4" t="s">
        <v>12422</v>
      </c>
      <c r="U2870" s="4" t="str">
        <f t="shared" si="129"/>
        <v>駕</v>
      </c>
    </row>
    <row r="2871" spans="1:22">
      <c r="A2871" s="3">
        <v>2866</v>
      </c>
      <c r="B2871" s="3" t="s">
        <v>2440</v>
      </c>
      <c r="C2871" s="3" t="s">
        <v>6123</v>
      </c>
      <c r="D2871" s="3" t="s">
        <v>6001</v>
      </c>
      <c r="E2871" s="3" t="s">
        <v>5991</v>
      </c>
      <c r="F2871" s="3" t="s">
        <v>4650</v>
      </c>
      <c r="G2871" s="3" t="s">
        <v>4210</v>
      </c>
      <c r="H2871" s="7" t="s">
        <v>854</v>
      </c>
      <c r="I2871" s="3" t="s">
        <v>4652</v>
      </c>
      <c r="J2871" s="5" t="s">
        <v>2460</v>
      </c>
      <c r="L2871" s="3" t="s">
        <v>5845</v>
      </c>
      <c r="M2871" s="3">
        <v>3</v>
      </c>
      <c r="N2871" s="4" t="s">
        <v>2443</v>
      </c>
      <c r="O2871" s="4">
        <v>152</v>
      </c>
      <c r="P2871" s="11" t="s">
        <v>10303</v>
      </c>
      <c r="Q2871" s="11" t="s">
        <v>10667</v>
      </c>
      <c r="S2871" s="4" t="b">
        <f>ISNUMBER(MATCH(Q2871,T:T,0))</f>
        <v>1</v>
      </c>
      <c r="T2871" s="4" t="s">
        <v>10668</v>
      </c>
      <c r="U2871" s="4" t="str">
        <f t="shared" si="129"/>
        <v>夜</v>
      </c>
    </row>
    <row r="2872" spans="1:22">
      <c r="A2872" s="3">
        <v>2867</v>
      </c>
      <c r="B2872" s="3" t="s">
        <v>2440</v>
      </c>
      <c r="C2872" s="3" t="s">
        <v>6038</v>
      </c>
      <c r="D2872" s="3" t="s">
        <v>6157</v>
      </c>
      <c r="E2872" s="3" t="s">
        <v>5991</v>
      </c>
      <c r="F2872" s="3" t="s">
        <v>4650</v>
      </c>
      <c r="G2872" s="3" t="s">
        <v>4210</v>
      </c>
      <c r="H2872" s="3" t="s">
        <v>2461</v>
      </c>
      <c r="I2872" s="3" t="s">
        <v>4652</v>
      </c>
      <c r="J2872" s="5" t="s">
        <v>9407</v>
      </c>
      <c r="L2872" s="3" t="s">
        <v>5418</v>
      </c>
      <c r="M2872" s="3">
        <v>6</v>
      </c>
      <c r="N2872" s="4" t="s">
        <v>2443</v>
      </c>
      <c r="O2872" s="4">
        <v>152</v>
      </c>
      <c r="P2872" s="11" t="s">
        <v>10356</v>
      </c>
      <c r="Q2872" s="11" t="s">
        <v>10663</v>
      </c>
      <c r="S2872" s="4" t="b">
        <f>ISNUMBER(MATCH(Q2872,T:T,0))</f>
        <v>1</v>
      </c>
      <c r="T2872" s="4" t="s">
        <v>12423</v>
      </c>
      <c r="U2872" s="4" t="str">
        <f t="shared" si="129"/>
        <v>駕</v>
      </c>
    </row>
    <row r="2873" spans="1:22">
      <c r="A2873" s="3">
        <v>2868</v>
      </c>
      <c r="B2873" s="3" t="s">
        <v>2440</v>
      </c>
      <c r="C2873" s="3" t="s">
        <v>6067</v>
      </c>
      <c r="D2873" s="3" t="s">
        <v>6157</v>
      </c>
      <c r="E2873" s="3" t="s">
        <v>5991</v>
      </c>
      <c r="F2873" s="3" t="s">
        <v>4650</v>
      </c>
      <c r="G2873" s="3" t="s">
        <v>4210</v>
      </c>
      <c r="H2873" s="3" t="s">
        <v>2462</v>
      </c>
      <c r="I2873" s="3" t="s">
        <v>4652</v>
      </c>
      <c r="J2873" s="5" t="s">
        <v>2463</v>
      </c>
      <c r="L2873" s="3" t="s">
        <v>5805</v>
      </c>
      <c r="M2873" s="3">
        <v>4</v>
      </c>
      <c r="N2873" s="4" t="s">
        <v>2443</v>
      </c>
      <c r="O2873" s="4">
        <v>152</v>
      </c>
      <c r="P2873" s="11" t="s">
        <v>9870</v>
      </c>
      <c r="Q2873" s="11" t="s">
        <v>10663</v>
      </c>
      <c r="S2873" s="4" t="b">
        <f>ISNUMBER(MATCH(Q2873,T:T,0))</f>
        <v>1</v>
      </c>
      <c r="T2873" s="4" t="s">
        <v>12424</v>
      </c>
      <c r="U2873" s="4" t="str">
        <f t="shared" si="129"/>
        <v>駕</v>
      </c>
    </row>
    <row r="2874" spans="1:22">
      <c r="A2874" s="3">
        <v>2869</v>
      </c>
      <c r="B2874" s="3" t="s">
        <v>2440</v>
      </c>
      <c r="C2874" s="3" t="s">
        <v>6069</v>
      </c>
      <c r="D2874" s="3" t="s">
        <v>6001</v>
      </c>
      <c r="E2874" s="3" t="s">
        <v>5991</v>
      </c>
      <c r="F2874" s="3" t="s">
        <v>4650</v>
      </c>
      <c r="G2874" s="3" t="s">
        <v>4210</v>
      </c>
      <c r="H2874" s="3" t="s">
        <v>2464</v>
      </c>
      <c r="I2874" s="3" t="s">
        <v>4652</v>
      </c>
      <c r="J2874" s="5" t="s">
        <v>2465</v>
      </c>
      <c r="L2874" s="3" t="s">
        <v>5436</v>
      </c>
      <c r="M2874" s="3">
        <v>5</v>
      </c>
      <c r="N2874" s="4" t="s">
        <v>2443</v>
      </c>
      <c r="O2874" s="4">
        <v>152</v>
      </c>
      <c r="P2874" s="11" t="s">
        <v>10244</v>
      </c>
      <c r="Q2874" s="11" t="s">
        <v>10667</v>
      </c>
      <c r="S2874" s="4" t="b">
        <f>ISNUMBER(MATCH(Q2874,T:T,0))</f>
        <v>1</v>
      </c>
      <c r="T2874" s="4" t="s">
        <v>12425</v>
      </c>
      <c r="U2874" s="4" t="str">
        <f t="shared" si="129"/>
        <v>夜</v>
      </c>
    </row>
    <row r="2875" spans="1:22">
      <c r="A2875" s="3">
        <v>2870</v>
      </c>
      <c r="B2875" s="3" t="s">
        <v>2440</v>
      </c>
      <c r="C2875" s="3" t="s">
        <v>6028</v>
      </c>
      <c r="D2875" s="3" t="s">
        <v>6001</v>
      </c>
      <c r="E2875" s="3" t="s">
        <v>5991</v>
      </c>
      <c r="F2875" s="3" t="s">
        <v>4650</v>
      </c>
      <c r="G2875" s="3" t="s">
        <v>4210</v>
      </c>
      <c r="H2875" s="3" t="s">
        <v>2466</v>
      </c>
      <c r="I2875" s="3" t="s">
        <v>4652</v>
      </c>
      <c r="J2875" s="5" t="s">
        <v>9408</v>
      </c>
      <c r="L2875" s="3" t="s">
        <v>5432</v>
      </c>
      <c r="M2875" s="3">
        <v>3</v>
      </c>
      <c r="N2875" s="4" t="s">
        <v>2443</v>
      </c>
      <c r="O2875" s="4">
        <v>152</v>
      </c>
      <c r="P2875" s="11" t="s">
        <v>9863</v>
      </c>
      <c r="Q2875" s="11" t="s">
        <v>10668</v>
      </c>
      <c r="S2875" s="4" t="b">
        <f>ISNUMBER(MATCH(Q2875,T:T,0))</f>
        <v>1</v>
      </c>
      <c r="T2875" s="4" t="s">
        <v>10667</v>
      </c>
      <c r="U2875" s="4" t="str">
        <f t="shared" si="129"/>
        <v>謝</v>
      </c>
    </row>
    <row r="2876" spans="1:22">
      <c r="A2876" s="3">
        <v>2871</v>
      </c>
      <c r="B2876" s="3" t="s">
        <v>2440</v>
      </c>
      <c r="C2876" s="3" t="s">
        <v>6055</v>
      </c>
      <c r="D2876" s="3" t="s">
        <v>6001</v>
      </c>
      <c r="E2876" s="3" t="s">
        <v>5991</v>
      </c>
      <c r="F2876" s="3" t="s">
        <v>4650</v>
      </c>
      <c r="G2876" s="3" t="s">
        <v>4210</v>
      </c>
      <c r="H2876" s="3" t="s">
        <v>2467</v>
      </c>
      <c r="I2876" s="3" t="s">
        <v>4652</v>
      </c>
      <c r="J2876" s="5" t="s">
        <v>2468</v>
      </c>
      <c r="L2876" s="3" t="s">
        <v>2469</v>
      </c>
      <c r="M2876" s="3">
        <v>2</v>
      </c>
      <c r="N2876" s="4" t="s">
        <v>2443</v>
      </c>
      <c r="O2876" s="4">
        <v>152</v>
      </c>
      <c r="P2876" s="11" t="s">
        <v>9992</v>
      </c>
      <c r="Q2876" s="11" t="s">
        <v>10667</v>
      </c>
      <c r="S2876" s="4" t="b">
        <f>ISNUMBER(MATCH(Q2876,T:T,0))</f>
        <v>1</v>
      </c>
      <c r="T2876" s="4" t="s">
        <v>12426</v>
      </c>
      <c r="U2876" s="4" t="str">
        <f t="shared" si="129"/>
        <v>夜</v>
      </c>
    </row>
    <row r="2877" spans="1:22">
      <c r="A2877" s="3">
        <v>2872</v>
      </c>
      <c r="B2877" s="3" t="s">
        <v>2440</v>
      </c>
      <c r="C2877" s="3" t="s">
        <v>6017</v>
      </c>
      <c r="D2877" s="3" t="s">
        <v>6001</v>
      </c>
      <c r="E2877" s="3" t="s">
        <v>5991</v>
      </c>
      <c r="F2877" s="3" t="s">
        <v>4650</v>
      </c>
      <c r="G2877" s="3" t="s">
        <v>4210</v>
      </c>
      <c r="H2877" s="3" t="s">
        <v>2470</v>
      </c>
      <c r="I2877" s="3" t="s">
        <v>4652</v>
      </c>
      <c r="J2877" s="5" t="s">
        <v>2471</v>
      </c>
      <c r="L2877" s="3" t="s">
        <v>5845</v>
      </c>
      <c r="M2877" s="3">
        <v>4</v>
      </c>
      <c r="N2877" s="4" t="s">
        <v>2443</v>
      </c>
      <c r="O2877" s="4">
        <v>152</v>
      </c>
      <c r="P2877" s="11" t="s">
        <v>10669</v>
      </c>
      <c r="Q2877" s="11" t="s">
        <v>10667</v>
      </c>
      <c r="S2877" s="4" t="b">
        <f>ISNUMBER(MATCH(Q2877,T:T,0))</f>
        <v>1</v>
      </c>
      <c r="T2877" s="4" t="s">
        <v>12427</v>
      </c>
      <c r="U2877" s="4" t="str">
        <f t="shared" si="129"/>
        <v>夜</v>
      </c>
    </row>
    <row r="2878" spans="1:22">
      <c r="A2878" s="3">
        <v>2873</v>
      </c>
      <c r="B2878" s="3" t="s">
        <v>2440</v>
      </c>
      <c r="C2878" s="3" t="s">
        <v>6009</v>
      </c>
      <c r="D2878" s="3" t="s">
        <v>6001</v>
      </c>
      <c r="E2878" s="3" t="s">
        <v>5991</v>
      </c>
      <c r="F2878" s="3" t="s">
        <v>4650</v>
      </c>
      <c r="G2878" s="3" t="s">
        <v>4210</v>
      </c>
      <c r="H2878" s="3" t="s">
        <v>2472</v>
      </c>
      <c r="I2878" s="3" t="s">
        <v>4652</v>
      </c>
      <c r="J2878" s="5" t="s">
        <v>9409</v>
      </c>
      <c r="L2878" s="3" t="s">
        <v>2473</v>
      </c>
      <c r="M2878" s="3">
        <v>7</v>
      </c>
      <c r="N2878" s="4" t="s">
        <v>2443</v>
      </c>
      <c r="O2878" s="4">
        <v>152</v>
      </c>
      <c r="P2878" s="11" t="s">
        <v>6396</v>
      </c>
      <c r="Q2878" s="11" t="s">
        <v>10667</v>
      </c>
      <c r="S2878" s="4" t="b">
        <f>ISNUMBER(MATCH(Q2878,T:T,0))</f>
        <v>1</v>
      </c>
      <c r="T2878" s="4" t="s">
        <v>12428</v>
      </c>
      <c r="U2878" s="4" t="str">
        <f t="shared" si="129"/>
        <v>夜</v>
      </c>
    </row>
    <row r="2879" spans="1:22">
      <c r="A2879" s="3">
        <v>2874</v>
      </c>
      <c r="B2879" s="3" t="s">
        <v>2440</v>
      </c>
      <c r="C2879" s="3" t="s">
        <v>6083</v>
      </c>
      <c r="D2879" s="3" t="s">
        <v>6001</v>
      </c>
      <c r="E2879" s="3" t="s">
        <v>5991</v>
      </c>
      <c r="F2879" s="3" t="s">
        <v>4650</v>
      </c>
      <c r="G2879" s="3" t="s">
        <v>4210</v>
      </c>
      <c r="H2879" s="3" t="s">
        <v>2474</v>
      </c>
      <c r="I2879" s="3" t="s">
        <v>4652</v>
      </c>
      <c r="J2879" s="5" t="s">
        <v>2475</v>
      </c>
      <c r="L2879" s="3" t="s">
        <v>5436</v>
      </c>
      <c r="M2879" s="3">
        <v>2</v>
      </c>
      <c r="N2879" s="4" t="s">
        <v>2443</v>
      </c>
      <c r="O2879" s="4">
        <v>152</v>
      </c>
      <c r="P2879" s="11" t="s">
        <v>9737</v>
      </c>
      <c r="Q2879" s="11" t="s">
        <v>10667</v>
      </c>
      <c r="S2879" s="4" t="b">
        <f>ISNUMBER(MATCH(Q2879,T:T,0))</f>
        <v>1</v>
      </c>
      <c r="T2879" s="4" t="s">
        <v>12429</v>
      </c>
      <c r="U2879" s="4" t="str">
        <f t="shared" si="129"/>
        <v>夜</v>
      </c>
    </row>
    <row r="2880" spans="1:22">
      <c r="A2880" s="3">
        <v>2875</v>
      </c>
      <c r="B2880" s="3" t="s">
        <v>2440</v>
      </c>
      <c r="C2880" s="3" t="s">
        <v>6120</v>
      </c>
      <c r="D2880" s="3" t="s">
        <v>6001</v>
      </c>
      <c r="E2880" s="3" t="s">
        <v>5991</v>
      </c>
      <c r="F2880" s="3" t="s">
        <v>4650</v>
      </c>
      <c r="G2880" s="3" t="s">
        <v>4210</v>
      </c>
      <c r="H2880" s="3" t="s">
        <v>2476</v>
      </c>
      <c r="I2880" s="3" t="s">
        <v>4652</v>
      </c>
      <c r="J2880" s="5" t="s">
        <v>9410</v>
      </c>
      <c r="L2880" s="3" t="s">
        <v>7219</v>
      </c>
      <c r="M2880" s="3">
        <v>5</v>
      </c>
      <c r="N2880" s="4" t="s">
        <v>2443</v>
      </c>
      <c r="O2880" s="4">
        <v>152</v>
      </c>
      <c r="P2880" s="11" t="s">
        <v>8955</v>
      </c>
      <c r="Q2880" s="11" t="s">
        <v>10667</v>
      </c>
      <c r="S2880" s="4" t="b">
        <f>ISNUMBER(MATCH(Q2880,T:T,0))</f>
        <v>1</v>
      </c>
      <c r="T2880" s="4" t="s">
        <v>12430</v>
      </c>
      <c r="U2880" s="4" t="str">
        <f t="shared" si="129"/>
        <v>夜</v>
      </c>
    </row>
    <row r="2881" spans="1:22">
      <c r="A2881" s="3">
        <v>2876</v>
      </c>
      <c r="B2881" s="3" t="s">
        <v>2440</v>
      </c>
      <c r="C2881" s="3" t="s">
        <v>3093</v>
      </c>
      <c r="D2881" s="3" t="s">
        <v>6001</v>
      </c>
      <c r="E2881" s="3" t="s">
        <v>5991</v>
      </c>
      <c r="F2881" s="3" t="s">
        <v>4650</v>
      </c>
      <c r="G2881" s="3" t="s">
        <v>4210</v>
      </c>
      <c r="H2881" s="3" t="s">
        <v>2477</v>
      </c>
      <c r="I2881" s="3" t="s">
        <v>4652</v>
      </c>
      <c r="J2881" s="5" t="s">
        <v>2478</v>
      </c>
      <c r="L2881" s="3" t="s">
        <v>7219</v>
      </c>
      <c r="M2881" s="3">
        <v>4</v>
      </c>
      <c r="N2881" s="4" t="s">
        <v>2443</v>
      </c>
      <c r="O2881" s="4">
        <v>152</v>
      </c>
      <c r="P2881" s="11" t="s">
        <v>10211</v>
      </c>
      <c r="Q2881" s="11" t="s">
        <v>10667</v>
      </c>
      <c r="S2881" s="4" t="b">
        <f>ISNUMBER(MATCH(Q2881,T:T,0))</f>
        <v>1</v>
      </c>
      <c r="T2881" s="4" t="s">
        <v>12431</v>
      </c>
      <c r="U2881" s="4" t="str">
        <f t="shared" si="129"/>
        <v>夜</v>
      </c>
    </row>
    <row r="2882" spans="1:22">
      <c r="A2882" s="3">
        <v>2877</v>
      </c>
      <c r="B2882" s="3" t="s">
        <v>2440</v>
      </c>
      <c r="C2882" s="3" t="s">
        <v>6049</v>
      </c>
      <c r="D2882" s="3" t="s">
        <v>6157</v>
      </c>
      <c r="E2882" s="3" t="s">
        <v>5991</v>
      </c>
      <c r="F2882" s="3" t="s">
        <v>4650</v>
      </c>
      <c r="G2882" s="3" t="s">
        <v>4210</v>
      </c>
      <c r="H2882" s="3" t="s">
        <v>2479</v>
      </c>
      <c r="I2882" s="3" t="s">
        <v>4652</v>
      </c>
      <c r="J2882" s="5" t="s">
        <v>9411</v>
      </c>
      <c r="L2882" s="3" t="s">
        <v>7224</v>
      </c>
      <c r="M2882" s="3">
        <v>7</v>
      </c>
      <c r="N2882" s="4" t="s">
        <v>2443</v>
      </c>
      <c r="O2882" s="4">
        <v>152</v>
      </c>
      <c r="P2882" s="11" t="s">
        <v>9932</v>
      </c>
      <c r="Q2882" s="11" t="s">
        <v>10663</v>
      </c>
      <c r="S2882" s="4" t="b">
        <f>ISNUMBER(MATCH(Q2882,T:T,0))</f>
        <v>1</v>
      </c>
      <c r="T2882" s="4" t="s">
        <v>10671</v>
      </c>
      <c r="U2882" s="4" t="str">
        <f t="shared" si="129"/>
        <v>駕</v>
      </c>
    </row>
    <row r="2883" spans="1:22">
      <c r="A2883" s="3">
        <v>2878</v>
      </c>
      <c r="B2883" s="3" t="s">
        <v>2440</v>
      </c>
      <c r="C2883" s="3" t="s">
        <v>6053</v>
      </c>
      <c r="D2883" s="3" t="s">
        <v>6157</v>
      </c>
      <c r="E2883" s="3" t="s">
        <v>5991</v>
      </c>
      <c r="F2883" s="3" t="s">
        <v>4650</v>
      </c>
      <c r="G2883" s="3" t="s">
        <v>4210</v>
      </c>
      <c r="H2883" s="3" t="s">
        <v>2480</v>
      </c>
      <c r="I2883" s="3" t="s">
        <v>4652</v>
      </c>
      <c r="J2883" s="5" t="s">
        <v>2481</v>
      </c>
      <c r="L2883" s="3" t="s">
        <v>2482</v>
      </c>
      <c r="M2883" s="3">
        <v>2</v>
      </c>
      <c r="N2883" s="4" t="s">
        <v>2443</v>
      </c>
      <c r="O2883" s="4">
        <v>152</v>
      </c>
      <c r="P2883" s="11" t="s">
        <v>9884</v>
      </c>
      <c r="Q2883" s="11" t="s">
        <v>10663</v>
      </c>
      <c r="S2883" s="4" t="b">
        <f>ISNUMBER(MATCH(Q2883,T:T,0))</f>
        <v>1</v>
      </c>
      <c r="T2883" s="4" t="s">
        <v>12432</v>
      </c>
      <c r="U2883" s="4" t="str">
        <f t="shared" ref="U2883:U2946" si="133">IF(ISBLANK(R2883),Q2883,R2883)</f>
        <v>駕</v>
      </c>
    </row>
    <row r="2884" spans="1:22">
      <c r="A2884" s="3">
        <v>2879</v>
      </c>
      <c r="B2884" s="3" t="s">
        <v>2440</v>
      </c>
      <c r="C2884" s="3" t="s">
        <v>6067</v>
      </c>
      <c r="D2884" s="3" t="s">
        <v>6157</v>
      </c>
      <c r="E2884" s="3" t="s">
        <v>6212</v>
      </c>
      <c r="F2884" s="3" t="s">
        <v>4650</v>
      </c>
      <c r="G2884" s="3" t="s">
        <v>4210</v>
      </c>
      <c r="H2884" s="3" t="s">
        <v>2483</v>
      </c>
      <c r="I2884" s="3" t="s">
        <v>4652</v>
      </c>
      <c r="J2884" s="5" t="s">
        <v>9412</v>
      </c>
      <c r="L2884" s="3" t="s">
        <v>5837</v>
      </c>
      <c r="M2884" s="3">
        <v>7</v>
      </c>
      <c r="N2884" s="4" t="s">
        <v>2443</v>
      </c>
      <c r="O2884" s="4">
        <v>152</v>
      </c>
      <c r="P2884" s="11" t="s">
        <v>9870</v>
      </c>
      <c r="Q2884" s="11" t="s">
        <v>10670</v>
      </c>
      <c r="S2884" s="4" t="b">
        <f>ISNUMBER(MATCH(Q2884,T:T,0))</f>
        <v>1</v>
      </c>
      <c r="T2884" s="4" t="s">
        <v>12433</v>
      </c>
      <c r="U2884" s="4" t="str">
        <f t="shared" si="133"/>
        <v>化</v>
      </c>
    </row>
    <row r="2885" spans="1:22">
      <c r="A2885" s="3">
        <v>2880</v>
      </c>
      <c r="B2885" s="3" t="s">
        <v>2440</v>
      </c>
      <c r="C2885" s="3" t="s">
        <v>6089</v>
      </c>
      <c r="D2885" s="3" t="s">
        <v>6157</v>
      </c>
      <c r="E2885" s="3" t="s">
        <v>6212</v>
      </c>
      <c r="F2885" s="3" t="s">
        <v>4650</v>
      </c>
      <c r="G2885" s="3" t="s">
        <v>4210</v>
      </c>
      <c r="H2885" s="3" t="s">
        <v>2484</v>
      </c>
      <c r="I2885" s="3" t="s">
        <v>4652</v>
      </c>
      <c r="J2885" s="5" t="s">
        <v>9413</v>
      </c>
      <c r="L2885" s="3" t="s">
        <v>5837</v>
      </c>
      <c r="M2885" s="3">
        <v>6</v>
      </c>
      <c r="N2885" s="4" t="s">
        <v>2443</v>
      </c>
      <c r="O2885" s="4">
        <v>152</v>
      </c>
      <c r="P2885" s="11" t="s">
        <v>9739</v>
      </c>
      <c r="Q2885" s="11" t="s">
        <v>10671</v>
      </c>
      <c r="S2885" s="4" t="b">
        <f>ISNUMBER(MATCH(Q2885,T:T,0))</f>
        <v>1</v>
      </c>
      <c r="T2885" s="4" t="s">
        <v>10670</v>
      </c>
      <c r="U2885" s="4" t="str">
        <f t="shared" si="133"/>
        <v>霸</v>
      </c>
    </row>
    <row r="2886" spans="1:22">
      <c r="A2886" s="3">
        <v>2881</v>
      </c>
      <c r="B2886" s="3" t="s">
        <v>2440</v>
      </c>
      <c r="C2886" s="3" t="s">
        <v>6038</v>
      </c>
      <c r="D2886" s="3" t="s">
        <v>6157</v>
      </c>
      <c r="E2886" s="3" t="s">
        <v>6212</v>
      </c>
      <c r="F2886" s="3" t="s">
        <v>4650</v>
      </c>
      <c r="G2886" s="3" t="s">
        <v>4210</v>
      </c>
      <c r="H2886" s="3" t="s">
        <v>2485</v>
      </c>
      <c r="I2886" s="3" t="s">
        <v>4652</v>
      </c>
      <c r="J2886" s="5" t="s">
        <v>2486</v>
      </c>
      <c r="L2886" s="3" t="s">
        <v>2487</v>
      </c>
      <c r="M2886" s="3">
        <v>3</v>
      </c>
      <c r="N2886" s="4" t="s">
        <v>2443</v>
      </c>
      <c r="O2886" s="4">
        <v>152</v>
      </c>
      <c r="P2886" s="11" t="s">
        <v>9728</v>
      </c>
      <c r="Q2886" s="11" t="s">
        <v>10670</v>
      </c>
      <c r="S2886" s="4" t="b">
        <f>ISNUMBER(MATCH(Q2886,T:T,0))</f>
        <v>1</v>
      </c>
      <c r="T2886" s="4" t="s">
        <v>12434</v>
      </c>
      <c r="U2886" s="4" t="str">
        <f t="shared" si="133"/>
        <v>化</v>
      </c>
    </row>
    <row r="2887" spans="1:22">
      <c r="A2887" s="3">
        <v>2882</v>
      </c>
      <c r="B2887" s="3" t="s">
        <v>2440</v>
      </c>
      <c r="C2887" s="3" t="s">
        <v>6180</v>
      </c>
      <c r="D2887" s="3" t="s">
        <v>6157</v>
      </c>
      <c r="E2887" s="3" t="s">
        <v>6212</v>
      </c>
      <c r="F2887" s="3" t="s">
        <v>4650</v>
      </c>
      <c r="G2887" s="3" t="s">
        <v>4210</v>
      </c>
      <c r="H2887" s="3" t="s">
        <v>2488</v>
      </c>
      <c r="I2887" s="3" t="s">
        <v>4652</v>
      </c>
      <c r="J2887" s="8" t="s">
        <v>9414</v>
      </c>
      <c r="L2887" s="3" t="s">
        <v>2489</v>
      </c>
      <c r="M2887" s="3">
        <v>2</v>
      </c>
      <c r="N2887" s="4" t="s">
        <v>2443</v>
      </c>
      <c r="O2887" s="4">
        <v>152</v>
      </c>
      <c r="P2887" s="11" t="s">
        <v>9774</v>
      </c>
      <c r="Q2887" s="11" t="s">
        <v>10670</v>
      </c>
      <c r="S2887" s="4" t="b">
        <f>ISNUMBER(MATCH(Q2887,T:T,0))</f>
        <v>1</v>
      </c>
      <c r="T2887" s="4" t="s">
        <v>12435</v>
      </c>
      <c r="U2887" s="4" t="str">
        <f t="shared" si="133"/>
        <v>化</v>
      </c>
    </row>
    <row r="2888" spans="1:22">
      <c r="A2888" s="3">
        <v>2883</v>
      </c>
      <c r="B2888" s="3" t="s">
        <v>2440</v>
      </c>
      <c r="C2888" s="3" t="s">
        <v>6045</v>
      </c>
      <c r="D2888" s="3" t="s">
        <v>6157</v>
      </c>
      <c r="E2888" s="3" t="s">
        <v>5991</v>
      </c>
      <c r="F2888" s="3" t="s">
        <v>4650</v>
      </c>
      <c r="G2888" s="3" t="s">
        <v>4210</v>
      </c>
      <c r="H2888" s="3" t="s">
        <v>2490</v>
      </c>
      <c r="I2888" s="3" t="s">
        <v>4652</v>
      </c>
      <c r="J2888" s="5" t="s">
        <v>2491</v>
      </c>
      <c r="L2888" s="3" t="s">
        <v>7224</v>
      </c>
      <c r="M2888" s="3">
        <v>6</v>
      </c>
      <c r="N2888" s="4" t="s">
        <v>2443</v>
      </c>
      <c r="O2888" s="4">
        <v>152</v>
      </c>
      <c r="P2888" s="11" t="s">
        <v>10180</v>
      </c>
      <c r="Q2888" s="11" t="s">
        <v>10663</v>
      </c>
      <c r="S2888" s="4" t="b">
        <f>ISNUMBER(MATCH(Q2888,T:T,0))</f>
        <v>1</v>
      </c>
      <c r="T2888" s="4" t="s">
        <v>12436</v>
      </c>
      <c r="U2888" s="4" t="str">
        <f t="shared" si="133"/>
        <v>駕</v>
      </c>
    </row>
    <row r="2889" spans="1:22">
      <c r="A2889" s="3">
        <v>2884</v>
      </c>
      <c r="B2889" s="3" t="s">
        <v>2440</v>
      </c>
      <c r="C2889" s="3" t="s">
        <v>6102</v>
      </c>
      <c r="D2889" s="3" t="s">
        <v>6157</v>
      </c>
      <c r="E2889" s="3" t="s">
        <v>5991</v>
      </c>
      <c r="F2889" s="3" t="s">
        <v>4650</v>
      </c>
      <c r="G2889" s="3" t="s">
        <v>4210</v>
      </c>
      <c r="H2889" s="3" t="s">
        <v>2492</v>
      </c>
      <c r="I2889" s="3" t="s">
        <v>4652</v>
      </c>
      <c r="J2889" s="5" t="s">
        <v>2493</v>
      </c>
      <c r="L2889" s="3" t="s">
        <v>2494</v>
      </c>
      <c r="M2889" s="3">
        <v>2</v>
      </c>
      <c r="N2889" s="4" t="s">
        <v>2443</v>
      </c>
      <c r="O2889" s="4">
        <v>152</v>
      </c>
      <c r="P2889" s="11" t="s">
        <v>9873</v>
      </c>
      <c r="Q2889" s="11" t="s">
        <v>10666</v>
      </c>
      <c r="S2889" s="4" t="b">
        <f>ISNUMBER(MATCH(Q2889,T:T,0))</f>
        <v>1</v>
      </c>
      <c r="T2889" s="4" t="s">
        <v>12437</v>
      </c>
      <c r="U2889" s="4" t="str">
        <f t="shared" si="133"/>
        <v>亞</v>
      </c>
    </row>
    <row r="2890" spans="1:22">
      <c r="A2890" s="3">
        <v>2885</v>
      </c>
      <c r="B2890" s="3" t="s">
        <v>2440</v>
      </c>
      <c r="C2890" s="3" t="s">
        <v>6076</v>
      </c>
      <c r="D2890" s="3" t="s">
        <v>6001</v>
      </c>
      <c r="E2890" s="3" t="s">
        <v>5991</v>
      </c>
      <c r="F2890" s="3" t="s">
        <v>4650</v>
      </c>
      <c r="G2890" s="3" t="s">
        <v>4210</v>
      </c>
      <c r="H2890" s="3" t="s">
        <v>2495</v>
      </c>
      <c r="I2890" s="3" t="s">
        <v>4652</v>
      </c>
      <c r="J2890" s="5" t="s">
        <v>2496</v>
      </c>
      <c r="L2890" s="3" t="s">
        <v>5463</v>
      </c>
      <c r="M2890" s="3">
        <v>2</v>
      </c>
      <c r="N2890" s="4" t="s">
        <v>2443</v>
      </c>
      <c r="O2890" s="4">
        <v>152</v>
      </c>
      <c r="P2890" s="11" t="s">
        <v>10672</v>
      </c>
      <c r="Q2890" s="11" t="s">
        <v>10668</v>
      </c>
      <c r="S2890" s="4" t="b">
        <f>ISNUMBER(MATCH(Q2890,T:T,0))</f>
        <v>1</v>
      </c>
      <c r="T2890" s="4" t="s">
        <v>12438</v>
      </c>
      <c r="U2890" s="4" t="str">
        <f t="shared" si="133"/>
        <v>謝</v>
      </c>
    </row>
    <row r="2891" spans="1:22">
      <c r="A2891" s="3">
        <v>2886</v>
      </c>
      <c r="B2891" s="3" t="s">
        <v>2440</v>
      </c>
      <c r="C2891" s="3" t="s">
        <v>6180</v>
      </c>
      <c r="D2891" s="3" t="s">
        <v>6157</v>
      </c>
      <c r="E2891" s="3" t="s">
        <v>5991</v>
      </c>
      <c r="F2891" s="3" t="s">
        <v>4650</v>
      </c>
      <c r="G2891" s="3" t="s">
        <v>4210</v>
      </c>
      <c r="H2891" s="3" t="s">
        <v>2497</v>
      </c>
      <c r="I2891" s="3" t="s">
        <v>4652</v>
      </c>
      <c r="J2891" s="5" t="s">
        <v>2498</v>
      </c>
      <c r="L2891" s="3" t="s">
        <v>7245</v>
      </c>
      <c r="M2891" s="3">
        <v>3</v>
      </c>
      <c r="N2891" s="4" t="s">
        <v>2443</v>
      </c>
      <c r="O2891" s="4">
        <v>152</v>
      </c>
      <c r="P2891" s="11" t="s">
        <v>9774</v>
      </c>
      <c r="Q2891" s="11" t="s">
        <v>10665</v>
      </c>
      <c r="R2891" s="4" t="s">
        <v>13158</v>
      </c>
      <c r="S2891" s="4" t="b">
        <f>ISNUMBER(MATCH(Q2891,T:T,0))</f>
        <v>0</v>
      </c>
      <c r="T2891" s="4" t="s">
        <v>12439</v>
      </c>
      <c r="U2891" s="4" t="str">
        <f t="shared" si="133"/>
        <v>駕</v>
      </c>
      <c r="V2891" s="4" t="b">
        <f>ISNUMBER(MATCH(R2891,T:T,0))</f>
        <v>1</v>
      </c>
    </row>
    <row r="2892" spans="1:22">
      <c r="A2892" s="3">
        <v>2887</v>
      </c>
      <c r="B2892" s="3" t="s">
        <v>2440</v>
      </c>
      <c r="C2892" s="3" t="s">
        <v>6025</v>
      </c>
      <c r="D2892" s="3" t="s">
        <v>6157</v>
      </c>
      <c r="E2892" s="3" t="s">
        <v>6212</v>
      </c>
      <c r="F2892" s="3" t="s">
        <v>4650</v>
      </c>
      <c r="G2892" s="3" t="s">
        <v>4210</v>
      </c>
      <c r="H2892" s="3" t="s">
        <v>2499</v>
      </c>
      <c r="I2892" s="3" t="s">
        <v>4652</v>
      </c>
      <c r="J2892" s="8" t="s">
        <v>9415</v>
      </c>
      <c r="L2892" s="3" t="s">
        <v>5386</v>
      </c>
      <c r="M2892" s="3">
        <v>2</v>
      </c>
      <c r="N2892" s="4" t="s">
        <v>2443</v>
      </c>
      <c r="O2892" s="4">
        <v>152</v>
      </c>
      <c r="P2892" s="11" t="s">
        <v>9729</v>
      </c>
      <c r="Q2892" s="11" t="s">
        <v>10673</v>
      </c>
      <c r="S2892" s="4" t="b">
        <f>ISNUMBER(MATCH(Q2892,T:T,0))</f>
        <v>1</v>
      </c>
      <c r="T2892" s="4" t="s">
        <v>12440</v>
      </c>
      <c r="U2892" s="4" t="str">
        <f t="shared" si="133"/>
        <v>罵</v>
      </c>
    </row>
    <row r="2893" spans="1:22">
      <c r="A2893" s="3">
        <v>2888</v>
      </c>
      <c r="B2893" s="3" t="s">
        <v>2440</v>
      </c>
      <c r="C2893" s="3" t="s">
        <v>6005</v>
      </c>
      <c r="D2893" s="3" t="s">
        <v>6157</v>
      </c>
      <c r="E2893" s="3" t="s">
        <v>5991</v>
      </c>
      <c r="F2893" s="3" t="s">
        <v>4650</v>
      </c>
      <c r="G2893" s="3" t="s">
        <v>4210</v>
      </c>
      <c r="H2893" s="3" t="s">
        <v>2500</v>
      </c>
      <c r="I2893" s="3" t="s">
        <v>4652</v>
      </c>
      <c r="J2893" s="5" t="s">
        <v>2501</v>
      </c>
      <c r="L2893" s="3" t="s">
        <v>2455</v>
      </c>
      <c r="M2893" s="3">
        <v>2</v>
      </c>
      <c r="N2893" s="4" t="s">
        <v>2443</v>
      </c>
      <c r="O2893" s="4">
        <v>152</v>
      </c>
      <c r="P2893" s="11" t="s">
        <v>10333</v>
      </c>
      <c r="Q2893" s="11" t="s">
        <v>10663</v>
      </c>
      <c r="S2893" s="4" t="b">
        <f>ISNUMBER(MATCH(Q2893,T:T,0))</f>
        <v>1</v>
      </c>
      <c r="T2893" s="4" t="s">
        <v>12441</v>
      </c>
      <c r="U2893" s="4" t="str">
        <f t="shared" si="133"/>
        <v>駕</v>
      </c>
    </row>
    <row r="2894" spans="1:22">
      <c r="A2894" s="3">
        <v>2889</v>
      </c>
      <c r="B2894" s="3" t="s">
        <v>2440</v>
      </c>
      <c r="C2894" s="3" t="s">
        <v>6092</v>
      </c>
      <c r="D2894" s="3" t="s">
        <v>6157</v>
      </c>
      <c r="E2894" s="3" t="s">
        <v>6212</v>
      </c>
      <c r="F2894" s="3" t="s">
        <v>4650</v>
      </c>
      <c r="G2894" s="3" t="s">
        <v>4210</v>
      </c>
      <c r="H2894" s="3" t="s">
        <v>2502</v>
      </c>
      <c r="I2894" s="3" t="s">
        <v>4652</v>
      </c>
      <c r="J2894" s="5" t="s">
        <v>2503</v>
      </c>
      <c r="L2894" s="3" t="s">
        <v>2504</v>
      </c>
      <c r="M2894" s="3">
        <v>1</v>
      </c>
      <c r="N2894" s="4" t="s">
        <v>2443</v>
      </c>
      <c r="O2894" s="4">
        <v>152</v>
      </c>
      <c r="P2894" s="11" t="s">
        <v>9740</v>
      </c>
      <c r="Q2894" s="11" t="s">
        <v>10670</v>
      </c>
      <c r="S2894" s="4" t="b">
        <f>ISNUMBER(MATCH(Q2894,T:T,0))</f>
        <v>1</v>
      </c>
      <c r="T2894" s="4" t="s">
        <v>2503</v>
      </c>
      <c r="U2894" s="4" t="str">
        <f t="shared" si="133"/>
        <v>化</v>
      </c>
    </row>
    <row r="2895" spans="1:22">
      <c r="A2895" s="3">
        <v>2890</v>
      </c>
      <c r="B2895" s="3" t="s">
        <v>2440</v>
      </c>
      <c r="C2895" s="3" t="s">
        <v>6072</v>
      </c>
      <c r="D2895" s="3" t="s">
        <v>6157</v>
      </c>
      <c r="E2895" s="3" t="s">
        <v>6212</v>
      </c>
      <c r="F2895" s="3" t="s">
        <v>4650</v>
      </c>
      <c r="G2895" s="3" t="s">
        <v>4210</v>
      </c>
      <c r="H2895" s="3" t="s">
        <v>2505</v>
      </c>
      <c r="I2895" s="3" t="s">
        <v>4652</v>
      </c>
      <c r="J2895" s="8" t="s">
        <v>9416</v>
      </c>
      <c r="L2895" s="3" t="s">
        <v>2504</v>
      </c>
      <c r="M2895" s="3">
        <v>3</v>
      </c>
      <c r="N2895" s="4" t="s">
        <v>2443</v>
      </c>
      <c r="O2895" s="4">
        <v>152</v>
      </c>
      <c r="P2895" s="11" t="s">
        <v>9734</v>
      </c>
      <c r="Q2895" s="11" t="s">
        <v>10674</v>
      </c>
      <c r="R2895" s="4" t="s">
        <v>13159</v>
      </c>
      <c r="S2895" s="4" t="b">
        <f>ISNUMBER(MATCH(Q2895,T:T,0))</f>
        <v>0</v>
      </c>
      <c r="T2895" s="4" t="s">
        <v>12442</v>
      </c>
      <c r="U2895" s="4" t="str">
        <f t="shared" si="133"/>
        <v>摦</v>
      </c>
      <c r="V2895" s="4" t="b">
        <f>ISNUMBER(MATCH(R2895,T:T,0))</f>
        <v>1</v>
      </c>
    </row>
    <row r="2896" spans="1:22">
      <c r="A2896" s="3">
        <v>4002</v>
      </c>
      <c r="B2896" s="3" t="s">
        <v>2440</v>
      </c>
      <c r="C2896" s="3" t="s">
        <v>6021</v>
      </c>
      <c r="D2896" s="3" t="s">
        <v>6001</v>
      </c>
      <c r="E2896" s="3" t="s">
        <v>5991</v>
      </c>
      <c r="F2896" s="3" t="s">
        <v>4650</v>
      </c>
      <c r="G2896" s="3" t="s">
        <v>4210</v>
      </c>
      <c r="H2896" s="3" t="s">
        <v>1310</v>
      </c>
      <c r="I2896" s="3" t="s">
        <v>4652</v>
      </c>
      <c r="J2896" s="5" t="s">
        <v>1311</v>
      </c>
      <c r="M2896" s="3">
        <v>3</v>
      </c>
      <c r="N2896" s="4" t="s">
        <v>2443</v>
      </c>
      <c r="O2896" s="4">
        <v>152</v>
      </c>
      <c r="P2896" s="11" t="s">
        <v>9798</v>
      </c>
      <c r="Q2896" s="11" t="s">
        <v>10667</v>
      </c>
      <c r="S2896" s="4" t="b">
        <f>ISNUMBER(MATCH(Q2896,T:T,0))</f>
        <v>1</v>
      </c>
      <c r="T2896" s="4" t="s">
        <v>12979</v>
      </c>
      <c r="U2896" s="4" t="str">
        <f t="shared" si="133"/>
        <v>夜</v>
      </c>
    </row>
    <row r="2897" spans="1:22">
      <c r="A2897" s="3">
        <v>4008</v>
      </c>
      <c r="B2897" s="3" t="s">
        <v>2440</v>
      </c>
      <c r="C2897" s="3" t="s">
        <v>6167</v>
      </c>
      <c r="D2897" s="3" t="s">
        <v>6157</v>
      </c>
      <c r="E2897" s="3" t="s">
        <v>5991</v>
      </c>
      <c r="F2897" s="3" t="s">
        <v>4650</v>
      </c>
      <c r="G2897" s="3" t="s">
        <v>4210</v>
      </c>
      <c r="H2897" s="3" t="s">
        <v>1323</v>
      </c>
      <c r="I2897" s="3" t="s">
        <v>4652</v>
      </c>
      <c r="J2897" s="5" t="s">
        <v>1324</v>
      </c>
      <c r="K2897" s="3" t="s">
        <v>1325</v>
      </c>
      <c r="N2897" s="4" t="s">
        <v>2443</v>
      </c>
      <c r="O2897" s="4">
        <v>152</v>
      </c>
      <c r="P2897" s="11" t="s">
        <v>9769</v>
      </c>
      <c r="Q2897" s="11" t="s">
        <v>10665</v>
      </c>
      <c r="R2897" s="4" t="s">
        <v>13158</v>
      </c>
      <c r="S2897" s="4" t="b">
        <f>ISNUMBER(MATCH(Q2897,T:T,0))</f>
        <v>0</v>
      </c>
      <c r="T2897" s="4" t="s">
        <v>12988</v>
      </c>
      <c r="U2897" s="4" t="str">
        <f t="shared" si="133"/>
        <v>駕</v>
      </c>
      <c r="V2897" s="4" t="b">
        <f>ISNUMBER(MATCH(R2897,T:T,0))</f>
        <v>1</v>
      </c>
    </row>
    <row r="2898" spans="1:22" ht="39">
      <c r="A2898" s="3">
        <v>2891</v>
      </c>
      <c r="B2898" s="3" t="s">
        <v>2506</v>
      </c>
      <c r="C2898" s="3" t="s">
        <v>6028</v>
      </c>
      <c r="D2898" s="3" t="s">
        <v>6001</v>
      </c>
      <c r="E2898" s="3" t="s">
        <v>5991</v>
      </c>
      <c r="F2898" s="3" t="s">
        <v>972</v>
      </c>
      <c r="G2898" s="3" t="s">
        <v>4210</v>
      </c>
      <c r="H2898" s="3" t="s">
        <v>2507</v>
      </c>
      <c r="I2898" s="3" t="s">
        <v>974</v>
      </c>
      <c r="J2898" s="5" t="s">
        <v>9417</v>
      </c>
      <c r="L2898" s="3" t="s">
        <v>2508</v>
      </c>
      <c r="M2898" s="3">
        <v>12</v>
      </c>
      <c r="N2898" s="4" t="s">
        <v>2509</v>
      </c>
      <c r="O2898" s="4">
        <v>153</v>
      </c>
      <c r="P2898" s="11" t="s">
        <v>9750</v>
      </c>
      <c r="Q2898" s="11" t="s">
        <v>10675</v>
      </c>
      <c r="S2898" s="4" t="b">
        <f>ISNUMBER(MATCH(Q2898,T:T,0))</f>
        <v>1</v>
      </c>
      <c r="T2898" s="4" t="s">
        <v>10677</v>
      </c>
      <c r="U2898" s="4" t="str">
        <f t="shared" si="133"/>
        <v>亮</v>
      </c>
    </row>
    <row r="2899" spans="1:22" ht="28.5">
      <c r="A2899" s="3">
        <v>2892</v>
      </c>
      <c r="B2899" s="3" t="s">
        <v>2506</v>
      </c>
      <c r="C2899" s="3" t="s">
        <v>6058</v>
      </c>
      <c r="D2899" s="3" t="s">
        <v>6001</v>
      </c>
      <c r="E2899" s="3" t="s">
        <v>5991</v>
      </c>
      <c r="F2899" s="3" t="s">
        <v>972</v>
      </c>
      <c r="G2899" s="3" t="s">
        <v>4210</v>
      </c>
      <c r="H2899" s="3" t="s">
        <v>2510</v>
      </c>
      <c r="I2899" s="3" t="s">
        <v>974</v>
      </c>
      <c r="J2899" s="5" t="s">
        <v>9418</v>
      </c>
      <c r="L2899" s="3" t="s">
        <v>2511</v>
      </c>
      <c r="M2899" s="3">
        <v>15</v>
      </c>
      <c r="N2899" s="4" t="s">
        <v>2509</v>
      </c>
      <c r="O2899" s="4">
        <v>153</v>
      </c>
      <c r="P2899" s="11" t="s">
        <v>9727</v>
      </c>
      <c r="Q2899" s="11" t="s">
        <v>10676</v>
      </c>
      <c r="S2899" s="4" t="b">
        <f>ISNUMBER(MATCH(Q2899,T:T,0))</f>
        <v>1</v>
      </c>
      <c r="T2899" s="4" t="s">
        <v>10675</v>
      </c>
      <c r="U2899" s="4" t="str">
        <f t="shared" si="133"/>
        <v>讓</v>
      </c>
    </row>
    <row r="2900" spans="1:22" ht="28.5">
      <c r="A2900" s="3">
        <v>2893</v>
      </c>
      <c r="B2900" s="3" t="s">
        <v>2506</v>
      </c>
      <c r="C2900" s="3" t="s">
        <v>6015</v>
      </c>
      <c r="D2900" s="3" t="s">
        <v>6001</v>
      </c>
      <c r="E2900" s="3" t="s">
        <v>5991</v>
      </c>
      <c r="F2900" s="3" t="s">
        <v>972</v>
      </c>
      <c r="G2900" s="3" t="s">
        <v>4210</v>
      </c>
      <c r="H2900" s="3" t="s">
        <v>2512</v>
      </c>
      <c r="I2900" s="3" t="s">
        <v>974</v>
      </c>
      <c r="J2900" s="5" t="s">
        <v>2513</v>
      </c>
      <c r="L2900" s="3" t="s">
        <v>4319</v>
      </c>
      <c r="M2900" s="3">
        <v>1</v>
      </c>
      <c r="N2900" s="4" t="s">
        <v>2509</v>
      </c>
      <c r="O2900" s="4">
        <v>153</v>
      </c>
      <c r="P2900" s="11" t="s">
        <v>9713</v>
      </c>
      <c r="Q2900" s="11" t="s">
        <v>10675</v>
      </c>
      <c r="S2900" s="4" t="b">
        <f>ISNUMBER(MATCH(Q2900,T:T,0))</f>
        <v>1</v>
      </c>
      <c r="T2900" s="4" t="s">
        <v>2513</v>
      </c>
      <c r="U2900" s="4" t="str">
        <f t="shared" si="133"/>
        <v>亮</v>
      </c>
    </row>
    <row r="2901" spans="1:22">
      <c r="A2901" s="3">
        <v>2894</v>
      </c>
      <c r="B2901" s="3" t="s">
        <v>2506</v>
      </c>
      <c r="C2901" s="3" t="s">
        <v>6021</v>
      </c>
      <c r="D2901" s="3" t="s">
        <v>6001</v>
      </c>
      <c r="E2901" s="3" t="s">
        <v>5991</v>
      </c>
      <c r="F2901" s="3" t="s">
        <v>972</v>
      </c>
      <c r="G2901" s="3" t="s">
        <v>4210</v>
      </c>
      <c r="H2901" s="3" t="s">
        <v>2514</v>
      </c>
      <c r="I2901" s="3" t="s">
        <v>974</v>
      </c>
      <c r="J2901" s="5" t="s">
        <v>2515</v>
      </c>
      <c r="L2901" s="3" t="s">
        <v>2516</v>
      </c>
      <c r="M2901" s="3">
        <v>4</v>
      </c>
      <c r="N2901" s="4" t="s">
        <v>2509</v>
      </c>
      <c r="O2901" s="4">
        <v>153</v>
      </c>
      <c r="P2901" s="11" t="s">
        <v>9798</v>
      </c>
      <c r="Q2901" s="11" t="s">
        <v>10677</v>
      </c>
      <c r="S2901" s="4" t="b">
        <f>ISNUMBER(MATCH(Q2901,T:T,0))</f>
        <v>1</v>
      </c>
      <c r="T2901" s="4" t="s">
        <v>10676</v>
      </c>
      <c r="U2901" s="4" t="str">
        <f t="shared" si="133"/>
        <v>樣</v>
      </c>
    </row>
    <row r="2902" spans="1:22" ht="28.5">
      <c r="A2902" s="3">
        <v>2895</v>
      </c>
      <c r="B2902" s="3" t="s">
        <v>2506</v>
      </c>
      <c r="C2902" s="3" t="s">
        <v>6120</v>
      </c>
      <c r="D2902" s="3" t="s">
        <v>6001</v>
      </c>
      <c r="E2902" s="3" t="s">
        <v>5991</v>
      </c>
      <c r="F2902" s="3" t="s">
        <v>972</v>
      </c>
      <c r="G2902" s="3" t="s">
        <v>4210</v>
      </c>
      <c r="H2902" s="3" t="s">
        <v>2517</v>
      </c>
      <c r="I2902" s="3" t="s">
        <v>974</v>
      </c>
      <c r="J2902" s="5" t="s">
        <v>9419</v>
      </c>
      <c r="L2902" s="3" t="s">
        <v>7330</v>
      </c>
      <c r="M2902" s="3">
        <v>10</v>
      </c>
      <c r="N2902" s="4" t="s">
        <v>2509</v>
      </c>
      <c r="O2902" s="4">
        <v>153</v>
      </c>
      <c r="P2902" s="11" t="s">
        <v>9793</v>
      </c>
      <c r="Q2902" s="11" t="s">
        <v>10675</v>
      </c>
      <c r="S2902" s="4" t="b">
        <f>ISNUMBER(MATCH(Q2902,T:T,0))</f>
        <v>1</v>
      </c>
      <c r="T2902" s="4" t="s">
        <v>12443</v>
      </c>
      <c r="U2902" s="4" t="str">
        <f t="shared" si="133"/>
        <v>亮</v>
      </c>
    </row>
    <row r="2903" spans="1:22" ht="28.5">
      <c r="A2903" s="3">
        <v>2896</v>
      </c>
      <c r="B2903" s="3" t="s">
        <v>2506</v>
      </c>
      <c r="C2903" s="3" t="s">
        <v>6000</v>
      </c>
      <c r="D2903" s="3" t="s">
        <v>6001</v>
      </c>
      <c r="E2903" s="3" t="s">
        <v>5991</v>
      </c>
      <c r="F2903" s="3" t="s">
        <v>972</v>
      </c>
      <c r="G2903" s="3" t="s">
        <v>4210</v>
      </c>
      <c r="H2903" s="3" t="s">
        <v>2518</v>
      </c>
      <c r="I2903" s="3" t="s">
        <v>974</v>
      </c>
      <c r="J2903" s="5" t="s">
        <v>9420</v>
      </c>
      <c r="L2903" s="3" t="s">
        <v>7300</v>
      </c>
      <c r="M2903" s="3">
        <v>5</v>
      </c>
      <c r="N2903" s="4" t="s">
        <v>2509</v>
      </c>
      <c r="O2903" s="4">
        <v>153</v>
      </c>
      <c r="P2903" s="11" t="s">
        <v>6000</v>
      </c>
      <c r="Q2903" s="11" t="s">
        <v>10675</v>
      </c>
      <c r="S2903" s="4" t="b">
        <f>ISNUMBER(MATCH(Q2903,T:T,0))</f>
        <v>1</v>
      </c>
      <c r="T2903" s="4" t="s">
        <v>12444</v>
      </c>
      <c r="U2903" s="4" t="str">
        <f t="shared" si="133"/>
        <v>亮</v>
      </c>
    </row>
    <row r="2904" spans="1:22" ht="28.5">
      <c r="A2904" s="3">
        <v>2897</v>
      </c>
      <c r="B2904" s="3" t="s">
        <v>2506</v>
      </c>
      <c r="C2904" s="3" t="s">
        <v>6011</v>
      </c>
      <c r="D2904" s="3" t="s">
        <v>6001</v>
      </c>
      <c r="E2904" s="3" t="s">
        <v>5991</v>
      </c>
      <c r="F2904" s="3" t="s">
        <v>972</v>
      </c>
      <c r="G2904" s="3" t="s">
        <v>4210</v>
      </c>
      <c r="H2904" s="3" t="s">
        <v>2519</v>
      </c>
      <c r="I2904" s="3" t="s">
        <v>974</v>
      </c>
      <c r="J2904" s="5" t="s">
        <v>9421</v>
      </c>
      <c r="L2904" s="3" t="s">
        <v>2520</v>
      </c>
      <c r="M2904" s="3">
        <v>10</v>
      </c>
      <c r="N2904" s="4" t="s">
        <v>2509</v>
      </c>
      <c r="O2904" s="4">
        <v>153</v>
      </c>
      <c r="P2904" s="11" t="s">
        <v>9757</v>
      </c>
      <c r="Q2904" s="11" t="s">
        <v>10675</v>
      </c>
      <c r="S2904" s="4" t="b">
        <f>ISNUMBER(MATCH(Q2904,T:T,0))</f>
        <v>1</v>
      </c>
      <c r="T2904" s="4" t="s">
        <v>12445</v>
      </c>
      <c r="U2904" s="4" t="str">
        <f t="shared" si="133"/>
        <v>亮</v>
      </c>
    </row>
    <row r="2905" spans="1:22" ht="28.5">
      <c r="A2905" s="3">
        <v>2898</v>
      </c>
      <c r="B2905" s="3" t="s">
        <v>2506</v>
      </c>
      <c r="C2905" s="3" t="s">
        <v>6089</v>
      </c>
      <c r="D2905" s="3" t="s">
        <v>6001</v>
      </c>
      <c r="E2905" s="3" t="s">
        <v>5991</v>
      </c>
      <c r="F2905" s="3" t="s">
        <v>972</v>
      </c>
      <c r="G2905" s="3" t="s">
        <v>4210</v>
      </c>
      <c r="H2905" s="3" t="s">
        <v>2521</v>
      </c>
      <c r="I2905" s="3" t="s">
        <v>974</v>
      </c>
      <c r="J2905" s="5" t="s">
        <v>9422</v>
      </c>
      <c r="L2905" s="3" t="s">
        <v>8746</v>
      </c>
      <c r="M2905" s="3">
        <v>8</v>
      </c>
      <c r="N2905" s="4" t="s">
        <v>2509</v>
      </c>
      <c r="O2905" s="4">
        <v>153</v>
      </c>
      <c r="P2905" s="11" t="s">
        <v>9753</v>
      </c>
      <c r="Q2905" s="11" t="s">
        <v>10675</v>
      </c>
      <c r="S2905" s="4" t="b">
        <f>ISNUMBER(MATCH(Q2905,T:T,0))</f>
        <v>1</v>
      </c>
      <c r="T2905" s="4" t="s">
        <v>10678</v>
      </c>
      <c r="U2905" s="4" t="str">
        <f t="shared" si="133"/>
        <v>亮</v>
      </c>
    </row>
    <row r="2906" spans="1:22" ht="28.5">
      <c r="A2906" s="3">
        <v>2899</v>
      </c>
      <c r="B2906" s="3" t="s">
        <v>2506</v>
      </c>
      <c r="C2906" s="3" t="s">
        <v>6005</v>
      </c>
      <c r="D2906" s="3" t="s">
        <v>6001</v>
      </c>
      <c r="E2906" s="3" t="s">
        <v>5991</v>
      </c>
      <c r="F2906" s="3" t="s">
        <v>972</v>
      </c>
      <c r="G2906" s="3" t="s">
        <v>4210</v>
      </c>
      <c r="H2906" s="3" t="s">
        <v>2522</v>
      </c>
      <c r="I2906" s="3" t="s">
        <v>974</v>
      </c>
      <c r="J2906" s="5" t="s">
        <v>9423</v>
      </c>
      <c r="L2906" s="3" t="s">
        <v>7300</v>
      </c>
      <c r="M2906" s="3">
        <v>3</v>
      </c>
      <c r="N2906" s="4" t="s">
        <v>2509</v>
      </c>
      <c r="O2906" s="4">
        <v>153</v>
      </c>
      <c r="P2906" s="11" t="s">
        <v>9709</v>
      </c>
      <c r="Q2906" s="11" t="s">
        <v>10675</v>
      </c>
      <c r="S2906" s="4" t="b">
        <f>ISNUMBER(MATCH(Q2906,T:T,0))</f>
        <v>1</v>
      </c>
      <c r="T2906" s="4" t="s">
        <v>12446</v>
      </c>
      <c r="U2906" s="4" t="str">
        <f t="shared" si="133"/>
        <v>亮</v>
      </c>
    </row>
    <row r="2907" spans="1:22" ht="28.5">
      <c r="A2907" s="3">
        <v>2900</v>
      </c>
      <c r="B2907" s="3" t="s">
        <v>2506</v>
      </c>
      <c r="C2907" s="3" t="s">
        <v>6137</v>
      </c>
      <c r="D2907" s="3" t="s">
        <v>6001</v>
      </c>
      <c r="E2907" s="3" t="s">
        <v>5991</v>
      </c>
      <c r="F2907" s="3" t="s">
        <v>972</v>
      </c>
      <c r="G2907" s="3" t="s">
        <v>4210</v>
      </c>
      <c r="H2907" s="3" t="s">
        <v>2523</v>
      </c>
      <c r="I2907" s="3" t="s">
        <v>974</v>
      </c>
      <c r="J2907" s="5" t="s">
        <v>2524</v>
      </c>
      <c r="L2907" s="3" t="s">
        <v>2525</v>
      </c>
      <c r="M2907" s="3">
        <v>3</v>
      </c>
      <c r="N2907" s="4" t="s">
        <v>2509</v>
      </c>
      <c r="O2907" s="4">
        <v>153</v>
      </c>
      <c r="P2907" s="11" t="s">
        <v>9755</v>
      </c>
      <c r="Q2907" s="11" t="s">
        <v>10675</v>
      </c>
      <c r="S2907" s="4" t="b">
        <f>ISNUMBER(MATCH(Q2907,T:T,0))</f>
        <v>1</v>
      </c>
      <c r="T2907" s="4" t="s">
        <v>12447</v>
      </c>
      <c r="U2907" s="4" t="str">
        <f t="shared" si="133"/>
        <v>亮</v>
      </c>
    </row>
    <row r="2908" spans="1:22" ht="28.5">
      <c r="A2908" s="3">
        <v>2901</v>
      </c>
      <c r="B2908" s="3" t="s">
        <v>2506</v>
      </c>
      <c r="C2908" s="3" t="s">
        <v>6069</v>
      </c>
      <c r="D2908" s="3" t="s">
        <v>6001</v>
      </c>
      <c r="E2908" s="3" t="s">
        <v>5991</v>
      </c>
      <c r="F2908" s="3" t="s">
        <v>972</v>
      </c>
      <c r="G2908" s="3" t="s">
        <v>4210</v>
      </c>
      <c r="H2908" s="3" t="s">
        <v>2526</v>
      </c>
      <c r="I2908" s="3" t="s">
        <v>974</v>
      </c>
      <c r="J2908" s="5" t="s">
        <v>2527</v>
      </c>
      <c r="L2908" s="3" t="s">
        <v>7280</v>
      </c>
      <c r="M2908" s="3">
        <v>3</v>
      </c>
      <c r="N2908" s="4" t="s">
        <v>2509</v>
      </c>
      <c r="O2908" s="4">
        <v>153</v>
      </c>
      <c r="P2908" s="11" t="s">
        <v>9756</v>
      </c>
      <c r="Q2908" s="11" t="s">
        <v>10675</v>
      </c>
      <c r="S2908" s="4" t="b">
        <f>ISNUMBER(MATCH(Q2908,T:T,0))</f>
        <v>1</v>
      </c>
      <c r="T2908" s="4" t="s">
        <v>9934</v>
      </c>
      <c r="U2908" s="4" t="str">
        <f t="shared" si="133"/>
        <v>亮</v>
      </c>
    </row>
    <row r="2909" spans="1:22" ht="28.5">
      <c r="A2909" s="3">
        <v>2902</v>
      </c>
      <c r="B2909" s="3" t="s">
        <v>2506</v>
      </c>
      <c r="C2909" s="3" t="s">
        <v>6009</v>
      </c>
      <c r="D2909" s="3" t="s">
        <v>6001</v>
      </c>
      <c r="E2909" s="3" t="s">
        <v>5991</v>
      </c>
      <c r="F2909" s="3" t="s">
        <v>972</v>
      </c>
      <c r="G2909" s="3" t="s">
        <v>4210</v>
      </c>
      <c r="H2909" s="3" t="s">
        <v>2528</v>
      </c>
      <c r="I2909" s="3" t="s">
        <v>974</v>
      </c>
      <c r="J2909" s="5" t="s">
        <v>2529</v>
      </c>
      <c r="L2909" s="3" t="s">
        <v>7300</v>
      </c>
      <c r="M2909" s="3">
        <v>5</v>
      </c>
      <c r="N2909" s="4" t="s">
        <v>2509</v>
      </c>
      <c r="O2909" s="4">
        <v>153</v>
      </c>
      <c r="P2909" s="11" t="s">
        <v>6396</v>
      </c>
      <c r="Q2909" s="11" t="s">
        <v>10675</v>
      </c>
      <c r="S2909" s="4" t="b">
        <f>ISNUMBER(MATCH(Q2909,T:T,0))</f>
        <v>1</v>
      </c>
      <c r="T2909" s="4" t="s">
        <v>12448</v>
      </c>
      <c r="U2909" s="4" t="str">
        <f t="shared" si="133"/>
        <v>亮</v>
      </c>
    </row>
    <row r="2910" spans="1:22" ht="28.5">
      <c r="A2910" s="3">
        <v>2903</v>
      </c>
      <c r="B2910" s="3" t="s">
        <v>2506</v>
      </c>
      <c r="C2910" s="3" t="s">
        <v>6148</v>
      </c>
      <c r="D2910" s="3" t="s">
        <v>6001</v>
      </c>
      <c r="E2910" s="3" t="s">
        <v>5991</v>
      </c>
      <c r="F2910" s="3" t="s">
        <v>972</v>
      </c>
      <c r="G2910" s="3" t="s">
        <v>4210</v>
      </c>
      <c r="H2910" s="3" t="s">
        <v>2530</v>
      </c>
      <c r="I2910" s="3" t="s">
        <v>974</v>
      </c>
      <c r="J2910" s="5" t="s">
        <v>9424</v>
      </c>
      <c r="L2910" s="3" t="s">
        <v>7330</v>
      </c>
      <c r="M2910" s="3">
        <v>4</v>
      </c>
      <c r="N2910" s="4" t="s">
        <v>2509</v>
      </c>
      <c r="O2910" s="4">
        <v>153</v>
      </c>
      <c r="P2910" s="11" t="s">
        <v>10190</v>
      </c>
      <c r="Q2910" s="11" t="s">
        <v>10675</v>
      </c>
      <c r="S2910" s="4" t="b">
        <f>ISNUMBER(MATCH(Q2910,T:T,0))</f>
        <v>1</v>
      </c>
      <c r="T2910" s="4" t="s">
        <v>12449</v>
      </c>
      <c r="U2910" s="4" t="str">
        <f t="shared" si="133"/>
        <v>亮</v>
      </c>
    </row>
    <row r="2911" spans="1:22" ht="28.5">
      <c r="A2911" s="3">
        <v>2904</v>
      </c>
      <c r="B2911" s="3" t="s">
        <v>2506</v>
      </c>
      <c r="C2911" s="3" t="s">
        <v>6318</v>
      </c>
      <c r="D2911" s="3" t="s">
        <v>6001</v>
      </c>
      <c r="E2911" s="3" t="s">
        <v>5991</v>
      </c>
      <c r="F2911" s="3" t="s">
        <v>972</v>
      </c>
      <c r="G2911" s="3" t="s">
        <v>4210</v>
      </c>
      <c r="H2911" s="3" t="s">
        <v>2531</v>
      </c>
      <c r="I2911" s="3" t="s">
        <v>974</v>
      </c>
      <c r="J2911" s="5" t="s">
        <v>2532</v>
      </c>
      <c r="L2911" s="3" t="s">
        <v>4319</v>
      </c>
      <c r="M2911" s="3">
        <v>3</v>
      </c>
      <c r="N2911" s="4" t="s">
        <v>2509</v>
      </c>
      <c r="O2911" s="4">
        <v>153</v>
      </c>
      <c r="P2911" s="11" t="s">
        <v>9804</v>
      </c>
      <c r="Q2911" s="11" t="s">
        <v>10675</v>
      </c>
      <c r="S2911" s="4" t="b">
        <f>ISNUMBER(MATCH(Q2911,T:T,0))</f>
        <v>1</v>
      </c>
      <c r="T2911" s="4" t="s">
        <v>12450</v>
      </c>
      <c r="U2911" s="4" t="str">
        <f t="shared" si="133"/>
        <v>亮</v>
      </c>
    </row>
    <row r="2912" spans="1:22">
      <c r="A2912" s="3">
        <v>2905</v>
      </c>
      <c r="B2912" s="3" t="s">
        <v>2506</v>
      </c>
      <c r="C2912" s="3" t="s">
        <v>6072</v>
      </c>
      <c r="D2912" s="3" t="s">
        <v>6001</v>
      </c>
      <c r="E2912" s="3" t="s">
        <v>5991</v>
      </c>
      <c r="F2912" s="3" t="s">
        <v>972</v>
      </c>
      <c r="G2912" s="3" t="s">
        <v>4210</v>
      </c>
      <c r="H2912" s="3" t="s">
        <v>2533</v>
      </c>
      <c r="I2912" s="3" t="s">
        <v>974</v>
      </c>
      <c r="J2912" s="5" t="s">
        <v>9425</v>
      </c>
      <c r="L2912" s="3" t="s">
        <v>2508</v>
      </c>
      <c r="M2912" s="3">
        <v>4</v>
      </c>
      <c r="N2912" s="4" t="s">
        <v>2509</v>
      </c>
      <c r="O2912" s="4">
        <v>153</v>
      </c>
      <c r="P2912" s="11" t="s">
        <v>9754</v>
      </c>
      <c r="Q2912" s="11" t="s">
        <v>10675</v>
      </c>
      <c r="S2912" s="4" t="b">
        <f>ISNUMBER(MATCH(Q2912,T:T,0))</f>
        <v>1</v>
      </c>
      <c r="T2912" s="4" t="s">
        <v>12451</v>
      </c>
      <c r="U2912" s="4" t="str">
        <f t="shared" si="133"/>
        <v>亮</v>
      </c>
    </row>
    <row r="2913" spans="1:21" ht="28.5">
      <c r="A2913" s="3">
        <v>2906</v>
      </c>
      <c r="B2913" s="3" t="s">
        <v>2506</v>
      </c>
      <c r="C2913" s="3" t="s">
        <v>6041</v>
      </c>
      <c r="D2913" s="3" t="s">
        <v>6001</v>
      </c>
      <c r="E2913" s="3" t="s">
        <v>5991</v>
      </c>
      <c r="F2913" s="3" t="s">
        <v>972</v>
      </c>
      <c r="G2913" s="3" t="s">
        <v>4210</v>
      </c>
      <c r="H2913" s="3" t="s">
        <v>2534</v>
      </c>
      <c r="I2913" s="3" t="s">
        <v>974</v>
      </c>
      <c r="J2913" s="5" t="s">
        <v>2535</v>
      </c>
      <c r="L2913" s="3" t="s">
        <v>7280</v>
      </c>
      <c r="M2913" s="3">
        <v>1</v>
      </c>
      <c r="N2913" s="4" t="s">
        <v>2509</v>
      </c>
      <c r="O2913" s="4">
        <v>153</v>
      </c>
      <c r="P2913" s="11" t="s">
        <v>9830</v>
      </c>
      <c r="Q2913" s="11" t="s">
        <v>10675</v>
      </c>
      <c r="S2913" s="4" t="b">
        <f>ISNUMBER(MATCH(Q2913,T:T,0))</f>
        <v>1</v>
      </c>
      <c r="T2913" s="4" t="s">
        <v>12452</v>
      </c>
      <c r="U2913" s="4" t="str">
        <f t="shared" si="133"/>
        <v>亮</v>
      </c>
    </row>
    <row r="2914" spans="1:21" ht="28.5">
      <c r="A2914" s="3">
        <v>2907</v>
      </c>
      <c r="B2914" s="3" t="s">
        <v>2506</v>
      </c>
      <c r="C2914" s="3" t="s">
        <v>6055</v>
      </c>
      <c r="D2914" s="3" t="s">
        <v>6001</v>
      </c>
      <c r="E2914" s="3" t="s">
        <v>5991</v>
      </c>
      <c r="F2914" s="3" t="s">
        <v>972</v>
      </c>
      <c r="G2914" s="3" t="s">
        <v>4210</v>
      </c>
      <c r="H2914" s="3" t="s">
        <v>2536</v>
      </c>
      <c r="I2914" s="3" t="s">
        <v>974</v>
      </c>
      <c r="J2914" s="5" t="s">
        <v>2537</v>
      </c>
      <c r="L2914" s="3" t="s">
        <v>2520</v>
      </c>
      <c r="M2914" s="3">
        <v>4</v>
      </c>
      <c r="N2914" s="4" t="s">
        <v>2509</v>
      </c>
      <c r="O2914" s="4">
        <v>153</v>
      </c>
      <c r="P2914" s="11" t="s">
        <v>9749</v>
      </c>
      <c r="Q2914" s="11" t="s">
        <v>10675</v>
      </c>
      <c r="S2914" s="4" t="b">
        <f>ISNUMBER(MATCH(Q2914,T:T,0))</f>
        <v>1</v>
      </c>
      <c r="T2914" s="4" t="s">
        <v>12453</v>
      </c>
      <c r="U2914" s="4" t="str">
        <f t="shared" si="133"/>
        <v>亮</v>
      </c>
    </row>
    <row r="2915" spans="1:21" ht="28.5">
      <c r="A2915" s="3">
        <v>2908</v>
      </c>
      <c r="B2915" s="3" t="s">
        <v>2506</v>
      </c>
      <c r="C2915" s="3" t="s">
        <v>6167</v>
      </c>
      <c r="D2915" s="3" t="s">
        <v>6001</v>
      </c>
      <c r="E2915" s="3" t="s">
        <v>5991</v>
      </c>
      <c r="F2915" s="3" t="s">
        <v>972</v>
      </c>
      <c r="G2915" s="3" t="s">
        <v>4210</v>
      </c>
      <c r="H2915" s="3" t="s">
        <v>2538</v>
      </c>
      <c r="I2915" s="3" t="s">
        <v>974</v>
      </c>
      <c r="J2915" s="5" t="s">
        <v>9426</v>
      </c>
      <c r="L2915" s="3" t="s">
        <v>4324</v>
      </c>
      <c r="M2915" s="3">
        <v>4</v>
      </c>
      <c r="N2915" s="4" t="s">
        <v>2509</v>
      </c>
      <c r="O2915" s="4">
        <v>153</v>
      </c>
      <c r="P2915" s="11" t="s">
        <v>6167</v>
      </c>
      <c r="Q2915" s="11" t="s">
        <v>10675</v>
      </c>
      <c r="S2915" s="4" t="b">
        <f>ISNUMBER(MATCH(Q2915,T:T,0))</f>
        <v>1</v>
      </c>
      <c r="T2915" s="4" t="s">
        <v>10243</v>
      </c>
      <c r="U2915" s="4" t="str">
        <f t="shared" si="133"/>
        <v>亮</v>
      </c>
    </row>
    <row r="2916" spans="1:21" ht="28.5">
      <c r="A2916" s="3">
        <v>2909</v>
      </c>
      <c r="B2916" s="3" t="s">
        <v>2506</v>
      </c>
      <c r="C2916" s="3" t="s">
        <v>6083</v>
      </c>
      <c r="D2916" s="3" t="s">
        <v>6001</v>
      </c>
      <c r="E2916" s="3" t="s">
        <v>5991</v>
      </c>
      <c r="F2916" s="3" t="s">
        <v>972</v>
      </c>
      <c r="G2916" s="3" t="s">
        <v>4210</v>
      </c>
      <c r="H2916" s="3" t="s">
        <v>2539</v>
      </c>
      <c r="I2916" s="3" t="s">
        <v>974</v>
      </c>
      <c r="J2916" s="5" t="s">
        <v>2540</v>
      </c>
      <c r="L2916" s="3" t="s">
        <v>7280</v>
      </c>
      <c r="M2916" s="3">
        <v>4</v>
      </c>
      <c r="N2916" s="4" t="s">
        <v>2509</v>
      </c>
      <c r="O2916" s="4">
        <v>153</v>
      </c>
      <c r="P2916" s="11" t="s">
        <v>9737</v>
      </c>
      <c r="Q2916" s="11" t="s">
        <v>10675</v>
      </c>
      <c r="S2916" s="4" t="b">
        <f>ISNUMBER(MATCH(Q2916,T:T,0))</f>
        <v>1</v>
      </c>
      <c r="T2916" s="4" t="s">
        <v>12454</v>
      </c>
      <c r="U2916" s="4" t="str">
        <f t="shared" si="133"/>
        <v>亮</v>
      </c>
    </row>
    <row r="2917" spans="1:21">
      <c r="A2917" s="3">
        <v>2910</v>
      </c>
      <c r="B2917" s="3" t="s">
        <v>2506</v>
      </c>
      <c r="C2917" s="3" t="s">
        <v>6092</v>
      </c>
      <c r="D2917" s="3" t="s">
        <v>6001</v>
      </c>
      <c r="E2917" s="3" t="s">
        <v>5991</v>
      </c>
      <c r="F2917" s="3" t="s">
        <v>972</v>
      </c>
      <c r="G2917" s="3" t="s">
        <v>4210</v>
      </c>
      <c r="H2917" s="3" t="s">
        <v>2541</v>
      </c>
      <c r="I2917" s="3" t="s">
        <v>974</v>
      </c>
      <c r="J2917" s="5" t="s">
        <v>2542</v>
      </c>
      <c r="L2917" s="3" t="s">
        <v>2508</v>
      </c>
      <c r="M2917" s="3">
        <v>2</v>
      </c>
      <c r="N2917" s="4" t="s">
        <v>2509</v>
      </c>
      <c r="O2917" s="4">
        <v>153</v>
      </c>
      <c r="P2917" s="11" t="s">
        <v>6462</v>
      </c>
      <c r="Q2917" s="11" t="s">
        <v>10678</v>
      </c>
      <c r="S2917" s="4" t="b">
        <f>ISNUMBER(MATCH(Q2917,T:T,0))</f>
        <v>1</v>
      </c>
      <c r="T2917" s="4" t="s">
        <v>12455</v>
      </c>
      <c r="U2917" s="4" t="str">
        <f t="shared" si="133"/>
        <v>向</v>
      </c>
    </row>
    <row r="2918" spans="1:21">
      <c r="A2918" s="3">
        <v>2911</v>
      </c>
      <c r="B2918" s="3" t="s">
        <v>2506</v>
      </c>
      <c r="C2918" s="3" t="s">
        <v>6053</v>
      </c>
      <c r="D2918" s="3" t="s">
        <v>6001</v>
      </c>
      <c r="E2918" s="3" t="s">
        <v>6212</v>
      </c>
      <c r="F2918" s="3" t="s">
        <v>972</v>
      </c>
      <c r="G2918" s="3" t="s">
        <v>4210</v>
      </c>
      <c r="H2918" s="3" t="s">
        <v>2543</v>
      </c>
      <c r="I2918" s="3" t="s">
        <v>974</v>
      </c>
      <c r="J2918" s="5" t="s">
        <v>2544</v>
      </c>
      <c r="L2918" s="3" t="s">
        <v>7338</v>
      </c>
      <c r="M2918" s="3">
        <v>3</v>
      </c>
      <c r="N2918" s="4" t="s">
        <v>2509</v>
      </c>
      <c r="O2918" s="4">
        <v>153</v>
      </c>
      <c r="P2918" s="11" t="s">
        <v>9724</v>
      </c>
      <c r="Q2918" s="11" t="s">
        <v>10675</v>
      </c>
      <c r="S2918" s="4" t="b">
        <f>ISNUMBER(MATCH(Q2918,T:T,0))</f>
        <v>1</v>
      </c>
      <c r="T2918" s="4" t="s">
        <v>10681</v>
      </c>
      <c r="U2918" s="4" t="str">
        <f t="shared" si="133"/>
        <v>亮</v>
      </c>
    </row>
    <row r="2919" spans="1:21">
      <c r="A2919" s="3">
        <v>2912</v>
      </c>
      <c r="B2919" s="3" t="s">
        <v>2506</v>
      </c>
      <c r="C2919" s="3" t="s">
        <v>6035</v>
      </c>
      <c r="D2919" s="3" t="s">
        <v>6001</v>
      </c>
      <c r="E2919" s="3" t="s">
        <v>6212</v>
      </c>
      <c r="F2919" s="3" t="s">
        <v>972</v>
      </c>
      <c r="G2919" s="3" t="s">
        <v>4210</v>
      </c>
      <c r="H2919" s="3" t="s">
        <v>2545</v>
      </c>
      <c r="I2919" s="3" t="s">
        <v>974</v>
      </c>
      <c r="J2919" s="5" t="s">
        <v>2546</v>
      </c>
      <c r="L2919" s="3" t="s">
        <v>2547</v>
      </c>
      <c r="M2919" s="3">
        <v>6</v>
      </c>
      <c r="N2919" s="4" t="s">
        <v>2509</v>
      </c>
      <c r="O2919" s="4">
        <v>153</v>
      </c>
      <c r="P2919" s="11" t="s">
        <v>10679</v>
      </c>
      <c r="Q2919" s="11" t="s">
        <v>10680</v>
      </c>
      <c r="S2919" s="4" t="b">
        <f>ISNUMBER(MATCH(Q2919,T:T,0))</f>
        <v>1</v>
      </c>
      <c r="T2919" s="4" t="s">
        <v>10682</v>
      </c>
      <c r="U2919" s="4" t="str">
        <f t="shared" si="133"/>
        <v>放</v>
      </c>
    </row>
    <row r="2920" spans="1:21" ht="28.5">
      <c r="A2920" s="3">
        <v>2913</v>
      </c>
      <c r="B2920" s="3" t="s">
        <v>2506</v>
      </c>
      <c r="C2920" s="3" t="s">
        <v>6089</v>
      </c>
      <c r="D2920" s="3" t="s">
        <v>6001</v>
      </c>
      <c r="E2920" s="3" t="s">
        <v>6212</v>
      </c>
      <c r="F2920" s="3" t="s">
        <v>972</v>
      </c>
      <c r="G2920" s="3" t="s">
        <v>4210</v>
      </c>
      <c r="H2920" s="3" t="s">
        <v>2548</v>
      </c>
      <c r="I2920" s="3" t="s">
        <v>974</v>
      </c>
      <c r="J2920" s="5" t="s">
        <v>9427</v>
      </c>
      <c r="L2920" s="3" t="s">
        <v>7376</v>
      </c>
      <c r="M2920" s="3">
        <v>4</v>
      </c>
      <c r="N2920" s="4" t="s">
        <v>2509</v>
      </c>
      <c r="O2920" s="4">
        <v>153</v>
      </c>
      <c r="P2920" s="11" t="s">
        <v>9753</v>
      </c>
      <c r="Q2920" s="11" t="s">
        <v>10681</v>
      </c>
      <c r="S2920" s="4" t="b">
        <f>ISNUMBER(MATCH(Q2920,T:T,0))</f>
        <v>1</v>
      </c>
      <c r="T2920" s="4" t="s">
        <v>9858</v>
      </c>
      <c r="U2920" s="4" t="str">
        <f t="shared" si="133"/>
        <v>訪</v>
      </c>
    </row>
    <row r="2921" spans="1:21" ht="28.5">
      <c r="A2921" s="3">
        <v>2914</v>
      </c>
      <c r="B2921" s="3" t="s">
        <v>2506</v>
      </c>
      <c r="C2921" s="3" t="s">
        <v>6025</v>
      </c>
      <c r="D2921" s="3" t="s">
        <v>6001</v>
      </c>
      <c r="E2921" s="3" t="s">
        <v>6212</v>
      </c>
      <c r="F2921" s="3" t="s">
        <v>972</v>
      </c>
      <c r="G2921" s="3" t="s">
        <v>4210</v>
      </c>
      <c r="H2921" s="3" t="s">
        <v>2549</v>
      </c>
      <c r="I2921" s="3" t="s">
        <v>974</v>
      </c>
      <c r="J2921" s="5" t="s">
        <v>2550</v>
      </c>
      <c r="L2921" s="3" t="s">
        <v>7333</v>
      </c>
      <c r="M2921" s="3">
        <v>4</v>
      </c>
      <c r="N2921" s="4" t="s">
        <v>2509</v>
      </c>
      <c r="O2921" s="4">
        <v>153</v>
      </c>
      <c r="P2921" s="11" t="s">
        <v>9717</v>
      </c>
      <c r="Q2921" s="11" t="s">
        <v>9858</v>
      </c>
      <c r="S2921" s="4" t="b">
        <f>ISNUMBER(MATCH(Q2921,T:T,0))</f>
        <v>1</v>
      </c>
      <c r="T2921" s="4" t="s">
        <v>12456</v>
      </c>
      <c r="U2921" s="4" t="str">
        <f t="shared" si="133"/>
        <v>況</v>
      </c>
    </row>
    <row r="2922" spans="1:21">
      <c r="A2922" s="3">
        <v>2915</v>
      </c>
      <c r="B2922" s="3" t="s">
        <v>2506</v>
      </c>
      <c r="C2922" s="3" t="s">
        <v>6032</v>
      </c>
      <c r="D2922" s="3" t="s">
        <v>6001</v>
      </c>
      <c r="E2922" s="3" t="s">
        <v>6212</v>
      </c>
      <c r="F2922" s="3" t="s">
        <v>972</v>
      </c>
      <c r="G2922" s="3" t="s">
        <v>4210</v>
      </c>
      <c r="H2922" s="3" t="s">
        <v>2551</v>
      </c>
      <c r="I2922" s="3" t="s">
        <v>974</v>
      </c>
      <c r="J2922" s="5" t="s">
        <v>2552</v>
      </c>
      <c r="L2922" s="3" t="s">
        <v>2547</v>
      </c>
      <c r="M2922" s="3">
        <v>5</v>
      </c>
      <c r="N2922" s="4" t="s">
        <v>2509</v>
      </c>
      <c r="O2922" s="4">
        <v>153</v>
      </c>
      <c r="P2922" s="11" t="s">
        <v>9859</v>
      </c>
      <c r="Q2922" s="11" t="s">
        <v>10680</v>
      </c>
      <c r="S2922" s="4" t="b">
        <f>ISNUMBER(MATCH(Q2922,T:T,0))</f>
        <v>1</v>
      </c>
      <c r="T2922" s="4" t="s">
        <v>12457</v>
      </c>
      <c r="U2922" s="4" t="str">
        <f t="shared" si="133"/>
        <v>放</v>
      </c>
    </row>
    <row r="2923" spans="1:21">
      <c r="A2923" s="3">
        <v>2916</v>
      </c>
      <c r="B2923" s="3" t="s">
        <v>2506</v>
      </c>
      <c r="C2923" s="3" t="s">
        <v>6049</v>
      </c>
      <c r="D2923" s="3" t="s">
        <v>6001</v>
      </c>
      <c r="E2923" s="3" t="s">
        <v>6212</v>
      </c>
      <c r="F2923" s="3" t="s">
        <v>972</v>
      </c>
      <c r="G2923" s="3" t="s">
        <v>4210</v>
      </c>
      <c r="H2923" s="3" t="s">
        <v>2553</v>
      </c>
      <c r="I2923" s="3" t="s">
        <v>974</v>
      </c>
      <c r="J2923" s="5" t="s">
        <v>9428</v>
      </c>
      <c r="L2923" s="3" t="s">
        <v>7338</v>
      </c>
      <c r="M2923" s="3">
        <v>4</v>
      </c>
      <c r="N2923" s="4" t="s">
        <v>2509</v>
      </c>
      <c r="O2923" s="4">
        <v>153</v>
      </c>
      <c r="P2923" s="11" t="s">
        <v>9842</v>
      </c>
      <c r="Q2923" s="11" t="s">
        <v>10682</v>
      </c>
      <c r="S2923" s="4" t="b">
        <f>ISNUMBER(MATCH(Q2923,T:T,0))</f>
        <v>1</v>
      </c>
      <c r="T2923" s="4" t="s">
        <v>10680</v>
      </c>
      <c r="U2923" s="4" t="str">
        <f t="shared" si="133"/>
        <v>妄</v>
      </c>
    </row>
    <row r="2924" spans="1:21" ht="28.5">
      <c r="A2924" s="3">
        <v>2917</v>
      </c>
      <c r="B2924" s="3" t="s">
        <v>2506</v>
      </c>
      <c r="C2924" s="3" t="s">
        <v>6017</v>
      </c>
      <c r="D2924" s="3" t="s">
        <v>6001</v>
      </c>
      <c r="E2924" s="3" t="s">
        <v>5991</v>
      </c>
      <c r="F2924" s="3" t="s">
        <v>972</v>
      </c>
      <c r="G2924" s="3" t="s">
        <v>4210</v>
      </c>
      <c r="H2924" s="3" t="s">
        <v>2554</v>
      </c>
      <c r="I2924" s="3" t="s">
        <v>974</v>
      </c>
      <c r="J2924" s="5" t="s">
        <v>2555</v>
      </c>
      <c r="L2924" s="3" t="s">
        <v>8746</v>
      </c>
      <c r="M2924" s="3">
        <v>1</v>
      </c>
      <c r="N2924" s="4" t="s">
        <v>2509</v>
      </c>
      <c r="O2924" s="4">
        <v>153</v>
      </c>
      <c r="P2924" s="11" t="s">
        <v>9714</v>
      </c>
      <c r="Q2924" s="11" t="s">
        <v>10675</v>
      </c>
      <c r="S2924" s="4" t="b">
        <f>ISNUMBER(MATCH(Q2924,T:T,0))</f>
        <v>1</v>
      </c>
      <c r="T2924" s="4" t="s">
        <v>2555</v>
      </c>
      <c r="U2924" s="4" t="str">
        <f t="shared" si="133"/>
        <v>亮</v>
      </c>
    </row>
    <row r="2925" spans="1:21" ht="28.5">
      <c r="A2925" s="3">
        <v>2918</v>
      </c>
      <c r="B2925" s="3" t="s">
        <v>2506</v>
      </c>
      <c r="C2925" s="3" t="s">
        <v>6025</v>
      </c>
      <c r="D2925" s="3" t="s">
        <v>6001</v>
      </c>
      <c r="E2925" s="3" t="s">
        <v>5991</v>
      </c>
      <c r="F2925" s="3" t="s">
        <v>972</v>
      </c>
      <c r="G2925" s="3" t="s">
        <v>4210</v>
      </c>
      <c r="H2925" s="3" t="s">
        <v>2556</v>
      </c>
      <c r="I2925" s="3" t="s">
        <v>974</v>
      </c>
      <c r="J2925" s="5" t="s">
        <v>2557</v>
      </c>
      <c r="L2925" s="3" t="s">
        <v>7280</v>
      </c>
      <c r="M2925" s="3">
        <v>1</v>
      </c>
      <c r="N2925" s="4" t="s">
        <v>2509</v>
      </c>
      <c r="O2925" s="4">
        <v>153</v>
      </c>
      <c r="P2925" s="11" t="s">
        <v>9717</v>
      </c>
      <c r="Q2925" s="11" t="s">
        <v>10675</v>
      </c>
      <c r="S2925" s="4" t="b">
        <f>ISNUMBER(MATCH(Q2925,T:T,0))</f>
        <v>1</v>
      </c>
      <c r="T2925" s="4" t="s">
        <v>2557</v>
      </c>
      <c r="U2925" s="4" t="str">
        <f t="shared" si="133"/>
        <v>亮</v>
      </c>
    </row>
    <row r="2926" spans="1:21" ht="28.5">
      <c r="A2926" s="3">
        <v>2919</v>
      </c>
      <c r="B2926" s="3" t="s">
        <v>2506</v>
      </c>
      <c r="C2926" s="3" t="s">
        <v>6038</v>
      </c>
      <c r="D2926" s="3" t="s">
        <v>6001</v>
      </c>
      <c r="E2926" s="3" t="s">
        <v>5991</v>
      </c>
      <c r="F2926" s="3" t="s">
        <v>972</v>
      </c>
      <c r="G2926" s="3" t="s">
        <v>4210</v>
      </c>
      <c r="H2926" s="3" t="s">
        <v>2558</v>
      </c>
      <c r="I2926" s="3" t="s">
        <v>974</v>
      </c>
      <c r="J2926" s="5" t="s">
        <v>2559</v>
      </c>
      <c r="L2926" s="3" t="s">
        <v>2560</v>
      </c>
      <c r="M2926" s="3">
        <v>3</v>
      </c>
      <c r="N2926" s="4" t="s">
        <v>2509</v>
      </c>
      <c r="O2926" s="4">
        <v>153</v>
      </c>
      <c r="P2926" s="11" t="s">
        <v>9825</v>
      </c>
      <c r="Q2926" s="11" t="s">
        <v>10675</v>
      </c>
      <c r="S2926" s="4" t="b">
        <f>ISNUMBER(MATCH(Q2926,T:T,0))</f>
        <v>1</v>
      </c>
      <c r="T2926" s="4" t="s">
        <v>12458</v>
      </c>
      <c r="U2926" s="4" t="str">
        <f t="shared" si="133"/>
        <v>亮</v>
      </c>
    </row>
    <row r="2927" spans="1:21" ht="28.5">
      <c r="A2927" s="3">
        <v>2920</v>
      </c>
      <c r="B2927" s="3" t="s">
        <v>2506</v>
      </c>
      <c r="C2927" s="3" t="s">
        <v>6076</v>
      </c>
      <c r="D2927" s="3" t="s">
        <v>6001</v>
      </c>
      <c r="E2927" s="3" t="s">
        <v>5991</v>
      </c>
      <c r="F2927" s="3" t="s">
        <v>972</v>
      </c>
      <c r="G2927" s="3" t="s">
        <v>4210</v>
      </c>
      <c r="H2927" s="3" t="s">
        <v>2561</v>
      </c>
      <c r="I2927" s="3" t="s">
        <v>974</v>
      </c>
      <c r="J2927" s="5" t="s">
        <v>2562</v>
      </c>
      <c r="L2927" s="3" t="s">
        <v>2560</v>
      </c>
      <c r="M2927" s="3">
        <v>1</v>
      </c>
      <c r="N2927" s="4" t="s">
        <v>2509</v>
      </c>
      <c r="O2927" s="4">
        <v>153</v>
      </c>
      <c r="P2927" s="11" t="s">
        <v>9766</v>
      </c>
      <c r="Q2927" s="11" t="s">
        <v>10675</v>
      </c>
      <c r="S2927" s="4" t="b">
        <f>ISNUMBER(MATCH(Q2927,T:T,0))</f>
        <v>1</v>
      </c>
      <c r="T2927" s="4" t="s">
        <v>2562</v>
      </c>
      <c r="U2927" s="4" t="str">
        <f t="shared" si="133"/>
        <v>亮</v>
      </c>
    </row>
    <row r="2928" spans="1:21" ht="28.5">
      <c r="A2928" s="3">
        <v>2921</v>
      </c>
      <c r="B2928" s="3" t="s">
        <v>2506</v>
      </c>
      <c r="C2928" s="3" t="s">
        <v>6041</v>
      </c>
      <c r="D2928" s="3" t="s">
        <v>6001</v>
      </c>
      <c r="E2928" s="3" t="s">
        <v>6212</v>
      </c>
      <c r="F2928" s="3" t="s">
        <v>972</v>
      </c>
      <c r="G2928" s="3" t="s">
        <v>4210</v>
      </c>
      <c r="H2928" s="3" t="s">
        <v>2563</v>
      </c>
      <c r="I2928" s="3" t="s">
        <v>974</v>
      </c>
      <c r="J2928" s="5" t="s">
        <v>2564</v>
      </c>
      <c r="L2928" s="3" t="s">
        <v>7333</v>
      </c>
      <c r="M2928" s="3">
        <v>2</v>
      </c>
      <c r="N2928" s="4" t="s">
        <v>2509</v>
      </c>
      <c r="O2928" s="4">
        <v>153</v>
      </c>
      <c r="P2928" s="11" t="s">
        <v>9721</v>
      </c>
      <c r="Q2928" s="11" t="s">
        <v>10680</v>
      </c>
      <c r="S2928" s="4" t="b">
        <f>ISNUMBER(MATCH(Q2928,T:T,0))</f>
        <v>1</v>
      </c>
      <c r="T2928" s="4" t="s">
        <v>10331</v>
      </c>
      <c r="U2928" s="4" t="str">
        <f t="shared" si="133"/>
        <v>放</v>
      </c>
    </row>
    <row r="2929" spans="1:22">
      <c r="A2929" s="3">
        <v>2922</v>
      </c>
      <c r="B2929" s="3" t="s">
        <v>2506</v>
      </c>
      <c r="C2929" s="3" t="s">
        <v>6045</v>
      </c>
      <c r="D2929" s="3" t="s">
        <v>6001</v>
      </c>
      <c r="E2929" s="3" t="s">
        <v>6212</v>
      </c>
      <c r="F2929" s="3" t="s">
        <v>972</v>
      </c>
      <c r="G2929" s="3" t="s">
        <v>4210</v>
      </c>
      <c r="H2929" s="3" t="s">
        <v>2565</v>
      </c>
      <c r="I2929" s="3" t="s">
        <v>974</v>
      </c>
      <c r="J2929" s="5" t="s">
        <v>2566</v>
      </c>
      <c r="L2929" s="3" t="s">
        <v>7338</v>
      </c>
      <c r="M2929" s="3">
        <v>1</v>
      </c>
      <c r="N2929" s="4" t="s">
        <v>2509</v>
      </c>
      <c r="O2929" s="4">
        <v>153</v>
      </c>
      <c r="P2929" s="11" t="s">
        <v>9759</v>
      </c>
      <c r="Q2929" s="11" t="s">
        <v>9858</v>
      </c>
      <c r="S2929" s="4" t="b">
        <f>ISNUMBER(MATCH(Q2929,T:T,0))</f>
        <v>1</v>
      </c>
      <c r="T2929" s="4" t="s">
        <v>2566</v>
      </c>
      <c r="U2929" s="4" t="str">
        <f t="shared" si="133"/>
        <v>況</v>
      </c>
    </row>
    <row r="2930" spans="1:22">
      <c r="A2930" s="3">
        <v>2923</v>
      </c>
      <c r="B2930" s="3" t="s">
        <v>2567</v>
      </c>
      <c r="C2930" s="3" t="s">
        <v>5997</v>
      </c>
      <c r="D2930" s="3" t="s">
        <v>5990</v>
      </c>
      <c r="E2930" s="3" t="s">
        <v>5991</v>
      </c>
      <c r="F2930" s="3" t="s">
        <v>1032</v>
      </c>
      <c r="G2930" s="3" t="s">
        <v>4210</v>
      </c>
      <c r="H2930" s="3" t="s">
        <v>2568</v>
      </c>
      <c r="I2930" s="3" t="s">
        <v>974</v>
      </c>
      <c r="J2930" s="5" t="s">
        <v>2569</v>
      </c>
      <c r="L2930" s="3" t="s">
        <v>7345</v>
      </c>
      <c r="M2930" s="3">
        <v>7</v>
      </c>
      <c r="N2930" s="4" t="s">
        <v>974</v>
      </c>
      <c r="O2930" s="4">
        <v>154</v>
      </c>
      <c r="P2930" s="11" t="s">
        <v>9706</v>
      </c>
      <c r="Q2930" s="11" t="s">
        <v>10683</v>
      </c>
      <c r="S2930" s="4" t="b">
        <f>ISNUMBER(MATCH(Q2930,T:T,0))</f>
        <v>1</v>
      </c>
      <c r="T2930" s="4" t="s">
        <v>974</v>
      </c>
      <c r="U2930" s="4" t="str">
        <f t="shared" si="133"/>
        <v>浪</v>
      </c>
    </row>
    <row r="2931" spans="1:22">
      <c r="A2931" s="3">
        <v>2924</v>
      </c>
      <c r="B2931" s="3" t="s">
        <v>2567</v>
      </c>
      <c r="C2931" s="3" t="s">
        <v>6058</v>
      </c>
      <c r="D2931" s="3" t="s">
        <v>5990</v>
      </c>
      <c r="E2931" s="3" t="s">
        <v>5991</v>
      </c>
      <c r="F2931" s="3" t="s">
        <v>1032</v>
      </c>
      <c r="G2931" s="3" t="s">
        <v>4210</v>
      </c>
      <c r="H2931" s="3" t="s">
        <v>2570</v>
      </c>
      <c r="I2931" s="3" t="s">
        <v>974</v>
      </c>
      <c r="J2931" s="5" t="s">
        <v>2571</v>
      </c>
      <c r="L2931" s="3" t="s">
        <v>2572</v>
      </c>
      <c r="M2931" s="3">
        <v>5</v>
      </c>
      <c r="N2931" s="4" t="s">
        <v>974</v>
      </c>
      <c r="O2931" s="4">
        <v>154</v>
      </c>
      <c r="P2931" s="11" t="s">
        <v>6058</v>
      </c>
      <c r="Q2931" s="11" t="s">
        <v>974</v>
      </c>
      <c r="S2931" s="4" t="b">
        <f>ISNUMBER(MATCH(Q2931,T:T,0))</f>
        <v>1</v>
      </c>
      <c r="T2931" s="4" t="s">
        <v>10683</v>
      </c>
      <c r="U2931" s="4" t="str">
        <f t="shared" si="133"/>
        <v>宕</v>
      </c>
    </row>
    <row r="2932" spans="1:22">
      <c r="A2932" s="3">
        <v>2925</v>
      </c>
      <c r="B2932" s="3" t="s">
        <v>2567</v>
      </c>
      <c r="C2932" s="3" t="s">
        <v>6067</v>
      </c>
      <c r="D2932" s="3" t="s">
        <v>5990</v>
      </c>
      <c r="E2932" s="3" t="s">
        <v>5991</v>
      </c>
      <c r="F2932" s="3" t="s">
        <v>1032</v>
      </c>
      <c r="G2932" s="3" t="s">
        <v>4210</v>
      </c>
      <c r="H2932" s="3" t="s">
        <v>2573</v>
      </c>
      <c r="I2932" s="3" t="s">
        <v>974</v>
      </c>
      <c r="J2932" s="5" t="s">
        <v>2574</v>
      </c>
      <c r="L2932" s="3" t="s">
        <v>7360</v>
      </c>
      <c r="M2932" s="3">
        <v>3</v>
      </c>
      <c r="N2932" s="4" t="s">
        <v>974</v>
      </c>
      <c r="O2932" s="4">
        <v>154</v>
      </c>
      <c r="P2932" s="11" t="s">
        <v>9771</v>
      </c>
      <c r="Q2932" s="11" t="s">
        <v>10683</v>
      </c>
      <c r="S2932" s="4" t="b">
        <f>ISNUMBER(MATCH(Q2932,T:T,0))</f>
        <v>1</v>
      </c>
      <c r="T2932" s="4" t="s">
        <v>12459</v>
      </c>
      <c r="U2932" s="4" t="str">
        <f t="shared" si="133"/>
        <v>浪</v>
      </c>
    </row>
    <row r="2933" spans="1:22">
      <c r="A2933" s="3">
        <v>2926</v>
      </c>
      <c r="B2933" s="3" t="s">
        <v>2567</v>
      </c>
      <c r="C2933" s="3" t="s">
        <v>6072</v>
      </c>
      <c r="D2933" s="3" t="s">
        <v>5990</v>
      </c>
      <c r="E2933" s="3" t="s">
        <v>5991</v>
      </c>
      <c r="F2933" s="3" t="s">
        <v>1032</v>
      </c>
      <c r="G2933" s="3" t="s">
        <v>4210</v>
      </c>
      <c r="H2933" s="3" t="s">
        <v>2575</v>
      </c>
      <c r="I2933" s="3" t="s">
        <v>974</v>
      </c>
      <c r="J2933" s="5" t="s">
        <v>2576</v>
      </c>
      <c r="L2933" s="3" t="s">
        <v>2577</v>
      </c>
      <c r="M2933" s="3">
        <v>2</v>
      </c>
      <c r="N2933" s="4" t="s">
        <v>974</v>
      </c>
      <c r="O2933" s="4">
        <v>154</v>
      </c>
      <c r="P2933" s="11" t="s">
        <v>9734</v>
      </c>
      <c r="Q2933" s="11" t="s">
        <v>10683</v>
      </c>
      <c r="S2933" s="4" t="b">
        <f>ISNUMBER(MATCH(Q2933,T:T,0))</f>
        <v>1</v>
      </c>
      <c r="T2933" s="4" t="s">
        <v>12460</v>
      </c>
      <c r="U2933" s="4" t="str">
        <f t="shared" si="133"/>
        <v>浪</v>
      </c>
    </row>
    <row r="2934" spans="1:22">
      <c r="A2934" s="3">
        <v>2927</v>
      </c>
      <c r="B2934" s="3" t="s">
        <v>2567</v>
      </c>
      <c r="C2934" s="3" t="s">
        <v>6092</v>
      </c>
      <c r="D2934" s="3" t="s">
        <v>5990</v>
      </c>
      <c r="E2934" s="3" t="s">
        <v>5991</v>
      </c>
      <c r="F2934" s="3" t="s">
        <v>1032</v>
      </c>
      <c r="G2934" s="3" t="s">
        <v>4210</v>
      </c>
      <c r="H2934" s="3" t="s">
        <v>2578</v>
      </c>
      <c r="I2934" s="3" t="s">
        <v>974</v>
      </c>
      <c r="J2934" s="8" t="s">
        <v>9429</v>
      </c>
      <c r="L2934" s="3" t="s">
        <v>2577</v>
      </c>
      <c r="M2934" s="3">
        <v>3</v>
      </c>
      <c r="N2934" s="4" t="s">
        <v>974</v>
      </c>
      <c r="O2934" s="4">
        <v>154</v>
      </c>
      <c r="P2934" s="11" t="s">
        <v>9740</v>
      </c>
      <c r="Q2934" s="11" t="s">
        <v>10683</v>
      </c>
      <c r="S2934" s="4" t="b">
        <f>ISNUMBER(MATCH(Q2934,T:T,0))</f>
        <v>1</v>
      </c>
      <c r="T2934" s="4" t="s">
        <v>12461</v>
      </c>
      <c r="U2934" s="4" t="str">
        <f t="shared" si="133"/>
        <v>浪</v>
      </c>
    </row>
    <row r="2935" spans="1:22">
      <c r="A2935" s="3">
        <v>2928</v>
      </c>
      <c r="B2935" s="3" t="s">
        <v>2567</v>
      </c>
      <c r="C2935" s="3" t="s">
        <v>6083</v>
      </c>
      <c r="D2935" s="3" t="s">
        <v>5990</v>
      </c>
      <c r="E2935" s="3" t="s">
        <v>5991</v>
      </c>
      <c r="F2935" s="3" t="s">
        <v>1032</v>
      </c>
      <c r="G2935" s="3" t="s">
        <v>4210</v>
      </c>
      <c r="H2935" s="3" t="s">
        <v>2579</v>
      </c>
      <c r="I2935" s="3" t="s">
        <v>974</v>
      </c>
      <c r="J2935" s="5" t="s">
        <v>2580</v>
      </c>
      <c r="L2935" s="3" t="s">
        <v>7387</v>
      </c>
      <c r="M2935" s="3">
        <v>1</v>
      </c>
      <c r="N2935" s="4" t="s">
        <v>974</v>
      </c>
      <c r="O2935" s="4">
        <v>154</v>
      </c>
      <c r="P2935" s="11" t="s">
        <v>9875</v>
      </c>
      <c r="Q2935" s="11" t="s">
        <v>10683</v>
      </c>
      <c r="S2935" s="4" t="b">
        <f>ISNUMBER(MATCH(Q2935,T:T,0))</f>
        <v>1</v>
      </c>
      <c r="T2935" s="4" t="s">
        <v>2580</v>
      </c>
      <c r="U2935" s="4" t="str">
        <f t="shared" si="133"/>
        <v>浪</v>
      </c>
    </row>
    <row r="2936" spans="1:22">
      <c r="A2936" s="3">
        <v>2929</v>
      </c>
      <c r="B2936" s="3" t="s">
        <v>2567</v>
      </c>
      <c r="C2936" s="3" t="s">
        <v>6045</v>
      </c>
      <c r="D2936" s="3" t="s">
        <v>5990</v>
      </c>
      <c r="E2936" s="3" t="s">
        <v>5991</v>
      </c>
      <c r="F2936" s="3" t="s">
        <v>1032</v>
      </c>
      <c r="G2936" s="3" t="s">
        <v>4210</v>
      </c>
      <c r="H2936" s="3" t="s">
        <v>2581</v>
      </c>
      <c r="I2936" s="3" t="s">
        <v>974</v>
      </c>
      <c r="J2936" s="5" t="s">
        <v>2582</v>
      </c>
      <c r="L2936" s="3" t="s">
        <v>8737</v>
      </c>
      <c r="M2936" s="3">
        <v>2</v>
      </c>
      <c r="N2936" s="4" t="s">
        <v>974</v>
      </c>
      <c r="O2936" s="4">
        <v>154</v>
      </c>
      <c r="P2936" s="11" t="s">
        <v>9965</v>
      </c>
      <c r="Q2936" s="11" t="s">
        <v>10683</v>
      </c>
      <c r="S2936" s="4" t="b">
        <f>ISNUMBER(MATCH(Q2936,T:T,0))</f>
        <v>1</v>
      </c>
      <c r="T2936" s="4" t="s">
        <v>10259</v>
      </c>
      <c r="U2936" s="4" t="str">
        <f t="shared" si="133"/>
        <v>浪</v>
      </c>
    </row>
    <row r="2937" spans="1:22">
      <c r="A2937" s="3">
        <v>2930</v>
      </c>
      <c r="B2937" s="3" t="s">
        <v>2567</v>
      </c>
      <c r="C2937" s="3" t="s">
        <v>6069</v>
      </c>
      <c r="D2937" s="3" t="s">
        <v>5990</v>
      </c>
      <c r="E2937" s="3" t="s">
        <v>5991</v>
      </c>
      <c r="F2937" s="3" t="s">
        <v>1032</v>
      </c>
      <c r="G2937" s="3" t="s">
        <v>4210</v>
      </c>
      <c r="H2937" s="3" t="s">
        <v>2583</v>
      </c>
      <c r="I2937" s="3" t="s">
        <v>974</v>
      </c>
      <c r="J2937" s="5" t="s">
        <v>2584</v>
      </c>
      <c r="L2937" s="3" t="s">
        <v>7387</v>
      </c>
      <c r="M2937" s="3">
        <v>3</v>
      </c>
      <c r="N2937" s="4" t="s">
        <v>974</v>
      </c>
      <c r="O2937" s="4">
        <v>154</v>
      </c>
      <c r="P2937" s="11" t="s">
        <v>9733</v>
      </c>
      <c r="Q2937" s="11" t="s">
        <v>10683</v>
      </c>
      <c r="S2937" s="4" t="b">
        <f>ISNUMBER(MATCH(Q2937,T:T,0))</f>
        <v>1</v>
      </c>
      <c r="T2937" s="4" t="s">
        <v>1077</v>
      </c>
      <c r="U2937" s="4" t="str">
        <f t="shared" si="133"/>
        <v>浪</v>
      </c>
    </row>
    <row r="2938" spans="1:22">
      <c r="A2938" s="3">
        <v>2931</v>
      </c>
      <c r="B2938" s="3" t="s">
        <v>2567</v>
      </c>
      <c r="C2938" s="3" t="s">
        <v>5989</v>
      </c>
      <c r="D2938" s="3" t="s">
        <v>5990</v>
      </c>
      <c r="E2938" s="3" t="s">
        <v>5991</v>
      </c>
      <c r="F2938" s="3" t="s">
        <v>1032</v>
      </c>
      <c r="G2938" s="3" t="s">
        <v>4210</v>
      </c>
      <c r="H2938" s="3" t="s">
        <v>2585</v>
      </c>
      <c r="I2938" s="3" t="s">
        <v>974</v>
      </c>
      <c r="J2938" s="8" t="s">
        <v>9430</v>
      </c>
      <c r="L2938" s="3" t="s">
        <v>7345</v>
      </c>
      <c r="M2938" s="3">
        <v>6</v>
      </c>
      <c r="N2938" s="4" t="s">
        <v>974</v>
      </c>
      <c r="O2938" s="4">
        <v>154</v>
      </c>
      <c r="P2938" s="11" t="s">
        <v>9822</v>
      </c>
      <c r="Q2938" s="11" t="s">
        <v>10683</v>
      </c>
      <c r="S2938" s="4" t="b">
        <f>ISNUMBER(MATCH(Q2938,T:T,0))</f>
        <v>1</v>
      </c>
      <c r="T2938" s="4" t="s">
        <v>12462</v>
      </c>
      <c r="U2938" s="4" t="str">
        <f t="shared" si="133"/>
        <v>浪</v>
      </c>
    </row>
    <row r="2939" spans="1:22">
      <c r="A2939" s="3">
        <v>2932</v>
      </c>
      <c r="B2939" s="3" t="s">
        <v>2567</v>
      </c>
      <c r="C2939" s="3" t="s">
        <v>6038</v>
      </c>
      <c r="D2939" s="3" t="s">
        <v>5990</v>
      </c>
      <c r="E2939" s="3" t="s">
        <v>5991</v>
      </c>
      <c r="F2939" s="3" t="s">
        <v>1032</v>
      </c>
      <c r="G2939" s="3" t="s">
        <v>4210</v>
      </c>
      <c r="H2939" s="3" t="s">
        <v>2586</v>
      </c>
      <c r="I2939" s="3" t="s">
        <v>974</v>
      </c>
      <c r="J2939" s="5" t="s">
        <v>9431</v>
      </c>
      <c r="L2939" s="3" t="s">
        <v>2587</v>
      </c>
      <c r="M2939" s="3">
        <v>12</v>
      </c>
      <c r="N2939" s="4" t="s">
        <v>974</v>
      </c>
      <c r="O2939" s="4">
        <v>154</v>
      </c>
      <c r="P2939" s="11" t="s">
        <v>9728</v>
      </c>
      <c r="Q2939" s="11" t="s">
        <v>10683</v>
      </c>
      <c r="S2939" s="4" t="b">
        <f>ISNUMBER(MATCH(Q2939,T:T,0))</f>
        <v>1</v>
      </c>
      <c r="T2939" s="4" t="s">
        <v>12463</v>
      </c>
      <c r="U2939" s="4" t="str">
        <f t="shared" si="133"/>
        <v>浪</v>
      </c>
    </row>
    <row r="2940" spans="1:22">
      <c r="A2940" s="3">
        <v>2933</v>
      </c>
      <c r="B2940" s="3" t="s">
        <v>2567</v>
      </c>
      <c r="C2940" s="3" t="s">
        <v>6049</v>
      </c>
      <c r="D2940" s="3" t="s">
        <v>5990</v>
      </c>
      <c r="E2940" s="3" t="s">
        <v>5991</v>
      </c>
      <c r="F2940" s="3" t="s">
        <v>1032</v>
      </c>
      <c r="G2940" s="3" t="s">
        <v>4210</v>
      </c>
      <c r="H2940" s="3" t="s">
        <v>2588</v>
      </c>
      <c r="I2940" s="3" t="s">
        <v>974</v>
      </c>
      <c r="J2940" s="5" t="s">
        <v>2589</v>
      </c>
      <c r="L2940" s="3" t="s">
        <v>8737</v>
      </c>
      <c r="M2940" s="3">
        <v>4</v>
      </c>
      <c r="N2940" s="4" t="s">
        <v>974</v>
      </c>
      <c r="O2940" s="4">
        <v>154</v>
      </c>
      <c r="P2940" s="11" t="s">
        <v>10253</v>
      </c>
      <c r="Q2940" s="11" t="s">
        <v>10684</v>
      </c>
      <c r="S2940" s="4" t="b">
        <f>ISNUMBER(MATCH(Q2940,T:T,0))</f>
        <v>1</v>
      </c>
      <c r="T2940" s="4" t="s">
        <v>12464</v>
      </c>
      <c r="U2940" s="4" t="str">
        <f t="shared" si="133"/>
        <v>曠</v>
      </c>
    </row>
    <row r="2941" spans="1:22">
      <c r="A2941" s="3">
        <v>2934</v>
      </c>
      <c r="B2941" s="3" t="s">
        <v>2567</v>
      </c>
      <c r="C2941" s="3" t="s">
        <v>6079</v>
      </c>
      <c r="D2941" s="3" t="s">
        <v>5990</v>
      </c>
      <c r="E2941" s="3" t="s">
        <v>5991</v>
      </c>
      <c r="F2941" s="3" t="s">
        <v>1032</v>
      </c>
      <c r="G2941" s="3" t="s">
        <v>4210</v>
      </c>
      <c r="H2941" s="3" t="s">
        <v>2590</v>
      </c>
      <c r="I2941" s="3" t="s">
        <v>974</v>
      </c>
      <c r="J2941" s="5" t="s">
        <v>2591</v>
      </c>
      <c r="L2941" s="3" t="s">
        <v>2592</v>
      </c>
      <c r="M2941" s="3">
        <v>6</v>
      </c>
      <c r="N2941" s="4" t="s">
        <v>974</v>
      </c>
      <c r="O2941" s="4">
        <v>154</v>
      </c>
      <c r="P2941" s="11" t="s">
        <v>9736</v>
      </c>
      <c r="Q2941" s="11" t="s">
        <v>10683</v>
      </c>
      <c r="S2941" s="4" t="b">
        <f>ISNUMBER(MATCH(Q2941,T:T,0))</f>
        <v>1</v>
      </c>
      <c r="T2941" s="4" t="s">
        <v>12465</v>
      </c>
      <c r="U2941" s="4" t="str">
        <f t="shared" si="133"/>
        <v>浪</v>
      </c>
    </row>
    <row r="2942" spans="1:22" ht="28.5">
      <c r="A2942" s="3">
        <v>2935</v>
      </c>
      <c r="B2942" s="3" t="s">
        <v>2567</v>
      </c>
      <c r="C2942" s="3" t="s">
        <v>6038</v>
      </c>
      <c r="D2942" s="3" t="s">
        <v>5990</v>
      </c>
      <c r="E2942" s="3" t="s">
        <v>6212</v>
      </c>
      <c r="F2942" s="3" t="s">
        <v>1032</v>
      </c>
      <c r="G2942" s="3" t="s">
        <v>4210</v>
      </c>
      <c r="H2942" s="3" t="s">
        <v>2593</v>
      </c>
      <c r="I2942" s="3" t="s">
        <v>974</v>
      </c>
      <c r="J2942" s="5" t="s">
        <v>2594</v>
      </c>
      <c r="L2942" s="3" t="s">
        <v>2595</v>
      </c>
      <c r="M2942" s="3">
        <v>5</v>
      </c>
      <c r="N2942" s="4" t="s">
        <v>974</v>
      </c>
      <c r="O2942" s="4">
        <v>154</v>
      </c>
      <c r="P2942" s="11" t="s">
        <v>9728</v>
      </c>
      <c r="Q2942" s="11" t="s">
        <v>10685</v>
      </c>
      <c r="R2942" s="4" t="s">
        <v>13160</v>
      </c>
      <c r="S2942" s="4" t="b">
        <f>ISNUMBER(MATCH(Q2942,T:T,0))</f>
        <v>0</v>
      </c>
      <c r="T2942" s="4" t="s">
        <v>10684</v>
      </c>
      <c r="U2942" s="4" t="str">
        <f t="shared" si="133"/>
        <v>螃</v>
      </c>
      <c r="V2942" s="4" t="b">
        <f>ISNUMBER(MATCH(R2942,T:T,0))</f>
        <v>1</v>
      </c>
    </row>
    <row r="2943" spans="1:22">
      <c r="A2943" s="3">
        <v>2936</v>
      </c>
      <c r="B2943" s="3" t="s">
        <v>2567</v>
      </c>
      <c r="C2943" s="3" t="s">
        <v>6102</v>
      </c>
      <c r="D2943" s="3" t="s">
        <v>5990</v>
      </c>
      <c r="E2943" s="3" t="s">
        <v>5991</v>
      </c>
      <c r="F2943" s="3" t="s">
        <v>1032</v>
      </c>
      <c r="G2943" s="3" t="s">
        <v>4210</v>
      </c>
      <c r="H2943" s="3" t="s">
        <v>2596</v>
      </c>
      <c r="I2943" s="3" t="s">
        <v>974</v>
      </c>
      <c r="J2943" s="8" t="s">
        <v>9432</v>
      </c>
      <c r="L2943" s="3" t="s">
        <v>2597</v>
      </c>
      <c r="M2943" s="3">
        <v>3</v>
      </c>
      <c r="N2943" s="4" t="s">
        <v>974</v>
      </c>
      <c r="O2943" s="4">
        <v>154</v>
      </c>
      <c r="P2943" s="11" t="s">
        <v>9744</v>
      </c>
      <c r="Q2943" s="11" t="s">
        <v>10683</v>
      </c>
      <c r="S2943" s="4" t="b">
        <f>ISNUMBER(MATCH(Q2943,T:T,0))</f>
        <v>1</v>
      </c>
      <c r="T2943" s="4" t="s">
        <v>12466</v>
      </c>
      <c r="U2943" s="4" t="str">
        <f t="shared" si="133"/>
        <v>浪</v>
      </c>
    </row>
    <row r="2944" spans="1:22">
      <c r="A2944" s="3">
        <v>2937</v>
      </c>
      <c r="B2944" s="3" t="s">
        <v>2567</v>
      </c>
      <c r="C2944" s="3" t="s">
        <v>6017</v>
      </c>
      <c r="D2944" s="3" t="s">
        <v>5990</v>
      </c>
      <c r="E2944" s="3" t="s">
        <v>5991</v>
      </c>
      <c r="F2944" s="3" t="s">
        <v>1032</v>
      </c>
      <c r="G2944" s="3" t="s">
        <v>4210</v>
      </c>
      <c r="H2944" s="3" t="s">
        <v>2598</v>
      </c>
      <c r="I2944" s="3" t="s">
        <v>974</v>
      </c>
      <c r="J2944" s="5" t="s">
        <v>2599</v>
      </c>
      <c r="L2944" s="3" t="s">
        <v>2600</v>
      </c>
      <c r="M2944" s="3">
        <v>2</v>
      </c>
      <c r="N2944" s="4" t="s">
        <v>974</v>
      </c>
      <c r="O2944" s="4">
        <v>154</v>
      </c>
      <c r="P2944" s="11" t="s">
        <v>9741</v>
      </c>
      <c r="Q2944" s="11" t="s">
        <v>10683</v>
      </c>
      <c r="S2944" s="4" t="b">
        <f>ISNUMBER(MATCH(Q2944,T:T,0))</f>
        <v>1</v>
      </c>
      <c r="T2944" s="4" t="s">
        <v>12467</v>
      </c>
      <c r="U2944" s="4" t="str">
        <f t="shared" si="133"/>
        <v>浪</v>
      </c>
    </row>
    <row r="2945" spans="1:21" ht="28.5">
      <c r="A2945" s="3">
        <v>2938</v>
      </c>
      <c r="B2945" s="3" t="s">
        <v>2567</v>
      </c>
      <c r="C2945" s="3" t="s">
        <v>6067</v>
      </c>
      <c r="D2945" s="3" t="s">
        <v>5990</v>
      </c>
      <c r="E2945" s="3" t="s">
        <v>6212</v>
      </c>
      <c r="F2945" s="3" t="s">
        <v>1032</v>
      </c>
      <c r="G2945" s="3" t="s">
        <v>4210</v>
      </c>
      <c r="H2945" s="3" t="s">
        <v>2601</v>
      </c>
      <c r="I2945" s="3" t="s">
        <v>974</v>
      </c>
      <c r="J2945" s="5" t="s">
        <v>2602</v>
      </c>
      <c r="L2945" s="3" t="s">
        <v>7376</v>
      </c>
      <c r="M2945" s="3">
        <v>4</v>
      </c>
      <c r="N2945" s="4" t="s">
        <v>974</v>
      </c>
      <c r="O2945" s="4">
        <v>154</v>
      </c>
      <c r="P2945" s="11" t="s">
        <v>9874</v>
      </c>
      <c r="Q2945" s="11" t="s">
        <v>10684</v>
      </c>
      <c r="S2945" s="4" t="b">
        <f>ISNUMBER(MATCH(Q2945,T:T,0))</f>
        <v>1</v>
      </c>
      <c r="T2945" s="4" t="s">
        <v>12468</v>
      </c>
      <c r="U2945" s="4" t="str">
        <f t="shared" si="133"/>
        <v>曠</v>
      </c>
    </row>
    <row r="2946" spans="1:21" ht="28.5">
      <c r="A2946" s="3">
        <v>2939</v>
      </c>
      <c r="B2946" s="3" t="s">
        <v>2567</v>
      </c>
      <c r="C2946" s="3" t="s">
        <v>6025</v>
      </c>
      <c r="D2946" s="3" t="s">
        <v>5990</v>
      </c>
      <c r="E2946" s="3" t="s">
        <v>6212</v>
      </c>
      <c r="F2946" s="3" t="s">
        <v>1032</v>
      </c>
      <c r="G2946" s="3" t="s">
        <v>4210</v>
      </c>
      <c r="H2946" s="3" t="s">
        <v>2603</v>
      </c>
      <c r="I2946" s="3" t="s">
        <v>974</v>
      </c>
      <c r="J2946" s="5" t="s">
        <v>2604</v>
      </c>
      <c r="L2946" s="3" t="s">
        <v>7333</v>
      </c>
      <c r="M2946" s="3">
        <v>2</v>
      </c>
      <c r="N2946" s="4" t="s">
        <v>974</v>
      </c>
      <c r="O2946" s="4">
        <v>154</v>
      </c>
      <c r="P2946" s="11" t="s">
        <v>9729</v>
      </c>
      <c r="Q2946" s="11" t="s">
        <v>10684</v>
      </c>
      <c r="S2946" s="4" t="b">
        <f>ISNUMBER(MATCH(Q2946,T:T,0))</f>
        <v>1</v>
      </c>
      <c r="T2946" s="4" t="s">
        <v>12469</v>
      </c>
      <c r="U2946" s="4" t="str">
        <f t="shared" si="133"/>
        <v>曠</v>
      </c>
    </row>
    <row r="2947" spans="1:21">
      <c r="A2947" s="3">
        <v>2940</v>
      </c>
      <c r="B2947" s="3" t="s">
        <v>2567</v>
      </c>
      <c r="C2947" s="3" t="s">
        <v>6025</v>
      </c>
      <c r="D2947" s="3" t="s">
        <v>5990</v>
      </c>
      <c r="E2947" s="3" t="s">
        <v>5991</v>
      </c>
      <c r="F2947" s="3" t="s">
        <v>1032</v>
      </c>
      <c r="G2947" s="3" t="s">
        <v>4210</v>
      </c>
      <c r="H2947" s="3" t="s">
        <v>2605</v>
      </c>
      <c r="I2947" s="3" t="s">
        <v>974</v>
      </c>
      <c r="J2947" s="5" t="s">
        <v>9433</v>
      </c>
      <c r="L2947" s="3" t="s">
        <v>2587</v>
      </c>
      <c r="M2947" s="3">
        <v>2</v>
      </c>
      <c r="N2947" s="4" t="s">
        <v>974</v>
      </c>
      <c r="O2947" s="4">
        <v>154</v>
      </c>
      <c r="P2947" s="11" t="s">
        <v>9729</v>
      </c>
      <c r="Q2947" s="11" t="s">
        <v>10683</v>
      </c>
      <c r="S2947" s="4" t="b">
        <f>ISNUMBER(MATCH(Q2947,T:T,0))</f>
        <v>1</v>
      </c>
      <c r="T2947" s="4" t="s">
        <v>12470</v>
      </c>
      <c r="U2947" s="4" t="str">
        <f t="shared" ref="U2947:U3010" si="134">IF(ISBLANK(R2947),Q2947,R2947)</f>
        <v>浪</v>
      </c>
    </row>
    <row r="2948" spans="1:21" ht="28.5">
      <c r="A2948" s="3">
        <v>2941</v>
      </c>
      <c r="B2948" s="3" t="s">
        <v>2567</v>
      </c>
      <c r="C2948" s="3" t="s">
        <v>6089</v>
      </c>
      <c r="D2948" s="3" t="s">
        <v>5990</v>
      </c>
      <c r="E2948" s="3" t="s">
        <v>6212</v>
      </c>
      <c r="F2948" s="3" t="s">
        <v>1032</v>
      </c>
      <c r="G2948" s="3" t="s">
        <v>4210</v>
      </c>
      <c r="H2948" s="3" t="s">
        <v>2606</v>
      </c>
      <c r="I2948" s="3" t="s">
        <v>974</v>
      </c>
      <c r="J2948" s="5" t="s">
        <v>2607</v>
      </c>
      <c r="L2948" s="3" t="s">
        <v>7376</v>
      </c>
      <c r="M2948" s="3">
        <v>1</v>
      </c>
      <c r="N2948" s="4" t="s">
        <v>974</v>
      </c>
      <c r="O2948" s="4">
        <v>154</v>
      </c>
      <c r="P2948" s="11" t="s">
        <v>9739</v>
      </c>
      <c r="Q2948" s="11" t="s">
        <v>10683</v>
      </c>
      <c r="S2948" s="4" t="b">
        <f>ISNUMBER(MATCH(Q2948,T:T,0))</f>
        <v>1</v>
      </c>
      <c r="T2948" s="4" t="s">
        <v>2607</v>
      </c>
      <c r="U2948" s="4" t="str">
        <f t="shared" si="134"/>
        <v>浪</v>
      </c>
    </row>
    <row r="2949" spans="1:21">
      <c r="A2949" s="3">
        <v>2942</v>
      </c>
      <c r="B2949" s="3" t="s">
        <v>2567</v>
      </c>
      <c r="C2949" s="3" t="s">
        <v>6035</v>
      </c>
      <c r="D2949" s="3" t="s">
        <v>5990</v>
      </c>
      <c r="E2949" s="3" t="s">
        <v>5991</v>
      </c>
      <c r="F2949" s="3" t="s">
        <v>1032</v>
      </c>
      <c r="G2949" s="3" t="s">
        <v>4210</v>
      </c>
      <c r="H2949" s="3" t="s">
        <v>2608</v>
      </c>
      <c r="I2949" s="3" t="s">
        <v>974</v>
      </c>
      <c r="J2949" s="5" t="s">
        <v>9434</v>
      </c>
      <c r="L2949" s="3" t="s">
        <v>2609</v>
      </c>
      <c r="M2949" s="3">
        <v>3</v>
      </c>
      <c r="N2949" s="4" t="s">
        <v>974</v>
      </c>
      <c r="O2949" s="4">
        <v>154</v>
      </c>
      <c r="P2949" s="11" t="s">
        <v>9719</v>
      </c>
      <c r="Q2949" s="11" t="s">
        <v>10683</v>
      </c>
      <c r="S2949" s="4" t="b">
        <f>ISNUMBER(MATCH(Q2949,T:T,0))</f>
        <v>1</v>
      </c>
      <c r="T2949" s="4" t="s">
        <v>12471</v>
      </c>
      <c r="U2949" s="4" t="str">
        <f t="shared" si="134"/>
        <v>浪</v>
      </c>
    </row>
    <row r="2950" spans="1:21">
      <c r="A2950" s="3">
        <v>2943</v>
      </c>
      <c r="B2950" s="3" t="s">
        <v>2567</v>
      </c>
      <c r="C2950" s="3" t="s">
        <v>6072</v>
      </c>
      <c r="D2950" s="3" t="s">
        <v>5990</v>
      </c>
      <c r="E2950" s="3" t="s">
        <v>6212</v>
      </c>
      <c r="F2950" s="3" t="s">
        <v>1032</v>
      </c>
      <c r="G2950" s="3" t="s">
        <v>4210</v>
      </c>
      <c r="H2950" s="3" t="s">
        <v>2575</v>
      </c>
      <c r="I2950" s="3" t="s">
        <v>974</v>
      </c>
      <c r="J2950" s="5" t="s">
        <v>2610</v>
      </c>
      <c r="L2950" s="3" t="s">
        <v>2547</v>
      </c>
      <c r="M2950" s="3">
        <v>2</v>
      </c>
      <c r="N2950" s="4" t="s">
        <v>974</v>
      </c>
      <c r="O2950" s="4">
        <v>154</v>
      </c>
      <c r="P2950" s="11" t="s">
        <v>9734</v>
      </c>
      <c r="Q2950" s="11" t="s">
        <v>10683</v>
      </c>
      <c r="S2950" s="4" t="b">
        <f>ISNUMBER(MATCH(Q2950,T:T,0))</f>
        <v>1</v>
      </c>
      <c r="T2950" s="4" t="s">
        <v>11379</v>
      </c>
      <c r="U2950" s="4" t="str">
        <f t="shared" si="134"/>
        <v>浪</v>
      </c>
    </row>
    <row r="2951" spans="1:21">
      <c r="A2951" s="3">
        <v>2944</v>
      </c>
      <c r="B2951" s="3" t="s">
        <v>2611</v>
      </c>
      <c r="C2951" s="3" t="s">
        <v>6072</v>
      </c>
      <c r="D2951" s="3" t="s">
        <v>6001</v>
      </c>
      <c r="E2951" s="3" t="s">
        <v>5991</v>
      </c>
      <c r="F2951" s="3" t="s">
        <v>1084</v>
      </c>
      <c r="G2951" s="3" t="s">
        <v>4210</v>
      </c>
      <c r="H2951" s="3" t="s">
        <v>2612</v>
      </c>
      <c r="I2951" s="3" t="s">
        <v>1086</v>
      </c>
      <c r="J2951" s="5" t="s">
        <v>9435</v>
      </c>
      <c r="L2951" s="3" t="s">
        <v>2613</v>
      </c>
      <c r="M2951" s="3">
        <v>4</v>
      </c>
      <c r="N2951" s="4" t="s">
        <v>9671</v>
      </c>
      <c r="O2951" s="4">
        <v>155</v>
      </c>
      <c r="P2951" s="11" t="s">
        <v>9754</v>
      </c>
      <c r="Q2951" s="11" t="s">
        <v>2614</v>
      </c>
      <c r="S2951" s="4" t="b">
        <f>ISNUMBER(MATCH(Q2951,T:T,0))</f>
        <v>1</v>
      </c>
      <c r="T2951" s="4" t="s">
        <v>9671</v>
      </c>
      <c r="U2951" s="4" t="str">
        <f t="shared" si="134"/>
        <v>敬</v>
      </c>
    </row>
    <row r="2952" spans="1:21">
      <c r="A2952" s="3">
        <v>2945</v>
      </c>
      <c r="B2952" s="3" t="s">
        <v>2611</v>
      </c>
      <c r="C2952" s="3" t="s">
        <v>6025</v>
      </c>
      <c r="D2952" s="3" t="s">
        <v>6001</v>
      </c>
      <c r="E2952" s="3" t="s">
        <v>5991</v>
      </c>
      <c r="F2952" s="3" t="s">
        <v>1084</v>
      </c>
      <c r="G2952" s="3" t="s">
        <v>4210</v>
      </c>
      <c r="H2952" s="3" t="s">
        <v>2615</v>
      </c>
      <c r="I2952" s="3" t="s">
        <v>1086</v>
      </c>
      <c r="J2952" s="5" t="s">
        <v>2616</v>
      </c>
      <c r="L2952" s="3" t="s">
        <v>7458</v>
      </c>
      <c r="M2952" s="3">
        <v>4</v>
      </c>
      <c r="N2952" s="4" t="s">
        <v>9671</v>
      </c>
      <c r="O2952" s="4">
        <v>155</v>
      </c>
      <c r="P2952" s="11" t="s">
        <v>9717</v>
      </c>
      <c r="Q2952" s="11" t="s">
        <v>2619</v>
      </c>
      <c r="S2952" s="4" t="b">
        <f>ISNUMBER(MATCH(Q2952,T:T,0))</f>
        <v>1</v>
      </c>
      <c r="T2952" s="4" t="s">
        <v>2614</v>
      </c>
      <c r="U2952" s="4" t="str">
        <f t="shared" si="134"/>
        <v>慶</v>
      </c>
    </row>
    <row r="2953" spans="1:21">
      <c r="A2953" s="3">
        <v>2946</v>
      </c>
      <c r="B2953" s="3" t="s">
        <v>2611</v>
      </c>
      <c r="C2953" s="3" t="s">
        <v>6041</v>
      </c>
      <c r="D2953" s="3" t="s">
        <v>6001</v>
      </c>
      <c r="E2953" s="3" t="s">
        <v>5991</v>
      </c>
      <c r="F2953" s="3" t="s">
        <v>1084</v>
      </c>
      <c r="G2953" s="3" t="s">
        <v>4210</v>
      </c>
      <c r="H2953" s="3" t="s">
        <v>2617</v>
      </c>
      <c r="I2953" s="3" t="s">
        <v>1086</v>
      </c>
      <c r="J2953" s="5" t="s">
        <v>9436</v>
      </c>
      <c r="L2953" s="3" t="s">
        <v>7458</v>
      </c>
      <c r="M2953" s="3">
        <v>7</v>
      </c>
      <c r="N2953" s="4" t="s">
        <v>9671</v>
      </c>
      <c r="O2953" s="4">
        <v>155</v>
      </c>
      <c r="P2953" s="11" t="s">
        <v>9721</v>
      </c>
      <c r="Q2953" s="11" t="s">
        <v>2614</v>
      </c>
      <c r="S2953" s="4" t="b">
        <f>ISNUMBER(MATCH(Q2953,T:T,0))</f>
        <v>1</v>
      </c>
      <c r="T2953" s="4" t="s">
        <v>12472</v>
      </c>
      <c r="U2953" s="4" t="str">
        <f t="shared" si="134"/>
        <v>敬</v>
      </c>
    </row>
    <row r="2954" spans="1:21">
      <c r="A2954" s="3">
        <v>2947</v>
      </c>
      <c r="B2954" s="3" t="s">
        <v>2611</v>
      </c>
      <c r="C2954" s="3" t="s">
        <v>6038</v>
      </c>
      <c r="D2954" s="3" t="s">
        <v>6001</v>
      </c>
      <c r="E2954" s="3" t="s">
        <v>5991</v>
      </c>
      <c r="F2954" s="3" t="s">
        <v>1084</v>
      </c>
      <c r="G2954" s="3" t="s">
        <v>4210</v>
      </c>
      <c r="H2954" s="3" t="s">
        <v>2618</v>
      </c>
      <c r="I2954" s="3" t="s">
        <v>1086</v>
      </c>
      <c r="J2954" s="5" t="s">
        <v>2619</v>
      </c>
      <c r="L2954" s="3" t="s">
        <v>2620</v>
      </c>
      <c r="M2954" s="3">
        <v>1</v>
      </c>
      <c r="N2954" s="4" t="s">
        <v>9671</v>
      </c>
      <c r="O2954" s="4">
        <v>155</v>
      </c>
      <c r="P2954" s="11" t="s">
        <v>9825</v>
      </c>
      <c r="Q2954" s="11" t="s">
        <v>2614</v>
      </c>
      <c r="S2954" s="4" t="b">
        <f>ISNUMBER(MATCH(Q2954,T:T,0))</f>
        <v>1</v>
      </c>
      <c r="T2954" s="4" t="s">
        <v>2619</v>
      </c>
      <c r="U2954" s="4" t="str">
        <f t="shared" si="134"/>
        <v>敬</v>
      </c>
    </row>
    <row r="2955" spans="1:21">
      <c r="A2955" s="3">
        <v>2948</v>
      </c>
      <c r="B2955" s="3" t="s">
        <v>2611</v>
      </c>
      <c r="C2955" s="3" t="s">
        <v>6025</v>
      </c>
      <c r="D2955" s="3" t="s">
        <v>6157</v>
      </c>
      <c r="E2955" s="3" t="s">
        <v>5991</v>
      </c>
      <c r="F2955" s="3" t="s">
        <v>1084</v>
      </c>
      <c r="G2955" s="3" t="s">
        <v>4210</v>
      </c>
      <c r="H2955" s="3" t="s">
        <v>2621</v>
      </c>
      <c r="I2955" s="3" t="s">
        <v>1086</v>
      </c>
      <c r="J2955" s="5" t="s">
        <v>2622</v>
      </c>
      <c r="L2955" s="3" t="s">
        <v>2623</v>
      </c>
      <c r="M2955" s="3">
        <v>1</v>
      </c>
      <c r="N2955" s="4" t="s">
        <v>9671</v>
      </c>
      <c r="O2955" s="4">
        <v>155</v>
      </c>
      <c r="P2955" s="11" t="s">
        <v>9729</v>
      </c>
      <c r="Q2955" s="11" t="s">
        <v>10686</v>
      </c>
      <c r="S2955" s="4" t="b">
        <f>ISNUMBER(MATCH(Q2955,T:T,0))</f>
        <v>1</v>
      </c>
      <c r="T2955" s="4" t="s">
        <v>2622</v>
      </c>
      <c r="U2955" s="4" t="str">
        <f t="shared" si="134"/>
        <v>孟</v>
      </c>
    </row>
    <row r="2956" spans="1:21">
      <c r="A2956" s="3">
        <v>2949</v>
      </c>
      <c r="B2956" s="3" t="s">
        <v>2611</v>
      </c>
      <c r="C2956" s="3" t="s">
        <v>6035</v>
      </c>
      <c r="D2956" s="3" t="s">
        <v>6001</v>
      </c>
      <c r="E2956" s="3" t="s">
        <v>5991</v>
      </c>
      <c r="F2956" s="3" t="s">
        <v>1084</v>
      </c>
      <c r="G2956" s="3" t="s">
        <v>4210</v>
      </c>
      <c r="H2956" s="3" t="s">
        <v>2624</v>
      </c>
      <c r="I2956" s="3" t="s">
        <v>1086</v>
      </c>
      <c r="J2956" s="5" t="s">
        <v>2625</v>
      </c>
      <c r="L2956" s="3" t="s">
        <v>2626</v>
      </c>
      <c r="M2956" s="3">
        <v>1</v>
      </c>
      <c r="N2956" s="4" t="s">
        <v>9671</v>
      </c>
      <c r="O2956" s="4">
        <v>155</v>
      </c>
      <c r="P2956" s="11" t="s">
        <v>9817</v>
      </c>
      <c r="Q2956" s="11" t="s">
        <v>10687</v>
      </c>
      <c r="S2956" s="4" t="b">
        <f>ISNUMBER(MATCH(Q2956,T:T,0))</f>
        <v>1</v>
      </c>
      <c r="T2956" s="4" t="s">
        <v>2625</v>
      </c>
      <c r="U2956" s="4" t="str">
        <f t="shared" si="134"/>
        <v>病</v>
      </c>
    </row>
    <row r="2957" spans="1:21">
      <c r="A2957" s="3">
        <v>2950</v>
      </c>
      <c r="B2957" s="3" t="s">
        <v>2611</v>
      </c>
      <c r="C2957" s="3" t="s">
        <v>6045</v>
      </c>
      <c r="D2957" s="3" t="s">
        <v>6001</v>
      </c>
      <c r="E2957" s="3" t="s">
        <v>5991</v>
      </c>
      <c r="F2957" s="3" t="s">
        <v>1084</v>
      </c>
      <c r="G2957" s="3" t="s">
        <v>4210</v>
      </c>
      <c r="H2957" s="3" t="s">
        <v>2627</v>
      </c>
      <c r="I2957" s="3" t="s">
        <v>1086</v>
      </c>
      <c r="J2957" s="5" t="s">
        <v>2628</v>
      </c>
      <c r="L2957" s="3" t="s">
        <v>3864</v>
      </c>
      <c r="M2957" s="3">
        <v>4</v>
      </c>
      <c r="N2957" s="4" t="s">
        <v>9671</v>
      </c>
      <c r="O2957" s="4">
        <v>155</v>
      </c>
      <c r="P2957" s="11" t="s">
        <v>10154</v>
      </c>
      <c r="Q2957" s="11" t="s">
        <v>2625</v>
      </c>
      <c r="S2957" s="4" t="b">
        <f>ISNUMBER(MATCH(Q2957,T:T,0))</f>
        <v>1</v>
      </c>
      <c r="T2957" s="4" t="s">
        <v>10687</v>
      </c>
      <c r="U2957" s="4" t="str">
        <f t="shared" si="134"/>
        <v>命</v>
      </c>
    </row>
    <row r="2958" spans="1:21">
      <c r="A2958" s="3">
        <v>2951</v>
      </c>
      <c r="B2958" s="3" t="s">
        <v>2611</v>
      </c>
      <c r="C2958" s="3" t="s">
        <v>6035</v>
      </c>
      <c r="D2958" s="3" t="s">
        <v>6157</v>
      </c>
      <c r="E2958" s="3" t="s">
        <v>5991</v>
      </c>
      <c r="F2958" s="3" t="s">
        <v>1084</v>
      </c>
      <c r="G2958" s="3" t="s">
        <v>4210</v>
      </c>
      <c r="H2958" s="3" t="s">
        <v>2629</v>
      </c>
      <c r="I2958" s="3" t="s">
        <v>1086</v>
      </c>
      <c r="J2958" s="5" t="s">
        <v>9437</v>
      </c>
      <c r="L2958" s="3" t="s">
        <v>4245</v>
      </c>
      <c r="M2958" s="3">
        <v>4</v>
      </c>
      <c r="N2958" s="4" t="s">
        <v>9671</v>
      </c>
      <c r="O2958" s="4">
        <v>155</v>
      </c>
      <c r="P2958" s="11" t="s">
        <v>9719</v>
      </c>
      <c r="Q2958" s="11" t="s">
        <v>2622</v>
      </c>
      <c r="S2958" s="4" t="b">
        <f>ISNUMBER(MATCH(Q2958,T:T,0))</f>
        <v>1</v>
      </c>
      <c r="T2958" s="4" t="s">
        <v>10686</v>
      </c>
      <c r="U2958" s="4" t="str">
        <f t="shared" si="134"/>
        <v>更</v>
      </c>
    </row>
    <row r="2959" spans="1:21" ht="28.5">
      <c r="A2959" s="3">
        <v>2952</v>
      </c>
      <c r="B2959" s="3" t="s">
        <v>2611</v>
      </c>
      <c r="C2959" s="3" t="s">
        <v>6067</v>
      </c>
      <c r="D2959" s="3" t="s">
        <v>6157</v>
      </c>
      <c r="E2959" s="3" t="s">
        <v>6212</v>
      </c>
      <c r="F2959" s="3" t="s">
        <v>1084</v>
      </c>
      <c r="G2959" s="3" t="s">
        <v>4210</v>
      </c>
      <c r="H2959" s="7" t="s">
        <v>855</v>
      </c>
      <c r="I2959" s="3" t="s">
        <v>1086</v>
      </c>
      <c r="J2959" s="5" t="s">
        <v>2630</v>
      </c>
      <c r="K2959" s="3" t="s">
        <v>625</v>
      </c>
      <c r="L2959" s="3" t="s">
        <v>8665</v>
      </c>
      <c r="M2959" s="3">
        <v>3</v>
      </c>
      <c r="N2959" s="4" t="s">
        <v>9671</v>
      </c>
      <c r="O2959" s="4">
        <v>155</v>
      </c>
      <c r="P2959" s="11" t="s">
        <v>9731</v>
      </c>
      <c r="Q2959" s="11" t="s">
        <v>10686</v>
      </c>
      <c r="S2959" s="4" t="b">
        <f>ISNUMBER(MATCH(Q2959,T:T,0))</f>
        <v>1</v>
      </c>
      <c r="T2959" s="4" t="s">
        <v>12473</v>
      </c>
      <c r="U2959" s="4" t="str">
        <f t="shared" si="134"/>
        <v>孟</v>
      </c>
    </row>
    <row r="2960" spans="1:21">
      <c r="A2960" s="3">
        <v>2953</v>
      </c>
      <c r="B2960" s="3" t="s">
        <v>2611</v>
      </c>
      <c r="C2960" s="3" t="s">
        <v>6049</v>
      </c>
      <c r="D2960" s="3" t="s">
        <v>6001</v>
      </c>
      <c r="E2960" s="3" t="s">
        <v>5991</v>
      </c>
      <c r="F2960" s="3" t="s">
        <v>1084</v>
      </c>
      <c r="G2960" s="3" t="s">
        <v>4210</v>
      </c>
      <c r="H2960" s="3" t="s">
        <v>2631</v>
      </c>
      <c r="I2960" s="3" t="s">
        <v>1086</v>
      </c>
      <c r="J2960" s="5" t="s">
        <v>9438</v>
      </c>
      <c r="L2960" s="3" t="s">
        <v>3864</v>
      </c>
      <c r="M2960" s="3">
        <v>6</v>
      </c>
      <c r="N2960" s="4" t="s">
        <v>9671</v>
      </c>
      <c r="O2960" s="4">
        <v>155</v>
      </c>
      <c r="P2960" s="11" t="s">
        <v>10344</v>
      </c>
      <c r="Q2960" s="11" t="s">
        <v>10687</v>
      </c>
      <c r="S2960" s="4" t="b">
        <f>ISNUMBER(MATCH(Q2960,T:T,0))</f>
        <v>1</v>
      </c>
      <c r="T2960" s="4" t="s">
        <v>12474</v>
      </c>
      <c r="U2960" s="4" t="str">
        <f t="shared" si="134"/>
        <v>病</v>
      </c>
    </row>
    <row r="2961" spans="1:21">
      <c r="A2961" s="3">
        <v>2954</v>
      </c>
      <c r="B2961" s="3" t="s">
        <v>2611</v>
      </c>
      <c r="C2961" s="3" t="s">
        <v>6032</v>
      </c>
      <c r="D2961" s="3" t="s">
        <v>6001</v>
      </c>
      <c r="E2961" s="3" t="s">
        <v>6212</v>
      </c>
      <c r="F2961" s="3" t="s">
        <v>1084</v>
      </c>
      <c r="G2961" s="3" t="s">
        <v>4210</v>
      </c>
      <c r="H2961" s="7" t="s">
        <v>856</v>
      </c>
      <c r="I2961" s="3" t="s">
        <v>1086</v>
      </c>
      <c r="J2961" s="5" t="s">
        <v>9439</v>
      </c>
      <c r="L2961" s="3" t="s">
        <v>4285</v>
      </c>
      <c r="M2961" s="3">
        <v>5</v>
      </c>
      <c r="N2961" s="4" t="s">
        <v>9671</v>
      </c>
      <c r="O2961" s="4">
        <v>155</v>
      </c>
      <c r="P2961" s="11" t="s">
        <v>4351</v>
      </c>
      <c r="Q2961" s="11" t="s">
        <v>2625</v>
      </c>
      <c r="S2961" s="4" t="b">
        <f>ISNUMBER(MATCH(Q2961,T:T,0))</f>
        <v>1</v>
      </c>
      <c r="T2961" s="4" t="s">
        <v>12475</v>
      </c>
      <c r="U2961" s="4" t="str">
        <f t="shared" si="134"/>
        <v>命</v>
      </c>
    </row>
    <row r="2962" spans="1:21">
      <c r="A2962" s="3">
        <v>2955</v>
      </c>
      <c r="B2962" s="3" t="s">
        <v>2611</v>
      </c>
      <c r="C2962" s="3" t="s">
        <v>6067</v>
      </c>
      <c r="D2962" s="3" t="s">
        <v>6157</v>
      </c>
      <c r="E2962" s="3" t="s">
        <v>5991</v>
      </c>
      <c r="F2962" s="3" t="s">
        <v>1084</v>
      </c>
      <c r="G2962" s="3" t="s">
        <v>4210</v>
      </c>
      <c r="H2962" s="3" t="s">
        <v>2632</v>
      </c>
      <c r="I2962" s="3" t="s">
        <v>1086</v>
      </c>
      <c r="J2962" s="5" t="s">
        <v>2633</v>
      </c>
      <c r="L2962" s="3" t="s">
        <v>7419</v>
      </c>
      <c r="M2962" s="3">
        <v>3</v>
      </c>
      <c r="N2962" s="4" t="s">
        <v>9671</v>
      </c>
      <c r="O2962" s="4">
        <v>155</v>
      </c>
      <c r="P2962" s="11" t="s">
        <v>9771</v>
      </c>
      <c r="Q2962" s="11" t="s">
        <v>2622</v>
      </c>
      <c r="S2962" s="4" t="b">
        <f>ISNUMBER(MATCH(Q2962,T:T,0))</f>
        <v>1</v>
      </c>
      <c r="T2962" s="4" t="s">
        <v>10091</v>
      </c>
      <c r="U2962" s="4" t="str">
        <f t="shared" si="134"/>
        <v>更</v>
      </c>
    </row>
    <row r="2963" spans="1:21">
      <c r="A2963" s="3">
        <v>2956</v>
      </c>
      <c r="B2963" s="3" t="s">
        <v>2611</v>
      </c>
      <c r="C2963" s="3" t="s">
        <v>6072</v>
      </c>
      <c r="D2963" s="3" t="s">
        <v>6157</v>
      </c>
      <c r="E2963" s="3" t="s">
        <v>5991</v>
      </c>
      <c r="F2963" s="3" t="s">
        <v>1084</v>
      </c>
      <c r="G2963" s="3" t="s">
        <v>4210</v>
      </c>
      <c r="H2963" s="3" t="s">
        <v>2634</v>
      </c>
      <c r="I2963" s="3" t="s">
        <v>1086</v>
      </c>
      <c r="J2963" s="5" t="s">
        <v>2635</v>
      </c>
      <c r="L2963" s="3" t="s">
        <v>2636</v>
      </c>
      <c r="M2963" s="3">
        <v>1</v>
      </c>
      <c r="N2963" s="4" t="s">
        <v>9671</v>
      </c>
      <c r="O2963" s="4">
        <v>155</v>
      </c>
      <c r="P2963" s="11" t="s">
        <v>9754</v>
      </c>
      <c r="Q2963" s="11" t="s">
        <v>10686</v>
      </c>
      <c r="S2963" s="4" t="b">
        <f>ISNUMBER(MATCH(Q2963,T:T,0))</f>
        <v>1</v>
      </c>
      <c r="T2963" s="4" t="s">
        <v>2635</v>
      </c>
      <c r="U2963" s="4" t="str">
        <f t="shared" si="134"/>
        <v>孟</v>
      </c>
    </row>
    <row r="2964" spans="1:21" ht="28.5">
      <c r="A2964" s="3">
        <v>2957</v>
      </c>
      <c r="B2964" s="3" t="s">
        <v>2611</v>
      </c>
      <c r="C2964" s="3" t="s">
        <v>6167</v>
      </c>
      <c r="D2964" s="3" t="s">
        <v>6157</v>
      </c>
      <c r="E2964" s="3" t="s">
        <v>5991</v>
      </c>
      <c r="F2964" s="3" t="s">
        <v>1084</v>
      </c>
      <c r="G2964" s="3" t="s">
        <v>4210</v>
      </c>
      <c r="H2964" s="3" t="s">
        <v>2637</v>
      </c>
      <c r="I2964" s="3" t="s">
        <v>1086</v>
      </c>
      <c r="J2964" s="5" t="s">
        <v>2638</v>
      </c>
      <c r="L2964" s="3" t="s">
        <v>2639</v>
      </c>
      <c r="M2964" s="3">
        <v>1</v>
      </c>
      <c r="N2964" s="4" t="s">
        <v>9671</v>
      </c>
      <c r="O2964" s="4">
        <v>155</v>
      </c>
      <c r="P2964" s="11" t="s">
        <v>9769</v>
      </c>
      <c r="Q2964" s="11" t="s">
        <v>2614</v>
      </c>
      <c r="S2964" s="4" t="b">
        <f>ISNUMBER(MATCH(Q2964,T:T,0))</f>
        <v>1</v>
      </c>
      <c r="T2964" s="4" t="s">
        <v>2638</v>
      </c>
      <c r="U2964" s="4" t="str">
        <f t="shared" si="134"/>
        <v>敬</v>
      </c>
    </row>
    <row r="2965" spans="1:21" ht="28.5">
      <c r="A2965" s="3">
        <v>2958</v>
      </c>
      <c r="B2965" s="3" t="s">
        <v>2611</v>
      </c>
      <c r="C2965" s="3" t="s">
        <v>6000</v>
      </c>
      <c r="D2965" s="3" t="s">
        <v>6157</v>
      </c>
      <c r="E2965" s="3" t="s">
        <v>5991</v>
      </c>
      <c r="F2965" s="3" t="s">
        <v>1084</v>
      </c>
      <c r="G2965" s="3" t="s">
        <v>4210</v>
      </c>
      <c r="H2965" s="7" t="s">
        <v>857</v>
      </c>
      <c r="I2965" s="3" t="s">
        <v>1086</v>
      </c>
      <c r="J2965" s="5" t="s">
        <v>2640</v>
      </c>
      <c r="K2965" s="3" t="s">
        <v>2641</v>
      </c>
      <c r="L2965" s="3" t="s">
        <v>7430</v>
      </c>
      <c r="M2965" s="3">
        <v>5</v>
      </c>
      <c r="N2965" s="4" t="s">
        <v>9671</v>
      </c>
      <c r="O2965" s="4">
        <v>155</v>
      </c>
      <c r="P2965" s="11" t="s">
        <v>10688</v>
      </c>
      <c r="Q2965" s="11" t="s">
        <v>10686</v>
      </c>
      <c r="S2965" s="4" t="b">
        <f>ISNUMBER(MATCH(Q2965,T:T,0))</f>
        <v>1</v>
      </c>
      <c r="T2965" s="4" t="s">
        <v>12476</v>
      </c>
      <c r="U2965" s="4" t="str">
        <f t="shared" si="134"/>
        <v>孟</v>
      </c>
    </row>
    <row r="2966" spans="1:21" ht="28.5">
      <c r="A2966" s="3">
        <v>2959</v>
      </c>
      <c r="B2966" s="3" t="s">
        <v>2611</v>
      </c>
      <c r="C2966" s="3" t="s">
        <v>6011</v>
      </c>
      <c r="D2966" s="3" t="s">
        <v>6157</v>
      </c>
      <c r="E2966" s="3" t="s">
        <v>5991</v>
      </c>
      <c r="F2966" s="3" t="s">
        <v>1084</v>
      </c>
      <c r="G2966" s="3" t="s">
        <v>4210</v>
      </c>
      <c r="H2966" s="3" t="s">
        <v>2642</v>
      </c>
      <c r="I2966" s="3" t="s">
        <v>1086</v>
      </c>
      <c r="J2966" s="5" t="s">
        <v>2643</v>
      </c>
      <c r="L2966" s="3" t="s">
        <v>2639</v>
      </c>
      <c r="M2966" s="3">
        <v>1</v>
      </c>
      <c r="N2966" s="4" t="s">
        <v>9671</v>
      </c>
      <c r="O2966" s="4">
        <v>155</v>
      </c>
      <c r="P2966" s="11" t="s">
        <v>9736</v>
      </c>
      <c r="Q2966" s="11" t="s">
        <v>10686</v>
      </c>
      <c r="S2966" s="4" t="b">
        <f>ISNUMBER(MATCH(Q2966,T:T,0))</f>
        <v>1</v>
      </c>
      <c r="T2966" s="4" t="s">
        <v>12477</v>
      </c>
      <c r="U2966" s="4" t="str">
        <f t="shared" si="134"/>
        <v>孟</v>
      </c>
    </row>
    <row r="2967" spans="1:21">
      <c r="A2967" s="3">
        <v>2960</v>
      </c>
      <c r="B2967" s="3" t="s">
        <v>2611</v>
      </c>
      <c r="C2967" s="3" t="s">
        <v>6049</v>
      </c>
      <c r="D2967" s="3" t="s">
        <v>6157</v>
      </c>
      <c r="E2967" s="3" t="s">
        <v>5991</v>
      </c>
      <c r="F2967" s="3" t="s">
        <v>1084</v>
      </c>
      <c r="G2967" s="3" t="s">
        <v>4210</v>
      </c>
      <c r="H2967" s="3" t="s">
        <v>2644</v>
      </c>
      <c r="I2967" s="3" t="s">
        <v>1086</v>
      </c>
      <c r="J2967" s="5" t="s">
        <v>2645</v>
      </c>
      <c r="L2967" s="3" t="s">
        <v>8682</v>
      </c>
      <c r="M2967" s="3">
        <v>3</v>
      </c>
      <c r="N2967" s="4" t="s">
        <v>9671</v>
      </c>
      <c r="O2967" s="4">
        <v>155</v>
      </c>
      <c r="P2967" s="11" t="s">
        <v>9979</v>
      </c>
      <c r="Q2967" s="11" t="s">
        <v>10686</v>
      </c>
      <c r="S2967" s="4" t="b">
        <f>ISNUMBER(MATCH(Q2967,T:T,0))</f>
        <v>1</v>
      </c>
      <c r="T2967" s="4" t="s">
        <v>11886</v>
      </c>
      <c r="U2967" s="4" t="str">
        <f t="shared" si="134"/>
        <v>孟</v>
      </c>
    </row>
    <row r="2968" spans="1:21" ht="28.5">
      <c r="A2968" s="3">
        <v>2961</v>
      </c>
      <c r="B2968" s="3" t="s">
        <v>2611</v>
      </c>
      <c r="C2968" s="3" t="s">
        <v>6005</v>
      </c>
      <c r="D2968" s="3" t="s">
        <v>6157</v>
      </c>
      <c r="E2968" s="3" t="s">
        <v>5991</v>
      </c>
      <c r="F2968" s="3" t="s">
        <v>1084</v>
      </c>
      <c r="G2968" s="3" t="s">
        <v>4210</v>
      </c>
      <c r="H2968" s="3" t="s">
        <v>2646</v>
      </c>
      <c r="I2968" s="3" t="s">
        <v>1086</v>
      </c>
      <c r="J2968" s="8" t="s">
        <v>9440</v>
      </c>
      <c r="L2968" s="3" t="s">
        <v>7430</v>
      </c>
      <c r="M2968" s="3">
        <v>3</v>
      </c>
      <c r="N2968" s="4" t="s">
        <v>9671</v>
      </c>
      <c r="O2968" s="4">
        <v>155</v>
      </c>
      <c r="P2968" s="11" t="s">
        <v>10333</v>
      </c>
      <c r="Q2968" s="11" t="s">
        <v>2622</v>
      </c>
      <c r="S2968" s="4" t="b">
        <f>ISNUMBER(MATCH(Q2968,T:T,0))</f>
        <v>1</v>
      </c>
      <c r="T2968" s="4" t="s">
        <v>12478</v>
      </c>
      <c r="U2968" s="4" t="str">
        <f t="shared" si="134"/>
        <v>更</v>
      </c>
    </row>
    <row r="2969" spans="1:21" ht="28.5">
      <c r="A2969" s="3">
        <v>2962</v>
      </c>
      <c r="B2969" s="3" t="s">
        <v>2611</v>
      </c>
      <c r="C2969" s="3" t="s">
        <v>6180</v>
      </c>
      <c r="D2969" s="3" t="s">
        <v>6157</v>
      </c>
      <c r="E2969" s="3" t="s">
        <v>5991</v>
      </c>
      <c r="F2969" s="3" t="s">
        <v>1084</v>
      </c>
      <c r="G2969" s="3" t="s">
        <v>4210</v>
      </c>
      <c r="H2969" s="3" t="s">
        <v>2647</v>
      </c>
      <c r="I2969" s="3" t="s">
        <v>1086</v>
      </c>
      <c r="J2969" s="5" t="s">
        <v>2648</v>
      </c>
      <c r="L2969" s="3" t="s">
        <v>2649</v>
      </c>
      <c r="M2969" s="3">
        <v>3</v>
      </c>
      <c r="N2969" s="4" t="s">
        <v>9671</v>
      </c>
      <c r="O2969" s="4">
        <v>155</v>
      </c>
      <c r="P2969" s="11" t="s">
        <v>9774</v>
      </c>
      <c r="Q2969" s="11" t="s">
        <v>2614</v>
      </c>
      <c r="S2969" s="4" t="b">
        <f>ISNUMBER(MATCH(Q2969,T:T,0))</f>
        <v>1</v>
      </c>
      <c r="T2969" s="4" t="s">
        <v>6180</v>
      </c>
      <c r="U2969" s="4" t="str">
        <f t="shared" si="134"/>
        <v>敬</v>
      </c>
    </row>
    <row r="2970" spans="1:21">
      <c r="A2970" s="3">
        <v>2963</v>
      </c>
      <c r="B2970" s="3" t="s">
        <v>2611</v>
      </c>
      <c r="C2970" s="3" t="s">
        <v>6092</v>
      </c>
      <c r="D2970" s="3" t="s">
        <v>6001</v>
      </c>
      <c r="E2970" s="3" t="s">
        <v>5991</v>
      </c>
      <c r="F2970" s="3" t="s">
        <v>1084</v>
      </c>
      <c r="G2970" s="3" t="s">
        <v>4210</v>
      </c>
      <c r="H2970" s="3" t="s">
        <v>2650</v>
      </c>
      <c r="I2970" s="3" t="s">
        <v>1086</v>
      </c>
      <c r="J2970" s="5" t="s">
        <v>1138</v>
      </c>
      <c r="L2970" s="3" t="s">
        <v>2613</v>
      </c>
      <c r="M2970" s="3">
        <v>1</v>
      </c>
      <c r="N2970" s="4" t="s">
        <v>9671</v>
      </c>
      <c r="O2970" s="4">
        <v>155</v>
      </c>
      <c r="P2970" s="11" t="s">
        <v>6462</v>
      </c>
      <c r="Q2970" s="11" t="s">
        <v>2614</v>
      </c>
      <c r="S2970" s="4" t="b">
        <f>ISNUMBER(MATCH(Q2970,T:T,0))</f>
        <v>1</v>
      </c>
      <c r="T2970" s="4" t="s">
        <v>1138</v>
      </c>
      <c r="U2970" s="4" t="str">
        <f t="shared" si="134"/>
        <v>敬</v>
      </c>
    </row>
    <row r="2971" spans="1:21">
      <c r="A2971" s="3">
        <v>2964</v>
      </c>
      <c r="B2971" s="3" t="s">
        <v>2611</v>
      </c>
      <c r="C2971" s="3" t="s">
        <v>6045</v>
      </c>
      <c r="D2971" s="3" t="s">
        <v>6157</v>
      </c>
      <c r="E2971" s="3" t="s">
        <v>5991</v>
      </c>
      <c r="F2971" s="3" t="s">
        <v>1084</v>
      </c>
      <c r="G2971" s="3" t="s">
        <v>4210</v>
      </c>
      <c r="H2971" s="3" t="s">
        <v>2651</v>
      </c>
      <c r="I2971" s="3" t="s">
        <v>1086</v>
      </c>
      <c r="J2971" s="5" t="s">
        <v>2652</v>
      </c>
      <c r="L2971" s="3" t="s">
        <v>8682</v>
      </c>
      <c r="M2971" s="3">
        <v>1</v>
      </c>
      <c r="N2971" s="4" t="s">
        <v>9671</v>
      </c>
      <c r="O2971" s="4">
        <v>155</v>
      </c>
      <c r="P2971" s="11" t="s">
        <v>9965</v>
      </c>
      <c r="Q2971" s="11" t="s">
        <v>10686</v>
      </c>
      <c r="S2971" s="4" t="b">
        <f>ISNUMBER(MATCH(Q2971,T:T,0))</f>
        <v>1</v>
      </c>
      <c r="T2971" s="4" t="s">
        <v>12479</v>
      </c>
      <c r="U2971" s="4" t="str">
        <f t="shared" si="134"/>
        <v>孟</v>
      </c>
    </row>
    <row r="2972" spans="1:21">
      <c r="A2972" s="3">
        <v>2965</v>
      </c>
      <c r="B2972" s="3" t="s">
        <v>2611</v>
      </c>
      <c r="C2972" s="3" t="s">
        <v>6089</v>
      </c>
      <c r="D2972" s="3" t="s">
        <v>6157</v>
      </c>
      <c r="E2972" s="3" t="s">
        <v>5991</v>
      </c>
      <c r="F2972" s="3" t="s">
        <v>1084</v>
      </c>
      <c r="G2972" s="3" t="s">
        <v>4210</v>
      </c>
      <c r="H2972" s="3" t="s">
        <v>2653</v>
      </c>
      <c r="I2972" s="3" t="s">
        <v>1086</v>
      </c>
      <c r="J2972" s="5" t="s">
        <v>2654</v>
      </c>
      <c r="L2972" s="3" t="s">
        <v>7419</v>
      </c>
      <c r="M2972" s="3">
        <v>1</v>
      </c>
      <c r="N2972" s="4" t="s">
        <v>9671</v>
      </c>
      <c r="O2972" s="4">
        <v>155</v>
      </c>
      <c r="P2972" s="11" t="s">
        <v>9753</v>
      </c>
      <c r="Q2972" s="11" t="s">
        <v>2622</v>
      </c>
      <c r="S2972" s="4" t="b">
        <f>ISNUMBER(MATCH(Q2972,T:T,0))</f>
        <v>1</v>
      </c>
      <c r="T2972" s="4" t="s">
        <v>2654</v>
      </c>
      <c r="U2972" s="4" t="str">
        <f t="shared" si="134"/>
        <v>更</v>
      </c>
    </row>
    <row r="2973" spans="1:21">
      <c r="A2973" s="3">
        <v>2966</v>
      </c>
      <c r="B2973" s="3" t="s">
        <v>2611</v>
      </c>
      <c r="C2973" s="3" t="s">
        <v>6072</v>
      </c>
      <c r="D2973" s="3" t="s">
        <v>6157</v>
      </c>
      <c r="E2973" s="3" t="s">
        <v>6212</v>
      </c>
      <c r="F2973" s="3" t="s">
        <v>1084</v>
      </c>
      <c r="G2973" s="3" t="s">
        <v>4210</v>
      </c>
      <c r="H2973" s="3" t="s">
        <v>2655</v>
      </c>
      <c r="I2973" s="3" t="s">
        <v>1086</v>
      </c>
      <c r="J2973" s="5" t="s">
        <v>2656</v>
      </c>
      <c r="L2973" s="3" t="s">
        <v>4231</v>
      </c>
      <c r="M2973" s="3">
        <v>1</v>
      </c>
      <c r="N2973" s="4" t="s">
        <v>9671</v>
      </c>
      <c r="O2973" s="4">
        <v>155</v>
      </c>
      <c r="P2973" s="11" t="s">
        <v>9734</v>
      </c>
      <c r="Q2973" s="11" t="s">
        <v>10094</v>
      </c>
      <c r="S2973" s="4" t="b">
        <f>ISNUMBER(MATCH(Q2973,T:T,0))</f>
        <v>1</v>
      </c>
      <c r="T2973" s="4" t="s">
        <v>2656</v>
      </c>
      <c r="U2973" s="4" t="str">
        <f t="shared" si="134"/>
        <v>橫</v>
      </c>
    </row>
    <row r="2974" spans="1:21" ht="28.5">
      <c r="A2974" s="3">
        <v>2967</v>
      </c>
      <c r="B2974" s="3" t="s">
        <v>2657</v>
      </c>
      <c r="C2974" s="3" t="s">
        <v>6318</v>
      </c>
      <c r="D2974" s="3" t="s">
        <v>6157</v>
      </c>
      <c r="E2974" s="3" t="s">
        <v>5991</v>
      </c>
      <c r="F2974" s="3" t="s">
        <v>1145</v>
      </c>
      <c r="G2974" s="3" t="s">
        <v>4210</v>
      </c>
      <c r="H2974" s="3" t="s">
        <v>2658</v>
      </c>
      <c r="I2974" s="3" t="s">
        <v>1086</v>
      </c>
      <c r="J2974" s="5" t="s">
        <v>2659</v>
      </c>
      <c r="L2974" s="3" t="s">
        <v>7430</v>
      </c>
      <c r="M2974" s="3">
        <v>1</v>
      </c>
      <c r="N2974" s="4" t="s">
        <v>2659</v>
      </c>
      <c r="O2974" s="4">
        <v>156</v>
      </c>
      <c r="P2974" s="11" t="s">
        <v>9804</v>
      </c>
      <c r="Q2974" s="11" t="s">
        <v>2661</v>
      </c>
      <c r="S2974" s="4" t="b">
        <f>ISNUMBER(MATCH(Q2974,T:T,0))</f>
        <v>1</v>
      </c>
      <c r="T2974" s="4" t="s">
        <v>2659</v>
      </c>
      <c r="U2974" s="4" t="str">
        <f t="shared" si="134"/>
        <v>迸</v>
      </c>
    </row>
    <row r="2975" spans="1:21">
      <c r="A2975" s="3">
        <v>2968</v>
      </c>
      <c r="B2975" s="3" t="s">
        <v>2657</v>
      </c>
      <c r="C2975" s="3" t="s">
        <v>6049</v>
      </c>
      <c r="D2975" s="3" t="s">
        <v>6157</v>
      </c>
      <c r="E2975" s="3" t="s">
        <v>5991</v>
      </c>
      <c r="F2975" s="3" t="s">
        <v>1145</v>
      </c>
      <c r="G2975" s="3" t="s">
        <v>4210</v>
      </c>
      <c r="H2975" s="3" t="s">
        <v>2660</v>
      </c>
      <c r="I2975" s="3" t="s">
        <v>1086</v>
      </c>
      <c r="J2975" s="5" t="s">
        <v>2661</v>
      </c>
      <c r="L2975" s="3" t="s">
        <v>8682</v>
      </c>
      <c r="M2975" s="3">
        <v>1</v>
      </c>
      <c r="N2975" s="4" t="s">
        <v>2659</v>
      </c>
      <c r="O2975" s="4">
        <v>156</v>
      </c>
      <c r="P2975" s="11" t="s">
        <v>9979</v>
      </c>
      <c r="Q2975" s="11" t="s">
        <v>2659</v>
      </c>
      <c r="S2975" s="4" t="b">
        <f>ISNUMBER(MATCH(Q2975,T:T,0))</f>
        <v>1</v>
      </c>
      <c r="T2975" s="4" t="s">
        <v>2661</v>
      </c>
      <c r="U2975" s="4" t="str">
        <f t="shared" si="134"/>
        <v>諍</v>
      </c>
    </row>
    <row r="2976" spans="1:21">
      <c r="A2976" s="3">
        <v>2969</v>
      </c>
      <c r="B2976" s="3" t="s">
        <v>2657</v>
      </c>
      <c r="C2976" s="3" t="s">
        <v>6045</v>
      </c>
      <c r="D2976" s="3" t="s">
        <v>6157</v>
      </c>
      <c r="E2976" s="3" t="s">
        <v>5991</v>
      </c>
      <c r="F2976" s="3" t="s">
        <v>1145</v>
      </c>
      <c r="G2976" s="3" t="s">
        <v>4210</v>
      </c>
      <c r="H2976" s="3" t="s">
        <v>2662</v>
      </c>
      <c r="I2976" s="3" t="s">
        <v>1086</v>
      </c>
      <c r="J2976" s="5" t="s">
        <v>2663</v>
      </c>
      <c r="L2976" s="3" t="s">
        <v>8682</v>
      </c>
      <c r="M2976" s="3">
        <v>2</v>
      </c>
      <c r="N2976" s="4" t="s">
        <v>2659</v>
      </c>
      <c r="O2976" s="4">
        <v>156</v>
      </c>
      <c r="P2976" s="11" t="s">
        <v>9965</v>
      </c>
      <c r="Q2976" s="11" t="s">
        <v>2661</v>
      </c>
      <c r="S2976" s="4" t="b">
        <f>ISNUMBER(MATCH(Q2976,T:T,0))</f>
        <v>1</v>
      </c>
      <c r="T2976" s="4" t="s">
        <v>2663</v>
      </c>
      <c r="U2976" s="4" t="str">
        <f t="shared" si="134"/>
        <v>迸</v>
      </c>
    </row>
    <row r="2977" spans="1:22">
      <c r="A2977" s="3">
        <v>2970</v>
      </c>
      <c r="B2977" s="3" t="s">
        <v>2657</v>
      </c>
      <c r="C2977" s="3" t="s">
        <v>6072</v>
      </c>
      <c r="D2977" s="3" t="s">
        <v>6157</v>
      </c>
      <c r="E2977" s="3" t="s">
        <v>5991</v>
      </c>
      <c r="F2977" s="3" t="s">
        <v>1145</v>
      </c>
      <c r="G2977" s="3" t="s">
        <v>4210</v>
      </c>
      <c r="H2977" s="3" t="s">
        <v>2664</v>
      </c>
      <c r="I2977" s="3" t="s">
        <v>1086</v>
      </c>
      <c r="J2977" s="5" t="s">
        <v>2665</v>
      </c>
      <c r="L2977" s="3" t="s">
        <v>2636</v>
      </c>
      <c r="M2977" s="3">
        <v>2</v>
      </c>
      <c r="N2977" s="4" t="s">
        <v>2659</v>
      </c>
      <c r="O2977" s="4">
        <v>156</v>
      </c>
      <c r="P2977" s="11" t="s">
        <v>10689</v>
      </c>
      <c r="Q2977" s="11" t="s">
        <v>2661</v>
      </c>
      <c r="S2977" s="4" t="b">
        <f>ISNUMBER(MATCH(Q2977,T:T,0))</f>
        <v>1</v>
      </c>
      <c r="T2977" s="4" t="s">
        <v>12480</v>
      </c>
      <c r="U2977" s="4" t="str">
        <f t="shared" si="134"/>
        <v>迸</v>
      </c>
    </row>
    <row r="2978" spans="1:22">
      <c r="A2978" s="3">
        <v>2971</v>
      </c>
      <c r="B2978" s="3" t="s">
        <v>2657</v>
      </c>
      <c r="C2978" s="3" t="s">
        <v>6092</v>
      </c>
      <c r="D2978" s="3" t="s">
        <v>6157</v>
      </c>
      <c r="E2978" s="3" t="s">
        <v>5991</v>
      </c>
      <c r="F2978" s="3" t="s">
        <v>1145</v>
      </c>
      <c r="G2978" s="3" t="s">
        <v>4210</v>
      </c>
      <c r="H2978" s="3" t="s">
        <v>2666</v>
      </c>
      <c r="I2978" s="3" t="s">
        <v>1086</v>
      </c>
      <c r="J2978" s="8" t="s">
        <v>9441</v>
      </c>
      <c r="L2978" s="3" t="s">
        <v>2636</v>
      </c>
      <c r="M2978" s="3">
        <v>2</v>
      </c>
      <c r="N2978" s="4" t="s">
        <v>2659</v>
      </c>
      <c r="O2978" s="4">
        <v>156</v>
      </c>
      <c r="P2978" s="11" t="s">
        <v>9740</v>
      </c>
      <c r="Q2978" s="11" t="s">
        <v>10477</v>
      </c>
      <c r="S2978" s="4" t="b">
        <f>ISNUMBER(MATCH(Q2978,T:T,0))</f>
        <v>1</v>
      </c>
      <c r="T2978" s="4" t="s">
        <v>12481</v>
      </c>
      <c r="U2978" s="4" t="str">
        <f t="shared" si="134"/>
        <v>爭</v>
      </c>
    </row>
    <row r="2979" spans="1:22">
      <c r="A2979" s="3">
        <v>2972</v>
      </c>
      <c r="B2979" s="3" t="s">
        <v>2657</v>
      </c>
      <c r="C2979" s="3" t="s">
        <v>6089</v>
      </c>
      <c r="D2979" s="3" t="s">
        <v>6157</v>
      </c>
      <c r="E2979" s="3" t="s">
        <v>6212</v>
      </c>
      <c r="F2979" s="3" t="s">
        <v>1145</v>
      </c>
      <c r="G2979" s="3" t="s">
        <v>4210</v>
      </c>
      <c r="H2979" s="3" t="s">
        <v>2667</v>
      </c>
      <c r="I2979" s="3" t="s">
        <v>1086</v>
      </c>
      <c r="J2979" s="5" t="s">
        <v>2668</v>
      </c>
      <c r="L2979" s="3" t="s">
        <v>2669</v>
      </c>
      <c r="M2979" s="3">
        <v>2</v>
      </c>
      <c r="N2979" s="4" t="s">
        <v>2659</v>
      </c>
      <c r="O2979" s="4">
        <v>156</v>
      </c>
      <c r="P2979" s="11" t="s">
        <v>9739</v>
      </c>
      <c r="Q2979" s="11" t="s">
        <v>2661</v>
      </c>
      <c r="S2979" s="4" t="b">
        <f>ISNUMBER(MATCH(Q2979,T:T,0))</f>
        <v>1</v>
      </c>
      <c r="T2979" s="4" t="s">
        <v>11410</v>
      </c>
      <c r="U2979" s="4" t="str">
        <f t="shared" si="134"/>
        <v>迸</v>
      </c>
    </row>
    <row r="2980" spans="1:22">
      <c r="A2980" s="3">
        <v>2973</v>
      </c>
      <c r="B2980" s="3" t="s">
        <v>2670</v>
      </c>
      <c r="C2980" s="3" t="s">
        <v>6025</v>
      </c>
      <c r="D2980" s="3" t="s">
        <v>6001</v>
      </c>
      <c r="E2980" s="3" t="s">
        <v>5991</v>
      </c>
      <c r="F2980" s="3" t="s">
        <v>6076</v>
      </c>
      <c r="G2980" s="3" t="s">
        <v>4210</v>
      </c>
      <c r="H2980" s="3" t="s">
        <v>2671</v>
      </c>
      <c r="I2980" s="3" t="s">
        <v>1086</v>
      </c>
      <c r="J2980" s="5" t="s">
        <v>2672</v>
      </c>
      <c r="L2980" s="3" t="s">
        <v>7458</v>
      </c>
      <c r="M2980" s="3">
        <v>1</v>
      </c>
      <c r="N2980" s="4" t="s">
        <v>2672</v>
      </c>
      <c r="O2980" s="4">
        <v>157</v>
      </c>
      <c r="P2980" s="11" t="s">
        <v>9717</v>
      </c>
      <c r="Q2980" s="11" t="s">
        <v>10071</v>
      </c>
      <c r="R2980" s="4" t="s">
        <v>13161</v>
      </c>
      <c r="S2980" s="4" t="b">
        <f>ISNUMBER(MATCH(Q2980,T:T,0))</f>
        <v>0</v>
      </c>
      <c r="T2980" s="4" t="s">
        <v>2672</v>
      </c>
      <c r="U2980" s="4" t="str">
        <f t="shared" si="134"/>
        <v>政</v>
      </c>
      <c r="V2980" s="4" t="b">
        <f>ISNUMBER(MATCH(R2980,T:T,0))</f>
        <v>1</v>
      </c>
    </row>
    <row r="2981" spans="1:22">
      <c r="A2981" s="3">
        <v>2974</v>
      </c>
      <c r="B2981" s="3" t="s">
        <v>2670</v>
      </c>
      <c r="C2981" s="3" t="s">
        <v>6076</v>
      </c>
      <c r="D2981" s="3" t="s">
        <v>6001</v>
      </c>
      <c r="E2981" s="3" t="s">
        <v>5991</v>
      </c>
      <c r="F2981" s="3" t="s">
        <v>6076</v>
      </c>
      <c r="G2981" s="3" t="s">
        <v>4210</v>
      </c>
      <c r="H2981" s="3" t="s">
        <v>2673</v>
      </c>
      <c r="I2981" s="3" t="s">
        <v>1086</v>
      </c>
      <c r="J2981" s="5" t="s">
        <v>2674</v>
      </c>
      <c r="L2981" s="3" t="s">
        <v>2620</v>
      </c>
      <c r="M2981" s="3">
        <v>2</v>
      </c>
      <c r="N2981" s="4" t="s">
        <v>2672</v>
      </c>
      <c r="O2981" s="4">
        <v>157</v>
      </c>
      <c r="P2981" s="11" t="s">
        <v>9766</v>
      </c>
      <c r="Q2981" s="11" t="s">
        <v>10690</v>
      </c>
      <c r="S2981" s="4" t="b">
        <f>ISNUMBER(MATCH(Q2981,T:T,0))</f>
        <v>1</v>
      </c>
      <c r="T2981" s="4" t="s">
        <v>12482</v>
      </c>
      <c r="U2981" s="4" t="str">
        <f t="shared" si="134"/>
        <v>政</v>
      </c>
    </row>
    <row r="2982" spans="1:22" ht="28.5">
      <c r="A2982" s="3">
        <v>2975</v>
      </c>
      <c r="B2982" s="3" t="s">
        <v>2670</v>
      </c>
      <c r="C2982" s="3" t="s">
        <v>6009</v>
      </c>
      <c r="D2982" s="3" t="s">
        <v>6001</v>
      </c>
      <c r="E2982" s="3" t="s">
        <v>5991</v>
      </c>
      <c r="F2982" s="3" t="s">
        <v>6076</v>
      </c>
      <c r="G2982" s="3" t="s">
        <v>4210</v>
      </c>
      <c r="H2982" s="3" t="s">
        <v>2675</v>
      </c>
      <c r="I2982" s="3" t="s">
        <v>1086</v>
      </c>
      <c r="J2982" s="5" t="s">
        <v>9442</v>
      </c>
      <c r="L2982" s="3" t="s">
        <v>7430</v>
      </c>
      <c r="M2982" s="3">
        <v>4</v>
      </c>
      <c r="N2982" s="4" t="s">
        <v>2672</v>
      </c>
      <c r="O2982" s="4">
        <v>157</v>
      </c>
      <c r="P2982" s="11" t="s">
        <v>6396</v>
      </c>
      <c r="Q2982" s="11" t="s">
        <v>10691</v>
      </c>
      <c r="S2982" s="4" t="b">
        <f>ISNUMBER(MATCH(Q2982,T:T,0))</f>
        <v>1</v>
      </c>
      <c r="T2982" s="4" t="s">
        <v>10690</v>
      </c>
      <c r="U2982" s="4" t="str">
        <f t="shared" si="134"/>
        <v>盛</v>
      </c>
    </row>
    <row r="2983" spans="1:22" ht="28.5">
      <c r="A2983" s="3">
        <v>2976</v>
      </c>
      <c r="B2983" s="3" t="s">
        <v>2670</v>
      </c>
      <c r="C2983" s="3" t="s">
        <v>6120</v>
      </c>
      <c r="D2983" s="3" t="s">
        <v>6001</v>
      </c>
      <c r="E2983" s="3" t="s">
        <v>5991</v>
      </c>
      <c r="F2983" s="3" t="s">
        <v>6076</v>
      </c>
      <c r="G2983" s="3" t="s">
        <v>4210</v>
      </c>
      <c r="H2983" s="3" t="s">
        <v>2676</v>
      </c>
      <c r="I2983" s="3" t="s">
        <v>1086</v>
      </c>
      <c r="J2983" s="5" t="s">
        <v>2677</v>
      </c>
      <c r="L2983" s="3" t="s">
        <v>2649</v>
      </c>
      <c r="M2983" s="3">
        <v>1</v>
      </c>
      <c r="N2983" s="4" t="s">
        <v>2672</v>
      </c>
      <c r="O2983" s="4">
        <v>157</v>
      </c>
      <c r="P2983" s="11" t="s">
        <v>9793</v>
      </c>
      <c r="Q2983" s="11" t="s">
        <v>10071</v>
      </c>
      <c r="R2983" s="4" t="s">
        <v>13161</v>
      </c>
      <c r="S2983" s="4" t="b">
        <f>ISNUMBER(MATCH(Q2983,T:T,0))</f>
        <v>0</v>
      </c>
      <c r="T2983" s="4" t="s">
        <v>2677</v>
      </c>
      <c r="U2983" s="4" t="str">
        <f t="shared" si="134"/>
        <v>政</v>
      </c>
      <c r="V2983" s="4" t="b">
        <f t="shared" ref="V2983:V2984" si="135">ISNUMBER(MATCH(R2983,T:T,0))</f>
        <v>1</v>
      </c>
    </row>
    <row r="2984" spans="1:22" ht="28.5">
      <c r="A2984" s="3">
        <v>2977</v>
      </c>
      <c r="B2984" s="3" t="s">
        <v>2670</v>
      </c>
      <c r="C2984" s="3" t="s">
        <v>6005</v>
      </c>
      <c r="D2984" s="3" t="s">
        <v>6001</v>
      </c>
      <c r="E2984" s="3" t="s">
        <v>5991</v>
      </c>
      <c r="F2984" s="3" t="s">
        <v>6076</v>
      </c>
      <c r="G2984" s="3" t="s">
        <v>4210</v>
      </c>
      <c r="H2984" s="3" t="s">
        <v>2678</v>
      </c>
      <c r="I2984" s="3" t="s">
        <v>1086</v>
      </c>
      <c r="J2984" s="5" t="s">
        <v>2679</v>
      </c>
      <c r="L2984" s="3" t="s">
        <v>7430</v>
      </c>
      <c r="M2984" s="3">
        <v>3</v>
      </c>
      <c r="N2984" s="4" t="s">
        <v>2672</v>
      </c>
      <c r="O2984" s="4">
        <v>157</v>
      </c>
      <c r="P2984" s="11" t="s">
        <v>9709</v>
      </c>
      <c r="Q2984" s="11" t="s">
        <v>10071</v>
      </c>
      <c r="R2984" s="4" t="s">
        <v>13161</v>
      </c>
      <c r="S2984" s="4" t="b">
        <f>ISNUMBER(MATCH(Q2984,T:T,0))</f>
        <v>0</v>
      </c>
      <c r="T2984" s="4" t="s">
        <v>10692</v>
      </c>
      <c r="U2984" s="4" t="str">
        <f t="shared" si="134"/>
        <v>政</v>
      </c>
      <c r="V2984" s="4" t="b">
        <f t="shared" si="135"/>
        <v>1</v>
      </c>
    </row>
    <row r="2985" spans="1:22" ht="28.5">
      <c r="A2985" s="3">
        <v>2978</v>
      </c>
      <c r="B2985" s="3" t="s">
        <v>2670</v>
      </c>
      <c r="C2985" s="3" t="s">
        <v>6011</v>
      </c>
      <c r="D2985" s="3" t="s">
        <v>6001</v>
      </c>
      <c r="E2985" s="3" t="s">
        <v>5991</v>
      </c>
      <c r="F2985" s="3" t="s">
        <v>6076</v>
      </c>
      <c r="G2985" s="3" t="s">
        <v>4210</v>
      </c>
      <c r="H2985" s="3" t="s">
        <v>2680</v>
      </c>
      <c r="I2985" s="3" t="s">
        <v>1086</v>
      </c>
      <c r="J2985" s="5" t="s">
        <v>9443</v>
      </c>
      <c r="L2985" s="3" t="s">
        <v>2639</v>
      </c>
      <c r="M2985" s="3">
        <v>3</v>
      </c>
      <c r="N2985" s="4" t="s">
        <v>2672</v>
      </c>
      <c r="O2985" s="4">
        <v>157</v>
      </c>
      <c r="P2985" s="11" t="s">
        <v>9757</v>
      </c>
      <c r="Q2985" s="11" t="s">
        <v>10692</v>
      </c>
      <c r="S2985" s="4" t="b">
        <f>ISNUMBER(MATCH(Q2985,T:T,0))</f>
        <v>1</v>
      </c>
      <c r="T2985" s="4" t="s">
        <v>12483</v>
      </c>
      <c r="U2985" s="4" t="str">
        <f t="shared" si="134"/>
        <v>鄭</v>
      </c>
    </row>
    <row r="2986" spans="1:22">
      <c r="A2986" s="3">
        <v>2979</v>
      </c>
      <c r="B2986" s="3" t="s">
        <v>2670</v>
      </c>
      <c r="C2986" s="3" t="s">
        <v>6017</v>
      </c>
      <c r="D2986" s="3" t="s">
        <v>6001</v>
      </c>
      <c r="E2986" s="3" t="s">
        <v>5991</v>
      </c>
      <c r="F2986" s="3" t="s">
        <v>6076</v>
      </c>
      <c r="G2986" s="3" t="s">
        <v>4210</v>
      </c>
      <c r="H2986" s="3" t="s">
        <v>2681</v>
      </c>
      <c r="I2986" s="3" t="s">
        <v>1086</v>
      </c>
      <c r="J2986" s="5" t="s">
        <v>2682</v>
      </c>
      <c r="L2986" s="3" t="s">
        <v>3850</v>
      </c>
      <c r="M2986" s="3">
        <v>2</v>
      </c>
      <c r="N2986" s="4" t="s">
        <v>2672</v>
      </c>
      <c r="O2986" s="4">
        <v>157</v>
      </c>
      <c r="P2986" s="11" t="s">
        <v>9714</v>
      </c>
      <c r="Q2986" s="11" t="s">
        <v>10071</v>
      </c>
      <c r="R2986" s="4" t="s">
        <v>13161</v>
      </c>
      <c r="S2986" s="4" t="b">
        <f>ISNUMBER(MATCH(Q2986,T:T,0))</f>
        <v>0</v>
      </c>
      <c r="T2986" s="4" t="s">
        <v>12484</v>
      </c>
      <c r="U2986" s="4" t="str">
        <f t="shared" si="134"/>
        <v>政</v>
      </c>
      <c r="V2986" s="4" t="b">
        <f>ISNUMBER(MATCH(R2986,T:T,0))</f>
        <v>1</v>
      </c>
    </row>
    <row r="2987" spans="1:22">
      <c r="A2987" s="3">
        <v>2980</v>
      </c>
      <c r="B2987" s="3" t="s">
        <v>2670</v>
      </c>
      <c r="C2987" s="3" t="s">
        <v>6058</v>
      </c>
      <c r="D2987" s="3" t="s">
        <v>6001</v>
      </c>
      <c r="E2987" s="3" t="s">
        <v>5991</v>
      </c>
      <c r="F2987" s="3" t="s">
        <v>6076</v>
      </c>
      <c r="G2987" s="3" t="s">
        <v>4210</v>
      </c>
      <c r="H2987" s="3" t="s">
        <v>2683</v>
      </c>
      <c r="I2987" s="3" t="s">
        <v>1086</v>
      </c>
      <c r="J2987" s="5" t="s">
        <v>2684</v>
      </c>
      <c r="L2987" s="3" t="s">
        <v>2685</v>
      </c>
      <c r="M2987" s="3">
        <v>2</v>
      </c>
      <c r="N2987" s="4" t="s">
        <v>2672</v>
      </c>
      <c r="O2987" s="4">
        <v>157</v>
      </c>
      <c r="P2987" s="11" t="s">
        <v>9727</v>
      </c>
      <c r="Q2987" s="11" t="s">
        <v>10690</v>
      </c>
      <c r="S2987" s="4" t="b">
        <f>ISNUMBER(MATCH(Q2987,T:T,0))</f>
        <v>1</v>
      </c>
      <c r="T2987" s="4" t="s">
        <v>10694</v>
      </c>
      <c r="U2987" s="4" t="str">
        <f t="shared" si="134"/>
        <v>政</v>
      </c>
    </row>
    <row r="2988" spans="1:22">
      <c r="A2988" s="3">
        <v>2981</v>
      </c>
      <c r="B2988" s="3" t="s">
        <v>2670</v>
      </c>
      <c r="C2988" s="3" t="s">
        <v>6053</v>
      </c>
      <c r="D2988" s="3" t="s">
        <v>6001</v>
      </c>
      <c r="E2988" s="3" t="s">
        <v>5991</v>
      </c>
      <c r="F2988" s="3" t="s">
        <v>6076</v>
      </c>
      <c r="G2988" s="3" t="s">
        <v>4210</v>
      </c>
      <c r="H2988" s="3" t="s">
        <v>2686</v>
      </c>
      <c r="I2988" s="3" t="s">
        <v>1086</v>
      </c>
      <c r="J2988" s="5" t="s">
        <v>2687</v>
      </c>
      <c r="L2988" s="3" t="s">
        <v>2688</v>
      </c>
      <c r="M2988" s="3">
        <v>3</v>
      </c>
      <c r="N2988" s="4" t="s">
        <v>2672</v>
      </c>
      <c r="O2988" s="4">
        <v>157</v>
      </c>
      <c r="P2988" s="11" t="s">
        <v>9772</v>
      </c>
      <c r="Q2988" s="11" t="s">
        <v>10071</v>
      </c>
      <c r="R2988" s="4" t="s">
        <v>13161</v>
      </c>
      <c r="S2988" s="4" t="b">
        <f>ISNUMBER(MATCH(Q2988,T:T,0))</f>
        <v>0</v>
      </c>
      <c r="T2988" s="4" t="s">
        <v>12485</v>
      </c>
      <c r="U2988" s="4" t="str">
        <f t="shared" si="134"/>
        <v>政</v>
      </c>
      <c r="V2988" s="4" t="b">
        <f t="shared" ref="V2988:V2989" si="136">ISNUMBER(MATCH(R2988,T:T,0))</f>
        <v>1</v>
      </c>
    </row>
    <row r="2989" spans="1:22" ht="28.5">
      <c r="A2989" s="3">
        <v>2982</v>
      </c>
      <c r="B2989" s="3" t="s">
        <v>2670</v>
      </c>
      <c r="C2989" s="3" t="s">
        <v>6089</v>
      </c>
      <c r="D2989" s="3" t="s">
        <v>6001</v>
      </c>
      <c r="E2989" s="3" t="s">
        <v>6212</v>
      </c>
      <c r="F2989" s="3" t="s">
        <v>6076</v>
      </c>
      <c r="G2989" s="3" t="s">
        <v>4210</v>
      </c>
      <c r="H2989" s="3" t="s">
        <v>2689</v>
      </c>
      <c r="I2989" s="3" t="s">
        <v>1086</v>
      </c>
      <c r="J2989" s="5" t="s">
        <v>2690</v>
      </c>
      <c r="L2989" s="3" t="s">
        <v>7491</v>
      </c>
      <c r="M2989" s="3">
        <v>4</v>
      </c>
      <c r="N2989" s="4" t="s">
        <v>2672</v>
      </c>
      <c r="O2989" s="4">
        <v>157</v>
      </c>
      <c r="P2989" s="11" t="s">
        <v>10288</v>
      </c>
      <c r="Q2989" s="11" t="s">
        <v>10071</v>
      </c>
      <c r="R2989" s="4" t="s">
        <v>13161</v>
      </c>
      <c r="S2989" s="4" t="b">
        <f>ISNUMBER(MATCH(Q2989,T:T,0))</f>
        <v>0</v>
      </c>
      <c r="T2989" s="4" t="s">
        <v>12486</v>
      </c>
      <c r="U2989" s="4" t="str">
        <f t="shared" si="134"/>
        <v>政</v>
      </c>
      <c r="V2989" s="4" t="b">
        <f t="shared" si="136"/>
        <v>1</v>
      </c>
    </row>
    <row r="2990" spans="1:22">
      <c r="A2990" s="3">
        <v>2983</v>
      </c>
      <c r="B2990" s="3" t="s">
        <v>2670</v>
      </c>
      <c r="C2990" s="3" t="s">
        <v>6049</v>
      </c>
      <c r="D2990" s="3" t="s">
        <v>6001</v>
      </c>
      <c r="E2990" s="3" t="s">
        <v>5991</v>
      </c>
      <c r="F2990" s="3" t="s">
        <v>6076</v>
      </c>
      <c r="G2990" s="3" t="s">
        <v>4210</v>
      </c>
      <c r="H2990" s="3" t="s">
        <v>2691</v>
      </c>
      <c r="I2990" s="3" t="s">
        <v>1086</v>
      </c>
      <c r="J2990" s="5" t="s">
        <v>2692</v>
      </c>
      <c r="L2990" s="3" t="s">
        <v>3864</v>
      </c>
      <c r="M2990" s="3">
        <v>3</v>
      </c>
      <c r="N2990" s="4" t="s">
        <v>2672</v>
      </c>
      <c r="O2990" s="4">
        <v>157</v>
      </c>
      <c r="P2990" s="11" t="s">
        <v>10693</v>
      </c>
      <c r="Q2990" s="11" t="s">
        <v>10690</v>
      </c>
      <c r="S2990" s="4" t="b">
        <f>ISNUMBER(MATCH(Q2990,T:T,0))</f>
        <v>1</v>
      </c>
      <c r="T2990" s="4" t="s">
        <v>12487</v>
      </c>
      <c r="U2990" s="4" t="str">
        <f t="shared" si="134"/>
        <v>政</v>
      </c>
    </row>
    <row r="2991" spans="1:22">
      <c r="A2991" s="3">
        <v>2984</v>
      </c>
      <c r="B2991" s="3" t="s">
        <v>2670</v>
      </c>
      <c r="C2991" s="3" t="s">
        <v>6045</v>
      </c>
      <c r="D2991" s="3" t="s">
        <v>6001</v>
      </c>
      <c r="E2991" s="3" t="s">
        <v>5991</v>
      </c>
      <c r="F2991" s="3" t="s">
        <v>6076</v>
      </c>
      <c r="G2991" s="3" t="s">
        <v>4210</v>
      </c>
      <c r="H2991" s="3" t="s">
        <v>2693</v>
      </c>
      <c r="I2991" s="3" t="s">
        <v>1086</v>
      </c>
      <c r="J2991" s="5" t="s">
        <v>2694</v>
      </c>
      <c r="L2991" s="3" t="s">
        <v>3864</v>
      </c>
      <c r="M2991" s="3">
        <v>2</v>
      </c>
      <c r="N2991" s="4" t="s">
        <v>2672</v>
      </c>
      <c r="O2991" s="4">
        <v>157</v>
      </c>
      <c r="P2991" s="11" t="s">
        <v>2566</v>
      </c>
      <c r="Q2991" s="11" t="s">
        <v>10071</v>
      </c>
      <c r="R2991" s="4" t="s">
        <v>13161</v>
      </c>
      <c r="S2991" s="4" t="b">
        <f>ISNUMBER(MATCH(Q2991,T:T,0))</f>
        <v>0</v>
      </c>
      <c r="T2991" s="4" t="s">
        <v>12488</v>
      </c>
      <c r="U2991" s="4" t="str">
        <f t="shared" si="134"/>
        <v>政</v>
      </c>
      <c r="V2991" s="4" t="b">
        <f>ISNUMBER(MATCH(R2991,T:T,0))</f>
        <v>1</v>
      </c>
    </row>
    <row r="2992" spans="1:22">
      <c r="A2992" s="3">
        <v>2985</v>
      </c>
      <c r="B2992" s="3" t="s">
        <v>2670</v>
      </c>
      <c r="C2992" s="3" t="s">
        <v>6069</v>
      </c>
      <c r="D2992" s="3" t="s">
        <v>6001</v>
      </c>
      <c r="E2992" s="3" t="s">
        <v>5991</v>
      </c>
      <c r="F2992" s="3" t="s">
        <v>6076</v>
      </c>
      <c r="G2992" s="3" t="s">
        <v>4210</v>
      </c>
      <c r="H2992" s="3" t="s">
        <v>2695</v>
      </c>
      <c r="I2992" s="3" t="s">
        <v>1086</v>
      </c>
      <c r="J2992" s="5" t="s">
        <v>9444</v>
      </c>
      <c r="L2992" s="3" t="s">
        <v>7458</v>
      </c>
      <c r="M2992" s="3">
        <v>8</v>
      </c>
      <c r="N2992" s="4" t="s">
        <v>2672</v>
      </c>
      <c r="O2992" s="4">
        <v>157</v>
      </c>
      <c r="P2992" s="11" t="s">
        <v>9756</v>
      </c>
      <c r="Q2992" s="11" t="s">
        <v>10690</v>
      </c>
      <c r="S2992" s="4" t="b">
        <f>ISNUMBER(MATCH(Q2992,T:T,0))</f>
        <v>1</v>
      </c>
      <c r="T2992" s="4" t="s">
        <v>12489</v>
      </c>
      <c r="U2992" s="4" t="str">
        <f t="shared" si="134"/>
        <v>政</v>
      </c>
    </row>
    <row r="2993" spans="1:22" ht="28.5">
      <c r="A2993" s="3">
        <v>2986</v>
      </c>
      <c r="B2993" s="3" t="s">
        <v>2670</v>
      </c>
      <c r="C2993" s="3" t="s">
        <v>6148</v>
      </c>
      <c r="D2993" s="3" t="s">
        <v>6001</v>
      </c>
      <c r="E2993" s="3" t="s">
        <v>5991</v>
      </c>
      <c r="F2993" s="3" t="s">
        <v>6076</v>
      </c>
      <c r="G2993" s="3" t="s">
        <v>4210</v>
      </c>
      <c r="H2993" s="3" t="s">
        <v>2696</v>
      </c>
      <c r="I2993" s="3" t="s">
        <v>1086</v>
      </c>
      <c r="J2993" s="5" t="s">
        <v>9445</v>
      </c>
      <c r="L2993" s="3" t="s">
        <v>2649</v>
      </c>
      <c r="M2993" s="3">
        <v>3</v>
      </c>
      <c r="N2993" s="4" t="s">
        <v>2672</v>
      </c>
      <c r="O2993" s="4">
        <v>157</v>
      </c>
      <c r="P2993" s="11" t="s">
        <v>10198</v>
      </c>
      <c r="Q2993" s="11" t="s">
        <v>10071</v>
      </c>
      <c r="R2993" s="4" t="s">
        <v>13161</v>
      </c>
      <c r="S2993" s="4" t="b">
        <f>ISNUMBER(MATCH(Q2993,T:T,0))</f>
        <v>0</v>
      </c>
      <c r="T2993" s="4" t="s">
        <v>10691</v>
      </c>
      <c r="U2993" s="4" t="str">
        <f t="shared" si="134"/>
        <v>政</v>
      </c>
      <c r="V2993" s="4" t="b">
        <f t="shared" ref="V2993:V2995" si="137">ISNUMBER(MATCH(R2993,T:T,0))</f>
        <v>1</v>
      </c>
    </row>
    <row r="2994" spans="1:22">
      <c r="A2994" s="3">
        <v>2987</v>
      </c>
      <c r="B2994" s="3" t="s">
        <v>2670</v>
      </c>
      <c r="C2994" s="3" t="s">
        <v>6035</v>
      </c>
      <c r="D2994" s="3" t="s">
        <v>6001</v>
      </c>
      <c r="E2994" s="3" t="s">
        <v>5991</v>
      </c>
      <c r="F2994" s="3" t="s">
        <v>6076</v>
      </c>
      <c r="G2994" s="3" t="s">
        <v>4210</v>
      </c>
      <c r="H2994" s="3" t="s">
        <v>2697</v>
      </c>
      <c r="I2994" s="3" t="s">
        <v>1086</v>
      </c>
      <c r="J2994" s="5" t="s">
        <v>2698</v>
      </c>
      <c r="L2994" s="3" t="s">
        <v>2626</v>
      </c>
      <c r="M2994" s="3">
        <v>1</v>
      </c>
      <c r="N2994" s="4" t="s">
        <v>2672</v>
      </c>
      <c r="O2994" s="4">
        <v>157</v>
      </c>
      <c r="P2994" s="11" t="s">
        <v>9941</v>
      </c>
      <c r="Q2994" s="11" t="s">
        <v>10071</v>
      </c>
      <c r="R2994" s="4" t="s">
        <v>13161</v>
      </c>
      <c r="S2994" s="4" t="b">
        <f>ISNUMBER(MATCH(Q2994,T:T,0))</f>
        <v>0</v>
      </c>
      <c r="T2994" s="4" t="s">
        <v>2698</v>
      </c>
      <c r="U2994" s="4" t="str">
        <f t="shared" si="134"/>
        <v>政</v>
      </c>
      <c r="V2994" s="4" t="b">
        <f t="shared" si="137"/>
        <v>1</v>
      </c>
    </row>
    <row r="2995" spans="1:22">
      <c r="A2995" s="3">
        <v>2988</v>
      </c>
      <c r="B2995" s="3" t="s">
        <v>2670</v>
      </c>
      <c r="C2995" s="3" t="s">
        <v>6038</v>
      </c>
      <c r="D2995" s="3" t="s">
        <v>6001</v>
      </c>
      <c r="E2995" s="3" t="s">
        <v>5991</v>
      </c>
      <c r="F2995" s="3" t="s">
        <v>6076</v>
      </c>
      <c r="G2995" s="3" t="s">
        <v>4210</v>
      </c>
      <c r="H2995" s="3" t="s">
        <v>2699</v>
      </c>
      <c r="I2995" s="3" t="s">
        <v>1086</v>
      </c>
      <c r="J2995" s="5" t="s">
        <v>2700</v>
      </c>
      <c r="L2995" s="3" t="s">
        <v>2620</v>
      </c>
      <c r="M2995" s="3">
        <v>1</v>
      </c>
      <c r="N2995" s="4" t="s">
        <v>2672</v>
      </c>
      <c r="O2995" s="4">
        <v>157</v>
      </c>
      <c r="P2995" s="11" t="s">
        <v>10200</v>
      </c>
      <c r="Q2995" s="11" t="s">
        <v>10071</v>
      </c>
      <c r="R2995" s="4" t="s">
        <v>13161</v>
      </c>
      <c r="S2995" s="4" t="b">
        <f>ISNUMBER(MATCH(Q2995,T:T,0))</f>
        <v>0</v>
      </c>
      <c r="T2995" s="4" t="s">
        <v>2700</v>
      </c>
      <c r="U2995" s="4" t="str">
        <f t="shared" si="134"/>
        <v>政</v>
      </c>
      <c r="V2995" s="4" t="b">
        <f t="shared" si="137"/>
        <v>1</v>
      </c>
    </row>
    <row r="2996" spans="1:22">
      <c r="A2996" s="3">
        <v>2989</v>
      </c>
      <c r="B2996" s="3" t="s">
        <v>2670</v>
      </c>
      <c r="C2996" s="3" t="s">
        <v>6089</v>
      </c>
      <c r="D2996" s="3" t="s">
        <v>6001</v>
      </c>
      <c r="E2996" s="3" t="s">
        <v>5991</v>
      </c>
      <c r="F2996" s="3" t="s">
        <v>6076</v>
      </c>
      <c r="G2996" s="3" t="s">
        <v>4210</v>
      </c>
      <c r="H2996" s="3" t="s">
        <v>2701</v>
      </c>
      <c r="I2996" s="3" t="s">
        <v>1086</v>
      </c>
      <c r="J2996" s="5" t="s">
        <v>2702</v>
      </c>
      <c r="L2996" s="3" t="s">
        <v>3850</v>
      </c>
      <c r="M2996" s="3">
        <v>2</v>
      </c>
      <c r="N2996" s="4" t="s">
        <v>2672</v>
      </c>
      <c r="O2996" s="4">
        <v>157</v>
      </c>
      <c r="P2996" s="11" t="s">
        <v>9753</v>
      </c>
      <c r="Q2996" s="11" t="s">
        <v>10694</v>
      </c>
      <c r="S2996" s="4" t="b">
        <f>ISNUMBER(MATCH(Q2996,T:T,0))</f>
        <v>1</v>
      </c>
      <c r="T2996" s="4" t="s">
        <v>2702</v>
      </c>
      <c r="U2996" s="4" t="str">
        <f t="shared" si="134"/>
        <v>令</v>
      </c>
    </row>
    <row r="2997" spans="1:22">
      <c r="A2997" s="3">
        <v>2990</v>
      </c>
      <c r="B2997" s="3" t="s">
        <v>2670</v>
      </c>
      <c r="C2997" s="3" t="s">
        <v>6083</v>
      </c>
      <c r="D2997" s="3" t="s">
        <v>6001</v>
      </c>
      <c r="E2997" s="3" t="s">
        <v>5991</v>
      </c>
      <c r="F2997" s="3" t="s">
        <v>6076</v>
      </c>
      <c r="G2997" s="3" t="s">
        <v>4210</v>
      </c>
      <c r="H2997" s="3" t="s">
        <v>2703</v>
      </c>
      <c r="I2997" s="3" t="s">
        <v>1086</v>
      </c>
      <c r="J2997" s="5" t="s">
        <v>6083</v>
      </c>
      <c r="L2997" s="3" t="s">
        <v>7458</v>
      </c>
      <c r="M2997" s="3">
        <v>1</v>
      </c>
      <c r="N2997" s="4" t="s">
        <v>2672</v>
      </c>
      <c r="O2997" s="4">
        <v>157</v>
      </c>
      <c r="P2997" s="11" t="s">
        <v>9737</v>
      </c>
      <c r="Q2997" s="11" t="s">
        <v>10695</v>
      </c>
      <c r="R2997" s="4" t="s">
        <v>13162</v>
      </c>
      <c r="S2997" s="4" t="b">
        <f>ISNUMBER(MATCH(Q2997,T:T,0))</f>
        <v>0</v>
      </c>
      <c r="T2997" s="4" t="s">
        <v>6083</v>
      </c>
      <c r="U2997" s="4" t="str">
        <f t="shared" si="134"/>
        <v>性</v>
      </c>
      <c r="V2997" s="4" t="b">
        <f>ISNUMBER(MATCH(R2997,T:T,0))</f>
        <v>1</v>
      </c>
    </row>
    <row r="2998" spans="1:22">
      <c r="A2998" s="3">
        <v>2991</v>
      </c>
      <c r="B2998" s="3" t="s">
        <v>2704</v>
      </c>
      <c r="C2998" s="3" t="s">
        <v>6025</v>
      </c>
      <c r="D2998" s="3" t="s">
        <v>2843</v>
      </c>
      <c r="E2998" s="3" t="s">
        <v>5991</v>
      </c>
      <c r="F2998" s="3" t="s">
        <v>1221</v>
      </c>
      <c r="G2998" s="3" t="s">
        <v>4210</v>
      </c>
      <c r="H2998" s="3" t="s">
        <v>2705</v>
      </c>
      <c r="I2998" s="3" t="s">
        <v>1086</v>
      </c>
      <c r="J2998" s="5" t="s">
        <v>2706</v>
      </c>
      <c r="L2998" s="3" t="s">
        <v>7458</v>
      </c>
      <c r="M2998" s="3">
        <v>7</v>
      </c>
      <c r="N2998" s="4" t="s">
        <v>2707</v>
      </c>
      <c r="O2998" s="4">
        <v>158</v>
      </c>
      <c r="P2998" s="11" t="s">
        <v>9729</v>
      </c>
      <c r="Q2998" s="11" t="s">
        <v>5997</v>
      </c>
      <c r="S2998" s="4" t="b">
        <f>ISNUMBER(MATCH(Q2998,T:T,0))</f>
        <v>1</v>
      </c>
      <c r="T2998" s="4" t="s">
        <v>2707</v>
      </c>
      <c r="U2998" s="4" t="str">
        <f t="shared" si="134"/>
        <v>定</v>
      </c>
    </row>
    <row r="2999" spans="1:22">
      <c r="A2999" s="3">
        <v>2992</v>
      </c>
      <c r="B2999" s="3" t="s">
        <v>2704</v>
      </c>
      <c r="C2999" s="3" t="s">
        <v>6102</v>
      </c>
      <c r="D2999" s="3" t="s">
        <v>2843</v>
      </c>
      <c r="E2999" s="3" t="s">
        <v>5991</v>
      </c>
      <c r="F2999" s="3" t="s">
        <v>1221</v>
      </c>
      <c r="G2999" s="3" t="s">
        <v>4210</v>
      </c>
      <c r="H2999" s="3" t="s">
        <v>2708</v>
      </c>
      <c r="I2999" s="3" t="s">
        <v>1086</v>
      </c>
      <c r="J2999" s="8" t="s">
        <v>9446</v>
      </c>
      <c r="L2999" s="3" t="s">
        <v>2709</v>
      </c>
      <c r="M2999" s="3">
        <v>4</v>
      </c>
      <c r="N2999" s="4" t="s">
        <v>2707</v>
      </c>
      <c r="O2999" s="4">
        <v>158</v>
      </c>
      <c r="P2999" s="11" t="s">
        <v>9873</v>
      </c>
      <c r="Q2999" s="11" t="s">
        <v>5997</v>
      </c>
      <c r="S2999" s="4" t="b">
        <f>ISNUMBER(MATCH(Q2999,T:T,0))</f>
        <v>1</v>
      </c>
      <c r="T2999" s="4" t="s">
        <v>12490</v>
      </c>
      <c r="U2999" s="4" t="str">
        <f t="shared" si="134"/>
        <v>定</v>
      </c>
    </row>
    <row r="3000" spans="1:22">
      <c r="A3000" s="3">
        <v>2993</v>
      </c>
      <c r="B3000" s="3" t="s">
        <v>2704</v>
      </c>
      <c r="C3000" s="3" t="s">
        <v>6017</v>
      </c>
      <c r="D3000" s="3" t="s">
        <v>2843</v>
      </c>
      <c r="E3000" s="3" t="s">
        <v>5991</v>
      </c>
      <c r="F3000" s="3" t="s">
        <v>1221</v>
      </c>
      <c r="G3000" s="3" t="s">
        <v>4210</v>
      </c>
      <c r="H3000" s="3" t="s">
        <v>2710</v>
      </c>
      <c r="I3000" s="3" t="s">
        <v>1086</v>
      </c>
      <c r="J3000" s="5" t="s">
        <v>9447</v>
      </c>
      <c r="L3000" s="3" t="s">
        <v>3850</v>
      </c>
      <c r="M3000" s="3">
        <v>3</v>
      </c>
      <c r="N3000" s="4" t="s">
        <v>2707</v>
      </c>
      <c r="O3000" s="4">
        <v>158</v>
      </c>
      <c r="P3000" s="11" t="s">
        <v>9741</v>
      </c>
      <c r="Q3000" s="11" t="s">
        <v>10696</v>
      </c>
      <c r="R3000" s="4" t="s">
        <v>13163</v>
      </c>
      <c r="S3000" s="4" t="b">
        <f>ISNUMBER(MATCH(Q3000,T:T,0))</f>
        <v>0</v>
      </c>
      <c r="T3000" s="4" t="s">
        <v>12491</v>
      </c>
      <c r="U3000" s="4" t="str">
        <f t="shared" si="134"/>
        <v>寗</v>
      </c>
      <c r="V3000" s="4" t="b">
        <f>ISNUMBER(MATCH(R3000,T:T,0))</f>
        <v>1</v>
      </c>
    </row>
    <row r="3001" spans="1:22">
      <c r="A3001" s="3">
        <v>2994</v>
      </c>
      <c r="B3001" s="3" t="s">
        <v>2704</v>
      </c>
      <c r="C3001" s="3" t="s">
        <v>6067</v>
      </c>
      <c r="D3001" s="3" t="s">
        <v>2843</v>
      </c>
      <c r="E3001" s="3" t="s">
        <v>5991</v>
      </c>
      <c r="F3001" s="3" t="s">
        <v>1221</v>
      </c>
      <c r="G3001" s="3" t="s">
        <v>4210</v>
      </c>
      <c r="H3001" s="3" t="s">
        <v>2711</v>
      </c>
      <c r="I3001" s="3" t="s">
        <v>1086</v>
      </c>
      <c r="J3001" s="5" t="s">
        <v>9448</v>
      </c>
      <c r="L3001" s="3" t="s">
        <v>3850</v>
      </c>
      <c r="M3001" s="3">
        <v>2</v>
      </c>
      <c r="N3001" s="4" t="s">
        <v>2707</v>
      </c>
      <c r="O3001" s="4">
        <v>158</v>
      </c>
      <c r="P3001" s="11" t="s">
        <v>9870</v>
      </c>
      <c r="Q3001" s="11" t="s">
        <v>5997</v>
      </c>
      <c r="S3001" s="4" t="b">
        <f>ISNUMBER(MATCH(Q3001,T:T,0))</f>
        <v>1</v>
      </c>
      <c r="T3001" s="4" t="s">
        <v>12492</v>
      </c>
      <c r="U3001" s="4" t="str">
        <f t="shared" si="134"/>
        <v>定</v>
      </c>
    </row>
    <row r="3002" spans="1:22">
      <c r="A3002" s="3">
        <v>2995</v>
      </c>
      <c r="B3002" s="3" t="s">
        <v>2704</v>
      </c>
      <c r="C3002" s="3" t="s">
        <v>5997</v>
      </c>
      <c r="D3002" s="3" t="s">
        <v>2843</v>
      </c>
      <c r="E3002" s="3" t="s">
        <v>5991</v>
      </c>
      <c r="F3002" s="3" t="s">
        <v>1221</v>
      </c>
      <c r="G3002" s="3" t="s">
        <v>4210</v>
      </c>
      <c r="H3002" s="3" t="s">
        <v>2712</v>
      </c>
      <c r="I3002" s="3" t="s">
        <v>1086</v>
      </c>
      <c r="J3002" s="5" t="s">
        <v>2713</v>
      </c>
      <c r="L3002" s="3" t="s">
        <v>7499</v>
      </c>
      <c r="M3002" s="3">
        <v>4</v>
      </c>
      <c r="N3002" s="4" t="s">
        <v>2707</v>
      </c>
      <c r="O3002" s="4">
        <v>158</v>
      </c>
      <c r="P3002" s="11" t="s">
        <v>9706</v>
      </c>
      <c r="Q3002" s="11" t="s">
        <v>2707</v>
      </c>
      <c r="S3002" s="4" t="b">
        <f>ISNUMBER(MATCH(Q3002,T:T,0))</f>
        <v>1</v>
      </c>
      <c r="T3002" s="4" t="s">
        <v>5997</v>
      </c>
      <c r="U3002" s="4" t="str">
        <f t="shared" si="134"/>
        <v>徑</v>
      </c>
    </row>
    <row r="3003" spans="1:22">
      <c r="A3003" s="3">
        <v>2996</v>
      </c>
      <c r="B3003" s="3" t="s">
        <v>2704</v>
      </c>
      <c r="C3003" s="3" t="s">
        <v>5989</v>
      </c>
      <c r="D3003" s="3" t="s">
        <v>2843</v>
      </c>
      <c r="E3003" s="3" t="s">
        <v>5991</v>
      </c>
      <c r="F3003" s="3" t="s">
        <v>1221</v>
      </c>
      <c r="G3003" s="3" t="s">
        <v>4210</v>
      </c>
      <c r="H3003" s="3" t="s">
        <v>2714</v>
      </c>
      <c r="I3003" s="3" t="s">
        <v>1086</v>
      </c>
      <c r="J3003" s="8" t="s">
        <v>9449</v>
      </c>
      <c r="L3003" s="3" t="s">
        <v>7499</v>
      </c>
      <c r="M3003" s="3">
        <v>9</v>
      </c>
      <c r="N3003" s="4" t="s">
        <v>2707</v>
      </c>
      <c r="O3003" s="4">
        <v>158</v>
      </c>
      <c r="P3003" s="11" t="s">
        <v>9822</v>
      </c>
      <c r="Q3003" s="11" t="s">
        <v>5997</v>
      </c>
      <c r="S3003" s="4" t="b">
        <f>ISNUMBER(MATCH(Q3003,T:T,0))</f>
        <v>1</v>
      </c>
      <c r="T3003" s="4" t="s">
        <v>12493</v>
      </c>
      <c r="U3003" s="4" t="str">
        <f t="shared" si="134"/>
        <v>定</v>
      </c>
    </row>
    <row r="3004" spans="1:22">
      <c r="A3004" s="3">
        <v>2997</v>
      </c>
      <c r="B3004" s="3" t="s">
        <v>2704</v>
      </c>
      <c r="C3004" s="3" t="s">
        <v>6038</v>
      </c>
      <c r="D3004" s="3" t="s">
        <v>2843</v>
      </c>
      <c r="E3004" s="3" t="s">
        <v>5991</v>
      </c>
      <c r="F3004" s="3" t="s">
        <v>1221</v>
      </c>
      <c r="G3004" s="3" t="s">
        <v>4210</v>
      </c>
      <c r="H3004" s="3" t="s">
        <v>2715</v>
      </c>
      <c r="I3004" s="3" t="s">
        <v>1086</v>
      </c>
      <c r="J3004" s="5" t="s">
        <v>9450</v>
      </c>
      <c r="L3004" s="3" t="s">
        <v>2620</v>
      </c>
      <c r="M3004" s="3">
        <v>7</v>
      </c>
      <c r="N3004" s="4" t="s">
        <v>2707</v>
      </c>
      <c r="O3004" s="4">
        <v>158</v>
      </c>
      <c r="P3004" s="11" t="s">
        <v>9728</v>
      </c>
      <c r="Q3004" s="11" t="s">
        <v>5997</v>
      </c>
      <c r="S3004" s="4" t="b">
        <f>ISNUMBER(MATCH(Q3004,T:T,0))</f>
        <v>1</v>
      </c>
      <c r="T3004" s="4" t="s">
        <v>12494</v>
      </c>
      <c r="U3004" s="4" t="str">
        <f t="shared" si="134"/>
        <v>定</v>
      </c>
    </row>
    <row r="3005" spans="1:22">
      <c r="A3005" s="3">
        <v>2998</v>
      </c>
      <c r="B3005" s="3" t="s">
        <v>2704</v>
      </c>
      <c r="C3005" s="3" t="s">
        <v>6079</v>
      </c>
      <c r="D3005" s="3" t="s">
        <v>2843</v>
      </c>
      <c r="E3005" s="3" t="s">
        <v>5991</v>
      </c>
      <c r="F3005" s="3" t="s">
        <v>1221</v>
      </c>
      <c r="G3005" s="3" t="s">
        <v>4210</v>
      </c>
      <c r="H3005" s="3" t="s">
        <v>2716</v>
      </c>
      <c r="I3005" s="3" t="s">
        <v>1086</v>
      </c>
      <c r="J3005" s="5" t="s">
        <v>2717</v>
      </c>
      <c r="L3005" s="3" t="s">
        <v>2718</v>
      </c>
      <c r="M3005" s="3">
        <v>3</v>
      </c>
      <c r="N3005" s="4" t="s">
        <v>2707</v>
      </c>
      <c r="O3005" s="4">
        <v>158</v>
      </c>
      <c r="P3005" s="11" t="s">
        <v>9736</v>
      </c>
      <c r="Q3005" s="11" t="s">
        <v>5997</v>
      </c>
      <c r="S3005" s="4" t="b">
        <f>ISNUMBER(MATCH(Q3005,T:T,0))</f>
        <v>1</v>
      </c>
      <c r="T3005" s="4" t="s">
        <v>12495</v>
      </c>
      <c r="U3005" s="4" t="str">
        <f t="shared" si="134"/>
        <v>定</v>
      </c>
    </row>
    <row r="3006" spans="1:22">
      <c r="A3006" s="3">
        <v>2999</v>
      </c>
      <c r="B3006" s="3" t="s">
        <v>2704</v>
      </c>
      <c r="C3006" s="3" t="s">
        <v>6076</v>
      </c>
      <c r="D3006" s="3" t="s">
        <v>2843</v>
      </c>
      <c r="E3006" s="3" t="s">
        <v>5991</v>
      </c>
      <c r="F3006" s="3" t="s">
        <v>1221</v>
      </c>
      <c r="G3006" s="3" t="s">
        <v>4210</v>
      </c>
      <c r="H3006" s="3" t="s">
        <v>2719</v>
      </c>
      <c r="I3006" s="3" t="s">
        <v>1086</v>
      </c>
      <c r="J3006" s="5" t="s">
        <v>2720</v>
      </c>
      <c r="L3006" s="3" t="s">
        <v>2620</v>
      </c>
      <c r="M3006" s="3">
        <v>2</v>
      </c>
      <c r="N3006" s="4" t="s">
        <v>2707</v>
      </c>
      <c r="O3006" s="4">
        <v>158</v>
      </c>
      <c r="P3006" s="11" t="s">
        <v>10150</v>
      </c>
      <c r="Q3006" s="11" t="s">
        <v>5997</v>
      </c>
      <c r="S3006" s="4" t="b">
        <f>ISNUMBER(MATCH(Q3006,T:T,0))</f>
        <v>1</v>
      </c>
      <c r="T3006" s="4" t="s">
        <v>12496</v>
      </c>
      <c r="U3006" s="4" t="str">
        <f t="shared" si="134"/>
        <v>定</v>
      </c>
    </row>
    <row r="3007" spans="1:22">
      <c r="A3007" s="3">
        <v>3000</v>
      </c>
      <c r="B3007" s="3" t="s">
        <v>2704</v>
      </c>
      <c r="C3007" s="3" t="s">
        <v>6035</v>
      </c>
      <c r="D3007" s="3" t="s">
        <v>2843</v>
      </c>
      <c r="E3007" s="3" t="s">
        <v>5991</v>
      </c>
      <c r="F3007" s="3" t="s">
        <v>1221</v>
      </c>
      <c r="G3007" s="3" t="s">
        <v>4210</v>
      </c>
      <c r="H3007" s="3" t="s">
        <v>2721</v>
      </c>
      <c r="I3007" s="3" t="s">
        <v>1086</v>
      </c>
      <c r="J3007" s="5" t="s">
        <v>2722</v>
      </c>
      <c r="L3007" s="3" t="s">
        <v>2626</v>
      </c>
      <c r="M3007" s="3">
        <v>2</v>
      </c>
      <c r="N3007" s="4" t="s">
        <v>2707</v>
      </c>
      <c r="O3007" s="4">
        <v>158</v>
      </c>
      <c r="P3007" s="11" t="s">
        <v>9719</v>
      </c>
      <c r="Q3007" s="11" t="s">
        <v>5997</v>
      </c>
      <c r="S3007" s="4" t="b">
        <f>ISNUMBER(MATCH(Q3007,T:T,0))</f>
        <v>1</v>
      </c>
      <c r="T3007" s="4" t="s">
        <v>12497</v>
      </c>
      <c r="U3007" s="4" t="str">
        <f t="shared" si="134"/>
        <v>定</v>
      </c>
    </row>
    <row r="3008" spans="1:22" ht="28.5">
      <c r="A3008" s="3">
        <v>3001</v>
      </c>
      <c r="B3008" s="3" t="s">
        <v>2704</v>
      </c>
      <c r="C3008" s="3" t="s">
        <v>6072</v>
      </c>
      <c r="D3008" s="3" t="s">
        <v>2843</v>
      </c>
      <c r="E3008" s="3" t="s">
        <v>5991</v>
      </c>
      <c r="F3008" s="3" t="s">
        <v>1221</v>
      </c>
      <c r="G3008" s="3" t="s">
        <v>4210</v>
      </c>
      <c r="H3008" s="3" t="s">
        <v>2723</v>
      </c>
      <c r="I3008" s="3" t="s">
        <v>1086</v>
      </c>
      <c r="J3008" s="5" t="s">
        <v>2724</v>
      </c>
      <c r="K3008" s="3" t="s">
        <v>626</v>
      </c>
      <c r="L3008" s="3" t="s">
        <v>4285</v>
      </c>
      <c r="M3008" s="3">
        <v>4</v>
      </c>
      <c r="N3008" s="4" t="s">
        <v>2707</v>
      </c>
      <c r="O3008" s="4">
        <v>158</v>
      </c>
      <c r="P3008" s="11" t="s">
        <v>9734</v>
      </c>
      <c r="Q3008" s="11" t="s">
        <v>5997</v>
      </c>
      <c r="S3008" s="4" t="b">
        <f>ISNUMBER(MATCH(Q3008,T:T,0))</f>
        <v>1</v>
      </c>
      <c r="T3008" s="4" t="s">
        <v>12498</v>
      </c>
      <c r="U3008" s="4" t="str">
        <f t="shared" si="134"/>
        <v>定</v>
      </c>
    </row>
    <row r="3009" spans="1:21">
      <c r="A3009" s="3">
        <v>3002</v>
      </c>
      <c r="B3009" s="3" t="s">
        <v>2704</v>
      </c>
      <c r="C3009" s="3" t="s">
        <v>6058</v>
      </c>
      <c r="D3009" s="3" t="s">
        <v>2843</v>
      </c>
      <c r="E3009" s="3" t="s">
        <v>5991</v>
      </c>
      <c r="F3009" s="3" t="s">
        <v>1221</v>
      </c>
      <c r="G3009" s="3" t="s">
        <v>4210</v>
      </c>
      <c r="H3009" s="3" t="s">
        <v>2725</v>
      </c>
      <c r="I3009" s="3" t="s">
        <v>1086</v>
      </c>
      <c r="J3009" s="5" t="s">
        <v>2726</v>
      </c>
      <c r="L3009" s="3" t="s">
        <v>2685</v>
      </c>
      <c r="M3009" s="3">
        <v>3</v>
      </c>
      <c r="N3009" s="4" t="s">
        <v>2707</v>
      </c>
      <c r="O3009" s="4">
        <v>158</v>
      </c>
      <c r="P3009" s="11" t="s">
        <v>9886</v>
      </c>
      <c r="Q3009" s="11" t="s">
        <v>5997</v>
      </c>
      <c r="S3009" s="4" t="b">
        <f>ISNUMBER(MATCH(Q3009,T:T,0))</f>
        <v>1</v>
      </c>
      <c r="T3009" s="4" t="s">
        <v>12499</v>
      </c>
      <c r="U3009" s="4" t="str">
        <f t="shared" si="134"/>
        <v>定</v>
      </c>
    </row>
    <row r="3010" spans="1:21" ht="28.5">
      <c r="A3010" s="3">
        <v>3003</v>
      </c>
      <c r="B3010" s="3" t="s">
        <v>2727</v>
      </c>
      <c r="C3010" s="3" t="s">
        <v>6009</v>
      </c>
      <c r="D3010" s="3" t="s">
        <v>6001</v>
      </c>
      <c r="E3010" s="3" t="s">
        <v>5991</v>
      </c>
      <c r="F3010" s="3" t="s">
        <v>1250</v>
      </c>
      <c r="G3010" s="3" t="s">
        <v>4210</v>
      </c>
      <c r="H3010" s="3" t="s">
        <v>2728</v>
      </c>
      <c r="I3010" s="3" t="s">
        <v>1251</v>
      </c>
      <c r="J3010" s="5" t="s">
        <v>2729</v>
      </c>
      <c r="L3010" s="3" t="s">
        <v>7430</v>
      </c>
      <c r="M3010" s="3">
        <v>2</v>
      </c>
      <c r="N3010" s="4" t="s">
        <v>9672</v>
      </c>
      <c r="O3010" s="4">
        <v>159</v>
      </c>
      <c r="P3010" s="11" t="s">
        <v>9849</v>
      </c>
      <c r="Q3010" s="11" t="s">
        <v>10697</v>
      </c>
      <c r="S3010" s="4" t="b">
        <f>ISNUMBER(MATCH(Q3010,T:T,0))</f>
        <v>1</v>
      </c>
      <c r="T3010" s="4" t="s">
        <v>9672</v>
      </c>
      <c r="U3010" s="4" t="str">
        <f t="shared" si="134"/>
        <v>應</v>
      </c>
    </row>
    <row r="3011" spans="1:21">
      <c r="A3011" s="3">
        <v>3004</v>
      </c>
      <c r="B3011" s="3" t="s">
        <v>2727</v>
      </c>
      <c r="C3011" s="3" t="s">
        <v>6028</v>
      </c>
      <c r="D3011" s="3" t="s">
        <v>6001</v>
      </c>
      <c r="E3011" s="3" t="s">
        <v>5991</v>
      </c>
      <c r="F3011" s="3" t="s">
        <v>1250</v>
      </c>
      <c r="G3011" s="3" t="s">
        <v>4210</v>
      </c>
      <c r="H3011" s="3" t="s">
        <v>2730</v>
      </c>
      <c r="I3011" s="3" t="s">
        <v>1251</v>
      </c>
      <c r="J3011" s="5" t="s">
        <v>9451</v>
      </c>
      <c r="L3011" s="3" t="s">
        <v>2613</v>
      </c>
      <c r="M3011" s="3">
        <v>7</v>
      </c>
      <c r="N3011" s="4" t="s">
        <v>9672</v>
      </c>
      <c r="O3011" s="4">
        <v>159</v>
      </c>
      <c r="P3011" s="11" t="s">
        <v>6028</v>
      </c>
      <c r="Q3011" s="11" t="s">
        <v>9672</v>
      </c>
      <c r="S3011" s="4" t="b">
        <f>ISNUMBER(MATCH(Q3011,T:T,0))</f>
        <v>1</v>
      </c>
      <c r="T3011" s="4" t="s">
        <v>10698</v>
      </c>
      <c r="U3011" s="4" t="str">
        <f t="shared" ref="U3011:U3074" si="138">IF(ISBLANK(R3011),Q3011,R3011)</f>
        <v>證</v>
      </c>
    </row>
    <row r="3012" spans="1:21" ht="28.5">
      <c r="A3012" s="3">
        <v>3005</v>
      </c>
      <c r="B3012" s="3" t="s">
        <v>2727</v>
      </c>
      <c r="C3012" s="3" t="s">
        <v>3093</v>
      </c>
      <c r="D3012" s="3" t="s">
        <v>6001</v>
      </c>
      <c r="E3012" s="3" t="s">
        <v>5991</v>
      </c>
      <c r="F3012" s="3" t="s">
        <v>1250</v>
      </c>
      <c r="G3012" s="3" t="s">
        <v>4210</v>
      </c>
      <c r="H3012" s="3" t="s">
        <v>2731</v>
      </c>
      <c r="I3012" s="3" t="s">
        <v>1251</v>
      </c>
      <c r="J3012" s="8" t="s">
        <v>9452</v>
      </c>
      <c r="K3012" s="3" t="s">
        <v>2732</v>
      </c>
      <c r="L3012" s="3" t="s">
        <v>2649</v>
      </c>
      <c r="M3012" s="3">
        <v>7</v>
      </c>
      <c r="N3012" s="4" t="s">
        <v>9672</v>
      </c>
      <c r="O3012" s="4">
        <v>159</v>
      </c>
      <c r="P3012" s="11" t="s">
        <v>3459</v>
      </c>
      <c r="Q3012" s="11" t="s">
        <v>9672</v>
      </c>
      <c r="S3012" s="4" t="b">
        <f>ISNUMBER(MATCH(Q3012,T:T,0))</f>
        <v>1</v>
      </c>
      <c r="T3012" s="4" t="s">
        <v>10125</v>
      </c>
      <c r="U3012" s="4" t="str">
        <f t="shared" si="138"/>
        <v>證</v>
      </c>
    </row>
    <row r="3013" spans="1:21">
      <c r="A3013" s="3">
        <v>3006</v>
      </c>
      <c r="B3013" s="3" t="s">
        <v>2727</v>
      </c>
      <c r="C3013" s="3" t="s">
        <v>6021</v>
      </c>
      <c r="D3013" s="3" t="s">
        <v>6001</v>
      </c>
      <c r="E3013" s="3" t="s">
        <v>5991</v>
      </c>
      <c r="F3013" s="3" t="s">
        <v>1250</v>
      </c>
      <c r="G3013" s="3" t="s">
        <v>4210</v>
      </c>
      <c r="H3013" s="3" t="s">
        <v>2733</v>
      </c>
      <c r="I3013" s="3" t="s">
        <v>1251</v>
      </c>
      <c r="J3013" s="5" t="s">
        <v>9453</v>
      </c>
      <c r="L3013" s="3" t="s">
        <v>2734</v>
      </c>
      <c r="M3013" s="3">
        <v>4</v>
      </c>
      <c r="N3013" s="4" t="s">
        <v>9672</v>
      </c>
      <c r="O3013" s="4">
        <v>159</v>
      </c>
      <c r="P3013" s="11" t="s">
        <v>9761</v>
      </c>
      <c r="Q3013" s="11" t="s">
        <v>9672</v>
      </c>
      <c r="S3013" s="4" t="b">
        <f>ISNUMBER(MATCH(Q3013,T:T,0))</f>
        <v>1</v>
      </c>
      <c r="T3013" s="4" t="s">
        <v>12500</v>
      </c>
      <c r="U3013" s="4" t="str">
        <f t="shared" si="138"/>
        <v>證</v>
      </c>
    </row>
    <row r="3014" spans="1:21">
      <c r="A3014" s="3">
        <v>3007</v>
      </c>
      <c r="B3014" s="3" t="s">
        <v>2727</v>
      </c>
      <c r="C3014" s="3" t="s">
        <v>6072</v>
      </c>
      <c r="D3014" s="3" t="s">
        <v>6001</v>
      </c>
      <c r="E3014" s="3" t="s">
        <v>5991</v>
      </c>
      <c r="F3014" s="3" t="s">
        <v>1250</v>
      </c>
      <c r="G3014" s="3" t="s">
        <v>4210</v>
      </c>
      <c r="H3014" s="3" t="s">
        <v>2735</v>
      </c>
      <c r="I3014" s="3" t="s">
        <v>1251</v>
      </c>
      <c r="J3014" s="5" t="s">
        <v>9454</v>
      </c>
      <c r="L3014" s="3" t="s">
        <v>2613</v>
      </c>
      <c r="M3014" s="3">
        <v>3</v>
      </c>
      <c r="N3014" s="4" t="s">
        <v>9672</v>
      </c>
      <c r="O3014" s="4">
        <v>159</v>
      </c>
      <c r="P3014" s="11" t="s">
        <v>9754</v>
      </c>
      <c r="Q3014" s="11" t="s">
        <v>9672</v>
      </c>
      <c r="S3014" s="4" t="b">
        <f>ISNUMBER(MATCH(Q3014,T:T,0))</f>
        <v>1</v>
      </c>
      <c r="T3014" s="4" t="s">
        <v>10697</v>
      </c>
      <c r="U3014" s="4" t="str">
        <f t="shared" si="138"/>
        <v>證</v>
      </c>
    </row>
    <row r="3015" spans="1:21">
      <c r="A3015" s="3">
        <v>3008</v>
      </c>
      <c r="B3015" s="3" t="s">
        <v>2727</v>
      </c>
      <c r="C3015" s="3" t="s">
        <v>6083</v>
      </c>
      <c r="D3015" s="3" t="s">
        <v>6001</v>
      </c>
      <c r="E3015" s="3" t="s">
        <v>5991</v>
      </c>
      <c r="F3015" s="3" t="s">
        <v>1250</v>
      </c>
      <c r="G3015" s="3" t="s">
        <v>4210</v>
      </c>
      <c r="H3015" s="3" t="s">
        <v>2736</v>
      </c>
      <c r="I3015" s="3" t="s">
        <v>1251</v>
      </c>
      <c r="J3015" s="5" t="s">
        <v>0</v>
      </c>
      <c r="L3015" s="3" t="s">
        <v>7458</v>
      </c>
      <c r="M3015" s="3">
        <v>4</v>
      </c>
      <c r="N3015" s="4" t="s">
        <v>9672</v>
      </c>
      <c r="O3015" s="4">
        <v>159</v>
      </c>
      <c r="P3015" s="11" t="s">
        <v>9737</v>
      </c>
      <c r="Q3015" s="11" t="s">
        <v>10698</v>
      </c>
      <c r="S3015" s="4" t="b">
        <f>ISNUMBER(MATCH(Q3015,T:T,0))</f>
        <v>1</v>
      </c>
      <c r="T3015" s="4" t="s">
        <v>10700</v>
      </c>
      <c r="U3015" s="4" t="str">
        <f t="shared" si="138"/>
        <v>孕</v>
      </c>
    </row>
    <row r="3016" spans="1:21">
      <c r="A3016" s="3">
        <v>3009</v>
      </c>
      <c r="B3016" s="3" t="s">
        <v>2727</v>
      </c>
      <c r="C3016" s="3" t="s">
        <v>6089</v>
      </c>
      <c r="D3016" s="3" t="s">
        <v>6001</v>
      </c>
      <c r="E3016" s="3" t="s">
        <v>5991</v>
      </c>
      <c r="F3016" s="3" t="s">
        <v>1250</v>
      </c>
      <c r="G3016" s="3" t="s">
        <v>4210</v>
      </c>
      <c r="H3016" s="3" t="s">
        <v>1</v>
      </c>
      <c r="I3016" s="3" t="s">
        <v>1251</v>
      </c>
      <c r="J3016" s="5" t="s">
        <v>9455</v>
      </c>
      <c r="L3016" s="3" t="s">
        <v>3850</v>
      </c>
      <c r="M3016" s="3">
        <v>3</v>
      </c>
      <c r="N3016" s="4" t="s">
        <v>9672</v>
      </c>
      <c r="O3016" s="4">
        <v>159</v>
      </c>
      <c r="P3016" s="11" t="s">
        <v>9753</v>
      </c>
      <c r="Q3016" s="11" t="s">
        <v>10697</v>
      </c>
      <c r="S3016" s="4" t="b">
        <f>ISNUMBER(MATCH(Q3016,T:T,0))</f>
        <v>1</v>
      </c>
      <c r="T3016" s="4" t="s">
        <v>10216</v>
      </c>
      <c r="U3016" s="4" t="str">
        <f t="shared" si="138"/>
        <v>應</v>
      </c>
    </row>
    <row r="3017" spans="1:21" ht="28.5">
      <c r="A3017" s="3">
        <v>3010</v>
      </c>
      <c r="B3017" s="3" t="s">
        <v>2727</v>
      </c>
      <c r="C3017" s="3" t="s">
        <v>6120</v>
      </c>
      <c r="D3017" s="3" t="s">
        <v>6001</v>
      </c>
      <c r="E3017" s="3" t="s">
        <v>5991</v>
      </c>
      <c r="F3017" s="3" t="s">
        <v>1250</v>
      </c>
      <c r="G3017" s="3" t="s">
        <v>4210</v>
      </c>
      <c r="H3017" s="3" t="s">
        <v>2</v>
      </c>
      <c r="I3017" s="3" t="s">
        <v>1251</v>
      </c>
      <c r="J3017" s="5" t="s">
        <v>9456</v>
      </c>
      <c r="L3017" s="3" t="s">
        <v>2649</v>
      </c>
      <c r="M3017" s="3">
        <v>4</v>
      </c>
      <c r="N3017" s="4" t="s">
        <v>9672</v>
      </c>
      <c r="O3017" s="4">
        <v>159</v>
      </c>
      <c r="P3017" s="11" t="s">
        <v>10232</v>
      </c>
      <c r="Q3017" s="11" t="s">
        <v>9672</v>
      </c>
      <c r="S3017" s="4" t="b">
        <f>ISNUMBER(MATCH(Q3017,T:T,0))</f>
        <v>1</v>
      </c>
      <c r="T3017" s="4" t="s">
        <v>12501</v>
      </c>
      <c r="U3017" s="4" t="str">
        <f t="shared" si="138"/>
        <v>證</v>
      </c>
    </row>
    <row r="3018" spans="1:21" ht="28.5">
      <c r="A3018" s="3">
        <v>3011</v>
      </c>
      <c r="B3018" s="3" t="s">
        <v>2727</v>
      </c>
      <c r="C3018" s="3" t="s">
        <v>6005</v>
      </c>
      <c r="D3018" s="3" t="s">
        <v>6001</v>
      </c>
      <c r="E3018" s="3" t="s">
        <v>5991</v>
      </c>
      <c r="F3018" s="3" t="s">
        <v>1250</v>
      </c>
      <c r="G3018" s="3" t="s">
        <v>4210</v>
      </c>
      <c r="H3018" s="3" t="s">
        <v>3</v>
      </c>
      <c r="I3018" s="3" t="s">
        <v>1251</v>
      </c>
      <c r="J3018" s="5" t="s">
        <v>4</v>
      </c>
      <c r="L3018" s="3" t="s">
        <v>7430</v>
      </c>
      <c r="M3018" s="3">
        <v>3</v>
      </c>
      <c r="N3018" s="4" t="s">
        <v>9672</v>
      </c>
      <c r="O3018" s="4">
        <v>159</v>
      </c>
      <c r="P3018" s="11" t="s">
        <v>10263</v>
      </c>
      <c r="Q3018" s="11" t="s">
        <v>9672</v>
      </c>
      <c r="S3018" s="4" t="b">
        <f>ISNUMBER(MATCH(Q3018,T:T,0))</f>
        <v>1</v>
      </c>
      <c r="T3018" s="4" t="s">
        <v>12502</v>
      </c>
      <c r="U3018" s="4" t="str">
        <f t="shared" si="138"/>
        <v>證</v>
      </c>
    </row>
    <row r="3019" spans="1:21">
      <c r="A3019" s="3">
        <v>3012</v>
      </c>
      <c r="B3019" s="3" t="s">
        <v>2727</v>
      </c>
      <c r="C3019" s="3" t="s">
        <v>6089</v>
      </c>
      <c r="D3019" s="3" t="s">
        <v>6001</v>
      </c>
      <c r="E3019" s="3" t="s">
        <v>5991</v>
      </c>
      <c r="F3019" s="3" t="s">
        <v>1250</v>
      </c>
      <c r="G3019" s="3" t="s">
        <v>4210</v>
      </c>
      <c r="H3019" s="3" t="s">
        <v>5</v>
      </c>
      <c r="I3019" s="3" t="s">
        <v>1251</v>
      </c>
      <c r="J3019" s="5" t="s">
        <v>6</v>
      </c>
      <c r="L3019" s="3" t="s">
        <v>3850</v>
      </c>
      <c r="M3019" s="3">
        <v>1</v>
      </c>
      <c r="N3019" s="4" t="s">
        <v>9672</v>
      </c>
      <c r="O3019" s="4">
        <v>159</v>
      </c>
      <c r="P3019" s="11" t="s">
        <v>10699</v>
      </c>
      <c r="Q3019" s="11" t="s">
        <v>10700</v>
      </c>
      <c r="S3019" s="4" t="b">
        <f>ISNUMBER(MATCH(Q3019,T:T,0))</f>
        <v>1</v>
      </c>
      <c r="T3019" s="4" t="s">
        <v>6</v>
      </c>
      <c r="U3019" s="4" t="str">
        <f t="shared" si="138"/>
        <v>甑</v>
      </c>
    </row>
    <row r="3020" spans="1:21">
      <c r="A3020" s="3">
        <v>3013</v>
      </c>
      <c r="B3020" s="3" t="s">
        <v>2727</v>
      </c>
      <c r="C3020" s="3" t="s">
        <v>6045</v>
      </c>
      <c r="D3020" s="3" t="s">
        <v>6001</v>
      </c>
      <c r="E3020" s="3" t="s">
        <v>5991</v>
      </c>
      <c r="F3020" s="3" t="s">
        <v>1250</v>
      </c>
      <c r="G3020" s="3" t="s">
        <v>4210</v>
      </c>
      <c r="H3020" s="3" t="s">
        <v>7</v>
      </c>
      <c r="I3020" s="3" t="s">
        <v>1251</v>
      </c>
      <c r="J3020" s="8" t="s">
        <v>8</v>
      </c>
      <c r="L3020" s="3" t="s">
        <v>3864</v>
      </c>
      <c r="M3020" s="3">
        <v>2</v>
      </c>
      <c r="N3020" s="4" t="s">
        <v>9672</v>
      </c>
      <c r="O3020" s="4">
        <v>159</v>
      </c>
      <c r="P3020" s="11" t="s">
        <v>10154</v>
      </c>
      <c r="Q3020" s="11" t="s">
        <v>9672</v>
      </c>
      <c r="S3020" s="4" t="b">
        <f>ISNUMBER(MATCH(Q3020,T:T,0))</f>
        <v>1</v>
      </c>
      <c r="T3020" s="4" t="s">
        <v>11434</v>
      </c>
      <c r="U3020" s="4" t="str">
        <f t="shared" si="138"/>
        <v>證</v>
      </c>
    </row>
    <row r="3021" spans="1:21" ht="28.5">
      <c r="A3021" s="3">
        <v>3014</v>
      </c>
      <c r="B3021" s="3" t="s">
        <v>2727</v>
      </c>
      <c r="C3021" s="3" t="s">
        <v>6055</v>
      </c>
      <c r="D3021" s="3" t="s">
        <v>6001</v>
      </c>
      <c r="E3021" s="3" t="s">
        <v>5991</v>
      </c>
      <c r="F3021" s="3" t="s">
        <v>1250</v>
      </c>
      <c r="G3021" s="3" t="s">
        <v>4210</v>
      </c>
      <c r="H3021" s="3" t="s">
        <v>9</v>
      </c>
      <c r="I3021" s="3" t="s">
        <v>1251</v>
      </c>
      <c r="J3021" s="5" t="s">
        <v>10</v>
      </c>
      <c r="L3021" s="3" t="s">
        <v>2639</v>
      </c>
      <c r="M3021" s="3">
        <v>2</v>
      </c>
      <c r="N3021" s="4" t="s">
        <v>9672</v>
      </c>
      <c r="O3021" s="4">
        <v>159</v>
      </c>
      <c r="P3021" s="11" t="s">
        <v>6055</v>
      </c>
      <c r="Q3021" s="11" t="s">
        <v>10698</v>
      </c>
      <c r="S3021" s="4" t="b">
        <f>ISNUMBER(MATCH(Q3021,T:T,0))</f>
        <v>1</v>
      </c>
      <c r="T3021" s="4" t="s">
        <v>11438</v>
      </c>
      <c r="U3021" s="4" t="str">
        <f t="shared" si="138"/>
        <v>孕</v>
      </c>
    </row>
    <row r="3022" spans="1:21">
      <c r="A3022" s="3">
        <v>3015</v>
      </c>
      <c r="B3022" s="3" t="s">
        <v>2727</v>
      </c>
      <c r="C3022" s="3" t="s">
        <v>6092</v>
      </c>
      <c r="D3022" s="3" t="s">
        <v>6001</v>
      </c>
      <c r="E3022" s="3" t="s">
        <v>5991</v>
      </c>
      <c r="F3022" s="3" t="s">
        <v>1250</v>
      </c>
      <c r="G3022" s="3" t="s">
        <v>4210</v>
      </c>
      <c r="H3022" s="3" t="s">
        <v>11</v>
      </c>
      <c r="I3022" s="3" t="s">
        <v>1251</v>
      </c>
      <c r="J3022" s="5" t="s">
        <v>4941</v>
      </c>
      <c r="L3022" s="3" t="s">
        <v>2613</v>
      </c>
      <c r="M3022" s="3">
        <v>1</v>
      </c>
      <c r="N3022" s="4" t="s">
        <v>9672</v>
      </c>
      <c r="O3022" s="4">
        <v>159</v>
      </c>
      <c r="P3022" s="11" t="s">
        <v>5008</v>
      </c>
      <c r="Q3022" s="11" t="s">
        <v>6</v>
      </c>
      <c r="S3022" s="4" t="b">
        <f>ISNUMBER(MATCH(Q3022,T:T,0))</f>
        <v>1</v>
      </c>
      <c r="T3022" s="4" t="s">
        <v>4941</v>
      </c>
      <c r="U3022" s="4" t="str">
        <f t="shared" si="138"/>
        <v>𩜁</v>
      </c>
    </row>
    <row r="3023" spans="1:21" ht="28.5">
      <c r="A3023" s="3">
        <v>3016</v>
      </c>
      <c r="B3023" s="3" t="s">
        <v>2727</v>
      </c>
      <c r="C3023" s="3" t="s">
        <v>6148</v>
      </c>
      <c r="D3023" s="3" t="s">
        <v>6001</v>
      </c>
      <c r="E3023" s="3" t="s">
        <v>5991</v>
      </c>
      <c r="F3023" s="3" t="s">
        <v>1250</v>
      </c>
      <c r="G3023" s="3" t="s">
        <v>4210</v>
      </c>
      <c r="H3023" s="3" t="s">
        <v>12</v>
      </c>
      <c r="I3023" s="3" t="s">
        <v>1251</v>
      </c>
      <c r="J3023" s="5" t="s">
        <v>13</v>
      </c>
      <c r="L3023" s="3" t="s">
        <v>2649</v>
      </c>
      <c r="M3023" s="3">
        <v>1</v>
      </c>
      <c r="N3023" s="4" t="s">
        <v>9672</v>
      </c>
      <c r="O3023" s="4">
        <v>159</v>
      </c>
      <c r="P3023" s="11" t="s">
        <v>6148</v>
      </c>
      <c r="Q3023" s="11" t="s">
        <v>9672</v>
      </c>
      <c r="S3023" s="4" t="b">
        <f>ISNUMBER(MATCH(Q3023,T:T,0))</f>
        <v>1</v>
      </c>
      <c r="T3023" s="4" t="s">
        <v>13</v>
      </c>
      <c r="U3023" s="4" t="str">
        <f t="shared" si="138"/>
        <v>證</v>
      </c>
    </row>
    <row r="3024" spans="1:21" ht="28.5">
      <c r="A3024" s="3">
        <v>3017</v>
      </c>
      <c r="B3024" s="3" t="s">
        <v>2727</v>
      </c>
      <c r="C3024" s="3" t="s">
        <v>6011</v>
      </c>
      <c r="D3024" s="3" t="s">
        <v>6001</v>
      </c>
      <c r="E3024" s="3" t="s">
        <v>5991</v>
      </c>
      <c r="F3024" s="3" t="s">
        <v>1250</v>
      </c>
      <c r="G3024" s="3" t="s">
        <v>4210</v>
      </c>
      <c r="H3024" s="3" t="s">
        <v>14</v>
      </c>
      <c r="I3024" s="3" t="s">
        <v>1251</v>
      </c>
      <c r="J3024" s="8" t="s">
        <v>15</v>
      </c>
      <c r="L3024" s="3" t="s">
        <v>2639</v>
      </c>
      <c r="M3024" s="3">
        <v>1</v>
      </c>
      <c r="N3024" s="4" t="s">
        <v>9672</v>
      </c>
      <c r="O3024" s="4">
        <v>159</v>
      </c>
      <c r="P3024" s="11" t="s">
        <v>9757</v>
      </c>
      <c r="Q3024" s="11" t="s">
        <v>9672</v>
      </c>
      <c r="S3024" s="4" t="b">
        <f>ISNUMBER(MATCH(Q3024,T:T,0))</f>
        <v>1</v>
      </c>
      <c r="T3024" s="4" t="s">
        <v>15</v>
      </c>
      <c r="U3024" s="4" t="str">
        <f t="shared" si="138"/>
        <v>證</v>
      </c>
    </row>
    <row r="3025" spans="1:22">
      <c r="A3025" s="3">
        <v>3018</v>
      </c>
      <c r="B3025" s="3" t="s">
        <v>2727</v>
      </c>
      <c r="C3025" s="3" t="s">
        <v>6041</v>
      </c>
      <c r="D3025" s="3" t="s">
        <v>6001</v>
      </c>
      <c r="E3025" s="3" t="s">
        <v>5991</v>
      </c>
      <c r="F3025" s="3" t="s">
        <v>1250</v>
      </c>
      <c r="G3025" s="3" t="s">
        <v>4210</v>
      </c>
      <c r="H3025" s="3" t="s">
        <v>16</v>
      </c>
      <c r="I3025" s="3" t="s">
        <v>1251</v>
      </c>
      <c r="J3025" s="5" t="s">
        <v>3873</v>
      </c>
      <c r="L3025" s="3" t="s">
        <v>7458</v>
      </c>
      <c r="M3025" s="3">
        <v>1</v>
      </c>
      <c r="N3025" s="4" t="s">
        <v>9672</v>
      </c>
      <c r="O3025" s="4">
        <v>159</v>
      </c>
      <c r="P3025" s="11" t="s">
        <v>9830</v>
      </c>
      <c r="Q3025" s="11" t="s">
        <v>6</v>
      </c>
      <c r="S3025" s="4" t="b">
        <f>ISNUMBER(MATCH(Q3025,T:T,0))</f>
        <v>1</v>
      </c>
      <c r="T3025" s="4" t="s">
        <v>3873</v>
      </c>
      <c r="U3025" s="4" t="str">
        <f t="shared" si="138"/>
        <v>𩜁</v>
      </c>
    </row>
    <row r="3026" spans="1:22">
      <c r="A3026" s="3">
        <v>3019</v>
      </c>
      <c r="B3026" s="3" t="s">
        <v>17</v>
      </c>
      <c r="C3026" s="3" t="s">
        <v>5989</v>
      </c>
      <c r="D3026" s="3" t="s">
        <v>5990</v>
      </c>
      <c r="E3026" s="3" t="s">
        <v>5991</v>
      </c>
      <c r="F3026" s="3" t="s">
        <v>4957</v>
      </c>
      <c r="G3026" s="3" t="s">
        <v>4210</v>
      </c>
      <c r="H3026" s="3" t="s">
        <v>18</v>
      </c>
      <c r="I3026" s="3" t="s">
        <v>1251</v>
      </c>
      <c r="J3026" s="5" t="s">
        <v>9457</v>
      </c>
      <c r="L3026" s="3" t="s">
        <v>19</v>
      </c>
      <c r="M3026" s="3">
        <v>8</v>
      </c>
      <c r="N3026" s="4" t="s">
        <v>9673</v>
      </c>
      <c r="O3026" s="4">
        <v>160</v>
      </c>
      <c r="P3026" s="11" t="s">
        <v>9742</v>
      </c>
      <c r="Q3026" s="11" t="s">
        <v>10701</v>
      </c>
      <c r="S3026" s="4" t="b">
        <f>ISNUMBER(MATCH(Q3026,T:T,0))</f>
        <v>1</v>
      </c>
      <c r="T3026" s="4" t="s">
        <v>9673</v>
      </c>
      <c r="U3026" s="4" t="str">
        <f t="shared" si="138"/>
        <v>鄧</v>
      </c>
    </row>
    <row r="3027" spans="1:22">
      <c r="A3027" s="3">
        <v>3020</v>
      </c>
      <c r="B3027" s="3" t="s">
        <v>17</v>
      </c>
      <c r="C3027" s="3" t="s">
        <v>6069</v>
      </c>
      <c r="D3027" s="3" t="s">
        <v>5990</v>
      </c>
      <c r="E3027" s="3" t="s">
        <v>5991</v>
      </c>
      <c r="F3027" s="3" t="s">
        <v>4957</v>
      </c>
      <c r="G3027" s="3" t="s">
        <v>4210</v>
      </c>
      <c r="H3027" s="3" t="s">
        <v>858</v>
      </c>
      <c r="I3027" s="3" t="s">
        <v>1251</v>
      </c>
      <c r="J3027" s="5" t="s">
        <v>20</v>
      </c>
      <c r="L3027" s="3" t="s">
        <v>21</v>
      </c>
      <c r="M3027" s="3">
        <v>2</v>
      </c>
      <c r="N3027" s="4" t="s">
        <v>9673</v>
      </c>
      <c r="O3027" s="4">
        <v>160</v>
      </c>
      <c r="P3027" s="11" t="s">
        <v>9880</v>
      </c>
      <c r="Q3027" s="11" t="s">
        <v>10702</v>
      </c>
      <c r="S3027" s="4" t="b">
        <f>ISNUMBER(MATCH(Q3027,T:T,0))</f>
        <v>1</v>
      </c>
      <c r="T3027" s="4" t="s">
        <v>10705</v>
      </c>
      <c r="U3027" s="4" t="str">
        <f t="shared" si="138"/>
        <v>亘</v>
      </c>
    </row>
    <row r="3028" spans="1:22">
      <c r="A3028" s="3">
        <v>3021</v>
      </c>
      <c r="B3028" s="3" t="s">
        <v>17</v>
      </c>
      <c r="C3028" s="3" t="s">
        <v>6025</v>
      </c>
      <c r="D3028" s="3" t="s">
        <v>5990</v>
      </c>
      <c r="E3028" s="3" t="s">
        <v>5991</v>
      </c>
      <c r="F3028" s="3" t="s">
        <v>4957</v>
      </c>
      <c r="G3028" s="3" t="s">
        <v>4210</v>
      </c>
      <c r="H3028" s="3" t="s">
        <v>22</v>
      </c>
      <c r="I3028" s="3" t="s">
        <v>1251</v>
      </c>
      <c r="J3028" s="8" t="s">
        <v>9458</v>
      </c>
      <c r="L3028" s="3" t="s">
        <v>2623</v>
      </c>
      <c r="M3028" s="3">
        <v>6</v>
      </c>
      <c r="N3028" s="4" t="s">
        <v>9673</v>
      </c>
      <c r="O3028" s="4">
        <v>160</v>
      </c>
      <c r="P3028" s="11" t="s">
        <v>9729</v>
      </c>
      <c r="Q3028" s="11" t="s">
        <v>10701</v>
      </c>
      <c r="S3028" s="4" t="b">
        <f>ISNUMBER(MATCH(Q3028,T:T,0))</f>
        <v>1</v>
      </c>
      <c r="T3028" s="4" t="s">
        <v>10702</v>
      </c>
      <c r="U3028" s="4" t="str">
        <f t="shared" si="138"/>
        <v>鄧</v>
      </c>
    </row>
    <row r="3029" spans="1:22">
      <c r="A3029" s="3">
        <v>3022</v>
      </c>
      <c r="B3029" s="3" t="s">
        <v>17</v>
      </c>
      <c r="C3029" s="3" t="s">
        <v>6076</v>
      </c>
      <c r="D3029" s="3" t="s">
        <v>5990</v>
      </c>
      <c r="E3029" s="3" t="s">
        <v>5991</v>
      </c>
      <c r="F3029" s="3" t="s">
        <v>4957</v>
      </c>
      <c r="G3029" s="3" t="s">
        <v>4210</v>
      </c>
      <c r="H3029" s="3" t="s">
        <v>23</v>
      </c>
      <c r="I3029" s="3" t="s">
        <v>1251</v>
      </c>
      <c r="J3029" s="5" t="s">
        <v>24</v>
      </c>
      <c r="L3029" s="3" t="s">
        <v>25</v>
      </c>
      <c r="M3029" s="3">
        <v>2</v>
      </c>
      <c r="N3029" s="4" t="s">
        <v>9673</v>
      </c>
      <c r="O3029" s="4">
        <v>160</v>
      </c>
      <c r="P3029" s="11" t="s">
        <v>10150</v>
      </c>
      <c r="Q3029" s="11" t="s">
        <v>10701</v>
      </c>
      <c r="S3029" s="4" t="b">
        <f>ISNUMBER(MATCH(Q3029,T:T,0))</f>
        <v>1</v>
      </c>
      <c r="T3029" s="4" t="s">
        <v>12503</v>
      </c>
      <c r="U3029" s="4" t="str">
        <f t="shared" si="138"/>
        <v>鄧</v>
      </c>
    </row>
    <row r="3030" spans="1:22">
      <c r="A3030" s="3">
        <v>3023</v>
      </c>
      <c r="B3030" s="3" t="s">
        <v>17</v>
      </c>
      <c r="C3030" s="3" t="s">
        <v>5997</v>
      </c>
      <c r="D3030" s="3" t="s">
        <v>5990</v>
      </c>
      <c r="E3030" s="3" t="s">
        <v>5991</v>
      </c>
      <c r="F3030" s="3" t="s">
        <v>4957</v>
      </c>
      <c r="G3030" s="3" t="s">
        <v>4210</v>
      </c>
      <c r="H3030" s="3" t="s">
        <v>859</v>
      </c>
      <c r="I3030" s="3" t="s">
        <v>1251</v>
      </c>
      <c r="J3030" s="5" t="s">
        <v>9459</v>
      </c>
      <c r="L3030" s="3" t="s">
        <v>19</v>
      </c>
      <c r="M3030" s="3">
        <v>6</v>
      </c>
      <c r="N3030" s="4" t="s">
        <v>9673</v>
      </c>
      <c r="O3030" s="4">
        <v>160</v>
      </c>
      <c r="P3030" s="11" t="s">
        <v>9706</v>
      </c>
      <c r="Q3030" s="11" t="s">
        <v>10702</v>
      </c>
      <c r="S3030" s="4" t="b">
        <f>ISNUMBER(MATCH(Q3030,T:T,0))</f>
        <v>1</v>
      </c>
      <c r="T3030" s="4" t="s">
        <v>10701</v>
      </c>
      <c r="U3030" s="4" t="str">
        <f t="shared" si="138"/>
        <v>亘</v>
      </c>
    </row>
    <row r="3031" spans="1:22">
      <c r="A3031" s="3">
        <v>3024</v>
      </c>
      <c r="B3031" s="3" t="s">
        <v>17</v>
      </c>
      <c r="C3031" s="3" t="s">
        <v>6035</v>
      </c>
      <c r="D3031" s="3" t="s">
        <v>5990</v>
      </c>
      <c r="E3031" s="3" t="s">
        <v>5991</v>
      </c>
      <c r="F3031" s="3" t="s">
        <v>4957</v>
      </c>
      <c r="G3031" s="3" t="s">
        <v>4210</v>
      </c>
      <c r="H3031" s="3" t="s">
        <v>860</v>
      </c>
      <c r="I3031" s="3" t="s">
        <v>1251</v>
      </c>
      <c r="J3031" s="5" t="s">
        <v>9460</v>
      </c>
      <c r="L3031" s="3" t="s">
        <v>4245</v>
      </c>
      <c r="M3031" s="3">
        <v>5</v>
      </c>
      <c r="N3031" s="4" t="s">
        <v>9673</v>
      </c>
      <c r="O3031" s="4">
        <v>160</v>
      </c>
      <c r="P3031" s="11" t="s">
        <v>9794</v>
      </c>
      <c r="Q3031" s="11" t="s">
        <v>10702</v>
      </c>
      <c r="S3031" s="4" t="b">
        <f>ISNUMBER(MATCH(Q3031,T:T,0))</f>
        <v>1</v>
      </c>
      <c r="T3031" s="4" t="s">
        <v>12504</v>
      </c>
      <c r="U3031" s="4" t="str">
        <f t="shared" si="138"/>
        <v>亘</v>
      </c>
    </row>
    <row r="3032" spans="1:22">
      <c r="A3032" s="3">
        <v>3025</v>
      </c>
      <c r="B3032" s="3" t="s">
        <v>17</v>
      </c>
      <c r="C3032" s="3" t="s">
        <v>6049</v>
      </c>
      <c r="D3032" s="3" t="s">
        <v>5990</v>
      </c>
      <c r="E3032" s="3" t="s">
        <v>5991</v>
      </c>
      <c r="F3032" s="3" t="s">
        <v>4957</v>
      </c>
      <c r="G3032" s="3" t="s">
        <v>4210</v>
      </c>
      <c r="H3032" s="3" t="s">
        <v>861</v>
      </c>
      <c r="I3032" s="3" t="s">
        <v>1251</v>
      </c>
      <c r="J3032" s="5" t="s">
        <v>26</v>
      </c>
      <c r="L3032" s="3" t="s">
        <v>8682</v>
      </c>
      <c r="M3032" s="3">
        <v>2</v>
      </c>
      <c r="N3032" s="4" t="s">
        <v>9673</v>
      </c>
      <c r="O3032" s="4">
        <v>160</v>
      </c>
      <c r="P3032" s="11" t="s">
        <v>9723</v>
      </c>
      <c r="Q3032" s="11" t="s">
        <v>10703</v>
      </c>
      <c r="R3032" s="4" t="s">
        <v>13164</v>
      </c>
      <c r="S3032" s="4" t="b">
        <f>ISNUMBER(MATCH(Q3032,T:T,0))</f>
        <v>0</v>
      </c>
      <c r="T3032" s="4" t="s">
        <v>12505</v>
      </c>
      <c r="U3032" s="4" t="str">
        <f t="shared" si="138"/>
        <v>嶝</v>
      </c>
      <c r="V3032" s="4" t="b">
        <f>ISNUMBER(MATCH(R3032,T:T,0))</f>
        <v>1</v>
      </c>
    </row>
    <row r="3033" spans="1:22">
      <c r="A3033" s="3">
        <v>3026</v>
      </c>
      <c r="B3033" s="3" t="s">
        <v>17</v>
      </c>
      <c r="C3033" s="3" t="s">
        <v>6045</v>
      </c>
      <c r="D3033" s="3" t="s">
        <v>5990</v>
      </c>
      <c r="E3033" s="3" t="s">
        <v>5991</v>
      </c>
      <c r="F3033" s="3" t="s">
        <v>4957</v>
      </c>
      <c r="G3033" s="3" t="s">
        <v>4210</v>
      </c>
      <c r="H3033" s="3" t="s">
        <v>862</v>
      </c>
      <c r="I3033" s="3" t="s">
        <v>1251</v>
      </c>
      <c r="J3033" s="5" t="s">
        <v>27</v>
      </c>
      <c r="L3033" s="3" t="s">
        <v>8682</v>
      </c>
      <c r="M3033" s="3">
        <v>1</v>
      </c>
      <c r="N3033" s="4" t="s">
        <v>9673</v>
      </c>
      <c r="O3033" s="4">
        <v>160</v>
      </c>
      <c r="P3033" s="11" t="s">
        <v>10704</v>
      </c>
      <c r="Q3033" s="11" t="s">
        <v>10702</v>
      </c>
      <c r="S3033" s="4" t="b">
        <f>ISNUMBER(MATCH(Q3033,T:T,0))</f>
        <v>1</v>
      </c>
      <c r="T3033" s="4" t="s">
        <v>27</v>
      </c>
      <c r="U3033" s="4" t="str">
        <f t="shared" si="138"/>
        <v>亘</v>
      </c>
    </row>
    <row r="3034" spans="1:22">
      <c r="A3034" s="3">
        <v>3027</v>
      </c>
      <c r="B3034" s="3" t="s">
        <v>17</v>
      </c>
      <c r="C3034" s="3" t="s">
        <v>6058</v>
      </c>
      <c r="D3034" s="3" t="s">
        <v>5990</v>
      </c>
      <c r="E3034" s="3" t="s">
        <v>5991</v>
      </c>
      <c r="F3034" s="3" t="s">
        <v>4957</v>
      </c>
      <c r="G3034" s="3" t="s">
        <v>4210</v>
      </c>
      <c r="H3034" s="3" t="s">
        <v>28</v>
      </c>
      <c r="I3034" s="3" t="s">
        <v>1251</v>
      </c>
      <c r="J3034" s="5" t="s">
        <v>29</v>
      </c>
      <c r="L3034" s="3" t="s">
        <v>30</v>
      </c>
      <c r="M3034" s="3">
        <v>2</v>
      </c>
      <c r="N3034" s="4" t="s">
        <v>9673</v>
      </c>
      <c r="O3034" s="4">
        <v>160</v>
      </c>
      <c r="P3034" s="11" t="s">
        <v>9920</v>
      </c>
      <c r="Q3034" s="11" t="s">
        <v>10701</v>
      </c>
      <c r="S3034" s="4" t="b">
        <f>ISNUMBER(MATCH(Q3034,T:T,0))</f>
        <v>1</v>
      </c>
      <c r="T3034" s="4" t="s">
        <v>12506</v>
      </c>
      <c r="U3034" s="4" t="str">
        <f t="shared" si="138"/>
        <v>鄧</v>
      </c>
    </row>
    <row r="3035" spans="1:22">
      <c r="A3035" s="3">
        <v>3028</v>
      </c>
      <c r="B3035" s="3" t="s">
        <v>17</v>
      </c>
      <c r="C3035" s="3" t="s">
        <v>6083</v>
      </c>
      <c r="D3035" s="3" t="s">
        <v>5990</v>
      </c>
      <c r="E3035" s="3" t="s">
        <v>5991</v>
      </c>
      <c r="F3035" s="3" t="s">
        <v>4957</v>
      </c>
      <c r="G3035" s="3" t="s">
        <v>4210</v>
      </c>
      <c r="H3035" s="3" t="s">
        <v>31</v>
      </c>
      <c r="I3035" s="3" t="s">
        <v>1251</v>
      </c>
      <c r="J3035" s="5" t="s">
        <v>32</v>
      </c>
      <c r="L3035" s="3" t="s">
        <v>21</v>
      </c>
      <c r="M3035" s="3">
        <v>1</v>
      </c>
      <c r="N3035" s="4" t="s">
        <v>9673</v>
      </c>
      <c r="O3035" s="4">
        <v>160</v>
      </c>
      <c r="P3035" s="11" t="s">
        <v>9737</v>
      </c>
      <c r="Q3035" s="11" t="s">
        <v>10701</v>
      </c>
      <c r="S3035" s="4" t="b">
        <f>ISNUMBER(MATCH(Q3035,T:T,0))</f>
        <v>1</v>
      </c>
      <c r="T3035" s="4" t="s">
        <v>32</v>
      </c>
      <c r="U3035" s="4" t="str">
        <f t="shared" si="138"/>
        <v>鄧</v>
      </c>
    </row>
    <row r="3036" spans="1:22">
      <c r="A3036" s="3">
        <v>3029</v>
      </c>
      <c r="B3036" s="3" t="s">
        <v>17</v>
      </c>
      <c r="C3036" s="3" t="s">
        <v>6017</v>
      </c>
      <c r="D3036" s="3" t="s">
        <v>5990</v>
      </c>
      <c r="E3036" s="3" t="s">
        <v>5991</v>
      </c>
      <c r="F3036" s="3" t="s">
        <v>4957</v>
      </c>
      <c r="G3036" s="3" t="s">
        <v>4210</v>
      </c>
      <c r="H3036" s="3" t="s">
        <v>33</v>
      </c>
      <c r="I3036" s="3" t="s">
        <v>1251</v>
      </c>
      <c r="J3036" s="5" t="s">
        <v>34</v>
      </c>
      <c r="L3036" s="3" t="s">
        <v>35</v>
      </c>
      <c r="M3036" s="3">
        <v>1</v>
      </c>
      <c r="N3036" s="4" t="s">
        <v>9673</v>
      </c>
      <c r="O3036" s="4">
        <v>160</v>
      </c>
      <c r="P3036" s="11" t="s">
        <v>9963</v>
      </c>
      <c r="Q3036" s="11" t="s">
        <v>10705</v>
      </c>
      <c r="S3036" s="4" t="b">
        <f>ISNUMBER(MATCH(Q3036,T:T,0))</f>
        <v>1</v>
      </c>
      <c r="T3036" s="4" t="s">
        <v>34</v>
      </c>
      <c r="U3036" s="4" t="str">
        <f t="shared" si="138"/>
        <v>贈</v>
      </c>
    </row>
    <row r="3037" spans="1:22">
      <c r="A3037" s="3">
        <v>3030</v>
      </c>
      <c r="B3037" s="3" t="s">
        <v>17</v>
      </c>
      <c r="C3037" s="3" t="s">
        <v>6079</v>
      </c>
      <c r="D3037" s="3" t="s">
        <v>5990</v>
      </c>
      <c r="E3037" s="3" t="s">
        <v>5991</v>
      </c>
      <c r="F3037" s="3" t="s">
        <v>4957</v>
      </c>
      <c r="G3037" s="3" t="s">
        <v>4210</v>
      </c>
      <c r="H3037" s="3" t="s">
        <v>36</v>
      </c>
      <c r="I3037" s="3" t="s">
        <v>1251</v>
      </c>
      <c r="J3037" s="5" t="s">
        <v>37</v>
      </c>
      <c r="L3037" s="3" t="s">
        <v>38</v>
      </c>
      <c r="M3037" s="3">
        <v>1</v>
      </c>
      <c r="N3037" s="4" t="s">
        <v>9673</v>
      </c>
      <c r="O3037" s="4">
        <v>160</v>
      </c>
      <c r="P3037" s="11" t="s">
        <v>10706</v>
      </c>
      <c r="Q3037" s="11" t="s">
        <v>10701</v>
      </c>
      <c r="S3037" s="4" t="b">
        <f>ISNUMBER(MATCH(Q3037,T:T,0))</f>
        <v>1</v>
      </c>
      <c r="T3037" s="4" t="s">
        <v>37</v>
      </c>
      <c r="U3037" s="4" t="str">
        <f t="shared" si="138"/>
        <v>鄧</v>
      </c>
    </row>
    <row r="3038" spans="1:22">
      <c r="A3038" s="3">
        <v>3031</v>
      </c>
      <c r="B3038" s="3" t="s">
        <v>39</v>
      </c>
      <c r="C3038" s="3" t="s">
        <v>6032</v>
      </c>
      <c r="D3038" s="3" t="s">
        <v>6001</v>
      </c>
      <c r="E3038" s="3" t="s">
        <v>5991</v>
      </c>
      <c r="F3038" s="3" t="s">
        <v>4996</v>
      </c>
      <c r="G3038" s="3" t="s">
        <v>4210</v>
      </c>
      <c r="H3038" s="3" t="s">
        <v>40</v>
      </c>
      <c r="I3038" s="3" t="s">
        <v>4998</v>
      </c>
      <c r="J3038" s="5" t="s">
        <v>9461</v>
      </c>
      <c r="L3038" s="3" t="s">
        <v>41</v>
      </c>
      <c r="M3038" s="3">
        <v>16</v>
      </c>
      <c r="N3038" s="4" t="s">
        <v>42</v>
      </c>
      <c r="O3038" s="4">
        <v>161</v>
      </c>
      <c r="P3038" s="11" t="s">
        <v>9859</v>
      </c>
      <c r="Q3038" s="11" t="s">
        <v>10707</v>
      </c>
      <c r="S3038" s="4" t="b">
        <f>ISNUMBER(MATCH(Q3038,T:T,0))</f>
        <v>1</v>
      </c>
      <c r="T3038" s="4" t="s">
        <v>10714</v>
      </c>
      <c r="U3038" s="4" t="str">
        <f t="shared" si="138"/>
        <v>救</v>
      </c>
    </row>
    <row r="3039" spans="1:22">
      <c r="A3039" s="3">
        <v>3032</v>
      </c>
      <c r="B3039" s="3" t="s">
        <v>39</v>
      </c>
      <c r="C3039" s="3" t="s">
        <v>6025</v>
      </c>
      <c r="D3039" s="3" t="s">
        <v>6001</v>
      </c>
      <c r="E3039" s="3" t="s">
        <v>5991</v>
      </c>
      <c r="F3039" s="3" t="s">
        <v>4996</v>
      </c>
      <c r="G3039" s="3" t="s">
        <v>4210</v>
      </c>
      <c r="H3039" s="3" t="s">
        <v>43</v>
      </c>
      <c r="I3039" s="3" t="s">
        <v>4998</v>
      </c>
      <c r="J3039" s="5" t="s">
        <v>9462</v>
      </c>
      <c r="L3039" s="3" t="s">
        <v>3911</v>
      </c>
      <c r="M3039" s="3">
        <v>11</v>
      </c>
      <c r="N3039" s="4" t="s">
        <v>42</v>
      </c>
      <c r="O3039" s="4">
        <v>161</v>
      </c>
      <c r="P3039" s="11" t="s">
        <v>9717</v>
      </c>
      <c r="Q3039" s="11" t="s">
        <v>10708</v>
      </c>
      <c r="R3039" s="4" t="s">
        <v>13165</v>
      </c>
      <c r="S3039" s="4" t="b">
        <f>ISNUMBER(MATCH(Q3039,T:T,0))</f>
        <v>0</v>
      </c>
      <c r="T3039" s="4" t="s">
        <v>10707</v>
      </c>
      <c r="U3039" s="4" t="str">
        <f t="shared" si="138"/>
        <v>又</v>
      </c>
      <c r="V3039" s="4" t="b">
        <f t="shared" ref="V3039:V3040" si="139">ISNUMBER(MATCH(R3039,T:T,0))</f>
        <v>1</v>
      </c>
    </row>
    <row r="3040" spans="1:22">
      <c r="A3040" s="3">
        <v>3033</v>
      </c>
      <c r="B3040" s="3" t="s">
        <v>39</v>
      </c>
      <c r="C3040" s="3" t="s">
        <v>6005</v>
      </c>
      <c r="D3040" s="3" t="s">
        <v>6001</v>
      </c>
      <c r="E3040" s="3" t="s">
        <v>5991</v>
      </c>
      <c r="F3040" s="3" t="s">
        <v>4996</v>
      </c>
      <c r="G3040" s="3" t="s">
        <v>4210</v>
      </c>
      <c r="H3040" s="3" t="s">
        <v>44</v>
      </c>
      <c r="I3040" s="3" t="s">
        <v>4998</v>
      </c>
      <c r="J3040" s="5" t="s">
        <v>9463</v>
      </c>
      <c r="L3040" s="3" t="s">
        <v>3925</v>
      </c>
      <c r="M3040" s="3">
        <v>13</v>
      </c>
      <c r="N3040" s="4" t="s">
        <v>42</v>
      </c>
      <c r="O3040" s="4">
        <v>161</v>
      </c>
      <c r="P3040" s="11" t="s">
        <v>9709</v>
      </c>
      <c r="Q3040" s="11" t="s">
        <v>10708</v>
      </c>
      <c r="R3040" s="4" t="s">
        <v>13165</v>
      </c>
      <c r="S3040" s="4" t="b">
        <f>ISNUMBER(MATCH(Q3040,T:T,0))</f>
        <v>0</v>
      </c>
      <c r="T3040" s="4" t="s">
        <v>12507</v>
      </c>
      <c r="U3040" s="4" t="str">
        <f t="shared" si="138"/>
        <v>又</v>
      </c>
      <c r="V3040" s="4" t="b">
        <f t="shared" si="139"/>
        <v>1</v>
      </c>
    </row>
    <row r="3041" spans="1:22">
      <c r="A3041" s="3">
        <v>3034</v>
      </c>
      <c r="B3041" s="3" t="s">
        <v>39</v>
      </c>
      <c r="C3041" s="3" t="s">
        <v>6000</v>
      </c>
      <c r="D3041" s="3" t="s">
        <v>6001</v>
      </c>
      <c r="E3041" s="3" t="s">
        <v>5991</v>
      </c>
      <c r="F3041" s="3" t="s">
        <v>4996</v>
      </c>
      <c r="G3041" s="3" t="s">
        <v>4210</v>
      </c>
      <c r="H3041" s="3" t="s">
        <v>45</v>
      </c>
      <c r="I3041" s="3" t="s">
        <v>4998</v>
      </c>
      <c r="J3041" s="5" t="s">
        <v>46</v>
      </c>
      <c r="L3041" s="3" t="s">
        <v>3925</v>
      </c>
      <c r="M3041" s="3">
        <v>3</v>
      </c>
      <c r="N3041" s="4" t="s">
        <v>42</v>
      </c>
      <c r="O3041" s="4">
        <v>161</v>
      </c>
      <c r="P3041" s="11" t="s">
        <v>9707</v>
      </c>
      <c r="Q3041" s="11" t="s">
        <v>10707</v>
      </c>
      <c r="S3041" s="4" t="b">
        <f>ISNUMBER(MATCH(Q3041,T:T,0))</f>
        <v>1</v>
      </c>
      <c r="T3041" s="4" t="s">
        <v>12508</v>
      </c>
      <c r="U3041" s="4" t="str">
        <f t="shared" si="138"/>
        <v>救</v>
      </c>
    </row>
    <row r="3042" spans="1:22">
      <c r="A3042" s="3">
        <v>3035</v>
      </c>
      <c r="B3042" s="3" t="s">
        <v>39</v>
      </c>
      <c r="C3042" s="3" t="s">
        <v>6120</v>
      </c>
      <c r="D3042" s="3" t="s">
        <v>6001</v>
      </c>
      <c r="E3042" s="3" t="s">
        <v>5991</v>
      </c>
      <c r="F3042" s="3" t="s">
        <v>4996</v>
      </c>
      <c r="G3042" s="3" t="s">
        <v>4210</v>
      </c>
      <c r="H3042" s="3" t="s">
        <v>47</v>
      </c>
      <c r="I3042" s="3" t="s">
        <v>4998</v>
      </c>
      <c r="J3042" s="5" t="s">
        <v>48</v>
      </c>
      <c r="L3042" s="3" t="s">
        <v>3928</v>
      </c>
      <c r="M3042" s="3">
        <v>5</v>
      </c>
      <c r="N3042" s="4" t="s">
        <v>42</v>
      </c>
      <c r="O3042" s="4">
        <v>161</v>
      </c>
      <c r="P3042" s="11" t="s">
        <v>10242</v>
      </c>
      <c r="Q3042" s="11" t="s">
        <v>10707</v>
      </c>
      <c r="S3042" s="4" t="b">
        <f>ISNUMBER(MATCH(Q3042,T:T,0))</f>
        <v>1</v>
      </c>
      <c r="T3042" s="4" t="s">
        <v>12509</v>
      </c>
      <c r="U3042" s="4" t="str">
        <f t="shared" si="138"/>
        <v>救</v>
      </c>
    </row>
    <row r="3043" spans="1:22">
      <c r="A3043" s="3">
        <v>3036</v>
      </c>
      <c r="B3043" s="3" t="s">
        <v>39</v>
      </c>
      <c r="C3043" s="3" t="s">
        <v>6055</v>
      </c>
      <c r="D3043" s="3" t="s">
        <v>6001</v>
      </c>
      <c r="E3043" s="3" t="s">
        <v>5991</v>
      </c>
      <c r="F3043" s="3" t="s">
        <v>4996</v>
      </c>
      <c r="G3043" s="3" t="s">
        <v>4210</v>
      </c>
      <c r="H3043" s="3" t="s">
        <v>49</v>
      </c>
      <c r="I3043" s="3" t="s">
        <v>4998</v>
      </c>
      <c r="J3043" s="5" t="s">
        <v>50</v>
      </c>
      <c r="L3043" s="3" t="s">
        <v>51</v>
      </c>
      <c r="M3043" s="3">
        <v>2</v>
      </c>
      <c r="N3043" s="4" t="s">
        <v>42</v>
      </c>
      <c r="O3043" s="4">
        <v>161</v>
      </c>
      <c r="P3043" s="11" t="s">
        <v>9749</v>
      </c>
      <c r="Q3043" s="11" t="s">
        <v>10707</v>
      </c>
      <c r="S3043" s="4" t="b">
        <f>ISNUMBER(MATCH(Q3043,T:T,0))</f>
        <v>1</v>
      </c>
      <c r="T3043" s="4" t="s">
        <v>12510</v>
      </c>
      <c r="U3043" s="4" t="str">
        <f t="shared" si="138"/>
        <v>救</v>
      </c>
    </row>
    <row r="3044" spans="1:22">
      <c r="A3044" s="3">
        <v>3037</v>
      </c>
      <c r="B3044" s="3" t="s">
        <v>39</v>
      </c>
      <c r="C3044" s="3" t="s">
        <v>6123</v>
      </c>
      <c r="D3044" s="3" t="s">
        <v>6001</v>
      </c>
      <c r="E3044" s="3" t="s">
        <v>5991</v>
      </c>
      <c r="F3044" s="3" t="s">
        <v>4996</v>
      </c>
      <c r="G3044" s="3" t="s">
        <v>4210</v>
      </c>
      <c r="H3044" s="3" t="s">
        <v>52</v>
      </c>
      <c r="I3044" s="3" t="s">
        <v>4998</v>
      </c>
      <c r="J3044" s="5" t="s">
        <v>53</v>
      </c>
      <c r="L3044" s="3" t="s">
        <v>54</v>
      </c>
      <c r="M3044" s="3">
        <v>4</v>
      </c>
      <c r="N3044" s="4" t="s">
        <v>42</v>
      </c>
      <c r="O3044" s="4">
        <v>161</v>
      </c>
      <c r="P3044" s="11" t="s">
        <v>9833</v>
      </c>
      <c r="Q3044" s="11" t="s">
        <v>10708</v>
      </c>
      <c r="R3044" s="4" t="s">
        <v>13165</v>
      </c>
      <c r="S3044" s="4" t="b">
        <f>ISNUMBER(MATCH(Q3044,T:T,0))</f>
        <v>0</v>
      </c>
      <c r="T3044" s="4" t="s">
        <v>12511</v>
      </c>
      <c r="U3044" s="4" t="str">
        <f t="shared" si="138"/>
        <v>又</v>
      </c>
      <c r="V3044" s="4" t="b">
        <f>ISNUMBER(MATCH(R3044,T:T,0))</f>
        <v>1</v>
      </c>
    </row>
    <row r="3045" spans="1:22">
      <c r="A3045" s="3">
        <v>3038</v>
      </c>
      <c r="B3045" s="3" t="s">
        <v>39</v>
      </c>
      <c r="C3045" s="3" t="s">
        <v>6089</v>
      </c>
      <c r="D3045" s="3" t="s">
        <v>6001</v>
      </c>
      <c r="E3045" s="3" t="s">
        <v>5991</v>
      </c>
      <c r="F3045" s="3" t="s">
        <v>4996</v>
      </c>
      <c r="G3045" s="3" t="s">
        <v>4210</v>
      </c>
      <c r="H3045" s="3" t="s">
        <v>55</v>
      </c>
      <c r="I3045" s="3" t="s">
        <v>4998</v>
      </c>
      <c r="J3045" s="8" t="s">
        <v>9464</v>
      </c>
      <c r="L3045" s="3" t="s">
        <v>54</v>
      </c>
      <c r="M3045" s="3">
        <v>3</v>
      </c>
      <c r="N3045" s="4" t="s">
        <v>42</v>
      </c>
      <c r="O3045" s="4">
        <v>161</v>
      </c>
      <c r="P3045" s="11" t="s">
        <v>9753</v>
      </c>
      <c r="Q3045" s="11" t="s">
        <v>10707</v>
      </c>
      <c r="S3045" s="4" t="b">
        <f>ISNUMBER(MATCH(Q3045,T:T,0))</f>
        <v>1</v>
      </c>
      <c r="T3045" s="4" t="s">
        <v>12512</v>
      </c>
      <c r="U3045" s="4" t="str">
        <f t="shared" si="138"/>
        <v>救</v>
      </c>
    </row>
    <row r="3046" spans="1:22">
      <c r="A3046" s="3">
        <v>3039</v>
      </c>
      <c r="B3046" s="3" t="s">
        <v>39</v>
      </c>
      <c r="C3046" s="3" t="s">
        <v>6009</v>
      </c>
      <c r="D3046" s="3" t="s">
        <v>6001</v>
      </c>
      <c r="E3046" s="3" t="s">
        <v>5991</v>
      </c>
      <c r="F3046" s="3" t="s">
        <v>4996</v>
      </c>
      <c r="G3046" s="3" t="s">
        <v>4210</v>
      </c>
      <c r="H3046" s="3" t="s">
        <v>56</v>
      </c>
      <c r="I3046" s="3" t="s">
        <v>4998</v>
      </c>
      <c r="J3046" s="5" t="s">
        <v>9465</v>
      </c>
      <c r="L3046" s="3" t="s">
        <v>3925</v>
      </c>
      <c r="M3046" s="3">
        <v>4</v>
      </c>
      <c r="N3046" s="4" t="s">
        <v>42</v>
      </c>
      <c r="O3046" s="4">
        <v>161</v>
      </c>
      <c r="P3046" s="11" t="s">
        <v>1726</v>
      </c>
      <c r="Q3046" s="11" t="s">
        <v>10707</v>
      </c>
      <c r="S3046" s="4" t="b">
        <f>ISNUMBER(MATCH(Q3046,T:T,0))</f>
        <v>1</v>
      </c>
      <c r="T3046" s="4" t="s">
        <v>12513</v>
      </c>
      <c r="U3046" s="4" t="str">
        <f t="shared" si="138"/>
        <v>救</v>
      </c>
    </row>
    <row r="3047" spans="1:22">
      <c r="A3047" s="3">
        <v>3040</v>
      </c>
      <c r="B3047" s="3" t="s">
        <v>39</v>
      </c>
      <c r="C3047" s="3" t="s">
        <v>6041</v>
      </c>
      <c r="D3047" s="3" t="s">
        <v>6001</v>
      </c>
      <c r="E3047" s="3" t="s">
        <v>5991</v>
      </c>
      <c r="F3047" s="3" t="s">
        <v>4996</v>
      </c>
      <c r="G3047" s="3" t="s">
        <v>4210</v>
      </c>
      <c r="H3047" s="3" t="s">
        <v>57</v>
      </c>
      <c r="I3047" s="3" t="s">
        <v>4998</v>
      </c>
      <c r="J3047" s="5" t="s">
        <v>9466</v>
      </c>
      <c r="L3047" s="3" t="s">
        <v>3911</v>
      </c>
      <c r="M3047" s="3">
        <v>3</v>
      </c>
      <c r="N3047" s="4" t="s">
        <v>42</v>
      </c>
      <c r="O3047" s="4">
        <v>161</v>
      </c>
      <c r="P3047" s="11" t="s">
        <v>9789</v>
      </c>
      <c r="Q3047" s="11" t="s">
        <v>10707</v>
      </c>
      <c r="S3047" s="4" t="b">
        <f>ISNUMBER(MATCH(Q3047,T:T,0))</f>
        <v>1</v>
      </c>
      <c r="T3047" s="4" t="s">
        <v>12514</v>
      </c>
      <c r="U3047" s="4" t="str">
        <f t="shared" si="138"/>
        <v>救</v>
      </c>
    </row>
    <row r="3048" spans="1:22">
      <c r="A3048" s="3">
        <v>3041</v>
      </c>
      <c r="B3048" s="3" t="s">
        <v>39</v>
      </c>
      <c r="C3048" s="3" t="s">
        <v>6180</v>
      </c>
      <c r="D3048" s="3" t="s">
        <v>6001</v>
      </c>
      <c r="E3048" s="3" t="s">
        <v>5991</v>
      </c>
      <c r="F3048" s="3" t="s">
        <v>4996</v>
      </c>
      <c r="G3048" s="3" t="s">
        <v>4210</v>
      </c>
      <c r="H3048" s="3" t="s">
        <v>58</v>
      </c>
      <c r="I3048" s="3" t="s">
        <v>4998</v>
      </c>
      <c r="J3048" s="5" t="s">
        <v>9467</v>
      </c>
      <c r="L3048" s="3" t="s">
        <v>3928</v>
      </c>
      <c r="M3048" s="3">
        <v>4</v>
      </c>
      <c r="N3048" s="4" t="s">
        <v>42</v>
      </c>
      <c r="O3048" s="4">
        <v>161</v>
      </c>
      <c r="P3048" s="11" t="s">
        <v>9774</v>
      </c>
      <c r="Q3048" s="11" t="s">
        <v>10709</v>
      </c>
      <c r="R3048" s="4" t="s">
        <v>13165</v>
      </c>
      <c r="S3048" s="4" t="b">
        <f>ISNUMBER(MATCH(Q3048,T:T,0))</f>
        <v>0</v>
      </c>
      <c r="T3048" s="4" t="s">
        <v>12515</v>
      </c>
      <c r="U3048" s="4" t="str">
        <f t="shared" si="138"/>
        <v>又</v>
      </c>
      <c r="V3048" s="4" t="b">
        <f>ISNUMBER(MATCH(R3048,T:T,0))</f>
        <v>1</v>
      </c>
    </row>
    <row r="3049" spans="1:22">
      <c r="A3049" s="3">
        <v>3042</v>
      </c>
      <c r="B3049" s="3" t="s">
        <v>39</v>
      </c>
      <c r="C3049" s="3" t="s">
        <v>6318</v>
      </c>
      <c r="D3049" s="3" t="s">
        <v>6001</v>
      </c>
      <c r="E3049" s="3" t="s">
        <v>5991</v>
      </c>
      <c r="F3049" s="3" t="s">
        <v>4996</v>
      </c>
      <c r="G3049" s="3" t="s">
        <v>4210</v>
      </c>
      <c r="H3049" s="3" t="s">
        <v>59</v>
      </c>
      <c r="I3049" s="3" t="s">
        <v>4998</v>
      </c>
      <c r="J3049" s="5" t="s">
        <v>60</v>
      </c>
      <c r="L3049" s="3" t="s">
        <v>3925</v>
      </c>
      <c r="M3049" s="3">
        <v>5</v>
      </c>
      <c r="N3049" s="4" t="s">
        <v>42</v>
      </c>
      <c r="O3049" s="4">
        <v>161</v>
      </c>
      <c r="P3049" s="11" t="s">
        <v>9804</v>
      </c>
      <c r="Q3049" s="11" t="s">
        <v>10707</v>
      </c>
      <c r="S3049" s="4" t="b">
        <f>ISNUMBER(MATCH(Q3049,T:T,0))</f>
        <v>1</v>
      </c>
      <c r="T3049" s="4" t="s">
        <v>12516</v>
      </c>
      <c r="U3049" s="4" t="str">
        <f t="shared" si="138"/>
        <v>救</v>
      </c>
    </row>
    <row r="3050" spans="1:22">
      <c r="A3050" s="3">
        <v>3043</v>
      </c>
      <c r="B3050" s="3" t="s">
        <v>39</v>
      </c>
      <c r="C3050" s="3" t="s">
        <v>6053</v>
      </c>
      <c r="D3050" s="3" t="s">
        <v>6001</v>
      </c>
      <c r="E3050" s="3" t="s">
        <v>5991</v>
      </c>
      <c r="F3050" s="3" t="s">
        <v>4996</v>
      </c>
      <c r="G3050" s="3" t="s">
        <v>4210</v>
      </c>
      <c r="H3050" s="3" t="s">
        <v>61</v>
      </c>
      <c r="I3050" s="3" t="s">
        <v>4998</v>
      </c>
      <c r="J3050" s="5" t="s">
        <v>62</v>
      </c>
      <c r="L3050" s="3" t="s">
        <v>3914</v>
      </c>
      <c r="M3050" s="3">
        <v>7</v>
      </c>
      <c r="N3050" s="4" t="s">
        <v>42</v>
      </c>
      <c r="O3050" s="4">
        <v>161</v>
      </c>
      <c r="P3050" s="11" t="s">
        <v>9724</v>
      </c>
      <c r="Q3050" s="11" t="s">
        <v>10707</v>
      </c>
      <c r="S3050" s="4" t="b">
        <f>ISNUMBER(MATCH(Q3050,T:T,0))</f>
        <v>1</v>
      </c>
      <c r="T3050" s="4" t="s">
        <v>10710</v>
      </c>
      <c r="U3050" s="4" t="str">
        <f t="shared" si="138"/>
        <v>救</v>
      </c>
    </row>
    <row r="3051" spans="1:22">
      <c r="A3051" s="3">
        <v>3044</v>
      </c>
      <c r="B3051" s="3" t="s">
        <v>39</v>
      </c>
      <c r="C3051" s="3" t="s">
        <v>6167</v>
      </c>
      <c r="D3051" s="3" t="s">
        <v>6001</v>
      </c>
      <c r="E3051" s="3" t="s">
        <v>5991</v>
      </c>
      <c r="F3051" s="3" t="s">
        <v>4996</v>
      </c>
      <c r="G3051" s="3" t="s">
        <v>4210</v>
      </c>
      <c r="H3051" s="3" t="s">
        <v>63</v>
      </c>
      <c r="I3051" s="3" t="s">
        <v>4998</v>
      </c>
      <c r="J3051" s="5" t="s">
        <v>9468</v>
      </c>
      <c r="L3051" s="3" t="s">
        <v>51</v>
      </c>
      <c r="M3051" s="3">
        <v>3</v>
      </c>
      <c r="N3051" s="4" t="s">
        <v>42</v>
      </c>
      <c r="O3051" s="4">
        <v>161</v>
      </c>
      <c r="P3051" s="11" t="s">
        <v>6167</v>
      </c>
      <c r="Q3051" s="11" t="s">
        <v>10707</v>
      </c>
      <c r="S3051" s="4" t="b">
        <f>ISNUMBER(MATCH(Q3051,T:T,0))</f>
        <v>1</v>
      </c>
      <c r="T3051" s="4" t="s">
        <v>12517</v>
      </c>
      <c r="U3051" s="4" t="str">
        <f t="shared" si="138"/>
        <v>救</v>
      </c>
    </row>
    <row r="3052" spans="1:22">
      <c r="A3052" s="3">
        <v>3045</v>
      </c>
      <c r="B3052" s="3" t="s">
        <v>39</v>
      </c>
      <c r="C3052" s="3" t="s">
        <v>6049</v>
      </c>
      <c r="D3052" s="3" t="s">
        <v>6001</v>
      </c>
      <c r="E3052" s="3" t="s">
        <v>5991</v>
      </c>
      <c r="F3052" s="3" t="s">
        <v>4996</v>
      </c>
      <c r="G3052" s="3" t="s">
        <v>4210</v>
      </c>
      <c r="H3052" s="3" t="s">
        <v>64</v>
      </c>
      <c r="I3052" s="3" t="s">
        <v>4998</v>
      </c>
      <c r="J3052" s="5" t="s">
        <v>65</v>
      </c>
      <c r="L3052" s="3" t="s">
        <v>3914</v>
      </c>
      <c r="M3052" s="3">
        <v>4</v>
      </c>
      <c r="N3052" s="4" t="s">
        <v>42</v>
      </c>
      <c r="O3052" s="4">
        <v>161</v>
      </c>
      <c r="P3052" s="11" t="s">
        <v>9723</v>
      </c>
      <c r="Q3052" s="11" t="s">
        <v>10710</v>
      </c>
      <c r="S3052" s="4" t="b">
        <f>ISNUMBER(MATCH(Q3052,T:T,0))</f>
        <v>1</v>
      </c>
      <c r="T3052" s="4" t="s">
        <v>10712</v>
      </c>
      <c r="U3052" s="4" t="str">
        <f t="shared" si="138"/>
        <v>副</v>
      </c>
    </row>
    <row r="3053" spans="1:22">
      <c r="A3053" s="3">
        <v>3046</v>
      </c>
      <c r="B3053" s="3" t="s">
        <v>39</v>
      </c>
      <c r="C3053" s="3" t="s">
        <v>6011</v>
      </c>
      <c r="D3053" s="3" t="s">
        <v>6001</v>
      </c>
      <c r="E3053" s="3" t="s">
        <v>5991</v>
      </c>
      <c r="F3053" s="3" t="s">
        <v>4996</v>
      </c>
      <c r="G3053" s="3" t="s">
        <v>4210</v>
      </c>
      <c r="H3053" s="3" t="s">
        <v>66</v>
      </c>
      <c r="I3053" s="3" t="s">
        <v>4998</v>
      </c>
      <c r="J3053" s="5" t="s">
        <v>67</v>
      </c>
      <c r="L3053" s="3" t="s">
        <v>51</v>
      </c>
      <c r="M3053" s="3">
        <v>2</v>
      </c>
      <c r="N3053" s="4" t="s">
        <v>42</v>
      </c>
      <c r="O3053" s="4">
        <v>161</v>
      </c>
      <c r="P3053" s="11" t="s">
        <v>9757</v>
      </c>
      <c r="Q3053" s="11" t="s">
        <v>10707</v>
      </c>
      <c r="S3053" s="4" t="b">
        <f>ISNUMBER(MATCH(Q3053,T:T,0))</f>
        <v>1</v>
      </c>
      <c r="T3053" s="4" t="s">
        <v>12518</v>
      </c>
      <c r="U3053" s="4" t="str">
        <f t="shared" si="138"/>
        <v>救</v>
      </c>
    </row>
    <row r="3054" spans="1:22" ht="39">
      <c r="A3054" s="3">
        <v>3047</v>
      </c>
      <c r="B3054" s="3" t="s">
        <v>39</v>
      </c>
      <c r="C3054" s="3" t="s">
        <v>6058</v>
      </c>
      <c r="D3054" s="3" t="s">
        <v>6001</v>
      </c>
      <c r="E3054" s="3" t="s">
        <v>5991</v>
      </c>
      <c r="F3054" s="3" t="s">
        <v>4996</v>
      </c>
      <c r="G3054" s="3" t="s">
        <v>4210</v>
      </c>
      <c r="H3054" s="3" t="s">
        <v>68</v>
      </c>
      <c r="I3054" s="3" t="s">
        <v>4998</v>
      </c>
      <c r="J3054" s="5" t="s">
        <v>9469</v>
      </c>
      <c r="L3054" s="3" t="s">
        <v>69</v>
      </c>
      <c r="M3054" s="3">
        <v>19</v>
      </c>
      <c r="N3054" s="4" t="s">
        <v>42</v>
      </c>
      <c r="O3054" s="4">
        <v>161</v>
      </c>
      <c r="P3054" s="11" t="s">
        <v>9727</v>
      </c>
      <c r="Q3054" s="11" t="s">
        <v>10707</v>
      </c>
      <c r="S3054" s="4" t="b">
        <f>ISNUMBER(MATCH(Q3054,T:T,0))</f>
        <v>1</v>
      </c>
      <c r="T3054" s="4" t="s">
        <v>10715</v>
      </c>
      <c r="U3054" s="4" t="str">
        <f t="shared" si="138"/>
        <v>救</v>
      </c>
    </row>
    <row r="3055" spans="1:22">
      <c r="A3055" s="3">
        <v>3048</v>
      </c>
      <c r="B3055" s="3" t="s">
        <v>39</v>
      </c>
      <c r="C3055" s="3" t="s">
        <v>6017</v>
      </c>
      <c r="D3055" s="3" t="s">
        <v>6001</v>
      </c>
      <c r="E3055" s="3" t="s">
        <v>5991</v>
      </c>
      <c r="F3055" s="3" t="s">
        <v>4996</v>
      </c>
      <c r="G3055" s="3" t="s">
        <v>4210</v>
      </c>
      <c r="H3055" s="3" t="s">
        <v>70</v>
      </c>
      <c r="I3055" s="3" t="s">
        <v>4998</v>
      </c>
      <c r="J3055" s="5" t="s">
        <v>9470</v>
      </c>
      <c r="L3055" s="3" t="s">
        <v>54</v>
      </c>
      <c r="M3055" s="3">
        <v>5</v>
      </c>
      <c r="N3055" s="4" t="s">
        <v>42</v>
      </c>
      <c r="O3055" s="4">
        <v>161</v>
      </c>
      <c r="P3055" s="11" t="s">
        <v>9714</v>
      </c>
      <c r="Q3055" s="11" t="s">
        <v>10707</v>
      </c>
      <c r="S3055" s="4" t="b">
        <f>ISNUMBER(MATCH(Q3055,T:T,0))</f>
        <v>1</v>
      </c>
      <c r="T3055" s="4" t="s">
        <v>12519</v>
      </c>
      <c r="U3055" s="4" t="str">
        <f t="shared" si="138"/>
        <v>救</v>
      </c>
    </row>
    <row r="3056" spans="1:22">
      <c r="A3056" s="3">
        <v>3049</v>
      </c>
      <c r="B3056" s="3" t="s">
        <v>39</v>
      </c>
      <c r="C3056" s="3" t="s">
        <v>6083</v>
      </c>
      <c r="D3056" s="3" t="s">
        <v>6001</v>
      </c>
      <c r="E3056" s="3" t="s">
        <v>5991</v>
      </c>
      <c r="F3056" s="3" t="s">
        <v>4996</v>
      </c>
      <c r="G3056" s="3" t="s">
        <v>4210</v>
      </c>
      <c r="H3056" s="3" t="s">
        <v>71</v>
      </c>
      <c r="I3056" s="3" t="s">
        <v>4998</v>
      </c>
      <c r="J3056" s="5" t="s">
        <v>9471</v>
      </c>
      <c r="L3056" s="3" t="s">
        <v>3911</v>
      </c>
      <c r="M3056" s="3">
        <v>3</v>
      </c>
      <c r="N3056" s="4" t="s">
        <v>42</v>
      </c>
      <c r="O3056" s="4">
        <v>161</v>
      </c>
      <c r="P3056" s="11" t="s">
        <v>9760</v>
      </c>
      <c r="Q3056" s="11" t="s">
        <v>10707</v>
      </c>
      <c r="S3056" s="4" t="b">
        <f>ISNUMBER(MATCH(Q3056,T:T,0))</f>
        <v>1</v>
      </c>
      <c r="T3056" s="4" t="s">
        <v>10711</v>
      </c>
      <c r="U3056" s="4" t="str">
        <f t="shared" si="138"/>
        <v>救</v>
      </c>
    </row>
    <row r="3057" spans="1:22">
      <c r="A3057" s="3">
        <v>3050</v>
      </c>
      <c r="B3057" s="3" t="s">
        <v>39</v>
      </c>
      <c r="C3057" s="3" t="s">
        <v>6015</v>
      </c>
      <c r="D3057" s="3" t="s">
        <v>6001</v>
      </c>
      <c r="E3057" s="3" t="s">
        <v>5991</v>
      </c>
      <c r="F3057" s="3" t="s">
        <v>4996</v>
      </c>
      <c r="G3057" s="3" t="s">
        <v>4210</v>
      </c>
      <c r="H3057" s="3" t="s">
        <v>72</v>
      </c>
      <c r="I3057" s="3" t="s">
        <v>4998</v>
      </c>
      <c r="J3057" s="5" t="s">
        <v>9472</v>
      </c>
      <c r="L3057" s="3" t="s">
        <v>3925</v>
      </c>
      <c r="M3057" s="3">
        <v>3</v>
      </c>
      <c r="N3057" s="4" t="s">
        <v>42</v>
      </c>
      <c r="O3057" s="4">
        <v>161</v>
      </c>
      <c r="P3057" s="11" t="s">
        <v>9713</v>
      </c>
      <c r="Q3057" s="11" t="s">
        <v>10709</v>
      </c>
      <c r="R3057" s="4" t="s">
        <v>13165</v>
      </c>
      <c r="S3057" s="4" t="b">
        <f>ISNUMBER(MATCH(Q3057,T:T,0))</f>
        <v>0</v>
      </c>
      <c r="T3057" s="4" t="s">
        <v>12520</v>
      </c>
      <c r="U3057" s="4" t="str">
        <f t="shared" si="138"/>
        <v>又</v>
      </c>
      <c r="V3057" s="4" t="b">
        <f>ISNUMBER(MATCH(R3057,T:T,0))</f>
        <v>1</v>
      </c>
    </row>
    <row r="3058" spans="1:22">
      <c r="A3058" s="3">
        <v>3051</v>
      </c>
      <c r="B3058" s="3" t="s">
        <v>39</v>
      </c>
      <c r="C3058" s="3" t="s">
        <v>6069</v>
      </c>
      <c r="D3058" s="3" t="s">
        <v>6001</v>
      </c>
      <c r="E3058" s="3" t="s">
        <v>5991</v>
      </c>
      <c r="F3058" s="3" t="s">
        <v>4996</v>
      </c>
      <c r="G3058" s="3" t="s">
        <v>4210</v>
      </c>
      <c r="H3058" s="3" t="s">
        <v>73</v>
      </c>
      <c r="I3058" s="3" t="s">
        <v>4998</v>
      </c>
      <c r="J3058" s="5" t="s">
        <v>74</v>
      </c>
      <c r="L3058" s="3" t="s">
        <v>3911</v>
      </c>
      <c r="M3058" s="3">
        <v>4</v>
      </c>
      <c r="N3058" s="4" t="s">
        <v>42</v>
      </c>
      <c r="O3058" s="4">
        <v>161</v>
      </c>
      <c r="P3058" s="11" t="s">
        <v>9756</v>
      </c>
      <c r="Q3058" s="11" t="s">
        <v>10711</v>
      </c>
      <c r="S3058" s="4" t="b">
        <f>ISNUMBER(MATCH(Q3058,T:T,0))</f>
        <v>1</v>
      </c>
      <c r="T3058" s="4" t="s">
        <v>12521</v>
      </c>
      <c r="U3058" s="4" t="str">
        <f t="shared" si="138"/>
        <v>僦</v>
      </c>
    </row>
    <row r="3059" spans="1:22">
      <c r="A3059" s="3">
        <v>3052</v>
      </c>
      <c r="B3059" s="3" t="s">
        <v>39</v>
      </c>
      <c r="C3059" s="3" t="s">
        <v>6137</v>
      </c>
      <c r="D3059" s="3" t="s">
        <v>6001</v>
      </c>
      <c r="E3059" s="3" t="s">
        <v>5991</v>
      </c>
      <c r="F3059" s="3" t="s">
        <v>4996</v>
      </c>
      <c r="G3059" s="3" t="s">
        <v>4210</v>
      </c>
      <c r="H3059" s="3" t="s">
        <v>75</v>
      </c>
      <c r="I3059" s="3" t="s">
        <v>4998</v>
      </c>
      <c r="J3059" s="5" t="s">
        <v>9473</v>
      </c>
      <c r="L3059" s="3" t="s">
        <v>76</v>
      </c>
      <c r="M3059" s="3">
        <v>5</v>
      </c>
      <c r="N3059" s="4" t="s">
        <v>42</v>
      </c>
      <c r="O3059" s="4">
        <v>161</v>
      </c>
      <c r="P3059" s="11" t="s">
        <v>9755</v>
      </c>
      <c r="Q3059" s="11" t="s">
        <v>10707</v>
      </c>
      <c r="S3059" s="4" t="b">
        <f>ISNUMBER(MATCH(Q3059,T:T,0))</f>
        <v>1</v>
      </c>
      <c r="T3059" s="4" t="s">
        <v>12522</v>
      </c>
      <c r="U3059" s="4" t="str">
        <f t="shared" si="138"/>
        <v>救</v>
      </c>
    </row>
    <row r="3060" spans="1:22" ht="28.5">
      <c r="A3060" s="3">
        <v>3053</v>
      </c>
      <c r="B3060" s="3" t="s">
        <v>39</v>
      </c>
      <c r="C3060" s="3" t="s">
        <v>6045</v>
      </c>
      <c r="D3060" s="3" t="s">
        <v>6001</v>
      </c>
      <c r="E3060" s="3" t="s">
        <v>5991</v>
      </c>
      <c r="F3060" s="3" t="s">
        <v>4996</v>
      </c>
      <c r="G3060" s="3" t="s">
        <v>4210</v>
      </c>
      <c r="H3060" s="3" t="s">
        <v>77</v>
      </c>
      <c r="I3060" s="3" t="s">
        <v>4998</v>
      </c>
      <c r="J3060" s="5" t="s">
        <v>9474</v>
      </c>
      <c r="K3060" s="3" t="s">
        <v>627</v>
      </c>
      <c r="L3060" s="3" t="s">
        <v>3914</v>
      </c>
      <c r="M3060" s="3">
        <v>8</v>
      </c>
      <c r="N3060" s="4" t="s">
        <v>42</v>
      </c>
      <c r="O3060" s="4">
        <v>161</v>
      </c>
      <c r="P3060" s="11" t="s">
        <v>9926</v>
      </c>
      <c r="Q3060" s="11" t="s">
        <v>10712</v>
      </c>
      <c r="S3060" s="4" t="b">
        <f>ISNUMBER(MATCH(Q3060,T:T,0))</f>
        <v>1</v>
      </c>
      <c r="T3060" s="4" t="s">
        <v>12523</v>
      </c>
      <c r="U3060" s="4" t="str">
        <f t="shared" si="138"/>
        <v>富</v>
      </c>
    </row>
    <row r="3061" spans="1:22">
      <c r="A3061" s="3">
        <v>3054</v>
      </c>
      <c r="B3061" s="3" t="s">
        <v>39</v>
      </c>
      <c r="C3061" s="3" t="s">
        <v>6028</v>
      </c>
      <c r="D3061" s="3" t="s">
        <v>6001</v>
      </c>
      <c r="E3061" s="3" t="s">
        <v>5991</v>
      </c>
      <c r="F3061" s="3" t="s">
        <v>4996</v>
      </c>
      <c r="G3061" s="3" t="s">
        <v>4210</v>
      </c>
      <c r="H3061" s="3" t="s">
        <v>78</v>
      </c>
      <c r="I3061" s="3" t="s">
        <v>4998</v>
      </c>
      <c r="J3061" s="5" t="s">
        <v>9475</v>
      </c>
      <c r="L3061" s="3" t="s">
        <v>41</v>
      </c>
      <c r="M3061" s="3">
        <v>14</v>
      </c>
      <c r="N3061" s="4" t="s">
        <v>42</v>
      </c>
      <c r="O3061" s="4">
        <v>161</v>
      </c>
      <c r="P3061" s="11" t="s">
        <v>9850</v>
      </c>
      <c r="Q3061" s="11" t="s">
        <v>10707</v>
      </c>
      <c r="S3061" s="4" t="b">
        <f>ISNUMBER(MATCH(Q3061,T:T,0))</f>
        <v>1</v>
      </c>
      <c r="T3061" s="4" t="s">
        <v>12524</v>
      </c>
      <c r="U3061" s="4" t="str">
        <f t="shared" si="138"/>
        <v>救</v>
      </c>
    </row>
    <row r="3062" spans="1:22">
      <c r="A3062" s="3">
        <v>3055</v>
      </c>
      <c r="B3062" s="3" t="s">
        <v>39</v>
      </c>
      <c r="C3062" s="3" t="s">
        <v>6148</v>
      </c>
      <c r="D3062" s="3" t="s">
        <v>6001</v>
      </c>
      <c r="E3062" s="3" t="s">
        <v>5991</v>
      </c>
      <c r="F3062" s="3" t="s">
        <v>4996</v>
      </c>
      <c r="G3062" s="3" t="s">
        <v>4210</v>
      </c>
      <c r="H3062" s="3" t="s">
        <v>863</v>
      </c>
      <c r="I3062" s="3" t="s">
        <v>4998</v>
      </c>
      <c r="J3062" s="5" t="s">
        <v>79</v>
      </c>
      <c r="L3062" s="3" t="s">
        <v>3928</v>
      </c>
      <c r="M3062" s="3">
        <v>6</v>
      </c>
      <c r="N3062" s="4" t="s">
        <v>42</v>
      </c>
      <c r="O3062" s="4">
        <v>161</v>
      </c>
      <c r="P3062" s="11" t="s">
        <v>10198</v>
      </c>
      <c r="Q3062" s="11" t="s">
        <v>10713</v>
      </c>
      <c r="R3062" s="4" t="s">
        <v>13166</v>
      </c>
      <c r="S3062" s="4" t="b">
        <f>ISNUMBER(MATCH(Q3062,T:T,0))</f>
        <v>0</v>
      </c>
      <c r="T3062" s="4" t="s">
        <v>12525</v>
      </c>
      <c r="U3062" s="4" t="str">
        <f t="shared" si="138"/>
        <v>咒</v>
      </c>
      <c r="V3062" s="4" t="b">
        <f>ISNUMBER(MATCH(R3062,T:T,0))</f>
        <v>1</v>
      </c>
    </row>
    <row r="3063" spans="1:22">
      <c r="A3063" s="3">
        <v>3056</v>
      </c>
      <c r="B3063" s="3" t="s">
        <v>39</v>
      </c>
      <c r="C3063" s="3" t="s">
        <v>6021</v>
      </c>
      <c r="D3063" s="3" t="s">
        <v>6001</v>
      </c>
      <c r="E3063" s="3" t="s">
        <v>5991</v>
      </c>
      <c r="F3063" s="3" t="s">
        <v>4996</v>
      </c>
      <c r="G3063" s="3" t="s">
        <v>4210</v>
      </c>
      <c r="H3063" s="3" t="s">
        <v>80</v>
      </c>
      <c r="I3063" s="3" t="s">
        <v>4998</v>
      </c>
      <c r="J3063" s="5" t="s">
        <v>81</v>
      </c>
      <c r="L3063" s="3" t="s">
        <v>82</v>
      </c>
      <c r="M3063" s="3">
        <v>4</v>
      </c>
      <c r="N3063" s="4" t="s">
        <v>42</v>
      </c>
      <c r="O3063" s="4">
        <v>161</v>
      </c>
      <c r="P3063" s="11" t="s">
        <v>9798</v>
      </c>
      <c r="Q3063" s="11" t="s">
        <v>10714</v>
      </c>
      <c r="S3063" s="4" t="b">
        <f>ISNUMBER(MATCH(Q3063,T:T,0))</f>
        <v>1</v>
      </c>
      <c r="T3063" s="4" t="s">
        <v>12526</v>
      </c>
      <c r="U3063" s="4" t="str">
        <f t="shared" si="138"/>
        <v>又</v>
      </c>
    </row>
    <row r="3064" spans="1:22">
      <c r="A3064" s="3">
        <v>3057</v>
      </c>
      <c r="B3064" s="3" t="s">
        <v>39</v>
      </c>
      <c r="C3064" s="3" t="s">
        <v>6035</v>
      </c>
      <c r="D3064" s="3" t="s">
        <v>6001</v>
      </c>
      <c r="E3064" s="3" t="s">
        <v>5991</v>
      </c>
      <c r="F3064" s="3" t="s">
        <v>4996</v>
      </c>
      <c r="G3064" s="3" t="s">
        <v>4210</v>
      </c>
      <c r="H3064" s="3" t="s">
        <v>83</v>
      </c>
      <c r="I3064" s="3" t="s">
        <v>4998</v>
      </c>
      <c r="J3064" s="5" t="s">
        <v>84</v>
      </c>
      <c r="L3064" s="3" t="s">
        <v>85</v>
      </c>
      <c r="M3064" s="3">
        <v>1</v>
      </c>
      <c r="N3064" s="4" t="s">
        <v>42</v>
      </c>
      <c r="O3064" s="4">
        <v>161</v>
      </c>
      <c r="P3064" s="11" t="s">
        <v>10151</v>
      </c>
      <c r="Q3064" s="11" t="s">
        <v>10707</v>
      </c>
      <c r="S3064" s="4" t="b">
        <f>ISNUMBER(MATCH(Q3064,T:T,0))</f>
        <v>1</v>
      </c>
      <c r="T3064" s="4" t="s">
        <v>84</v>
      </c>
      <c r="U3064" s="4" t="str">
        <f t="shared" si="138"/>
        <v>救</v>
      </c>
    </row>
    <row r="3065" spans="1:22">
      <c r="A3065" s="3">
        <v>3058</v>
      </c>
      <c r="B3065" s="3" t="s">
        <v>39</v>
      </c>
      <c r="C3065" s="3" t="s">
        <v>6092</v>
      </c>
      <c r="D3065" s="3" t="s">
        <v>6001</v>
      </c>
      <c r="E3065" s="3" t="s">
        <v>5991</v>
      </c>
      <c r="F3065" s="3" t="s">
        <v>4996</v>
      </c>
      <c r="G3065" s="3" t="s">
        <v>4210</v>
      </c>
      <c r="H3065" s="3" t="s">
        <v>86</v>
      </c>
      <c r="I3065" s="3" t="s">
        <v>4998</v>
      </c>
      <c r="J3065" s="5" t="s">
        <v>87</v>
      </c>
      <c r="L3065" s="3" t="s">
        <v>41</v>
      </c>
      <c r="M3065" s="3">
        <v>1</v>
      </c>
      <c r="N3065" s="4" t="s">
        <v>42</v>
      </c>
      <c r="O3065" s="4">
        <v>161</v>
      </c>
      <c r="P3065" s="11" t="s">
        <v>5008</v>
      </c>
      <c r="Q3065" s="11" t="s">
        <v>10707</v>
      </c>
      <c r="S3065" s="4" t="b">
        <f>ISNUMBER(MATCH(Q3065,T:T,0))</f>
        <v>1</v>
      </c>
      <c r="T3065" s="4" t="s">
        <v>87</v>
      </c>
      <c r="U3065" s="4" t="str">
        <f t="shared" si="138"/>
        <v>救</v>
      </c>
    </row>
    <row r="3066" spans="1:22">
      <c r="A3066" s="3">
        <v>3059</v>
      </c>
      <c r="B3066" s="3" t="s">
        <v>39</v>
      </c>
      <c r="C3066" s="3" t="s">
        <v>6038</v>
      </c>
      <c r="D3066" s="3" t="s">
        <v>6001</v>
      </c>
      <c r="E3066" s="3" t="s">
        <v>5991</v>
      </c>
      <c r="F3066" s="3" t="s">
        <v>4996</v>
      </c>
      <c r="G3066" s="3" t="s">
        <v>4210</v>
      </c>
      <c r="H3066" s="3" t="s">
        <v>88</v>
      </c>
      <c r="I3066" s="3" t="s">
        <v>4998</v>
      </c>
      <c r="J3066" s="5" t="s">
        <v>89</v>
      </c>
      <c r="L3066" s="3" t="s">
        <v>90</v>
      </c>
      <c r="M3066" s="3">
        <v>1</v>
      </c>
      <c r="N3066" s="4" t="s">
        <v>42</v>
      </c>
      <c r="O3066" s="4">
        <v>161</v>
      </c>
      <c r="P3066" s="11" t="s">
        <v>9825</v>
      </c>
      <c r="Q3066" s="11" t="s">
        <v>10707</v>
      </c>
      <c r="S3066" s="4" t="b">
        <f>ISNUMBER(MATCH(Q3066,T:T,0))</f>
        <v>1</v>
      </c>
      <c r="T3066" s="4" t="s">
        <v>89</v>
      </c>
      <c r="U3066" s="4" t="str">
        <f t="shared" si="138"/>
        <v>救</v>
      </c>
    </row>
    <row r="3067" spans="1:22">
      <c r="A3067" s="3">
        <v>3060</v>
      </c>
      <c r="B3067" s="3" t="s">
        <v>39</v>
      </c>
      <c r="C3067" s="3" t="s">
        <v>6076</v>
      </c>
      <c r="D3067" s="3" t="s">
        <v>6001</v>
      </c>
      <c r="E3067" s="3" t="s">
        <v>5991</v>
      </c>
      <c r="F3067" s="3" t="s">
        <v>4996</v>
      </c>
      <c r="G3067" s="3" t="s">
        <v>4210</v>
      </c>
      <c r="H3067" s="3" t="s">
        <v>91</v>
      </c>
      <c r="I3067" s="3" t="s">
        <v>4998</v>
      </c>
      <c r="J3067" s="5" t="s">
        <v>92</v>
      </c>
      <c r="L3067" s="3" t="s">
        <v>90</v>
      </c>
      <c r="M3067" s="3">
        <v>1</v>
      </c>
      <c r="N3067" s="4" t="s">
        <v>42</v>
      </c>
      <c r="O3067" s="4">
        <v>161</v>
      </c>
      <c r="P3067" s="11" t="s">
        <v>9766</v>
      </c>
      <c r="Q3067" s="11" t="s">
        <v>10715</v>
      </c>
      <c r="S3067" s="4" t="b">
        <f>ISNUMBER(MATCH(Q3067,T:T,0))</f>
        <v>1</v>
      </c>
      <c r="T3067" s="4" t="s">
        <v>92</v>
      </c>
      <c r="U3067" s="4" t="str">
        <f t="shared" si="138"/>
        <v>溜</v>
      </c>
    </row>
    <row r="3068" spans="1:22">
      <c r="A3068" s="3">
        <v>3061</v>
      </c>
      <c r="B3068" s="3" t="s">
        <v>93</v>
      </c>
      <c r="C3068" s="3" t="s">
        <v>6067</v>
      </c>
      <c r="D3068" s="3" t="s">
        <v>5990</v>
      </c>
      <c r="E3068" s="3" t="s">
        <v>5991</v>
      </c>
      <c r="F3068" s="3" t="s">
        <v>5053</v>
      </c>
      <c r="G3068" s="3" t="s">
        <v>4210</v>
      </c>
      <c r="H3068" s="3" t="s">
        <v>94</v>
      </c>
      <c r="I3068" s="3" t="s">
        <v>4998</v>
      </c>
      <c r="J3068" s="5" t="s">
        <v>9476</v>
      </c>
      <c r="L3068" s="3" t="s">
        <v>3950</v>
      </c>
      <c r="M3068" s="3">
        <v>15</v>
      </c>
      <c r="N3068" s="4" t="s">
        <v>9674</v>
      </c>
      <c r="O3068" s="4">
        <v>162</v>
      </c>
      <c r="P3068" s="11" t="s">
        <v>9870</v>
      </c>
      <c r="Q3068" s="11" t="s">
        <v>10716</v>
      </c>
      <c r="R3068" s="4" t="s">
        <v>13167</v>
      </c>
      <c r="S3068" s="4" t="b">
        <f>ISNUMBER(MATCH(Q3068,T:T,0))</f>
        <v>0</v>
      </c>
      <c r="T3068" s="4" t="s">
        <v>9674</v>
      </c>
      <c r="U3068" s="4" t="str">
        <f t="shared" si="138"/>
        <v>購</v>
      </c>
      <c r="V3068" s="4" t="b">
        <f>ISNUMBER(MATCH(R3068,T:T,0))</f>
        <v>1</v>
      </c>
    </row>
    <row r="3069" spans="1:22">
      <c r="A3069" s="3">
        <v>3062</v>
      </c>
      <c r="B3069" s="3" t="s">
        <v>93</v>
      </c>
      <c r="C3069" s="3" t="s">
        <v>6038</v>
      </c>
      <c r="D3069" s="3" t="s">
        <v>5990</v>
      </c>
      <c r="E3069" s="3" t="s">
        <v>5991</v>
      </c>
      <c r="F3069" s="3" t="s">
        <v>5053</v>
      </c>
      <c r="G3069" s="3" t="s">
        <v>4210</v>
      </c>
      <c r="H3069" s="3" t="s">
        <v>95</v>
      </c>
      <c r="I3069" s="3" t="s">
        <v>4998</v>
      </c>
      <c r="J3069" s="5" t="s">
        <v>96</v>
      </c>
      <c r="L3069" s="3" t="s">
        <v>97</v>
      </c>
      <c r="M3069" s="3">
        <v>10</v>
      </c>
      <c r="N3069" s="4" t="s">
        <v>9674</v>
      </c>
      <c r="O3069" s="4">
        <v>162</v>
      </c>
      <c r="P3069" s="11" t="s">
        <v>9728</v>
      </c>
      <c r="Q3069" s="11" t="s">
        <v>9674</v>
      </c>
      <c r="S3069" s="4" t="b">
        <f>ISNUMBER(MATCH(Q3069,T:T,0))</f>
        <v>1</v>
      </c>
      <c r="T3069" s="4" t="s">
        <v>12527</v>
      </c>
      <c r="U3069" s="4" t="str">
        <f t="shared" si="138"/>
        <v>候</v>
      </c>
    </row>
    <row r="3070" spans="1:22">
      <c r="A3070" s="3">
        <v>3063</v>
      </c>
      <c r="B3070" s="3" t="s">
        <v>93</v>
      </c>
      <c r="C3070" s="3" t="s">
        <v>6035</v>
      </c>
      <c r="D3070" s="3" t="s">
        <v>5990</v>
      </c>
      <c r="E3070" s="3" t="s">
        <v>5991</v>
      </c>
      <c r="F3070" s="3" t="s">
        <v>5053</v>
      </c>
      <c r="G3070" s="3" t="s">
        <v>4210</v>
      </c>
      <c r="H3070" s="3" t="s">
        <v>98</v>
      </c>
      <c r="I3070" s="3" t="s">
        <v>4998</v>
      </c>
      <c r="J3070" s="5" t="s">
        <v>9477</v>
      </c>
      <c r="L3070" s="3" t="s">
        <v>99</v>
      </c>
      <c r="M3070" s="3">
        <v>15</v>
      </c>
      <c r="N3070" s="4" t="s">
        <v>9674</v>
      </c>
      <c r="O3070" s="4">
        <v>162</v>
      </c>
      <c r="P3070" s="11" t="s">
        <v>9719</v>
      </c>
      <c r="Q3070" s="11" t="s">
        <v>9674</v>
      </c>
      <c r="S3070" s="4" t="b">
        <f>ISNUMBER(MATCH(Q3070,T:T,0))</f>
        <v>1</v>
      </c>
      <c r="T3070" s="4" t="s">
        <v>12528</v>
      </c>
      <c r="U3070" s="4" t="str">
        <f t="shared" si="138"/>
        <v>候</v>
      </c>
    </row>
    <row r="3071" spans="1:22">
      <c r="A3071" s="3">
        <v>3064</v>
      </c>
      <c r="B3071" s="3" t="s">
        <v>93</v>
      </c>
      <c r="C3071" s="3" t="s">
        <v>6053</v>
      </c>
      <c r="D3071" s="3" t="s">
        <v>5990</v>
      </c>
      <c r="E3071" s="3" t="s">
        <v>5991</v>
      </c>
      <c r="F3071" s="3" t="s">
        <v>5053</v>
      </c>
      <c r="G3071" s="3" t="s">
        <v>4210</v>
      </c>
      <c r="H3071" s="3" t="s">
        <v>100</v>
      </c>
      <c r="I3071" s="3" t="s">
        <v>4998</v>
      </c>
      <c r="J3071" s="5" t="s">
        <v>9478</v>
      </c>
      <c r="L3071" s="3" t="s">
        <v>101</v>
      </c>
      <c r="M3071" s="3">
        <v>5</v>
      </c>
      <c r="N3071" s="4" t="s">
        <v>9674</v>
      </c>
      <c r="O3071" s="4">
        <v>162</v>
      </c>
      <c r="P3071" s="11" t="s">
        <v>9772</v>
      </c>
      <c r="Q3071" s="11" t="s">
        <v>9674</v>
      </c>
      <c r="S3071" s="4" t="b">
        <f>ISNUMBER(MATCH(Q3071,T:T,0))</f>
        <v>1</v>
      </c>
      <c r="T3071" s="4" t="s">
        <v>12529</v>
      </c>
      <c r="U3071" s="4" t="str">
        <f t="shared" si="138"/>
        <v>候</v>
      </c>
    </row>
    <row r="3072" spans="1:22" ht="39">
      <c r="A3072" s="3">
        <v>3065</v>
      </c>
      <c r="B3072" s="3" t="s">
        <v>93</v>
      </c>
      <c r="C3072" s="3" t="s">
        <v>5997</v>
      </c>
      <c r="D3072" s="3" t="s">
        <v>5990</v>
      </c>
      <c r="E3072" s="3" t="s">
        <v>5991</v>
      </c>
      <c r="F3072" s="3" t="s">
        <v>5053</v>
      </c>
      <c r="G3072" s="3" t="s">
        <v>4210</v>
      </c>
      <c r="H3072" s="3" t="s">
        <v>102</v>
      </c>
      <c r="I3072" s="3" t="s">
        <v>4998</v>
      </c>
      <c r="J3072" s="5" t="s">
        <v>9479</v>
      </c>
      <c r="L3072" s="3" t="s">
        <v>3987</v>
      </c>
      <c r="M3072" s="3">
        <v>16</v>
      </c>
      <c r="N3072" s="4" t="s">
        <v>9674</v>
      </c>
      <c r="O3072" s="4">
        <v>162</v>
      </c>
      <c r="P3072" s="11" t="s">
        <v>9998</v>
      </c>
      <c r="Q3072" s="11" t="s">
        <v>9674</v>
      </c>
      <c r="S3072" s="4" t="b">
        <f>ISNUMBER(MATCH(Q3072,T:T,0))</f>
        <v>1</v>
      </c>
      <c r="T3072" s="4" t="s">
        <v>10717</v>
      </c>
      <c r="U3072" s="4" t="str">
        <f t="shared" si="138"/>
        <v>候</v>
      </c>
    </row>
    <row r="3073" spans="1:22">
      <c r="A3073" s="3">
        <v>3066</v>
      </c>
      <c r="B3073" s="3" t="s">
        <v>93</v>
      </c>
      <c r="C3073" s="3" t="s">
        <v>5989</v>
      </c>
      <c r="D3073" s="3" t="s">
        <v>5990</v>
      </c>
      <c r="E3073" s="3" t="s">
        <v>5991</v>
      </c>
      <c r="F3073" s="3" t="s">
        <v>5053</v>
      </c>
      <c r="G3073" s="3" t="s">
        <v>4210</v>
      </c>
      <c r="H3073" s="3" t="s">
        <v>321</v>
      </c>
      <c r="I3073" s="3" t="s">
        <v>4998</v>
      </c>
      <c r="J3073" s="5" t="s">
        <v>9480</v>
      </c>
      <c r="L3073" s="3" t="s">
        <v>3987</v>
      </c>
      <c r="M3073" s="3">
        <v>9</v>
      </c>
      <c r="N3073" s="4" t="s">
        <v>9674</v>
      </c>
      <c r="O3073" s="4">
        <v>162</v>
      </c>
      <c r="P3073" s="11" t="s">
        <v>9742</v>
      </c>
      <c r="Q3073" s="11" t="s">
        <v>10717</v>
      </c>
      <c r="S3073" s="4" t="b">
        <f>ISNUMBER(MATCH(Q3073,T:T,0))</f>
        <v>1</v>
      </c>
      <c r="T3073" s="4" t="s">
        <v>12530</v>
      </c>
      <c r="U3073" s="4" t="str">
        <f t="shared" si="138"/>
        <v>豆</v>
      </c>
    </row>
    <row r="3074" spans="1:22">
      <c r="A3074" s="3">
        <v>3067</v>
      </c>
      <c r="B3074" s="3" t="s">
        <v>93</v>
      </c>
      <c r="C3074" s="3" t="s">
        <v>6102</v>
      </c>
      <c r="D3074" s="3" t="s">
        <v>5990</v>
      </c>
      <c r="E3074" s="3" t="s">
        <v>5991</v>
      </c>
      <c r="F3074" s="3" t="s">
        <v>5053</v>
      </c>
      <c r="G3074" s="3" t="s">
        <v>4210</v>
      </c>
      <c r="H3074" s="3" t="s">
        <v>322</v>
      </c>
      <c r="I3074" s="3" t="s">
        <v>4998</v>
      </c>
      <c r="J3074" s="8" t="s">
        <v>9481</v>
      </c>
      <c r="L3074" s="3" t="s">
        <v>323</v>
      </c>
      <c r="M3074" s="3">
        <v>6</v>
      </c>
      <c r="N3074" s="4" t="s">
        <v>9674</v>
      </c>
      <c r="O3074" s="4">
        <v>162</v>
      </c>
      <c r="P3074" s="11" t="s">
        <v>9744</v>
      </c>
      <c r="Q3074" s="11" t="s">
        <v>10717</v>
      </c>
      <c r="S3074" s="4" t="b">
        <f>ISNUMBER(MATCH(Q3074,T:T,0))</f>
        <v>1</v>
      </c>
      <c r="T3074" s="4" t="s">
        <v>12531</v>
      </c>
      <c r="U3074" s="4" t="str">
        <f t="shared" si="138"/>
        <v>豆</v>
      </c>
    </row>
    <row r="3075" spans="1:22">
      <c r="A3075" s="3">
        <v>3068</v>
      </c>
      <c r="B3075" s="3" t="s">
        <v>93</v>
      </c>
      <c r="C3075" s="3" t="s">
        <v>6017</v>
      </c>
      <c r="D3075" s="3" t="s">
        <v>5990</v>
      </c>
      <c r="E3075" s="3" t="s">
        <v>5991</v>
      </c>
      <c r="F3075" s="3" t="s">
        <v>5053</v>
      </c>
      <c r="G3075" s="3" t="s">
        <v>4210</v>
      </c>
      <c r="H3075" s="3" t="s">
        <v>324</v>
      </c>
      <c r="I3075" s="3" t="s">
        <v>4998</v>
      </c>
      <c r="J3075" s="8" t="s">
        <v>9482</v>
      </c>
      <c r="L3075" s="3" t="s">
        <v>325</v>
      </c>
      <c r="M3075" s="3">
        <v>7</v>
      </c>
      <c r="N3075" s="4" t="s">
        <v>9674</v>
      </c>
      <c r="O3075" s="4">
        <v>162</v>
      </c>
      <c r="P3075" s="11" t="s">
        <v>9741</v>
      </c>
      <c r="Q3075" s="11" t="s">
        <v>10718</v>
      </c>
      <c r="S3075" s="4" t="b">
        <f>ISNUMBER(MATCH(Q3075,T:T,0))</f>
        <v>1</v>
      </c>
      <c r="T3075" s="4" t="s">
        <v>12532</v>
      </c>
      <c r="U3075" s="4" t="str">
        <f t="shared" ref="U3075:U3138" si="140">IF(ISBLANK(R3075),Q3075,R3075)</f>
        <v>奏</v>
      </c>
    </row>
    <row r="3076" spans="1:22">
      <c r="A3076" s="3">
        <v>3069</v>
      </c>
      <c r="B3076" s="3" t="s">
        <v>93</v>
      </c>
      <c r="C3076" s="3" t="s">
        <v>6083</v>
      </c>
      <c r="D3076" s="3" t="s">
        <v>5990</v>
      </c>
      <c r="E3076" s="3" t="s">
        <v>5991</v>
      </c>
      <c r="F3076" s="3" t="s">
        <v>5053</v>
      </c>
      <c r="G3076" s="3" t="s">
        <v>4210</v>
      </c>
      <c r="H3076" s="3" t="s">
        <v>326</v>
      </c>
      <c r="I3076" s="3" t="s">
        <v>4998</v>
      </c>
      <c r="J3076" s="5" t="s">
        <v>327</v>
      </c>
      <c r="L3076" s="3" t="s">
        <v>328</v>
      </c>
      <c r="M3076" s="3">
        <v>2</v>
      </c>
      <c r="N3076" s="4" t="s">
        <v>9674</v>
      </c>
      <c r="O3076" s="4">
        <v>162</v>
      </c>
      <c r="P3076" s="11" t="s">
        <v>9875</v>
      </c>
      <c r="Q3076" s="11" t="s">
        <v>9674</v>
      </c>
      <c r="S3076" s="4" t="b">
        <f>ISNUMBER(MATCH(Q3076,T:T,0))</f>
        <v>1</v>
      </c>
      <c r="T3076" s="4" t="s">
        <v>10718</v>
      </c>
      <c r="U3076" s="4" t="str">
        <f t="shared" si="140"/>
        <v>候</v>
      </c>
    </row>
    <row r="3077" spans="1:22">
      <c r="A3077" s="3">
        <v>3070</v>
      </c>
      <c r="B3077" s="3" t="s">
        <v>93</v>
      </c>
      <c r="C3077" s="3" t="s">
        <v>6079</v>
      </c>
      <c r="D3077" s="3" t="s">
        <v>5990</v>
      </c>
      <c r="E3077" s="3" t="s">
        <v>5991</v>
      </c>
      <c r="F3077" s="3" t="s">
        <v>5053</v>
      </c>
      <c r="G3077" s="3" t="s">
        <v>4210</v>
      </c>
      <c r="H3077" s="3" t="s">
        <v>329</v>
      </c>
      <c r="I3077" s="3" t="s">
        <v>4998</v>
      </c>
      <c r="J3077" s="5" t="s">
        <v>9483</v>
      </c>
      <c r="L3077" s="3" t="s">
        <v>330</v>
      </c>
      <c r="M3077" s="3">
        <v>5</v>
      </c>
      <c r="N3077" s="4" t="s">
        <v>9674</v>
      </c>
      <c r="O3077" s="4">
        <v>162</v>
      </c>
      <c r="P3077" s="11" t="s">
        <v>9736</v>
      </c>
      <c r="Q3077" s="11" t="s">
        <v>9674</v>
      </c>
      <c r="S3077" s="4" t="b">
        <f>ISNUMBER(MATCH(Q3077,T:T,0))</f>
        <v>1</v>
      </c>
      <c r="T3077" s="4" t="s">
        <v>6079</v>
      </c>
      <c r="U3077" s="4" t="str">
        <f t="shared" si="140"/>
        <v>候</v>
      </c>
    </row>
    <row r="3078" spans="1:22">
      <c r="A3078" s="3">
        <v>3071</v>
      </c>
      <c r="B3078" s="3" t="s">
        <v>93</v>
      </c>
      <c r="C3078" s="3" t="s">
        <v>6072</v>
      </c>
      <c r="D3078" s="3" t="s">
        <v>5990</v>
      </c>
      <c r="E3078" s="3" t="s">
        <v>5991</v>
      </c>
      <c r="F3078" s="3" t="s">
        <v>5053</v>
      </c>
      <c r="G3078" s="3" t="s">
        <v>4210</v>
      </c>
      <c r="H3078" s="3" t="s">
        <v>331</v>
      </c>
      <c r="I3078" s="3" t="s">
        <v>4998</v>
      </c>
      <c r="J3078" s="5" t="s">
        <v>332</v>
      </c>
      <c r="L3078" s="3" t="s">
        <v>333</v>
      </c>
      <c r="M3078" s="3">
        <v>3</v>
      </c>
      <c r="N3078" s="4" t="s">
        <v>9674</v>
      </c>
      <c r="O3078" s="4">
        <v>162</v>
      </c>
      <c r="P3078" s="11" t="s">
        <v>9734</v>
      </c>
      <c r="Q3078" s="11" t="s">
        <v>9674</v>
      </c>
      <c r="S3078" s="4" t="b">
        <f>ISNUMBER(MATCH(Q3078,T:T,0))</f>
        <v>1</v>
      </c>
      <c r="T3078" s="4" t="s">
        <v>12533</v>
      </c>
      <c r="U3078" s="4" t="str">
        <f t="shared" si="140"/>
        <v>候</v>
      </c>
    </row>
    <row r="3079" spans="1:22" ht="39">
      <c r="A3079" s="3">
        <v>3072</v>
      </c>
      <c r="B3079" s="3" t="s">
        <v>93</v>
      </c>
      <c r="C3079" s="3" t="s">
        <v>6025</v>
      </c>
      <c r="D3079" s="3" t="s">
        <v>5990</v>
      </c>
      <c r="E3079" s="3" t="s">
        <v>5991</v>
      </c>
      <c r="F3079" s="3" t="s">
        <v>5053</v>
      </c>
      <c r="G3079" s="3" t="s">
        <v>4210</v>
      </c>
      <c r="H3079" s="3" t="s">
        <v>334</v>
      </c>
      <c r="I3079" s="3" t="s">
        <v>4998</v>
      </c>
      <c r="J3079" s="5" t="s">
        <v>9484</v>
      </c>
      <c r="K3079" s="3" t="s">
        <v>628</v>
      </c>
      <c r="L3079" s="3" t="s">
        <v>335</v>
      </c>
      <c r="M3079" s="3">
        <v>20</v>
      </c>
      <c r="N3079" s="4" t="s">
        <v>9674</v>
      </c>
      <c r="O3079" s="4">
        <v>162</v>
      </c>
      <c r="P3079" s="11" t="s">
        <v>9729</v>
      </c>
      <c r="Q3079" s="11" t="s">
        <v>9674</v>
      </c>
      <c r="S3079" s="4" t="b">
        <f>ISNUMBER(MATCH(Q3079,T:T,0))</f>
        <v>1</v>
      </c>
      <c r="T3079" s="4" t="s">
        <v>12534</v>
      </c>
      <c r="U3079" s="4" t="str">
        <f t="shared" si="140"/>
        <v>候</v>
      </c>
    </row>
    <row r="3080" spans="1:22">
      <c r="A3080" s="3">
        <v>3073</v>
      </c>
      <c r="B3080" s="3" t="s">
        <v>93</v>
      </c>
      <c r="C3080" s="3" t="s">
        <v>6076</v>
      </c>
      <c r="D3080" s="3" t="s">
        <v>5990</v>
      </c>
      <c r="E3080" s="3" t="s">
        <v>5991</v>
      </c>
      <c r="F3080" s="3" t="s">
        <v>5053</v>
      </c>
      <c r="G3080" s="3" t="s">
        <v>4210</v>
      </c>
      <c r="H3080" s="3" t="s">
        <v>336</v>
      </c>
      <c r="I3080" s="3" t="s">
        <v>4998</v>
      </c>
      <c r="J3080" s="5" t="s">
        <v>337</v>
      </c>
      <c r="L3080" s="3" t="s">
        <v>338</v>
      </c>
      <c r="M3080" s="3">
        <v>8</v>
      </c>
      <c r="N3080" s="4" t="s">
        <v>9674</v>
      </c>
      <c r="O3080" s="4">
        <v>162</v>
      </c>
      <c r="P3080" s="11" t="s">
        <v>9735</v>
      </c>
      <c r="Q3080" s="11" t="s">
        <v>10718</v>
      </c>
      <c r="S3080" s="4" t="b">
        <f>ISNUMBER(MATCH(Q3080,T:T,0))</f>
        <v>1</v>
      </c>
      <c r="T3080" s="4" t="s">
        <v>12535</v>
      </c>
      <c r="U3080" s="4" t="str">
        <f t="shared" si="140"/>
        <v>奏</v>
      </c>
    </row>
    <row r="3081" spans="1:22">
      <c r="A3081" s="3">
        <v>3074</v>
      </c>
      <c r="B3081" s="3" t="s">
        <v>93</v>
      </c>
      <c r="C3081" s="3" t="s">
        <v>6058</v>
      </c>
      <c r="D3081" s="3" t="s">
        <v>5990</v>
      </c>
      <c r="E3081" s="3" t="s">
        <v>5991</v>
      </c>
      <c r="F3081" s="3" t="s">
        <v>5053</v>
      </c>
      <c r="G3081" s="3" t="s">
        <v>4210</v>
      </c>
      <c r="H3081" s="3" t="s">
        <v>339</v>
      </c>
      <c r="I3081" s="3" t="s">
        <v>4998</v>
      </c>
      <c r="J3081" s="5" t="s">
        <v>9485</v>
      </c>
      <c r="L3081" s="3" t="s">
        <v>340</v>
      </c>
      <c r="M3081" s="3">
        <v>13</v>
      </c>
      <c r="N3081" s="4" t="s">
        <v>9674</v>
      </c>
      <c r="O3081" s="4">
        <v>162</v>
      </c>
      <c r="P3081" s="11" t="s">
        <v>9730</v>
      </c>
      <c r="Q3081" s="11" t="s">
        <v>9674</v>
      </c>
      <c r="S3081" s="4" t="b">
        <f>ISNUMBER(MATCH(Q3081,T:T,0))</f>
        <v>1</v>
      </c>
      <c r="T3081" s="4" t="s">
        <v>12536</v>
      </c>
      <c r="U3081" s="4" t="str">
        <f t="shared" si="140"/>
        <v>候</v>
      </c>
    </row>
    <row r="3082" spans="1:22">
      <c r="A3082" s="3">
        <v>3075</v>
      </c>
      <c r="B3082" s="3" t="s">
        <v>93</v>
      </c>
      <c r="C3082" s="3" t="s">
        <v>6089</v>
      </c>
      <c r="D3082" s="3" t="s">
        <v>5990</v>
      </c>
      <c r="E3082" s="3" t="s">
        <v>5991</v>
      </c>
      <c r="F3082" s="3" t="s">
        <v>5053</v>
      </c>
      <c r="G3082" s="3" t="s">
        <v>4210</v>
      </c>
      <c r="H3082" s="3" t="s">
        <v>341</v>
      </c>
      <c r="I3082" s="3" t="s">
        <v>4998</v>
      </c>
      <c r="J3082" s="5" t="s">
        <v>9486</v>
      </c>
      <c r="L3082" s="3" t="s">
        <v>3950</v>
      </c>
      <c r="M3082" s="3">
        <v>10</v>
      </c>
      <c r="N3082" s="4" t="s">
        <v>9674</v>
      </c>
      <c r="O3082" s="4">
        <v>162</v>
      </c>
      <c r="P3082" s="11" t="s">
        <v>9739</v>
      </c>
      <c r="Q3082" s="11" t="s">
        <v>10719</v>
      </c>
      <c r="R3082" s="4" t="s">
        <v>13168</v>
      </c>
      <c r="S3082" s="4" t="b">
        <f>ISNUMBER(MATCH(Q3082,T:T,0))</f>
        <v>0</v>
      </c>
      <c r="T3082" s="4" t="s">
        <v>12537</v>
      </c>
      <c r="U3082" s="4" t="str">
        <f t="shared" si="140"/>
        <v>陋</v>
      </c>
      <c r="V3082" s="4" t="b">
        <f>ISNUMBER(MATCH(R3082,T:T,0))</f>
        <v>1</v>
      </c>
    </row>
    <row r="3083" spans="1:22">
      <c r="A3083" s="3">
        <v>3076</v>
      </c>
      <c r="B3083" s="3" t="s">
        <v>93</v>
      </c>
      <c r="C3083" s="3" t="s">
        <v>6045</v>
      </c>
      <c r="D3083" s="3" t="s">
        <v>5990</v>
      </c>
      <c r="E3083" s="3" t="s">
        <v>5991</v>
      </c>
      <c r="F3083" s="3" t="s">
        <v>5053</v>
      </c>
      <c r="G3083" s="3" t="s">
        <v>4210</v>
      </c>
      <c r="H3083" s="3" t="s">
        <v>342</v>
      </c>
      <c r="I3083" s="3" t="s">
        <v>4998</v>
      </c>
      <c r="J3083" s="5" t="s">
        <v>343</v>
      </c>
      <c r="L3083" s="3" t="s">
        <v>3954</v>
      </c>
      <c r="M3083" s="3">
        <v>2</v>
      </c>
      <c r="N3083" s="4" t="s">
        <v>9674</v>
      </c>
      <c r="O3083" s="4">
        <v>162</v>
      </c>
      <c r="P3083" s="11" t="s">
        <v>9965</v>
      </c>
      <c r="Q3083" s="11" t="s">
        <v>9674</v>
      </c>
      <c r="S3083" s="4" t="b">
        <f>ISNUMBER(MATCH(Q3083,T:T,0))</f>
        <v>1</v>
      </c>
      <c r="T3083" s="4" t="s">
        <v>12538</v>
      </c>
      <c r="U3083" s="4" t="str">
        <f t="shared" si="140"/>
        <v>候</v>
      </c>
    </row>
    <row r="3084" spans="1:22">
      <c r="A3084" s="3">
        <v>3077</v>
      </c>
      <c r="B3084" s="3" t="s">
        <v>93</v>
      </c>
      <c r="C3084" s="3" t="s">
        <v>6092</v>
      </c>
      <c r="D3084" s="3" t="s">
        <v>5990</v>
      </c>
      <c r="E3084" s="3" t="s">
        <v>5991</v>
      </c>
      <c r="F3084" s="3" t="s">
        <v>5053</v>
      </c>
      <c r="G3084" s="3" t="s">
        <v>4210</v>
      </c>
      <c r="H3084" s="3" t="s">
        <v>344</v>
      </c>
      <c r="I3084" s="3" t="s">
        <v>4998</v>
      </c>
      <c r="J3084" s="5" t="s">
        <v>345</v>
      </c>
      <c r="L3084" s="3" t="s">
        <v>333</v>
      </c>
      <c r="M3084" s="3">
        <v>1</v>
      </c>
      <c r="N3084" s="4" t="s">
        <v>9674</v>
      </c>
      <c r="O3084" s="4">
        <v>162</v>
      </c>
      <c r="P3084" s="11" t="s">
        <v>9740</v>
      </c>
      <c r="Q3084" s="11" t="s">
        <v>10716</v>
      </c>
      <c r="R3084" s="4" t="s">
        <v>13167</v>
      </c>
      <c r="S3084" s="4" t="b">
        <f>ISNUMBER(MATCH(Q3084,T:T,0))</f>
        <v>0</v>
      </c>
      <c r="T3084" s="4" t="s">
        <v>345</v>
      </c>
      <c r="U3084" s="4" t="str">
        <f t="shared" si="140"/>
        <v>購</v>
      </c>
      <c r="V3084" s="4" t="b">
        <f>ISNUMBER(MATCH(R3084,T:T,0))</f>
        <v>1</v>
      </c>
    </row>
    <row r="3085" spans="1:22">
      <c r="A3085" s="3">
        <v>3078</v>
      </c>
      <c r="B3085" s="3" t="s">
        <v>93</v>
      </c>
      <c r="C3085" s="3" t="s">
        <v>6069</v>
      </c>
      <c r="D3085" s="3" t="s">
        <v>5990</v>
      </c>
      <c r="E3085" s="3" t="s">
        <v>5991</v>
      </c>
      <c r="F3085" s="3" t="s">
        <v>5053</v>
      </c>
      <c r="G3085" s="3" t="s">
        <v>4210</v>
      </c>
      <c r="H3085" s="3" t="s">
        <v>346</v>
      </c>
      <c r="I3085" s="3" t="s">
        <v>4998</v>
      </c>
      <c r="J3085" s="5" t="s">
        <v>347</v>
      </c>
      <c r="L3085" s="3" t="s">
        <v>328</v>
      </c>
      <c r="M3085" s="3">
        <v>3</v>
      </c>
      <c r="N3085" s="4" t="s">
        <v>9674</v>
      </c>
      <c r="O3085" s="4">
        <v>162</v>
      </c>
      <c r="P3085" s="11" t="s">
        <v>9925</v>
      </c>
      <c r="Q3085" s="11" t="s">
        <v>10718</v>
      </c>
      <c r="S3085" s="4" t="b">
        <f>ISNUMBER(MATCH(Q3085,T:T,0))</f>
        <v>1</v>
      </c>
      <c r="T3085" s="4" t="s">
        <v>11473</v>
      </c>
      <c r="U3085" s="4" t="str">
        <f t="shared" si="140"/>
        <v>奏</v>
      </c>
    </row>
    <row r="3086" spans="1:22">
      <c r="A3086" s="3">
        <v>3079</v>
      </c>
      <c r="B3086" s="3" t="s">
        <v>348</v>
      </c>
      <c r="C3086" s="3" t="s">
        <v>6072</v>
      </c>
      <c r="D3086" s="3" t="s">
        <v>6001</v>
      </c>
      <c r="E3086" s="3" t="s">
        <v>5991</v>
      </c>
      <c r="F3086" s="3" t="s">
        <v>5095</v>
      </c>
      <c r="G3086" s="3" t="s">
        <v>4210</v>
      </c>
      <c r="H3086" s="3" t="s">
        <v>349</v>
      </c>
      <c r="I3086" s="3" t="s">
        <v>4998</v>
      </c>
      <c r="J3086" s="5" t="s">
        <v>350</v>
      </c>
      <c r="L3086" s="3" t="s">
        <v>41</v>
      </c>
      <c r="M3086" s="3">
        <v>1</v>
      </c>
      <c r="N3086" s="4" t="s">
        <v>350</v>
      </c>
      <c r="O3086" s="4">
        <v>163</v>
      </c>
      <c r="P3086" s="11" t="s">
        <v>10720</v>
      </c>
      <c r="Q3086" s="11" t="s">
        <v>10721</v>
      </c>
      <c r="S3086" s="4" t="b">
        <f>ISNUMBER(MATCH(Q3086,T:T,0))</f>
        <v>1</v>
      </c>
      <c r="T3086" s="4" t="s">
        <v>350</v>
      </c>
      <c r="U3086" s="4" t="str">
        <f t="shared" si="140"/>
        <v>謬</v>
      </c>
    </row>
    <row r="3087" spans="1:22">
      <c r="A3087" s="3">
        <v>3080</v>
      </c>
      <c r="B3087" s="3" t="s">
        <v>348</v>
      </c>
      <c r="C3087" s="3" t="s">
        <v>6035</v>
      </c>
      <c r="D3087" s="3" t="s">
        <v>6001</v>
      </c>
      <c r="E3087" s="3" t="s">
        <v>5991</v>
      </c>
      <c r="F3087" s="3" t="s">
        <v>5095</v>
      </c>
      <c r="G3087" s="3" t="s">
        <v>4210</v>
      </c>
      <c r="H3087" s="3" t="s">
        <v>351</v>
      </c>
      <c r="I3087" s="3" t="s">
        <v>4998</v>
      </c>
      <c r="J3087" s="5" t="s">
        <v>352</v>
      </c>
      <c r="L3087" s="3" t="s">
        <v>2310</v>
      </c>
      <c r="M3087" s="3">
        <v>2</v>
      </c>
      <c r="N3087" s="4" t="s">
        <v>350</v>
      </c>
      <c r="O3087" s="4">
        <v>163</v>
      </c>
      <c r="P3087" s="11" t="s">
        <v>9781</v>
      </c>
      <c r="Q3087" s="11" t="s">
        <v>350</v>
      </c>
      <c r="S3087" s="4" t="b">
        <f>ISNUMBER(MATCH(Q3087,T:T,0))</f>
        <v>1</v>
      </c>
      <c r="T3087" s="4" t="s">
        <v>10721</v>
      </c>
      <c r="U3087" s="4" t="str">
        <f t="shared" si="140"/>
        <v>幼</v>
      </c>
    </row>
    <row r="3088" spans="1:22">
      <c r="A3088" s="3">
        <v>3081</v>
      </c>
      <c r="B3088" s="3" t="s">
        <v>348</v>
      </c>
      <c r="C3088" s="3" t="s">
        <v>6038</v>
      </c>
      <c r="D3088" s="3" t="s">
        <v>6001</v>
      </c>
      <c r="E3088" s="3" t="s">
        <v>5991</v>
      </c>
      <c r="F3088" s="3" t="s">
        <v>5095</v>
      </c>
      <c r="G3088" s="3" t="s">
        <v>4210</v>
      </c>
      <c r="H3088" s="3" t="s">
        <v>353</v>
      </c>
      <c r="I3088" s="3" t="s">
        <v>4998</v>
      </c>
      <c r="J3088" s="5" t="s">
        <v>354</v>
      </c>
      <c r="L3088" s="3" t="s">
        <v>90</v>
      </c>
      <c r="M3088" s="3">
        <v>1</v>
      </c>
      <c r="N3088" s="4" t="s">
        <v>350</v>
      </c>
      <c r="O3088" s="4">
        <v>163</v>
      </c>
      <c r="P3088" s="11" t="s">
        <v>9825</v>
      </c>
      <c r="Q3088" s="11" t="s">
        <v>10721</v>
      </c>
      <c r="S3088" s="4" t="b">
        <f>ISNUMBER(MATCH(Q3088,T:T,0))</f>
        <v>1</v>
      </c>
      <c r="T3088" s="4" t="s">
        <v>354</v>
      </c>
      <c r="U3088" s="4" t="str">
        <f t="shared" si="140"/>
        <v>謬</v>
      </c>
    </row>
    <row r="3089" spans="1:21">
      <c r="A3089" s="3">
        <v>3082</v>
      </c>
      <c r="B3089" s="3" t="s">
        <v>348</v>
      </c>
      <c r="C3089" s="3" t="s">
        <v>6041</v>
      </c>
      <c r="D3089" s="3" t="s">
        <v>6001</v>
      </c>
      <c r="E3089" s="3" t="s">
        <v>5991</v>
      </c>
      <c r="F3089" s="3" t="s">
        <v>5095</v>
      </c>
      <c r="G3089" s="3" t="s">
        <v>4210</v>
      </c>
      <c r="H3089" s="3" t="s">
        <v>355</v>
      </c>
      <c r="I3089" s="3" t="s">
        <v>4998</v>
      </c>
      <c r="J3089" s="5" t="s">
        <v>356</v>
      </c>
      <c r="L3089" s="3" t="s">
        <v>3911</v>
      </c>
      <c r="M3089" s="3">
        <v>1</v>
      </c>
      <c r="N3089" s="4" t="s">
        <v>350</v>
      </c>
      <c r="O3089" s="4">
        <v>163</v>
      </c>
      <c r="P3089" s="11" t="s">
        <v>9789</v>
      </c>
      <c r="Q3089" s="11" t="s">
        <v>350</v>
      </c>
      <c r="S3089" s="4" t="b">
        <f>ISNUMBER(MATCH(Q3089,T:T,0))</f>
        <v>1</v>
      </c>
      <c r="T3089" s="4" t="s">
        <v>356</v>
      </c>
      <c r="U3089" s="4" t="str">
        <f t="shared" si="140"/>
        <v>幼</v>
      </c>
    </row>
    <row r="3090" spans="1:21">
      <c r="A3090" s="3">
        <v>3083</v>
      </c>
      <c r="B3090" s="3" t="s">
        <v>357</v>
      </c>
      <c r="C3090" s="3" t="s">
        <v>6076</v>
      </c>
      <c r="D3090" s="3" t="s">
        <v>6001</v>
      </c>
      <c r="E3090" s="3" t="s">
        <v>5991</v>
      </c>
      <c r="F3090" s="3" t="s">
        <v>5120</v>
      </c>
      <c r="G3090" s="3" t="s">
        <v>4210</v>
      </c>
      <c r="H3090" s="3" t="s">
        <v>358</v>
      </c>
      <c r="I3090" s="3" t="s">
        <v>5122</v>
      </c>
      <c r="J3090" s="5" t="s">
        <v>9487</v>
      </c>
      <c r="L3090" s="3" t="s">
        <v>5582</v>
      </c>
      <c r="M3090" s="3">
        <v>4</v>
      </c>
      <c r="N3090" s="4" t="s">
        <v>359</v>
      </c>
      <c r="O3090" s="4">
        <v>164</v>
      </c>
      <c r="P3090" s="11" t="s">
        <v>9766</v>
      </c>
      <c r="Q3090" s="11" t="s">
        <v>10722</v>
      </c>
      <c r="S3090" s="4" t="b">
        <f>ISNUMBER(MATCH(Q3090,T:T,0))</f>
        <v>1</v>
      </c>
      <c r="T3090" s="4" t="s">
        <v>359</v>
      </c>
      <c r="U3090" s="4" t="str">
        <f t="shared" si="140"/>
        <v>鴆</v>
      </c>
    </row>
    <row r="3091" spans="1:21">
      <c r="A3091" s="3">
        <v>3084</v>
      </c>
      <c r="B3091" s="3" t="s">
        <v>357</v>
      </c>
      <c r="C3091" s="3" t="s">
        <v>6083</v>
      </c>
      <c r="D3091" s="3" t="s">
        <v>6001</v>
      </c>
      <c r="E3091" s="3" t="s">
        <v>5991</v>
      </c>
      <c r="F3091" s="3" t="s">
        <v>5120</v>
      </c>
      <c r="G3091" s="3" t="s">
        <v>4210</v>
      </c>
      <c r="H3091" s="3" t="s">
        <v>360</v>
      </c>
      <c r="I3091" s="3" t="s">
        <v>5122</v>
      </c>
      <c r="J3091" s="5" t="s">
        <v>361</v>
      </c>
      <c r="L3091" s="3" t="s">
        <v>5965</v>
      </c>
      <c r="M3091" s="3">
        <v>4</v>
      </c>
      <c r="N3091" s="4" t="s">
        <v>359</v>
      </c>
      <c r="O3091" s="4">
        <v>164</v>
      </c>
      <c r="P3091" s="11" t="s">
        <v>9737</v>
      </c>
      <c r="Q3091" s="11" t="s">
        <v>10722</v>
      </c>
      <c r="S3091" s="4" t="b">
        <f>ISNUMBER(MATCH(Q3091,T:T,0))</f>
        <v>1</v>
      </c>
      <c r="T3091" s="4" t="s">
        <v>12539</v>
      </c>
      <c r="U3091" s="4" t="str">
        <f t="shared" si="140"/>
        <v>鴆</v>
      </c>
    </row>
    <row r="3092" spans="1:21">
      <c r="A3092" s="3">
        <v>3085</v>
      </c>
      <c r="B3092" s="3" t="s">
        <v>357</v>
      </c>
      <c r="C3092" s="3" t="s">
        <v>6021</v>
      </c>
      <c r="D3092" s="3" t="s">
        <v>6001</v>
      </c>
      <c r="E3092" s="3" t="s">
        <v>5991</v>
      </c>
      <c r="F3092" s="3" t="s">
        <v>5120</v>
      </c>
      <c r="G3092" s="3" t="s">
        <v>4210</v>
      </c>
      <c r="H3092" s="3" t="s">
        <v>362</v>
      </c>
      <c r="I3092" s="3" t="s">
        <v>5122</v>
      </c>
      <c r="J3092" s="5" t="s">
        <v>9488</v>
      </c>
      <c r="L3092" s="3" t="s">
        <v>5569</v>
      </c>
      <c r="M3092" s="3">
        <v>5</v>
      </c>
      <c r="N3092" s="4" t="s">
        <v>359</v>
      </c>
      <c r="O3092" s="4">
        <v>164</v>
      </c>
      <c r="P3092" s="11" t="s">
        <v>9791</v>
      </c>
      <c r="Q3092" s="11" t="s">
        <v>10722</v>
      </c>
      <c r="S3092" s="4" t="b">
        <f>ISNUMBER(MATCH(Q3092,T:T,0))</f>
        <v>1</v>
      </c>
      <c r="T3092" s="4" t="s">
        <v>12540</v>
      </c>
      <c r="U3092" s="4" t="str">
        <f t="shared" si="140"/>
        <v>鴆</v>
      </c>
    </row>
    <row r="3093" spans="1:21">
      <c r="A3093" s="3">
        <v>3086</v>
      </c>
      <c r="B3093" s="3" t="s">
        <v>357</v>
      </c>
      <c r="C3093" s="3" t="s">
        <v>6005</v>
      </c>
      <c r="D3093" s="3" t="s">
        <v>6001</v>
      </c>
      <c r="E3093" s="3" t="s">
        <v>5991</v>
      </c>
      <c r="F3093" s="3" t="s">
        <v>5128</v>
      </c>
      <c r="G3093" s="3" t="s">
        <v>4210</v>
      </c>
      <c r="H3093" s="3" t="s">
        <v>363</v>
      </c>
      <c r="I3093" s="3" t="s">
        <v>5122</v>
      </c>
      <c r="J3093" s="5" t="s">
        <v>364</v>
      </c>
      <c r="L3093" s="3" t="s">
        <v>5959</v>
      </c>
      <c r="M3093" s="3">
        <v>3</v>
      </c>
      <c r="N3093" s="4" t="s">
        <v>359</v>
      </c>
      <c r="O3093" s="4">
        <v>164</v>
      </c>
      <c r="P3093" s="11" t="s">
        <v>9709</v>
      </c>
      <c r="Q3093" s="11" t="s">
        <v>10723</v>
      </c>
      <c r="S3093" s="4" t="b">
        <f>ISNUMBER(MATCH(Q3093,T:T,0))</f>
        <v>1</v>
      </c>
      <c r="T3093" s="4" t="s">
        <v>10722</v>
      </c>
      <c r="U3093" s="4" t="str">
        <f t="shared" si="140"/>
        <v>禁</v>
      </c>
    </row>
    <row r="3094" spans="1:21">
      <c r="A3094" s="3">
        <v>3087</v>
      </c>
      <c r="B3094" s="3" t="s">
        <v>357</v>
      </c>
      <c r="C3094" s="3" t="s">
        <v>6009</v>
      </c>
      <c r="D3094" s="3" t="s">
        <v>6001</v>
      </c>
      <c r="E3094" s="3" t="s">
        <v>5991</v>
      </c>
      <c r="F3094" s="3" t="s">
        <v>5120</v>
      </c>
      <c r="G3094" s="3" t="s">
        <v>4210</v>
      </c>
      <c r="H3094" s="3" t="s">
        <v>365</v>
      </c>
      <c r="I3094" s="3" t="s">
        <v>5122</v>
      </c>
      <c r="J3094" s="5" t="s">
        <v>366</v>
      </c>
      <c r="L3094" s="3" t="s">
        <v>5959</v>
      </c>
      <c r="M3094" s="3">
        <v>2</v>
      </c>
      <c r="N3094" s="4" t="s">
        <v>359</v>
      </c>
      <c r="O3094" s="4">
        <v>164</v>
      </c>
      <c r="P3094" s="11" t="s">
        <v>6396</v>
      </c>
      <c r="Q3094" s="11" t="s">
        <v>10159</v>
      </c>
      <c r="S3094" s="4" t="b">
        <f>ISNUMBER(MATCH(Q3094,T:T,0))</f>
        <v>1</v>
      </c>
      <c r="T3094" s="4" t="s">
        <v>10424</v>
      </c>
      <c r="U3094" s="4" t="str">
        <f t="shared" si="140"/>
        <v>任</v>
      </c>
    </row>
    <row r="3095" spans="1:21">
      <c r="A3095" s="3">
        <v>3088</v>
      </c>
      <c r="B3095" s="3" t="s">
        <v>357</v>
      </c>
      <c r="C3095" s="3" t="s">
        <v>6041</v>
      </c>
      <c r="D3095" s="3" t="s">
        <v>6001</v>
      </c>
      <c r="E3095" s="3" t="s">
        <v>5991</v>
      </c>
      <c r="F3095" s="3" t="s">
        <v>5128</v>
      </c>
      <c r="G3095" s="3" t="s">
        <v>4210</v>
      </c>
      <c r="H3095" s="3" t="s">
        <v>367</v>
      </c>
      <c r="I3095" s="3" t="s">
        <v>5122</v>
      </c>
      <c r="J3095" s="5" t="s">
        <v>9489</v>
      </c>
      <c r="L3095" s="3" t="s">
        <v>5965</v>
      </c>
      <c r="M3095" s="3">
        <v>10</v>
      </c>
      <c r="N3095" s="4" t="s">
        <v>359</v>
      </c>
      <c r="O3095" s="4">
        <v>164</v>
      </c>
      <c r="P3095" s="11" t="s">
        <v>9789</v>
      </c>
      <c r="Q3095" s="11" t="s">
        <v>10723</v>
      </c>
      <c r="S3095" s="4" t="b">
        <f>ISNUMBER(MATCH(Q3095,T:T,0))</f>
        <v>1</v>
      </c>
      <c r="T3095" s="4" t="s">
        <v>12541</v>
      </c>
      <c r="U3095" s="4" t="str">
        <f t="shared" si="140"/>
        <v>禁</v>
      </c>
    </row>
    <row r="3096" spans="1:21">
      <c r="A3096" s="3">
        <v>3089</v>
      </c>
      <c r="B3096" s="3" t="s">
        <v>357</v>
      </c>
      <c r="C3096" s="3" t="s">
        <v>6025</v>
      </c>
      <c r="D3096" s="3" t="s">
        <v>6001</v>
      </c>
      <c r="E3096" s="3" t="s">
        <v>5991</v>
      </c>
      <c r="F3096" s="3" t="s">
        <v>5128</v>
      </c>
      <c r="G3096" s="3" t="s">
        <v>4210</v>
      </c>
      <c r="H3096" s="3" t="s">
        <v>368</v>
      </c>
      <c r="I3096" s="3" t="s">
        <v>5122</v>
      </c>
      <c r="J3096" s="5" t="s">
        <v>369</v>
      </c>
      <c r="L3096" s="3" t="s">
        <v>5965</v>
      </c>
      <c r="M3096" s="3">
        <v>3</v>
      </c>
      <c r="N3096" s="4" t="s">
        <v>359</v>
      </c>
      <c r="O3096" s="4">
        <v>164</v>
      </c>
      <c r="P3096" s="11" t="s">
        <v>9717</v>
      </c>
      <c r="Q3096" s="11" t="s">
        <v>10724</v>
      </c>
      <c r="S3096" s="4" t="b">
        <f>ISNUMBER(MATCH(Q3096,T:T,0))</f>
        <v>1</v>
      </c>
      <c r="T3096" s="4" t="s">
        <v>10723</v>
      </c>
      <c r="U3096" s="4" t="str">
        <f t="shared" si="140"/>
        <v>蔭</v>
      </c>
    </row>
    <row r="3097" spans="1:21">
      <c r="A3097" s="3">
        <v>3090</v>
      </c>
      <c r="B3097" s="3" t="s">
        <v>357</v>
      </c>
      <c r="C3097" s="3" t="s">
        <v>6137</v>
      </c>
      <c r="D3097" s="3" t="s">
        <v>6001</v>
      </c>
      <c r="E3097" s="3" t="s">
        <v>5991</v>
      </c>
      <c r="F3097" s="3" t="s">
        <v>5128</v>
      </c>
      <c r="G3097" s="3" t="s">
        <v>4210</v>
      </c>
      <c r="H3097" s="3" t="s">
        <v>370</v>
      </c>
      <c r="I3097" s="3" t="s">
        <v>5122</v>
      </c>
      <c r="J3097" s="5" t="s">
        <v>371</v>
      </c>
      <c r="L3097" s="3" t="s">
        <v>372</v>
      </c>
      <c r="M3097" s="3">
        <v>1</v>
      </c>
      <c r="N3097" s="4" t="s">
        <v>359</v>
      </c>
      <c r="O3097" s="4">
        <v>164</v>
      </c>
      <c r="P3097" s="11" t="s">
        <v>9873</v>
      </c>
      <c r="Q3097" s="11" t="s">
        <v>10723</v>
      </c>
      <c r="S3097" s="4" t="b">
        <f>ISNUMBER(MATCH(Q3097,T:T,0))</f>
        <v>1</v>
      </c>
      <c r="T3097" s="4" t="s">
        <v>371</v>
      </c>
      <c r="U3097" s="4" t="str">
        <f t="shared" si="140"/>
        <v>禁</v>
      </c>
    </row>
    <row r="3098" spans="1:21">
      <c r="A3098" s="3">
        <v>3091</v>
      </c>
      <c r="B3098" s="3" t="s">
        <v>357</v>
      </c>
      <c r="C3098" s="3" t="s">
        <v>6072</v>
      </c>
      <c r="D3098" s="3" t="s">
        <v>6001</v>
      </c>
      <c r="E3098" s="3" t="s">
        <v>5991</v>
      </c>
      <c r="F3098" s="3" t="s">
        <v>5128</v>
      </c>
      <c r="G3098" s="3" t="s">
        <v>4210</v>
      </c>
      <c r="H3098" s="3" t="s">
        <v>373</v>
      </c>
      <c r="I3098" s="3" t="s">
        <v>5122</v>
      </c>
      <c r="J3098" s="5" t="s">
        <v>9490</v>
      </c>
      <c r="L3098" s="3" t="s">
        <v>5571</v>
      </c>
      <c r="M3098" s="3">
        <v>7</v>
      </c>
      <c r="N3098" s="4" t="s">
        <v>359</v>
      </c>
      <c r="O3098" s="4">
        <v>164</v>
      </c>
      <c r="P3098" s="11" t="s">
        <v>9754</v>
      </c>
      <c r="Q3098" s="11" t="s">
        <v>10723</v>
      </c>
      <c r="S3098" s="4" t="b">
        <f>ISNUMBER(MATCH(Q3098,T:T,0))</f>
        <v>1</v>
      </c>
      <c r="T3098" s="4" t="s">
        <v>10724</v>
      </c>
      <c r="U3098" s="4" t="str">
        <f t="shared" si="140"/>
        <v>禁</v>
      </c>
    </row>
    <row r="3099" spans="1:21">
      <c r="A3099" s="3">
        <v>3092</v>
      </c>
      <c r="B3099" s="3" t="s">
        <v>357</v>
      </c>
      <c r="C3099" s="3" t="s">
        <v>6180</v>
      </c>
      <c r="D3099" s="3" t="s">
        <v>6001</v>
      </c>
      <c r="E3099" s="3" t="s">
        <v>5991</v>
      </c>
      <c r="F3099" s="3" t="s">
        <v>5128</v>
      </c>
      <c r="G3099" s="3" t="s">
        <v>4210</v>
      </c>
      <c r="H3099" s="3" t="s">
        <v>374</v>
      </c>
      <c r="I3099" s="3" t="s">
        <v>5122</v>
      </c>
      <c r="J3099" s="5" t="s">
        <v>375</v>
      </c>
      <c r="L3099" s="3" t="s">
        <v>5949</v>
      </c>
      <c r="M3099" s="3">
        <v>2</v>
      </c>
      <c r="N3099" s="4" t="s">
        <v>359</v>
      </c>
      <c r="O3099" s="4">
        <v>164</v>
      </c>
      <c r="P3099" s="11" t="s">
        <v>9774</v>
      </c>
      <c r="Q3099" s="11" t="s">
        <v>10723</v>
      </c>
      <c r="S3099" s="4" t="b">
        <f>ISNUMBER(MATCH(Q3099,T:T,0))</f>
        <v>1</v>
      </c>
      <c r="T3099" s="4" t="s">
        <v>12542</v>
      </c>
      <c r="U3099" s="4" t="str">
        <f t="shared" si="140"/>
        <v>禁</v>
      </c>
    </row>
    <row r="3100" spans="1:21">
      <c r="A3100" s="3">
        <v>3093</v>
      </c>
      <c r="B3100" s="3" t="s">
        <v>357</v>
      </c>
      <c r="C3100" s="3" t="s">
        <v>6011</v>
      </c>
      <c r="D3100" s="3" t="s">
        <v>6001</v>
      </c>
      <c r="E3100" s="3" t="s">
        <v>5991</v>
      </c>
      <c r="F3100" s="3" t="s">
        <v>5128</v>
      </c>
      <c r="G3100" s="3" t="s">
        <v>4210</v>
      </c>
      <c r="H3100" s="3" t="s">
        <v>376</v>
      </c>
      <c r="I3100" s="3" t="s">
        <v>5122</v>
      </c>
      <c r="J3100" s="5" t="s">
        <v>377</v>
      </c>
      <c r="L3100" s="3" t="s">
        <v>5594</v>
      </c>
      <c r="M3100" s="3">
        <v>2</v>
      </c>
      <c r="N3100" s="4" t="s">
        <v>359</v>
      </c>
      <c r="O3100" s="4">
        <v>164</v>
      </c>
      <c r="P3100" s="11" t="s">
        <v>9757</v>
      </c>
      <c r="Q3100" s="11" t="s">
        <v>10723</v>
      </c>
      <c r="S3100" s="4" t="b">
        <f>ISNUMBER(MATCH(Q3100,T:T,0))</f>
        <v>1</v>
      </c>
      <c r="T3100" s="4" t="s">
        <v>12543</v>
      </c>
      <c r="U3100" s="4" t="str">
        <f t="shared" si="140"/>
        <v>禁</v>
      </c>
    </row>
    <row r="3101" spans="1:21">
      <c r="A3101" s="3">
        <v>3094</v>
      </c>
      <c r="B3101" s="3" t="s">
        <v>357</v>
      </c>
      <c r="C3101" s="3" t="s">
        <v>6318</v>
      </c>
      <c r="D3101" s="3" t="s">
        <v>6001</v>
      </c>
      <c r="E3101" s="3" t="s">
        <v>5991</v>
      </c>
      <c r="F3101" s="3" t="s">
        <v>5128</v>
      </c>
      <c r="G3101" s="3" t="s">
        <v>4210</v>
      </c>
      <c r="H3101" s="3" t="s">
        <v>378</v>
      </c>
      <c r="I3101" s="3" t="s">
        <v>5122</v>
      </c>
      <c r="J3101" s="5" t="s">
        <v>379</v>
      </c>
      <c r="L3101" s="3" t="s">
        <v>5959</v>
      </c>
      <c r="M3101" s="3">
        <v>1</v>
      </c>
      <c r="N3101" s="4" t="s">
        <v>359</v>
      </c>
      <c r="O3101" s="4">
        <v>164</v>
      </c>
      <c r="P3101" s="11" t="s">
        <v>6318</v>
      </c>
      <c r="Q3101" s="11" t="s">
        <v>10724</v>
      </c>
      <c r="S3101" s="4" t="b">
        <f>ISNUMBER(MATCH(Q3101,T:T,0))</f>
        <v>1</v>
      </c>
      <c r="T3101" s="4" t="s">
        <v>379</v>
      </c>
      <c r="U3101" s="4" t="str">
        <f t="shared" si="140"/>
        <v>蔭</v>
      </c>
    </row>
    <row r="3102" spans="1:21">
      <c r="A3102" s="3">
        <v>3095</v>
      </c>
      <c r="B3102" s="3" t="s">
        <v>357</v>
      </c>
      <c r="C3102" s="3" t="s">
        <v>6167</v>
      </c>
      <c r="D3102" s="3" t="s">
        <v>6001</v>
      </c>
      <c r="E3102" s="3" t="s">
        <v>5991</v>
      </c>
      <c r="F3102" s="3" t="s">
        <v>5128</v>
      </c>
      <c r="G3102" s="3" t="s">
        <v>4210</v>
      </c>
      <c r="H3102" s="3" t="s">
        <v>380</v>
      </c>
      <c r="I3102" s="3" t="s">
        <v>5122</v>
      </c>
      <c r="J3102" s="5" t="s">
        <v>381</v>
      </c>
      <c r="L3102" s="3" t="s">
        <v>5594</v>
      </c>
      <c r="M3102" s="3">
        <v>1</v>
      </c>
      <c r="N3102" s="4" t="s">
        <v>359</v>
      </c>
      <c r="O3102" s="4">
        <v>164</v>
      </c>
      <c r="P3102" s="11" t="s">
        <v>9769</v>
      </c>
      <c r="Q3102" s="11" t="s">
        <v>379</v>
      </c>
      <c r="S3102" s="4" t="b">
        <f>ISNUMBER(MATCH(Q3102,T:T,0))</f>
        <v>1</v>
      </c>
      <c r="T3102" s="4" t="s">
        <v>381</v>
      </c>
      <c r="U3102" s="4" t="str">
        <f t="shared" si="140"/>
        <v>譖</v>
      </c>
    </row>
    <row r="3103" spans="1:21">
      <c r="A3103" s="3">
        <v>3096</v>
      </c>
      <c r="B3103" s="3" t="s">
        <v>357</v>
      </c>
      <c r="C3103" s="3" t="s">
        <v>6092</v>
      </c>
      <c r="D3103" s="3" t="s">
        <v>6001</v>
      </c>
      <c r="E3103" s="3" t="s">
        <v>5991</v>
      </c>
      <c r="F3103" s="3" t="s">
        <v>5128</v>
      </c>
      <c r="G3103" s="3" t="s">
        <v>4210</v>
      </c>
      <c r="H3103" s="3" t="s">
        <v>382</v>
      </c>
      <c r="I3103" s="3" t="s">
        <v>5122</v>
      </c>
      <c r="J3103" s="5" t="s">
        <v>383</v>
      </c>
      <c r="L3103" s="3" t="s">
        <v>5571</v>
      </c>
      <c r="M3103" s="3">
        <v>1</v>
      </c>
      <c r="N3103" s="4" t="s">
        <v>359</v>
      </c>
      <c r="O3103" s="4">
        <v>164</v>
      </c>
      <c r="P3103" s="11" t="s">
        <v>9792</v>
      </c>
      <c r="Q3103" s="11" t="s">
        <v>10723</v>
      </c>
      <c r="S3103" s="4" t="b">
        <f>ISNUMBER(MATCH(Q3103,T:T,0))</f>
        <v>1</v>
      </c>
      <c r="T3103" s="4" t="s">
        <v>383</v>
      </c>
      <c r="U3103" s="4" t="str">
        <f t="shared" si="140"/>
        <v>禁</v>
      </c>
    </row>
    <row r="3104" spans="1:21">
      <c r="A3104" s="3">
        <v>3097</v>
      </c>
      <c r="B3104" s="3" t="s">
        <v>357</v>
      </c>
      <c r="C3104" s="3" t="s">
        <v>6000</v>
      </c>
      <c r="D3104" s="3" t="s">
        <v>6001</v>
      </c>
      <c r="E3104" s="3" t="s">
        <v>5991</v>
      </c>
      <c r="F3104" s="3" t="s">
        <v>5128</v>
      </c>
      <c r="G3104" s="3" t="s">
        <v>4210</v>
      </c>
      <c r="H3104" s="3" t="s">
        <v>384</v>
      </c>
      <c r="I3104" s="3" t="s">
        <v>5122</v>
      </c>
      <c r="J3104" s="5" t="s">
        <v>385</v>
      </c>
      <c r="K3104" s="3" t="s">
        <v>629</v>
      </c>
      <c r="L3104" s="3" t="s">
        <v>5959</v>
      </c>
      <c r="M3104" s="3">
        <v>2</v>
      </c>
      <c r="N3104" s="4" t="s">
        <v>359</v>
      </c>
      <c r="O3104" s="4">
        <v>164</v>
      </c>
      <c r="P3104" s="11" t="s">
        <v>6000</v>
      </c>
      <c r="Q3104" s="11" t="s">
        <v>10722</v>
      </c>
      <c r="S3104" s="4" t="b">
        <f>ISNUMBER(MATCH(Q3104,T:T,0))</f>
        <v>1</v>
      </c>
      <c r="T3104" s="4" t="s">
        <v>12544</v>
      </c>
      <c r="U3104" s="4" t="str">
        <f t="shared" si="140"/>
        <v>鴆</v>
      </c>
    </row>
    <row r="3105" spans="1:21">
      <c r="A3105" s="3">
        <v>3098</v>
      </c>
      <c r="B3105" s="3" t="s">
        <v>357</v>
      </c>
      <c r="C3105" s="3" t="s">
        <v>6058</v>
      </c>
      <c r="D3105" s="3" t="s">
        <v>6001</v>
      </c>
      <c r="E3105" s="3" t="s">
        <v>5991</v>
      </c>
      <c r="F3105" s="3" t="s">
        <v>5120</v>
      </c>
      <c r="G3105" s="3" t="s">
        <v>4210</v>
      </c>
      <c r="H3105" s="3" t="s">
        <v>386</v>
      </c>
      <c r="I3105" s="3" t="s">
        <v>5122</v>
      </c>
      <c r="J3105" s="5" t="s">
        <v>387</v>
      </c>
      <c r="L3105" s="3" t="s">
        <v>5573</v>
      </c>
      <c r="M3105" s="3">
        <v>2</v>
      </c>
      <c r="N3105" s="4" t="s">
        <v>359</v>
      </c>
      <c r="O3105" s="4">
        <v>164</v>
      </c>
      <c r="P3105" s="11" t="s">
        <v>10084</v>
      </c>
      <c r="Q3105" s="11" t="s">
        <v>10722</v>
      </c>
      <c r="S3105" s="4" t="b">
        <f>ISNUMBER(MATCH(Q3105,T:T,0))</f>
        <v>1</v>
      </c>
      <c r="T3105" s="4" t="s">
        <v>12545</v>
      </c>
      <c r="U3105" s="4" t="str">
        <f t="shared" si="140"/>
        <v>鴆</v>
      </c>
    </row>
    <row r="3106" spans="1:21">
      <c r="A3106" s="3">
        <v>3099</v>
      </c>
      <c r="B3106" s="3" t="s">
        <v>357</v>
      </c>
      <c r="C3106" s="3" t="s">
        <v>6148</v>
      </c>
      <c r="D3106" s="3" t="s">
        <v>6001</v>
      </c>
      <c r="E3106" s="3" t="s">
        <v>5991</v>
      </c>
      <c r="F3106" s="3" t="s">
        <v>5120</v>
      </c>
      <c r="G3106" s="3" t="s">
        <v>4210</v>
      </c>
      <c r="H3106" s="3" t="s">
        <v>388</v>
      </c>
      <c r="I3106" s="3" t="s">
        <v>5122</v>
      </c>
      <c r="J3106" s="5" t="s">
        <v>389</v>
      </c>
      <c r="L3106" s="3" t="s">
        <v>5949</v>
      </c>
      <c r="M3106" s="3">
        <v>2</v>
      </c>
      <c r="N3106" s="4" t="s">
        <v>359</v>
      </c>
      <c r="O3106" s="4">
        <v>164</v>
      </c>
      <c r="P3106" s="11" t="s">
        <v>10190</v>
      </c>
      <c r="Q3106" s="11" t="s">
        <v>10722</v>
      </c>
      <c r="S3106" s="4" t="b">
        <f>ISNUMBER(MATCH(Q3106,T:T,0))</f>
        <v>1</v>
      </c>
      <c r="T3106" s="4" t="s">
        <v>10421</v>
      </c>
      <c r="U3106" s="4" t="str">
        <f t="shared" si="140"/>
        <v>鴆</v>
      </c>
    </row>
    <row r="3107" spans="1:21">
      <c r="A3107" s="3">
        <v>3100</v>
      </c>
      <c r="B3107" s="3" t="s">
        <v>357</v>
      </c>
      <c r="C3107" s="3" t="s">
        <v>6032</v>
      </c>
      <c r="D3107" s="3" t="s">
        <v>6001</v>
      </c>
      <c r="E3107" s="3" t="s">
        <v>5991</v>
      </c>
      <c r="F3107" s="3" t="s">
        <v>5128</v>
      </c>
      <c r="G3107" s="3" t="s">
        <v>4210</v>
      </c>
      <c r="H3107" s="3" t="s">
        <v>390</v>
      </c>
      <c r="I3107" s="3" t="s">
        <v>5122</v>
      </c>
      <c r="J3107" s="5" t="s">
        <v>391</v>
      </c>
      <c r="L3107" s="3" t="s">
        <v>5571</v>
      </c>
      <c r="M3107" s="3">
        <v>2</v>
      </c>
      <c r="N3107" s="4" t="s">
        <v>359</v>
      </c>
      <c r="O3107" s="4">
        <v>164</v>
      </c>
      <c r="P3107" s="11" t="s">
        <v>9859</v>
      </c>
      <c r="Q3107" s="11" t="s">
        <v>10723</v>
      </c>
      <c r="S3107" s="4" t="b">
        <f>ISNUMBER(MATCH(Q3107,T:T,0))</f>
        <v>1</v>
      </c>
      <c r="T3107" s="4" t="s">
        <v>12546</v>
      </c>
      <c r="U3107" s="4" t="str">
        <f t="shared" si="140"/>
        <v>禁</v>
      </c>
    </row>
    <row r="3108" spans="1:21">
      <c r="A3108" s="3">
        <v>3101</v>
      </c>
      <c r="B3108" s="3" t="s">
        <v>357</v>
      </c>
      <c r="C3108" s="3" t="s">
        <v>6120</v>
      </c>
      <c r="D3108" s="3" t="s">
        <v>6001</v>
      </c>
      <c r="E3108" s="3" t="s">
        <v>5991</v>
      </c>
      <c r="F3108" s="3" t="s">
        <v>5120</v>
      </c>
      <c r="G3108" s="3" t="s">
        <v>4210</v>
      </c>
      <c r="H3108" s="3" t="s">
        <v>392</v>
      </c>
      <c r="I3108" s="3" t="s">
        <v>5122</v>
      </c>
      <c r="J3108" s="5" t="s">
        <v>393</v>
      </c>
      <c r="L3108" s="3" t="s">
        <v>5949</v>
      </c>
      <c r="M3108" s="3">
        <v>2</v>
      </c>
      <c r="N3108" s="4" t="s">
        <v>359</v>
      </c>
      <c r="O3108" s="4">
        <v>164</v>
      </c>
      <c r="P3108" s="11" t="s">
        <v>9793</v>
      </c>
      <c r="Q3108" s="11" t="s">
        <v>10723</v>
      </c>
      <c r="S3108" s="4" t="b">
        <f>ISNUMBER(MATCH(Q3108,T:T,0))</f>
        <v>1</v>
      </c>
      <c r="T3108" s="4" t="s">
        <v>5122</v>
      </c>
      <c r="U3108" s="4" t="str">
        <f t="shared" si="140"/>
        <v>禁</v>
      </c>
    </row>
    <row r="3109" spans="1:21">
      <c r="A3109" s="3">
        <v>4003</v>
      </c>
      <c r="B3109" s="3" t="s">
        <v>357</v>
      </c>
      <c r="C3109" s="3" t="s">
        <v>6038</v>
      </c>
      <c r="D3109" s="3" t="s">
        <v>6001</v>
      </c>
      <c r="E3109" s="3" t="s">
        <v>5991</v>
      </c>
      <c r="F3109" s="3" t="s">
        <v>5128</v>
      </c>
      <c r="G3109" s="3" t="s">
        <v>4210</v>
      </c>
      <c r="H3109" s="3" t="s">
        <v>1313</v>
      </c>
      <c r="I3109" s="3" t="s">
        <v>5122</v>
      </c>
      <c r="J3109" s="8" t="s">
        <v>6742</v>
      </c>
      <c r="M3109" s="3">
        <v>2</v>
      </c>
      <c r="N3109" s="4" t="s">
        <v>359</v>
      </c>
      <c r="O3109" s="4">
        <v>164</v>
      </c>
      <c r="P3109" s="11" t="s">
        <v>9825</v>
      </c>
      <c r="Q3109" s="11" t="s">
        <v>10723</v>
      </c>
      <c r="S3109" s="4" t="b">
        <f>ISNUMBER(MATCH(Q3109,T:T,0))</f>
        <v>1</v>
      </c>
      <c r="T3109" s="4" t="s">
        <v>12981</v>
      </c>
      <c r="U3109" s="4" t="str">
        <f t="shared" si="140"/>
        <v>禁</v>
      </c>
    </row>
    <row r="3110" spans="1:21">
      <c r="A3110" s="3">
        <v>3102</v>
      </c>
      <c r="B3110" s="3" t="s">
        <v>394</v>
      </c>
      <c r="C3110" s="3" t="s">
        <v>6038</v>
      </c>
      <c r="D3110" s="3" t="s">
        <v>5990</v>
      </c>
      <c r="E3110" s="3" t="s">
        <v>5991</v>
      </c>
      <c r="F3110" s="3" t="s">
        <v>8494</v>
      </c>
      <c r="G3110" s="3" t="s">
        <v>4210</v>
      </c>
      <c r="H3110" s="3" t="s">
        <v>395</v>
      </c>
      <c r="I3110" s="3" t="s">
        <v>8496</v>
      </c>
      <c r="J3110" s="5" t="s">
        <v>396</v>
      </c>
      <c r="L3110" s="3" t="s">
        <v>2061</v>
      </c>
      <c r="M3110" s="3">
        <v>7</v>
      </c>
      <c r="N3110" s="4" t="s">
        <v>397</v>
      </c>
      <c r="O3110" s="4">
        <v>165</v>
      </c>
      <c r="P3110" s="11" t="s">
        <v>9728</v>
      </c>
      <c r="Q3110" s="11" t="s">
        <v>10725</v>
      </c>
      <c r="S3110" s="4" t="b">
        <f>ISNUMBER(MATCH(Q3110,T:T,0))</f>
        <v>1</v>
      </c>
      <c r="T3110" s="4" t="s">
        <v>397</v>
      </c>
      <c r="U3110" s="4" t="str">
        <f t="shared" si="140"/>
        <v>紺</v>
      </c>
    </row>
    <row r="3111" spans="1:21">
      <c r="A3111" s="3">
        <v>3103</v>
      </c>
      <c r="B3111" s="3" t="s">
        <v>394</v>
      </c>
      <c r="C3111" s="3" t="s">
        <v>6025</v>
      </c>
      <c r="D3111" s="3" t="s">
        <v>5990</v>
      </c>
      <c r="E3111" s="3" t="s">
        <v>5991</v>
      </c>
      <c r="F3111" s="3" t="s">
        <v>8494</v>
      </c>
      <c r="G3111" s="3" t="s">
        <v>4210</v>
      </c>
      <c r="H3111" s="3" t="s">
        <v>398</v>
      </c>
      <c r="I3111" s="3" t="s">
        <v>8496</v>
      </c>
      <c r="J3111" s="5" t="s">
        <v>399</v>
      </c>
      <c r="L3111" s="3" t="s">
        <v>2057</v>
      </c>
      <c r="M3111" s="3">
        <v>5</v>
      </c>
      <c r="N3111" s="4" t="s">
        <v>397</v>
      </c>
      <c r="O3111" s="4">
        <v>165</v>
      </c>
      <c r="P3111" s="11" t="s">
        <v>9729</v>
      </c>
      <c r="Q3111" s="11" t="s">
        <v>10726</v>
      </c>
      <c r="S3111" s="4" t="b">
        <f>ISNUMBER(MATCH(Q3111,T:T,0))</f>
        <v>1</v>
      </c>
      <c r="T3111" s="4" t="s">
        <v>10725</v>
      </c>
      <c r="U3111" s="4" t="str">
        <f t="shared" si="140"/>
        <v>暗</v>
      </c>
    </row>
    <row r="3112" spans="1:21">
      <c r="A3112" s="3">
        <v>3104</v>
      </c>
      <c r="B3112" s="3" t="s">
        <v>394</v>
      </c>
      <c r="C3112" s="3" t="s">
        <v>6067</v>
      </c>
      <c r="D3112" s="3" t="s">
        <v>5990</v>
      </c>
      <c r="E3112" s="3" t="s">
        <v>5991</v>
      </c>
      <c r="F3112" s="3" t="s">
        <v>8494</v>
      </c>
      <c r="G3112" s="3" t="s">
        <v>4210</v>
      </c>
      <c r="H3112" s="3" t="s">
        <v>400</v>
      </c>
      <c r="I3112" s="3" t="s">
        <v>8496</v>
      </c>
      <c r="J3112" s="5" t="s">
        <v>9491</v>
      </c>
      <c r="L3112" s="3" t="s">
        <v>260</v>
      </c>
      <c r="M3112" s="3">
        <v>7</v>
      </c>
      <c r="N3112" s="4" t="s">
        <v>397</v>
      </c>
      <c r="O3112" s="4">
        <v>165</v>
      </c>
      <c r="P3112" s="11" t="s">
        <v>9870</v>
      </c>
      <c r="Q3112" s="11" t="s">
        <v>10725</v>
      </c>
      <c r="S3112" s="4" t="b">
        <f>ISNUMBER(MATCH(Q3112,T:T,0))</f>
        <v>1</v>
      </c>
      <c r="T3112" s="4" t="s">
        <v>12547</v>
      </c>
      <c r="U3112" s="4" t="str">
        <f t="shared" si="140"/>
        <v>紺</v>
      </c>
    </row>
    <row r="3113" spans="1:21">
      <c r="A3113" s="3">
        <v>3105</v>
      </c>
      <c r="B3113" s="3" t="s">
        <v>394</v>
      </c>
      <c r="C3113" s="3" t="s">
        <v>6072</v>
      </c>
      <c r="D3113" s="3" t="s">
        <v>5990</v>
      </c>
      <c r="E3113" s="3" t="s">
        <v>5991</v>
      </c>
      <c r="F3113" s="3" t="s">
        <v>8494</v>
      </c>
      <c r="G3113" s="3" t="s">
        <v>4210</v>
      </c>
      <c r="H3113" s="3" t="s">
        <v>401</v>
      </c>
      <c r="I3113" s="3" t="s">
        <v>8496</v>
      </c>
      <c r="J3113" s="5" t="s">
        <v>402</v>
      </c>
      <c r="L3113" s="3" t="s">
        <v>2051</v>
      </c>
      <c r="M3113" s="3">
        <v>2</v>
      </c>
      <c r="N3113" s="4" t="s">
        <v>397</v>
      </c>
      <c r="O3113" s="4">
        <v>165</v>
      </c>
      <c r="P3113" s="11" t="s">
        <v>9734</v>
      </c>
      <c r="Q3113" s="11" t="s">
        <v>10725</v>
      </c>
      <c r="S3113" s="4" t="b">
        <f>ISNUMBER(MATCH(Q3113,T:T,0))</f>
        <v>1</v>
      </c>
      <c r="T3113" s="4" t="s">
        <v>10726</v>
      </c>
      <c r="U3113" s="4" t="str">
        <f t="shared" si="140"/>
        <v>紺</v>
      </c>
    </row>
    <row r="3114" spans="1:21">
      <c r="A3114" s="3">
        <v>3106</v>
      </c>
      <c r="B3114" s="3" t="s">
        <v>394</v>
      </c>
      <c r="C3114" s="3" t="s">
        <v>6079</v>
      </c>
      <c r="D3114" s="3" t="s">
        <v>5990</v>
      </c>
      <c r="E3114" s="3" t="s">
        <v>5991</v>
      </c>
      <c r="F3114" s="3" t="s">
        <v>8494</v>
      </c>
      <c r="G3114" s="3" t="s">
        <v>4210</v>
      </c>
      <c r="H3114" s="3" t="s">
        <v>403</v>
      </c>
      <c r="I3114" s="3" t="s">
        <v>8496</v>
      </c>
      <c r="J3114" s="5" t="s">
        <v>9492</v>
      </c>
      <c r="L3114" s="3" t="s">
        <v>2047</v>
      </c>
      <c r="M3114" s="3">
        <v>8</v>
      </c>
      <c r="N3114" s="4" t="s">
        <v>397</v>
      </c>
      <c r="O3114" s="4">
        <v>165</v>
      </c>
      <c r="P3114" s="11" t="s">
        <v>9736</v>
      </c>
      <c r="Q3114" s="11" t="s">
        <v>10725</v>
      </c>
      <c r="S3114" s="4" t="b">
        <f>ISNUMBER(MATCH(Q3114,T:T,0))</f>
        <v>1</v>
      </c>
      <c r="T3114" s="4" t="s">
        <v>12548</v>
      </c>
      <c r="U3114" s="4" t="str">
        <f t="shared" si="140"/>
        <v>紺</v>
      </c>
    </row>
    <row r="3115" spans="1:21">
      <c r="A3115" s="3">
        <v>3107</v>
      </c>
      <c r="B3115" s="3" t="s">
        <v>394</v>
      </c>
      <c r="C3115" s="3" t="s">
        <v>6017</v>
      </c>
      <c r="D3115" s="3" t="s">
        <v>5990</v>
      </c>
      <c r="E3115" s="3" t="s">
        <v>5991</v>
      </c>
      <c r="F3115" s="3" t="s">
        <v>8494</v>
      </c>
      <c r="G3115" s="3" t="s">
        <v>4210</v>
      </c>
      <c r="H3115" s="3" t="s">
        <v>404</v>
      </c>
      <c r="I3115" s="3" t="s">
        <v>8496</v>
      </c>
      <c r="J3115" s="8" t="s">
        <v>9493</v>
      </c>
      <c r="L3115" s="3" t="s">
        <v>2073</v>
      </c>
      <c r="M3115" s="3">
        <v>4</v>
      </c>
      <c r="N3115" s="4" t="s">
        <v>397</v>
      </c>
      <c r="O3115" s="4">
        <v>165</v>
      </c>
      <c r="P3115" s="11" t="s">
        <v>9741</v>
      </c>
      <c r="Q3115" s="11" t="s">
        <v>10725</v>
      </c>
      <c r="S3115" s="4" t="b">
        <f>ISNUMBER(MATCH(Q3115,T:T,0))</f>
        <v>1</v>
      </c>
      <c r="T3115" s="4" t="s">
        <v>12549</v>
      </c>
      <c r="U3115" s="4" t="str">
        <f t="shared" si="140"/>
        <v>紺</v>
      </c>
    </row>
    <row r="3116" spans="1:21">
      <c r="A3116" s="3">
        <v>3108</v>
      </c>
      <c r="B3116" s="3" t="s">
        <v>394</v>
      </c>
      <c r="C3116" s="3" t="s">
        <v>6076</v>
      </c>
      <c r="D3116" s="3" t="s">
        <v>5990</v>
      </c>
      <c r="E3116" s="3" t="s">
        <v>5991</v>
      </c>
      <c r="F3116" s="3" t="s">
        <v>8494</v>
      </c>
      <c r="G3116" s="3" t="s">
        <v>4210</v>
      </c>
      <c r="H3116" s="3" t="s">
        <v>405</v>
      </c>
      <c r="I3116" s="3" t="s">
        <v>8496</v>
      </c>
      <c r="J3116" s="8" t="s">
        <v>9494</v>
      </c>
      <c r="L3116" s="3" t="s">
        <v>2070</v>
      </c>
      <c r="M3116" s="3">
        <v>3</v>
      </c>
      <c r="N3116" s="4" t="s">
        <v>397</v>
      </c>
      <c r="O3116" s="4">
        <v>165</v>
      </c>
      <c r="P3116" s="11" t="s">
        <v>9766</v>
      </c>
      <c r="Q3116" s="11" t="s">
        <v>10725</v>
      </c>
      <c r="S3116" s="4" t="b">
        <f>ISNUMBER(MATCH(Q3116,T:T,0))</f>
        <v>1</v>
      </c>
      <c r="T3116" s="4" t="s">
        <v>12550</v>
      </c>
      <c r="U3116" s="4" t="str">
        <f t="shared" si="140"/>
        <v>紺</v>
      </c>
    </row>
    <row r="3117" spans="1:21">
      <c r="A3117" s="3">
        <v>3109</v>
      </c>
      <c r="B3117" s="3" t="s">
        <v>394</v>
      </c>
      <c r="C3117" s="3" t="s">
        <v>5997</v>
      </c>
      <c r="D3117" s="3" t="s">
        <v>5990</v>
      </c>
      <c r="E3117" s="3" t="s">
        <v>5991</v>
      </c>
      <c r="F3117" s="3" t="s">
        <v>8494</v>
      </c>
      <c r="G3117" s="3" t="s">
        <v>4210</v>
      </c>
      <c r="H3117" s="3" t="s">
        <v>406</v>
      </c>
      <c r="I3117" s="3" t="s">
        <v>8496</v>
      </c>
      <c r="J3117" s="5" t="s">
        <v>407</v>
      </c>
      <c r="L3117" s="3" t="s">
        <v>271</v>
      </c>
      <c r="M3117" s="3">
        <v>5</v>
      </c>
      <c r="N3117" s="4" t="s">
        <v>397</v>
      </c>
      <c r="O3117" s="4">
        <v>165</v>
      </c>
      <c r="P3117" s="11" t="s">
        <v>9706</v>
      </c>
      <c r="Q3117" s="11" t="s">
        <v>10725</v>
      </c>
      <c r="S3117" s="4" t="b">
        <f>ISNUMBER(MATCH(Q3117,T:T,0))</f>
        <v>1</v>
      </c>
      <c r="T3117" s="4" t="s">
        <v>12551</v>
      </c>
      <c r="U3117" s="4" t="str">
        <f t="shared" si="140"/>
        <v>紺</v>
      </c>
    </row>
    <row r="3118" spans="1:21">
      <c r="A3118" s="3">
        <v>3110</v>
      </c>
      <c r="B3118" s="3" t="s">
        <v>394</v>
      </c>
      <c r="C3118" s="3" t="s">
        <v>6092</v>
      </c>
      <c r="D3118" s="3" t="s">
        <v>5990</v>
      </c>
      <c r="E3118" s="3" t="s">
        <v>5991</v>
      </c>
      <c r="F3118" s="3" t="s">
        <v>8494</v>
      </c>
      <c r="G3118" s="3" t="s">
        <v>4210</v>
      </c>
      <c r="H3118" s="3" t="s">
        <v>408</v>
      </c>
      <c r="I3118" s="3" t="s">
        <v>8496</v>
      </c>
      <c r="J3118" s="5" t="s">
        <v>409</v>
      </c>
      <c r="L3118" s="3" t="s">
        <v>2051</v>
      </c>
      <c r="M3118" s="3">
        <v>1</v>
      </c>
      <c r="N3118" s="4" t="s">
        <v>397</v>
      </c>
      <c r="O3118" s="4">
        <v>165</v>
      </c>
      <c r="P3118" s="11" t="s">
        <v>9740</v>
      </c>
      <c r="Q3118" s="11" t="s">
        <v>10725</v>
      </c>
      <c r="S3118" s="4" t="b">
        <f>ISNUMBER(MATCH(Q3118,T:T,0))</f>
        <v>1</v>
      </c>
      <c r="T3118" s="4" t="s">
        <v>409</v>
      </c>
      <c r="U3118" s="4" t="str">
        <f t="shared" si="140"/>
        <v>紺</v>
      </c>
    </row>
    <row r="3119" spans="1:21">
      <c r="A3119" s="3">
        <v>3111</v>
      </c>
      <c r="B3119" s="3" t="s">
        <v>394</v>
      </c>
      <c r="C3119" s="3" t="s">
        <v>5989</v>
      </c>
      <c r="D3119" s="3" t="s">
        <v>5990</v>
      </c>
      <c r="E3119" s="3" t="s">
        <v>5991</v>
      </c>
      <c r="F3119" s="3" t="s">
        <v>8494</v>
      </c>
      <c r="G3119" s="3" t="s">
        <v>4210</v>
      </c>
      <c r="H3119" s="3" t="s">
        <v>410</v>
      </c>
      <c r="I3119" s="3" t="s">
        <v>8496</v>
      </c>
      <c r="J3119" s="8" t="s">
        <v>9495</v>
      </c>
      <c r="L3119" s="3" t="s">
        <v>271</v>
      </c>
      <c r="M3119" s="3">
        <v>3</v>
      </c>
      <c r="N3119" s="4" t="s">
        <v>397</v>
      </c>
      <c r="O3119" s="4">
        <v>165</v>
      </c>
      <c r="P3119" s="11" t="s">
        <v>9822</v>
      </c>
      <c r="Q3119" s="11" t="s">
        <v>10725</v>
      </c>
      <c r="S3119" s="4" t="b">
        <f>ISNUMBER(MATCH(Q3119,T:T,0))</f>
        <v>1</v>
      </c>
      <c r="T3119" s="4" t="s">
        <v>12552</v>
      </c>
      <c r="U3119" s="4" t="str">
        <f t="shared" si="140"/>
        <v>紺</v>
      </c>
    </row>
    <row r="3120" spans="1:21">
      <c r="A3120" s="3">
        <v>3112</v>
      </c>
      <c r="B3120" s="3" t="s">
        <v>394</v>
      </c>
      <c r="C3120" s="3" t="s">
        <v>6102</v>
      </c>
      <c r="D3120" s="3" t="s">
        <v>5990</v>
      </c>
      <c r="E3120" s="3" t="s">
        <v>5991</v>
      </c>
      <c r="F3120" s="3" t="s">
        <v>8494</v>
      </c>
      <c r="G3120" s="3" t="s">
        <v>4210</v>
      </c>
      <c r="H3120" s="3" t="s">
        <v>411</v>
      </c>
      <c r="I3120" s="3" t="s">
        <v>8496</v>
      </c>
      <c r="J3120" s="5" t="s">
        <v>412</v>
      </c>
      <c r="L3120" s="3" t="s">
        <v>2068</v>
      </c>
      <c r="M3120" s="3">
        <v>1</v>
      </c>
      <c r="N3120" s="4" t="s">
        <v>397</v>
      </c>
      <c r="O3120" s="4">
        <v>165</v>
      </c>
      <c r="P3120" s="11" t="s">
        <v>9744</v>
      </c>
      <c r="Q3120" s="11" t="s">
        <v>10725</v>
      </c>
      <c r="S3120" s="4" t="b">
        <f>ISNUMBER(MATCH(Q3120,T:T,0))</f>
        <v>1</v>
      </c>
      <c r="T3120" s="4" t="s">
        <v>412</v>
      </c>
      <c r="U3120" s="4" t="str">
        <f t="shared" si="140"/>
        <v>紺</v>
      </c>
    </row>
    <row r="3121" spans="1:22">
      <c r="A3121" s="3">
        <v>3113</v>
      </c>
      <c r="B3121" s="3" t="s">
        <v>394</v>
      </c>
      <c r="C3121" s="3" t="s">
        <v>6058</v>
      </c>
      <c r="D3121" s="3" t="s">
        <v>5990</v>
      </c>
      <c r="E3121" s="3" t="s">
        <v>5991</v>
      </c>
      <c r="F3121" s="3" t="s">
        <v>8494</v>
      </c>
      <c r="G3121" s="3" t="s">
        <v>4210</v>
      </c>
      <c r="H3121" s="3" t="s">
        <v>413</v>
      </c>
      <c r="I3121" s="3" t="s">
        <v>8496</v>
      </c>
      <c r="J3121" s="5" t="s">
        <v>414</v>
      </c>
      <c r="L3121" s="3" t="s">
        <v>2065</v>
      </c>
      <c r="M3121" s="3">
        <v>3</v>
      </c>
      <c r="N3121" s="4" t="s">
        <v>397</v>
      </c>
      <c r="O3121" s="4">
        <v>165</v>
      </c>
      <c r="P3121" s="11" t="s">
        <v>9886</v>
      </c>
      <c r="Q3121" s="11" t="s">
        <v>10725</v>
      </c>
      <c r="S3121" s="4" t="b">
        <f>ISNUMBER(MATCH(Q3121,T:T,0))</f>
        <v>1</v>
      </c>
      <c r="T3121" s="4" t="s">
        <v>12553</v>
      </c>
      <c r="U3121" s="4" t="str">
        <f t="shared" si="140"/>
        <v>紺</v>
      </c>
    </row>
    <row r="3122" spans="1:22">
      <c r="A3122" s="3">
        <v>3114</v>
      </c>
      <c r="B3122" s="3" t="s">
        <v>394</v>
      </c>
      <c r="C3122" s="3" t="s">
        <v>6089</v>
      </c>
      <c r="D3122" s="3" t="s">
        <v>5990</v>
      </c>
      <c r="E3122" s="3" t="s">
        <v>5991</v>
      </c>
      <c r="F3122" s="3" t="s">
        <v>8494</v>
      </c>
      <c r="G3122" s="3" t="s">
        <v>4210</v>
      </c>
      <c r="H3122" s="3" t="s">
        <v>415</v>
      </c>
      <c r="I3122" s="3" t="s">
        <v>8496</v>
      </c>
      <c r="J3122" s="5" t="s">
        <v>416</v>
      </c>
      <c r="L3122" s="3" t="s">
        <v>260</v>
      </c>
      <c r="M3122" s="3">
        <v>2</v>
      </c>
      <c r="N3122" s="4" t="s">
        <v>397</v>
      </c>
      <c r="O3122" s="4">
        <v>165</v>
      </c>
      <c r="P3122" s="11" t="s">
        <v>9739</v>
      </c>
      <c r="Q3122" s="11" t="s">
        <v>10725</v>
      </c>
      <c r="S3122" s="4" t="b">
        <f>ISNUMBER(MATCH(Q3122,T:T,0))</f>
        <v>1</v>
      </c>
      <c r="T3122" s="4" t="s">
        <v>4078</v>
      </c>
      <c r="U3122" s="4" t="str">
        <f t="shared" si="140"/>
        <v>紺</v>
      </c>
    </row>
    <row r="3123" spans="1:22">
      <c r="A3123" s="3">
        <v>3115</v>
      </c>
      <c r="B3123" s="3" t="s">
        <v>394</v>
      </c>
      <c r="C3123" s="3" t="s">
        <v>6083</v>
      </c>
      <c r="D3123" s="3" t="s">
        <v>5990</v>
      </c>
      <c r="E3123" s="3" t="s">
        <v>5991</v>
      </c>
      <c r="F3123" s="3" t="s">
        <v>8494</v>
      </c>
      <c r="G3123" s="3" t="s">
        <v>4210</v>
      </c>
      <c r="H3123" s="3" t="s">
        <v>417</v>
      </c>
      <c r="I3123" s="3" t="s">
        <v>8496</v>
      </c>
      <c r="J3123" s="5" t="s">
        <v>9496</v>
      </c>
      <c r="L3123" s="3" t="s">
        <v>273</v>
      </c>
      <c r="M3123" s="3">
        <v>2</v>
      </c>
      <c r="N3123" s="4" t="s">
        <v>397</v>
      </c>
      <c r="O3123" s="4">
        <v>165</v>
      </c>
      <c r="P3123" s="11" t="s">
        <v>9745</v>
      </c>
      <c r="Q3123" s="11" t="s">
        <v>10725</v>
      </c>
      <c r="S3123" s="4" t="b">
        <f>ISNUMBER(MATCH(Q3123,T:T,0))</f>
        <v>1</v>
      </c>
      <c r="T3123" s="4" t="s">
        <v>12554</v>
      </c>
      <c r="U3123" s="4" t="str">
        <f t="shared" si="140"/>
        <v>紺</v>
      </c>
    </row>
    <row r="3124" spans="1:22">
      <c r="A3124" s="3">
        <v>3116</v>
      </c>
      <c r="B3124" s="3" t="s">
        <v>418</v>
      </c>
      <c r="C3124" s="3" t="s">
        <v>6038</v>
      </c>
      <c r="D3124" s="3" t="s">
        <v>5990</v>
      </c>
      <c r="E3124" s="3" t="s">
        <v>5991</v>
      </c>
      <c r="F3124" s="3" t="s">
        <v>8522</v>
      </c>
      <c r="G3124" s="3" t="s">
        <v>4210</v>
      </c>
      <c r="H3124" s="3" t="s">
        <v>419</v>
      </c>
      <c r="I3124" s="3" t="s">
        <v>8496</v>
      </c>
      <c r="J3124" s="5" t="s">
        <v>420</v>
      </c>
      <c r="L3124" s="3" t="s">
        <v>2061</v>
      </c>
      <c r="M3124" s="3">
        <v>5</v>
      </c>
      <c r="N3124" s="4" t="s">
        <v>9675</v>
      </c>
      <c r="O3124" s="4">
        <v>166</v>
      </c>
      <c r="P3124" s="11" t="s">
        <v>9728</v>
      </c>
      <c r="Q3124" s="11" t="s">
        <v>10727</v>
      </c>
      <c r="S3124" s="4" t="b">
        <f>ISNUMBER(MATCH(Q3124,T:T,0))</f>
        <v>1</v>
      </c>
      <c r="T3124" s="4" t="s">
        <v>9675</v>
      </c>
      <c r="U3124" s="4" t="str">
        <f t="shared" si="140"/>
        <v>濫</v>
      </c>
    </row>
    <row r="3125" spans="1:22">
      <c r="A3125" s="3">
        <v>3117</v>
      </c>
      <c r="B3125" s="3" t="s">
        <v>418</v>
      </c>
      <c r="C3125" s="3" t="s">
        <v>6058</v>
      </c>
      <c r="D3125" s="3" t="s">
        <v>5990</v>
      </c>
      <c r="E3125" s="3" t="s">
        <v>5991</v>
      </c>
      <c r="F3125" s="3" t="s">
        <v>8522</v>
      </c>
      <c r="G3125" s="3" t="s">
        <v>4210</v>
      </c>
      <c r="H3125" s="3" t="s">
        <v>421</v>
      </c>
      <c r="I3125" s="3" t="s">
        <v>8496</v>
      </c>
      <c r="J3125" s="5" t="s">
        <v>9497</v>
      </c>
      <c r="L3125" s="3" t="s">
        <v>2065</v>
      </c>
      <c r="M3125" s="3">
        <v>9</v>
      </c>
      <c r="N3125" s="4" t="s">
        <v>9675</v>
      </c>
      <c r="O3125" s="4">
        <v>166</v>
      </c>
      <c r="P3125" s="11" t="s">
        <v>9730</v>
      </c>
      <c r="Q3125" s="11" t="s">
        <v>10728</v>
      </c>
      <c r="R3125" s="4" t="s">
        <v>13169</v>
      </c>
      <c r="S3125" s="4" t="b">
        <f>ISNUMBER(MATCH(Q3125,T:T,0))</f>
        <v>0</v>
      </c>
      <c r="T3125" s="4" t="s">
        <v>10727</v>
      </c>
      <c r="U3125" s="4" t="str">
        <f t="shared" si="140"/>
        <v>闞</v>
      </c>
      <c r="V3125" s="4" t="b">
        <f>ISNUMBER(MATCH(R3125,T:T,0))</f>
        <v>1</v>
      </c>
    </row>
    <row r="3126" spans="1:22">
      <c r="A3126" s="3">
        <v>3118</v>
      </c>
      <c r="B3126" s="3" t="s">
        <v>418</v>
      </c>
      <c r="C3126" s="3" t="s">
        <v>6079</v>
      </c>
      <c r="D3126" s="3" t="s">
        <v>5990</v>
      </c>
      <c r="E3126" s="3" t="s">
        <v>5991</v>
      </c>
      <c r="F3126" s="3" t="s">
        <v>8522</v>
      </c>
      <c r="G3126" s="3" t="s">
        <v>4210</v>
      </c>
      <c r="H3126" s="3" t="s">
        <v>422</v>
      </c>
      <c r="I3126" s="3" t="s">
        <v>8496</v>
      </c>
      <c r="J3126" s="5" t="s">
        <v>423</v>
      </c>
      <c r="L3126" s="3" t="s">
        <v>2047</v>
      </c>
      <c r="M3126" s="3">
        <v>7</v>
      </c>
      <c r="N3126" s="4" t="s">
        <v>9675</v>
      </c>
      <c r="O3126" s="4">
        <v>166</v>
      </c>
      <c r="P3126" s="11" t="s">
        <v>9967</v>
      </c>
      <c r="Q3126" s="11" t="s">
        <v>10727</v>
      </c>
      <c r="S3126" s="4" t="b">
        <f>ISNUMBER(MATCH(Q3126,T:T,0))</f>
        <v>1</v>
      </c>
      <c r="T3126" s="4" t="s">
        <v>12555</v>
      </c>
      <c r="U3126" s="4" t="str">
        <f t="shared" si="140"/>
        <v>濫</v>
      </c>
    </row>
    <row r="3127" spans="1:22">
      <c r="A3127" s="3">
        <v>3119</v>
      </c>
      <c r="B3127" s="3" t="s">
        <v>418</v>
      </c>
      <c r="C3127" s="3" t="s">
        <v>6025</v>
      </c>
      <c r="D3127" s="3" t="s">
        <v>5990</v>
      </c>
      <c r="E3127" s="3" t="s">
        <v>5991</v>
      </c>
      <c r="F3127" s="3" t="s">
        <v>8522</v>
      </c>
      <c r="G3127" s="3" t="s">
        <v>4210</v>
      </c>
      <c r="H3127" s="3" t="s">
        <v>424</v>
      </c>
      <c r="I3127" s="3" t="s">
        <v>8496</v>
      </c>
      <c r="J3127" s="5" t="s">
        <v>425</v>
      </c>
      <c r="L3127" s="3" t="s">
        <v>2057</v>
      </c>
      <c r="M3127" s="3">
        <v>2</v>
      </c>
      <c r="N3127" s="4" t="s">
        <v>9675</v>
      </c>
      <c r="O3127" s="4">
        <v>166</v>
      </c>
      <c r="P3127" s="11" t="s">
        <v>9729</v>
      </c>
      <c r="Q3127" s="11" t="s">
        <v>10729</v>
      </c>
      <c r="R3127" s="4" t="s">
        <v>13170</v>
      </c>
      <c r="S3127" s="4" t="b">
        <f>ISNUMBER(MATCH(Q3127,T:T,0))</f>
        <v>0</v>
      </c>
      <c r="T3127" s="4" t="s">
        <v>425</v>
      </c>
      <c r="U3127" s="4" t="str">
        <f t="shared" si="140"/>
        <v>暫</v>
      </c>
      <c r="V3127" s="4" t="b">
        <f>ISNUMBER(MATCH(R3127,T:T,0))</f>
        <v>1</v>
      </c>
    </row>
    <row r="3128" spans="1:22">
      <c r="A3128" s="3">
        <v>3120</v>
      </c>
      <c r="B3128" s="3" t="s">
        <v>418</v>
      </c>
      <c r="C3128" s="3" t="s">
        <v>6089</v>
      </c>
      <c r="D3128" s="3" t="s">
        <v>5990</v>
      </c>
      <c r="E3128" s="3" t="s">
        <v>5991</v>
      </c>
      <c r="F3128" s="3" t="s">
        <v>8522</v>
      </c>
      <c r="G3128" s="3" t="s">
        <v>4210</v>
      </c>
      <c r="H3128" s="3" t="s">
        <v>426</v>
      </c>
      <c r="I3128" s="3" t="s">
        <v>8496</v>
      </c>
      <c r="J3128" s="5" t="s">
        <v>9498</v>
      </c>
      <c r="L3128" s="3" t="s">
        <v>260</v>
      </c>
      <c r="M3128" s="3">
        <v>3</v>
      </c>
      <c r="N3128" s="4" t="s">
        <v>9675</v>
      </c>
      <c r="O3128" s="4">
        <v>166</v>
      </c>
      <c r="P3128" s="11" t="s">
        <v>9739</v>
      </c>
      <c r="Q3128" s="11" t="s">
        <v>10727</v>
      </c>
      <c r="S3128" s="4" t="b">
        <f>ISNUMBER(MATCH(Q3128,T:T,0))</f>
        <v>1</v>
      </c>
      <c r="T3128" s="4" t="s">
        <v>12556</v>
      </c>
      <c r="U3128" s="4" t="str">
        <f t="shared" si="140"/>
        <v>濫</v>
      </c>
    </row>
    <row r="3129" spans="1:22">
      <c r="A3129" s="3">
        <v>3121</v>
      </c>
      <c r="B3129" s="3" t="s">
        <v>418</v>
      </c>
      <c r="C3129" s="3" t="s">
        <v>6067</v>
      </c>
      <c r="D3129" s="3" t="s">
        <v>5990</v>
      </c>
      <c r="E3129" s="3" t="s">
        <v>5991</v>
      </c>
      <c r="F3129" s="3" t="s">
        <v>8522</v>
      </c>
      <c r="G3129" s="3" t="s">
        <v>4210</v>
      </c>
      <c r="H3129" s="3" t="s">
        <v>427</v>
      </c>
      <c r="I3129" s="3" t="s">
        <v>8496</v>
      </c>
      <c r="J3129" s="5" t="s">
        <v>428</v>
      </c>
      <c r="L3129" s="3" t="s">
        <v>260</v>
      </c>
      <c r="M3129" s="3">
        <v>6</v>
      </c>
      <c r="N3129" s="4" t="s">
        <v>9675</v>
      </c>
      <c r="O3129" s="4">
        <v>166</v>
      </c>
      <c r="P3129" s="11" t="s">
        <v>9771</v>
      </c>
      <c r="Q3129" s="11" t="s">
        <v>10730</v>
      </c>
      <c r="R3129" s="4" t="s">
        <v>13169</v>
      </c>
      <c r="S3129" s="4" t="b">
        <f>ISNUMBER(MATCH(Q3129,T:T,0))</f>
        <v>0</v>
      </c>
      <c r="T3129" s="4" t="s">
        <v>12557</v>
      </c>
      <c r="U3129" s="4" t="str">
        <f t="shared" si="140"/>
        <v>闞</v>
      </c>
      <c r="V3129" s="4" t="b">
        <f>ISNUMBER(MATCH(R3129,T:T,0))</f>
        <v>1</v>
      </c>
    </row>
    <row r="3130" spans="1:22">
      <c r="A3130" s="3">
        <v>3122</v>
      </c>
      <c r="B3130" s="3" t="s">
        <v>418</v>
      </c>
      <c r="C3130" s="3" t="s">
        <v>5997</v>
      </c>
      <c r="D3130" s="3" t="s">
        <v>5990</v>
      </c>
      <c r="E3130" s="3" t="s">
        <v>5991</v>
      </c>
      <c r="F3130" s="3" t="s">
        <v>8522</v>
      </c>
      <c r="G3130" s="3" t="s">
        <v>4210</v>
      </c>
      <c r="H3130" s="3" t="s">
        <v>429</v>
      </c>
      <c r="I3130" s="3" t="s">
        <v>8496</v>
      </c>
      <c r="J3130" s="5" t="s">
        <v>9499</v>
      </c>
      <c r="L3130" s="3" t="s">
        <v>271</v>
      </c>
      <c r="M3130" s="3">
        <v>8</v>
      </c>
      <c r="N3130" s="4" t="s">
        <v>9675</v>
      </c>
      <c r="O3130" s="4">
        <v>166</v>
      </c>
      <c r="P3130" s="11" t="s">
        <v>9706</v>
      </c>
      <c r="Q3130" s="11" t="s">
        <v>10727</v>
      </c>
      <c r="S3130" s="4" t="b">
        <f>ISNUMBER(MATCH(Q3130,T:T,0))</f>
        <v>1</v>
      </c>
      <c r="T3130" s="4" t="s">
        <v>12558</v>
      </c>
      <c r="U3130" s="4" t="str">
        <f t="shared" si="140"/>
        <v>濫</v>
      </c>
    </row>
    <row r="3131" spans="1:22">
      <c r="A3131" s="3">
        <v>3123</v>
      </c>
      <c r="B3131" s="3" t="s">
        <v>418</v>
      </c>
      <c r="C3131" s="3" t="s">
        <v>6069</v>
      </c>
      <c r="D3131" s="3" t="s">
        <v>5990</v>
      </c>
      <c r="E3131" s="3" t="s">
        <v>5991</v>
      </c>
      <c r="F3131" s="3" t="s">
        <v>8522</v>
      </c>
      <c r="G3131" s="3" t="s">
        <v>4210</v>
      </c>
      <c r="H3131" s="3" t="s">
        <v>430</v>
      </c>
      <c r="I3131" s="3" t="s">
        <v>8496</v>
      </c>
      <c r="J3131" s="5" t="s">
        <v>431</v>
      </c>
      <c r="L3131" s="3" t="s">
        <v>273</v>
      </c>
      <c r="M3131" s="3">
        <v>3</v>
      </c>
      <c r="N3131" s="4" t="s">
        <v>9675</v>
      </c>
      <c r="O3131" s="4">
        <v>166</v>
      </c>
      <c r="P3131" s="11" t="s">
        <v>1077</v>
      </c>
      <c r="Q3131" s="11" t="s">
        <v>10727</v>
      </c>
      <c r="S3131" s="4" t="b">
        <f>ISNUMBER(MATCH(Q3131,T:T,0))</f>
        <v>1</v>
      </c>
      <c r="T3131" s="4" t="s">
        <v>10731</v>
      </c>
      <c r="U3131" s="4" t="str">
        <f t="shared" si="140"/>
        <v>濫</v>
      </c>
    </row>
    <row r="3132" spans="1:22">
      <c r="A3132" s="3">
        <v>3124</v>
      </c>
      <c r="B3132" s="3" t="s">
        <v>418</v>
      </c>
      <c r="C3132" s="3" t="s">
        <v>5989</v>
      </c>
      <c r="D3132" s="3" t="s">
        <v>5990</v>
      </c>
      <c r="E3132" s="3" t="s">
        <v>5991</v>
      </c>
      <c r="F3132" s="3" t="s">
        <v>8522</v>
      </c>
      <c r="G3132" s="3" t="s">
        <v>4210</v>
      </c>
      <c r="H3132" s="3" t="s">
        <v>432</v>
      </c>
      <c r="I3132" s="3" t="s">
        <v>8496</v>
      </c>
      <c r="J3132" s="5" t="s">
        <v>433</v>
      </c>
      <c r="L3132" s="3" t="s">
        <v>271</v>
      </c>
      <c r="M3132" s="3">
        <v>2</v>
      </c>
      <c r="N3132" s="4" t="s">
        <v>9675</v>
      </c>
      <c r="O3132" s="4">
        <v>166</v>
      </c>
      <c r="P3132" s="11" t="s">
        <v>9742</v>
      </c>
      <c r="Q3132" s="11" t="s">
        <v>10727</v>
      </c>
      <c r="S3132" s="4" t="b">
        <f>ISNUMBER(MATCH(Q3132,T:T,0))</f>
        <v>1</v>
      </c>
      <c r="T3132" s="4" t="s">
        <v>11506</v>
      </c>
      <c r="U3132" s="4" t="str">
        <f t="shared" si="140"/>
        <v>濫</v>
      </c>
    </row>
    <row r="3133" spans="1:22">
      <c r="A3133" s="3">
        <v>3125</v>
      </c>
      <c r="B3133" s="3" t="s">
        <v>418</v>
      </c>
      <c r="C3133" s="3" t="s">
        <v>6017</v>
      </c>
      <c r="D3133" s="3" t="s">
        <v>5990</v>
      </c>
      <c r="E3133" s="3" t="s">
        <v>5991</v>
      </c>
      <c r="F3133" s="3" t="s">
        <v>8522</v>
      </c>
      <c r="G3133" s="3" t="s">
        <v>4210</v>
      </c>
      <c r="H3133" s="3" t="s">
        <v>434</v>
      </c>
      <c r="I3133" s="3" t="s">
        <v>8496</v>
      </c>
      <c r="J3133" s="5" t="s">
        <v>6001</v>
      </c>
      <c r="L3133" s="3" t="s">
        <v>2073</v>
      </c>
      <c r="M3133" s="3">
        <v>1</v>
      </c>
      <c r="N3133" s="4" t="s">
        <v>9675</v>
      </c>
      <c r="O3133" s="4">
        <v>166</v>
      </c>
      <c r="P3133" s="11" t="s">
        <v>9741</v>
      </c>
      <c r="Q3133" s="11" t="s">
        <v>10731</v>
      </c>
      <c r="S3133" s="4" t="b">
        <f>ISNUMBER(MATCH(Q3133,T:T,0))</f>
        <v>1</v>
      </c>
      <c r="T3133" s="4" t="s">
        <v>6001</v>
      </c>
      <c r="U3133" s="4" t="str">
        <f t="shared" si="140"/>
        <v>暫</v>
      </c>
    </row>
    <row r="3134" spans="1:22">
      <c r="A3134" s="3">
        <v>3126</v>
      </c>
      <c r="B3134" s="3" t="s">
        <v>435</v>
      </c>
      <c r="C3134" s="3" t="s">
        <v>6028</v>
      </c>
      <c r="D3134" s="3" t="s">
        <v>6001</v>
      </c>
      <c r="E3134" s="3" t="s">
        <v>5991</v>
      </c>
      <c r="F3134" s="3" t="s">
        <v>8541</v>
      </c>
      <c r="G3134" s="3" t="s">
        <v>4210</v>
      </c>
      <c r="H3134" s="3" t="s">
        <v>436</v>
      </c>
      <c r="I3134" s="3" t="s">
        <v>8496</v>
      </c>
      <c r="J3134" s="5" t="s">
        <v>9500</v>
      </c>
      <c r="L3134" s="3" t="s">
        <v>5666</v>
      </c>
      <c r="M3134" s="3">
        <v>9</v>
      </c>
      <c r="N3134" s="4" t="s">
        <v>437</v>
      </c>
      <c r="O3134" s="4">
        <v>167</v>
      </c>
      <c r="P3134" s="11" t="s">
        <v>6028</v>
      </c>
      <c r="Q3134" s="11" t="s">
        <v>439</v>
      </c>
      <c r="S3134" s="4" t="b">
        <f>ISNUMBER(MATCH(Q3134,T:T,0))</f>
        <v>1</v>
      </c>
      <c r="T3134" s="4" t="s">
        <v>437</v>
      </c>
      <c r="U3134" s="4" t="str">
        <f t="shared" si="140"/>
        <v>贍</v>
      </c>
    </row>
    <row r="3135" spans="1:22">
      <c r="A3135" s="3">
        <v>3127</v>
      </c>
      <c r="B3135" s="3" t="s">
        <v>435</v>
      </c>
      <c r="C3135" s="3" t="s">
        <v>6148</v>
      </c>
      <c r="D3135" s="3" t="s">
        <v>6001</v>
      </c>
      <c r="E3135" s="3" t="s">
        <v>5991</v>
      </c>
      <c r="F3135" s="3" t="s">
        <v>8541</v>
      </c>
      <c r="G3135" s="3" t="s">
        <v>4210</v>
      </c>
      <c r="H3135" s="3" t="s">
        <v>438</v>
      </c>
      <c r="I3135" s="3" t="s">
        <v>8496</v>
      </c>
      <c r="J3135" s="5" t="s">
        <v>439</v>
      </c>
      <c r="L3135" s="3" t="s">
        <v>3164</v>
      </c>
      <c r="M3135" s="3">
        <v>1</v>
      </c>
      <c r="N3135" s="4" t="s">
        <v>437</v>
      </c>
      <c r="O3135" s="4">
        <v>167</v>
      </c>
      <c r="P3135" s="11" t="s">
        <v>10190</v>
      </c>
      <c r="Q3135" s="11" t="s">
        <v>437</v>
      </c>
      <c r="S3135" s="4" t="b">
        <f>ISNUMBER(MATCH(Q3135,T:T,0))</f>
        <v>1</v>
      </c>
      <c r="T3135" s="4" t="s">
        <v>439</v>
      </c>
      <c r="U3135" s="4" t="str">
        <f t="shared" si="140"/>
        <v>豔</v>
      </c>
    </row>
    <row r="3136" spans="1:22">
      <c r="A3136" s="3">
        <v>3128</v>
      </c>
      <c r="B3136" s="3" t="s">
        <v>435</v>
      </c>
      <c r="C3136" s="3" t="s">
        <v>6021</v>
      </c>
      <c r="D3136" s="3" t="s">
        <v>6001</v>
      </c>
      <c r="E3136" s="3" t="s">
        <v>5991</v>
      </c>
      <c r="F3136" s="3" t="s">
        <v>8541</v>
      </c>
      <c r="G3136" s="3" t="s">
        <v>4210</v>
      </c>
      <c r="H3136" s="3" t="s">
        <v>440</v>
      </c>
      <c r="I3136" s="3" t="s">
        <v>8496</v>
      </c>
      <c r="J3136" s="5" t="s">
        <v>441</v>
      </c>
      <c r="L3136" s="3" t="s">
        <v>442</v>
      </c>
      <c r="M3136" s="3">
        <v>2</v>
      </c>
      <c r="N3136" s="4" t="s">
        <v>437</v>
      </c>
      <c r="O3136" s="4">
        <v>167</v>
      </c>
      <c r="P3136" s="11" t="s">
        <v>9761</v>
      </c>
      <c r="Q3136" s="11" t="s">
        <v>437</v>
      </c>
      <c r="S3136" s="4" t="b">
        <f>ISNUMBER(MATCH(Q3136,T:T,0))</f>
        <v>1</v>
      </c>
      <c r="T3136" s="4" t="s">
        <v>10441</v>
      </c>
      <c r="U3136" s="4" t="str">
        <f t="shared" si="140"/>
        <v>豔</v>
      </c>
    </row>
    <row r="3137" spans="1:21">
      <c r="A3137" s="3">
        <v>3129</v>
      </c>
      <c r="B3137" s="3" t="s">
        <v>435</v>
      </c>
      <c r="C3137" s="3" t="s">
        <v>6072</v>
      </c>
      <c r="D3137" s="3" t="s">
        <v>6001</v>
      </c>
      <c r="E3137" s="3" t="s">
        <v>5991</v>
      </c>
      <c r="F3137" s="3" t="s">
        <v>8541</v>
      </c>
      <c r="G3137" s="3" t="s">
        <v>4210</v>
      </c>
      <c r="H3137" s="3" t="s">
        <v>443</v>
      </c>
      <c r="I3137" s="3" t="s">
        <v>8496</v>
      </c>
      <c r="J3137" s="5" t="s">
        <v>444</v>
      </c>
      <c r="L3137" s="3" t="s">
        <v>5666</v>
      </c>
      <c r="M3137" s="3">
        <v>5</v>
      </c>
      <c r="N3137" s="4" t="s">
        <v>437</v>
      </c>
      <c r="O3137" s="4">
        <v>167</v>
      </c>
      <c r="P3137" s="11" t="s">
        <v>9754</v>
      </c>
      <c r="Q3137" s="11" t="s">
        <v>437</v>
      </c>
      <c r="S3137" s="4" t="b">
        <f>ISNUMBER(MATCH(Q3137,T:T,0))</f>
        <v>1</v>
      </c>
      <c r="T3137" s="4" t="s">
        <v>12559</v>
      </c>
      <c r="U3137" s="4" t="str">
        <f t="shared" si="140"/>
        <v>豔</v>
      </c>
    </row>
    <row r="3138" spans="1:21">
      <c r="A3138" s="3">
        <v>3130</v>
      </c>
      <c r="B3138" s="3" t="s">
        <v>435</v>
      </c>
      <c r="C3138" s="3" t="s">
        <v>6049</v>
      </c>
      <c r="D3138" s="3" t="s">
        <v>6001</v>
      </c>
      <c r="E3138" s="3" t="s">
        <v>5991</v>
      </c>
      <c r="F3138" s="3" t="s">
        <v>8545</v>
      </c>
      <c r="G3138" s="3" t="s">
        <v>4210</v>
      </c>
      <c r="H3138" s="3" t="s">
        <v>445</v>
      </c>
      <c r="I3138" s="3" t="s">
        <v>8496</v>
      </c>
      <c r="J3138" s="5" t="s">
        <v>446</v>
      </c>
      <c r="L3138" s="3" t="s">
        <v>3222</v>
      </c>
      <c r="M3138" s="3">
        <v>2</v>
      </c>
      <c r="N3138" s="4" t="s">
        <v>437</v>
      </c>
      <c r="O3138" s="4">
        <v>167</v>
      </c>
      <c r="P3138" s="11" t="s">
        <v>9723</v>
      </c>
      <c r="Q3138" s="11" t="s">
        <v>10732</v>
      </c>
      <c r="S3138" s="4" t="b">
        <f>ISNUMBER(MATCH(Q3138,T:T,0))</f>
        <v>1</v>
      </c>
      <c r="T3138" s="4" t="s">
        <v>10733</v>
      </c>
      <c r="U3138" s="4" t="str">
        <f t="shared" si="140"/>
        <v>驗</v>
      </c>
    </row>
    <row r="3139" spans="1:21">
      <c r="A3139" s="3">
        <v>3131</v>
      </c>
      <c r="B3139" s="3" t="s">
        <v>435</v>
      </c>
      <c r="C3139" s="3" t="s">
        <v>6092</v>
      </c>
      <c r="D3139" s="3" t="s">
        <v>6001</v>
      </c>
      <c r="E3139" s="3" t="s">
        <v>5991</v>
      </c>
      <c r="F3139" s="3" t="s">
        <v>8545</v>
      </c>
      <c r="G3139" s="3" t="s">
        <v>4210</v>
      </c>
      <c r="H3139" s="3" t="s">
        <v>447</v>
      </c>
      <c r="I3139" s="3" t="s">
        <v>8496</v>
      </c>
      <c r="J3139" s="5" t="s">
        <v>448</v>
      </c>
      <c r="L3139" s="3" t="s">
        <v>5666</v>
      </c>
      <c r="M3139" s="3">
        <v>3</v>
      </c>
      <c r="N3139" s="4" t="s">
        <v>437</v>
      </c>
      <c r="O3139" s="4">
        <v>167</v>
      </c>
      <c r="P3139" s="11" t="s">
        <v>6462</v>
      </c>
      <c r="Q3139" s="11" t="s">
        <v>10733</v>
      </c>
      <c r="S3139" s="4" t="b">
        <f>ISNUMBER(MATCH(Q3139,T:T,0))</f>
        <v>1</v>
      </c>
      <c r="T3139" s="4" t="s">
        <v>10732</v>
      </c>
      <c r="U3139" s="4" t="str">
        <f t="shared" ref="U3139:U3202" si="141">IF(ISBLANK(R3139),Q3139,R3139)</f>
        <v>窆</v>
      </c>
    </row>
    <row r="3140" spans="1:21">
      <c r="A3140" s="3">
        <v>3132</v>
      </c>
      <c r="B3140" s="3" t="s">
        <v>435</v>
      </c>
      <c r="C3140" s="3" t="s">
        <v>6120</v>
      </c>
      <c r="D3140" s="3" t="s">
        <v>6001</v>
      </c>
      <c r="E3140" s="3" t="s">
        <v>5991</v>
      </c>
      <c r="F3140" s="3" t="s">
        <v>8541</v>
      </c>
      <c r="G3140" s="3" t="s">
        <v>4210</v>
      </c>
      <c r="H3140" s="3" t="s">
        <v>449</v>
      </c>
      <c r="I3140" s="3" t="s">
        <v>8496</v>
      </c>
      <c r="J3140" s="5" t="s">
        <v>450</v>
      </c>
      <c r="L3140" s="3" t="s">
        <v>3164</v>
      </c>
      <c r="M3140" s="3">
        <v>4</v>
      </c>
      <c r="N3140" s="4" t="s">
        <v>437</v>
      </c>
      <c r="O3140" s="4">
        <v>167</v>
      </c>
      <c r="P3140" s="11" t="s">
        <v>10242</v>
      </c>
      <c r="Q3140" s="11" t="s">
        <v>439</v>
      </c>
      <c r="S3140" s="4" t="b">
        <f>ISNUMBER(MATCH(Q3140,T:T,0))</f>
        <v>1</v>
      </c>
      <c r="T3140" s="4" t="s">
        <v>11985</v>
      </c>
      <c r="U3140" s="4" t="str">
        <f t="shared" si="141"/>
        <v>贍</v>
      </c>
    </row>
    <row r="3141" spans="1:21">
      <c r="A3141" s="3">
        <v>3133</v>
      </c>
      <c r="B3141" s="3" t="s">
        <v>435</v>
      </c>
      <c r="C3141" s="3" t="s">
        <v>6083</v>
      </c>
      <c r="D3141" s="3" t="s">
        <v>6001</v>
      </c>
      <c r="E3141" s="3" t="s">
        <v>5991</v>
      </c>
      <c r="F3141" s="3" t="s">
        <v>8541</v>
      </c>
      <c r="G3141" s="3" t="s">
        <v>4210</v>
      </c>
      <c r="H3141" s="3" t="s">
        <v>451</v>
      </c>
      <c r="I3141" s="3" t="s">
        <v>8496</v>
      </c>
      <c r="J3141" s="5" t="s">
        <v>452</v>
      </c>
      <c r="L3141" s="3" t="s">
        <v>184</v>
      </c>
      <c r="M3141" s="3">
        <v>1</v>
      </c>
      <c r="N3141" s="4" t="s">
        <v>437</v>
      </c>
      <c r="O3141" s="4">
        <v>167</v>
      </c>
      <c r="P3141" s="11" t="s">
        <v>9737</v>
      </c>
      <c r="Q3141" s="11" t="s">
        <v>437</v>
      </c>
      <c r="S3141" s="4" t="b">
        <f>ISNUMBER(MATCH(Q3141,T:T,0))</f>
        <v>1</v>
      </c>
      <c r="T3141" s="4" t="s">
        <v>452</v>
      </c>
      <c r="U3141" s="4" t="str">
        <f t="shared" si="141"/>
        <v>豔</v>
      </c>
    </row>
    <row r="3142" spans="1:21">
      <c r="A3142" s="3">
        <v>3134</v>
      </c>
      <c r="B3142" s="3" t="s">
        <v>435</v>
      </c>
      <c r="C3142" s="3" t="s">
        <v>6076</v>
      </c>
      <c r="D3142" s="3" t="s">
        <v>6001</v>
      </c>
      <c r="E3142" s="3" t="s">
        <v>5991</v>
      </c>
      <c r="F3142" s="3" t="s">
        <v>8541</v>
      </c>
      <c r="G3142" s="3" t="s">
        <v>4210</v>
      </c>
      <c r="H3142" s="3" t="s">
        <v>453</v>
      </c>
      <c r="I3142" s="3" t="s">
        <v>8496</v>
      </c>
      <c r="J3142" s="8" t="s">
        <v>9501</v>
      </c>
      <c r="L3142" s="3" t="s">
        <v>2165</v>
      </c>
      <c r="M3142" s="3">
        <v>4</v>
      </c>
      <c r="N3142" s="4" t="s">
        <v>437</v>
      </c>
      <c r="O3142" s="4">
        <v>167</v>
      </c>
      <c r="P3142" s="11" t="s">
        <v>9766</v>
      </c>
      <c r="Q3142" s="11" t="s">
        <v>437</v>
      </c>
      <c r="S3142" s="4" t="b">
        <f>ISNUMBER(MATCH(Q3142,T:T,0))</f>
        <v>1</v>
      </c>
      <c r="T3142" s="4" t="s">
        <v>12560</v>
      </c>
      <c r="U3142" s="4" t="str">
        <f t="shared" si="141"/>
        <v>豔</v>
      </c>
    </row>
    <row r="3143" spans="1:21">
      <c r="A3143" s="3">
        <v>3135</v>
      </c>
      <c r="B3143" s="3" t="s">
        <v>435</v>
      </c>
      <c r="C3143" s="3" t="s">
        <v>6058</v>
      </c>
      <c r="D3143" s="3" t="s">
        <v>6001</v>
      </c>
      <c r="E3143" s="3" t="s">
        <v>5991</v>
      </c>
      <c r="F3143" s="3" t="s">
        <v>8541</v>
      </c>
      <c r="G3143" s="3" t="s">
        <v>4210</v>
      </c>
      <c r="H3143" s="3" t="s">
        <v>454</v>
      </c>
      <c r="I3143" s="3" t="s">
        <v>8496</v>
      </c>
      <c r="J3143" s="5" t="s">
        <v>455</v>
      </c>
      <c r="L3143" s="3" t="s">
        <v>2173</v>
      </c>
      <c r="M3143" s="3">
        <v>7</v>
      </c>
      <c r="N3143" s="4" t="s">
        <v>437</v>
      </c>
      <c r="O3143" s="4">
        <v>167</v>
      </c>
      <c r="P3143" s="11" t="s">
        <v>9727</v>
      </c>
      <c r="Q3143" s="11" t="s">
        <v>10732</v>
      </c>
      <c r="S3143" s="4" t="b">
        <f>ISNUMBER(MATCH(Q3143,T:T,0))</f>
        <v>1</v>
      </c>
      <c r="T3143" s="4" t="s">
        <v>12561</v>
      </c>
      <c r="U3143" s="4" t="str">
        <f t="shared" si="141"/>
        <v>驗</v>
      </c>
    </row>
    <row r="3144" spans="1:21">
      <c r="A3144" s="3">
        <v>3136</v>
      </c>
      <c r="B3144" s="3" t="s">
        <v>435</v>
      </c>
      <c r="C3144" s="3" t="s">
        <v>6011</v>
      </c>
      <c r="D3144" s="3" t="s">
        <v>6001</v>
      </c>
      <c r="E3144" s="3" t="s">
        <v>5991</v>
      </c>
      <c r="F3144" s="3" t="s">
        <v>8545</v>
      </c>
      <c r="G3144" s="3" t="s">
        <v>4210</v>
      </c>
      <c r="H3144" s="3" t="s">
        <v>456</v>
      </c>
      <c r="I3144" s="3" t="s">
        <v>8496</v>
      </c>
      <c r="J3144" s="5" t="s">
        <v>457</v>
      </c>
      <c r="L3144" s="3" t="s">
        <v>2142</v>
      </c>
      <c r="M3144" s="3">
        <v>2</v>
      </c>
      <c r="N3144" s="4" t="s">
        <v>437</v>
      </c>
      <c r="O3144" s="4">
        <v>167</v>
      </c>
      <c r="P3144" s="11" t="s">
        <v>9757</v>
      </c>
      <c r="Q3144" s="11" t="s">
        <v>437</v>
      </c>
      <c r="S3144" s="4" t="b">
        <f>ISNUMBER(MATCH(Q3144,T:T,0))</f>
        <v>1</v>
      </c>
      <c r="T3144" s="4" t="s">
        <v>11521</v>
      </c>
      <c r="U3144" s="4" t="str">
        <f t="shared" si="141"/>
        <v>豔</v>
      </c>
    </row>
    <row r="3145" spans="1:21">
      <c r="A3145" s="3">
        <v>3137</v>
      </c>
      <c r="B3145" s="3" t="s">
        <v>435</v>
      </c>
      <c r="C3145" s="3" t="s">
        <v>6055</v>
      </c>
      <c r="D3145" s="3" t="s">
        <v>6001</v>
      </c>
      <c r="E3145" s="3" t="s">
        <v>5991</v>
      </c>
      <c r="F3145" s="3" t="s">
        <v>8541</v>
      </c>
      <c r="G3145" s="3" t="s">
        <v>4210</v>
      </c>
      <c r="H3145" s="3" t="s">
        <v>458</v>
      </c>
      <c r="I3145" s="3" t="s">
        <v>8496</v>
      </c>
      <c r="J3145" s="5" t="s">
        <v>9502</v>
      </c>
      <c r="L3145" s="3" t="s">
        <v>2142</v>
      </c>
      <c r="M3145" s="3">
        <v>8</v>
      </c>
      <c r="N3145" s="4" t="s">
        <v>437</v>
      </c>
      <c r="O3145" s="4">
        <v>167</v>
      </c>
      <c r="P3145" s="11" t="s">
        <v>6055</v>
      </c>
      <c r="Q3145" s="11" t="s">
        <v>437</v>
      </c>
      <c r="S3145" s="4" t="b">
        <f>ISNUMBER(MATCH(Q3145,T:T,0))</f>
        <v>1</v>
      </c>
      <c r="T3145" s="4" t="s">
        <v>12562</v>
      </c>
      <c r="U3145" s="4" t="str">
        <f t="shared" si="141"/>
        <v>豔</v>
      </c>
    </row>
    <row r="3146" spans="1:21">
      <c r="A3146" s="3">
        <v>3138</v>
      </c>
      <c r="B3146" s="3" t="s">
        <v>435</v>
      </c>
      <c r="C3146" s="3" t="s">
        <v>6072</v>
      </c>
      <c r="D3146" s="3" t="s">
        <v>6001</v>
      </c>
      <c r="E3146" s="3" t="s">
        <v>5991</v>
      </c>
      <c r="F3146" s="3" t="s">
        <v>8545</v>
      </c>
      <c r="G3146" s="3" t="s">
        <v>4210</v>
      </c>
      <c r="H3146" s="3" t="s">
        <v>459</v>
      </c>
      <c r="I3146" s="3" t="s">
        <v>8496</v>
      </c>
      <c r="J3146" s="5" t="s">
        <v>460</v>
      </c>
      <c r="L3146" s="3" t="s">
        <v>5666</v>
      </c>
      <c r="M3146" s="3">
        <v>2</v>
      </c>
      <c r="N3146" s="4" t="s">
        <v>437</v>
      </c>
      <c r="O3146" s="4">
        <v>167</v>
      </c>
      <c r="P3146" s="11" t="s">
        <v>9754</v>
      </c>
      <c r="Q3146" s="11" t="s">
        <v>10732</v>
      </c>
      <c r="S3146" s="4" t="b">
        <f>ISNUMBER(MATCH(Q3146,T:T,0))</f>
        <v>1</v>
      </c>
      <c r="T3146" s="4" t="s">
        <v>12563</v>
      </c>
      <c r="U3146" s="4" t="str">
        <f t="shared" si="141"/>
        <v>驗</v>
      </c>
    </row>
    <row r="3147" spans="1:21">
      <c r="A3147" s="3">
        <v>3139</v>
      </c>
      <c r="B3147" s="3" t="s">
        <v>435</v>
      </c>
      <c r="C3147" s="3" t="s">
        <v>6069</v>
      </c>
      <c r="D3147" s="3" t="s">
        <v>6001</v>
      </c>
      <c r="E3147" s="3" t="s">
        <v>5991</v>
      </c>
      <c r="F3147" s="3" t="s">
        <v>8541</v>
      </c>
      <c r="G3147" s="3" t="s">
        <v>4210</v>
      </c>
      <c r="H3147" s="3" t="s">
        <v>461</v>
      </c>
      <c r="I3147" s="3" t="s">
        <v>8496</v>
      </c>
      <c r="J3147" s="5" t="s">
        <v>462</v>
      </c>
      <c r="L3147" s="3" t="s">
        <v>184</v>
      </c>
      <c r="M3147" s="3">
        <v>1</v>
      </c>
      <c r="N3147" s="4" t="s">
        <v>437</v>
      </c>
      <c r="O3147" s="4">
        <v>167</v>
      </c>
      <c r="P3147" s="11" t="s">
        <v>10244</v>
      </c>
      <c r="Q3147" s="11" t="s">
        <v>437</v>
      </c>
      <c r="S3147" s="4" t="b">
        <f>ISNUMBER(MATCH(Q3147,T:T,0))</f>
        <v>1</v>
      </c>
      <c r="T3147" s="4" t="s">
        <v>462</v>
      </c>
      <c r="U3147" s="4" t="str">
        <f t="shared" si="141"/>
        <v>豔</v>
      </c>
    </row>
    <row r="3148" spans="1:21">
      <c r="A3148" s="3">
        <v>3140</v>
      </c>
      <c r="B3148" s="3" t="s">
        <v>435</v>
      </c>
      <c r="C3148" s="3" t="s">
        <v>6009</v>
      </c>
      <c r="D3148" s="3" t="s">
        <v>6001</v>
      </c>
      <c r="E3148" s="3" t="s">
        <v>5991</v>
      </c>
      <c r="F3148" s="3" t="s">
        <v>8541</v>
      </c>
      <c r="G3148" s="3" t="s">
        <v>4210</v>
      </c>
      <c r="H3148" s="3" t="s">
        <v>463</v>
      </c>
      <c r="I3148" s="3" t="s">
        <v>8496</v>
      </c>
      <c r="J3148" s="5" t="s">
        <v>464</v>
      </c>
      <c r="L3148" s="3" t="s">
        <v>6960</v>
      </c>
      <c r="M3148" s="3">
        <v>1</v>
      </c>
      <c r="N3148" s="4" t="s">
        <v>437</v>
      </c>
      <c r="O3148" s="4">
        <v>167</v>
      </c>
      <c r="P3148" s="11" t="s">
        <v>6009</v>
      </c>
      <c r="Q3148" s="11" t="s">
        <v>437</v>
      </c>
      <c r="S3148" s="4" t="b">
        <f>ISNUMBER(MATCH(Q3148,T:T,0))</f>
        <v>1</v>
      </c>
      <c r="T3148" s="4" t="s">
        <v>464</v>
      </c>
      <c r="U3148" s="4" t="str">
        <f t="shared" si="141"/>
        <v>豔</v>
      </c>
    </row>
    <row r="3149" spans="1:21">
      <c r="A3149" s="3">
        <v>3141</v>
      </c>
      <c r="B3149" s="3" t="s">
        <v>465</v>
      </c>
      <c r="C3149" s="3" t="s">
        <v>6079</v>
      </c>
      <c r="D3149" s="3" t="s">
        <v>2843</v>
      </c>
      <c r="E3149" s="3" t="s">
        <v>5991</v>
      </c>
      <c r="F3149" s="3" t="s">
        <v>8588</v>
      </c>
      <c r="G3149" s="3" t="s">
        <v>4210</v>
      </c>
      <c r="H3149" s="3" t="s">
        <v>466</v>
      </c>
      <c r="I3149" s="3" t="s">
        <v>8496</v>
      </c>
      <c r="J3149" s="5" t="s">
        <v>9503</v>
      </c>
      <c r="L3149" s="3" t="s">
        <v>2171</v>
      </c>
      <c r="M3149" s="3">
        <v>6</v>
      </c>
      <c r="N3149" s="4" t="s">
        <v>9676</v>
      </c>
      <c r="O3149" s="4">
        <v>168</v>
      </c>
      <c r="P3149" s="11" t="s">
        <v>9736</v>
      </c>
      <c r="Q3149" s="11" t="s">
        <v>10734</v>
      </c>
      <c r="S3149" s="4" t="b">
        <f>ISNUMBER(MATCH(Q3149,T:T,0))</f>
        <v>1</v>
      </c>
      <c r="T3149" s="4" t="s">
        <v>12564</v>
      </c>
      <c r="U3149" s="4" t="str">
        <f t="shared" si="141"/>
        <v>念</v>
      </c>
    </row>
    <row r="3150" spans="1:21">
      <c r="A3150" s="3">
        <v>3142</v>
      </c>
      <c r="B3150" s="3" t="s">
        <v>465</v>
      </c>
      <c r="C3150" s="3" t="s">
        <v>6102</v>
      </c>
      <c r="D3150" s="3" t="s">
        <v>2843</v>
      </c>
      <c r="E3150" s="3" t="s">
        <v>5991</v>
      </c>
      <c r="F3150" s="3" t="s">
        <v>8588</v>
      </c>
      <c r="G3150" s="3" t="s">
        <v>4210</v>
      </c>
      <c r="H3150" s="3" t="s">
        <v>467</v>
      </c>
      <c r="I3150" s="3" t="s">
        <v>8496</v>
      </c>
      <c r="J3150" s="5" t="s">
        <v>468</v>
      </c>
      <c r="L3150" s="3" t="s">
        <v>2177</v>
      </c>
      <c r="M3150" s="3">
        <v>2</v>
      </c>
      <c r="N3150" s="4" t="s">
        <v>9676</v>
      </c>
      <c r="O3150" s="4">
        <v>168</v>
      </c>
      <c r="P3150" s="11" t="s">
        <v>9744</v>
      </c>
      <c r="Q3150" s="11" t="s">
        <v>10735</v>
      </c>
      <c r="S3150" s="4" t="b">
        <f>ISNUMBER(MATCH(Q3150,T:T,0))</f>
        <v>1</v>
      </c>
      <c r="T3150" s="4" t="s">
        <v>10734</v>
      </c>
      <c r="U3150" s="4" t="str">
        <f t="shared" si="141"/>
        <v>店</v>
      </c>
    </row>
    <row r="3151" spans="1:21">
      <c r="A3151" s="3">
        <v>3143</v>
      </c>
      <c r="B3151" s="3" t="s">
        <v>465</v>
      </c>
      <c r="C3151" s="3" t="s">
        <v>5989</v>
      </c>
      <c r="D3151" s="3" t="s">
        <v>2843</v>
      </c>
      <c r="E3151" s="3" t="s">
        <v>5991</v>
      </c>
      <c r="F3151" s="3" t="s">
        <v>8588</v>
      </c>
      <c r="G3151" s="3" t="s">
        <v>4210</v>
      </c>
      <c r="H3151" s="3" t="s">
        <v>469</v>
      </c>
      <c r="I3151" s="3" t="s">
        <v>8496</v>
      </c>
      <c r="J3151" s="5" t="s">
        <v>9504</v>
      </c>
      <c r="L3151" s="3" t="s">
        <v>3203</v>
      </c>
      <c r="M3151" s="3">
        <v>11</v>
      </c>
      <c r="N3151" s="4" t="s">
        <v>9676</v>
      </c>
      <c r="O3151" s="4">
        <v>168</v>
      </c>
      <c r="P3151" s="11" t="s">
        <v>9742</v>
      </c>
      <c r="Q3151" s="11" t="s">
        <v>10734</v>
      </c>
      <c r="S3151" s="4" t="b">
        <f>ISNUMBER(MATCH(Q3151,T:T,0))</f>
        <v>1</v>
      </c>
      <c r="T3151" s="4" t="s">
        <v>10735</v>
      </c>
      <c r="U3151" s="4" t="str">
        <f t="shared" si="141"/>
        <v>念</v>
      </c>
    </row>
    <row r="3152" spans="1:21">
      <c r="A3152" s="3">
        <v>3144</v>
      </c>
      <c r="B3152" s="3" t="s">
        <v>465</v>
      </c>
      <c r="C3152" s="3" t="s">
        <v>6017</v>
      </c>
      <c r="D3152" s="3" t="s">
        <v>2843</v>
      </c>
      <c r="E3152" s="3" t="s">
        <v>5991</v>
      </c>
      <c r="F3152" s="3" t="s">
        <v>8588</v>
      </c>
      <c r="G3152" s="3" t="s">
        <v>4210</v>
      </c>
      <c r="H3152" s="3" t="s">
        <v>470</v>
      </c>
      <c r="I3152" s="3" t="s">
        <v>8496</v>
      </c>
      <c r="J3152" s="5" t="s">
        <v>471</v>
      </c>
      <c r="L3152" s="3" t="s">
        <v>3156</v>
      </c>
      <c r="M3152" s="3">
        <v>2</v>
      </c>
      <c r="N3152" s="4" t="s">
        <v>9676</v>
      </c>
      <c r="O3152" s="4">
        <v>168</v>
      </c>
      <c r="P3152" s="11" t="s">
        <v>8121</v>
      </c>
      <c r="Q3152" s="11" t="s">
        <v>10734</v>
      </c>
      <c r="S3152" s="4" t="b">
        <f>ISNUMBER(MATCH(Q3152,T:T,0))</f>
        <v>1</v>
      </c>
      <c r="T3152" s="4" t="s">
        <v>12565</v>
      </c>
      <c r="U3152" s="4" t="str">
        <f t="shared" si="141"/>
        <v>念</v>
      </c>
    </row>
    <row r="3153" spans="1:21">
      <c r="A3153" s="3">
        <v>3145</v>
      </c>
      <c r="B3153" s="3" t="s">
        <v>465</v>
      </c>
      <c r="C3153" s="3" t="s">
        <v>5997</v>
      </c>
      <c r="D3153" s="3" t="s">
        <v>2843</v>
      </c>
      <c r="E3153" s="3" t="s">
        <v>5991</v>
      </c>
      <c r="F3153" s="3" t="s">
        <v>8588</v>
      </c>
      <c r="G3153" s="3" t="s">
        <v>4210</v>
      </c>
      <c r="H3153" s="3" t="s">
        <v>472</v>
      </c>
      <c r="I3153" s="3" t="s">
        <v>8496</v>
      </c>
      <c r="J3153" s="5" t="s">
        <v>473</v>
      </c>
      <c r="L3153" s="3" t="s">
        <v>3203</v>
      </c>
      <c r="M3153" s="3">
        <v>2</v>
      </c>
      <c r="N3153" s="4" t="s">
        <v>9676</v>
      </c>
      <c r="O3153" s="4">
        <v>168</v>
      </c>
      <c r="P3153" s="11" t="s">
        <v>9706</v>
      </c>
      <c r="Q3153" s="11" t="s">
        <v>10734</v>
      </c>
      <c r="S3153" s="4" t="b">
        <f>ISNUMBER(MATCH(Q3153,T:T,0))</f>
        <v>1</v>
      </c>
      <c r="T3153" s="4" t="s">
        <v>12566</v>
      </c>
      <c r="U3153" s="4" t="str">
        <f t="shared" si="141"/>
        <v>念</v>
      </c>
    </row>
    <row r="3154" spans="1:21">
      <c r="A3154" s="3">
        <v>3146</v>
      </c>
      <c r="B3154" s="3" t="s">
        <v>465</v>
      </c>
      <c r="C3154" s="3" t="s">
        <v>6025</v>
      </c>
      <c r="D3154" s="3" t="s">
        <v>2843</v>
      </c>
      <c r="E3154" s="3" t="s">
        <v>5991</v>
      </c>
      <c r="F3154" s="3" t="s">
        <v>8588</v>
      </c>
      <c r="G3154" s="3" t="s">
        <v>4210</v>
      </c>
      <c r="H3154" s="3" t="s">
        <v>474</v>
      </c>
      <c r="I3154" s="3" t="s">
        <v>8496</v>
      </c>
      <c r="J3154" s="8" t="s">
        <v>475</v>
      </c>
      <c r="L3154" s="3" t="s">
        <v>184</v>
      </c>
      <c r="M3154" s="3">
        <v>1</v>
      </c>
      <c r="N3154" s="4" t="s">
        <v>9676</v>
      </c>
      <c r="O3154" s="4">
        <v>168</v>
      </c>
      <c r="P3154" s="11" t="s">
        <v>10234</v>
      </c>
      <c r="Q3154" s="11" t="s">
        <v>10734</v>
      </c>
      <c r="S3154" s="4" t="b">
        <f>ISNUMBER(MATCH(Q3154,T:T,0))</f>
        <v>1</v>
      </c>
      <c r="T3154" s="4" t="s">
        <v>475</v>
      </c>
      <c r="U3154" s="4" t="str">
        <f t="shared" si="141"/>
        <v>念</v>
      </c>
    </row>
    <row r="3155" spans="1:21">
      <c r="A3155" s="3">
        <v>3147</v>
      </c>
      <c r="B3155" s="3" t="s">
        <v>465</v>
      </c>
      <c r="C3155" s="3" t="s">
        <v>6072</v>
      </c>
      <c r="D3155" s="3" t="s">
        <v>2843</v>
      </c>
      <c r="E3155" s="3" t="s">
        <v>5991</v>
      </c>
      <c r="F3155" s="3" t="s">
        <v>8588</v>
      </c>
      <c r="G3155" s="3" t="s">
        <v>4210</v>
      </c>
      <c r="H3155" s="3" t="s">
        <v>476</v>
      </c>
      <c r="I3155" s="3" t="s">
        <v>8496</v>
      </c>
      <c r="J3155" s="5" t="s">
        <v>477</v>
      </c>
      <c r="L3155" s="3" t="s">
        <v>5666</v>
      </c>
      <c r="M3155" s="3">
        <v>1</v>
      </c>
      <c r="N3155" s="4" t="s">
        <v>9676</v>
      </c>
      <c r="O3155" s="4">
        <v>168</v>
      </c>
      <c r="P3155" s="11" t="s">
        <v>9754</v>
      </c>
      <c r="Q3155" s="11" t="s">
        <v>10734</v>
      </c>
      <c r="S3155" s="4" t="b">
        <f>ISNUMBER(MATCH(Q3155,T:T,0))</f>
        <v>1</v>
      </c>
      <c r="T3155" s="4" t="s">
        <v>477</v>
      </c>
      <c r="U3155" s="4" t="str">
        <f t="shared" si="141"/>
        <v>念</v>
      </c>
    </row>
    <row r="3156" spans="1:21">
      <c r="A3156" s="3">
        <v>3148</v>
      </c>
      <c r="B3156" s="3" t="s">
        <v>465</v>
      </c>
      <c r="C3156" s="3" t="s">
        <v>6083</v>
      </c>
      <c r="D3156" s="3" t="s">
        <v>2843</v>
      </c>
      <c r="E3156" s="3" t="s">
        <v>5991</v>
      </c>
      <c r="F3156" s="3" t="s">
        <v>8588</v>
      </c>
      <c r="G3156" s="3" t="s">
        <v>4210</v>
      </c>
      <c r="H3156" s="3" t="s">
        <v>478</v>
      </c>
      <c r="I3156" s="3" t="s">
        <v>8496</v>
      </c>
      <c r="J3156" s="5" t="s">
        <v>479</v>
      </c>
      <c r="L3156" s="3" t="s">
        <v>184</v>
      </c>
      <c r="M3156" s="3">
        <v>1</v>
      </c>
      <c r="N3156" s="4" t="s">
        <v>9676</v>
      </c>
      <c r="O3156" s="4">
        <v>168</v>
      </c>
      <c r="P3156" s="11" t="s">
        <v>9737</v>
      </c>
      <c r="Q3156" s="11" t="s">
        <v>10734</v>
      </c>
      <c r="S3156" s="4" t="b">
        <f>ISNUMBER(MATCH(Q3156,T:T,0))</f>
        <v>1</v>
      </c>
      <c r="T3156" s="4" t="s">
        <v>479</v>
      </c>
      <c r="U3156" s="4" t="str">
        <f t="shared" si="141"/>
        <v>念</v>
      </c>
    </row>
    <row r="3157" spans="1:21">
      <c r="A3157" s="3">
        <v>3149</v>
      </c>
      <c r="B3157" s="3" t="s">
        <v>465</v>
      </c>
      <c r="C3157" s="3" t="s">
        <v>6069</v>
      </c>
      <c r="D3157" s="3" t="s">
        <v>2843</v>
      </c>
      <c r="E3157" s="3" t="s">
        <v>5991</v>
      </c>
      <c r="F3157" s="3" t="s">
        <v>8588</v>
      </c>
      <c r="G3157" s="3" t="s">
        <v>4210</v>
      </c>
      <c r="H3157" s="3" t="s">
        <v>480</v>
      </c>
      <c r="I3157" s="3" t="s">
        <v>8496</v>
      </c>
      <c r="J3157" s="5" t="s">
        <v>481</v>
      </c>
      <c r="L3157" s="3" t="s">
        <v>184</v>
      </c>
      <c r="M3157" s="3">
        <v>1</v>
      </c>
      <c r="N3157" s="4" t="s">
        <v>9676</v>
      </c>
      <c r="O3157" s="4">
        <v>168</v>
      </c>
      <c r="P3157" s="11" t="s">
        <v>10442</v>
      </c>
      <c r="Q3157" s="11" t="s">
        <v>10734</v>
      </c>
      <c r="S3157" s="4" t="b">
        <f>ISNUMBER(MATCH(Q3157,T:T,0))</f>
        <v>1</v>
      </c>
      <c r="T3157" s="4" t="s">
        <v>481</v>
      </c>
      <c r="U3157" s="4" t="str">
        <f t="shared" si="141"/>
        <v>念</v>
      </c>
    </row>
    <row r="3158" spans="1:21">
      <c r="A3158" s="3">
        <v>3150</v>
      </c>
      <c r="B3158" s="3" t="s">
        <v>465</v>
      </c>
      <c r="C3158" s="3" t="s">
        <v>6025</v>
      </c>
      <c r="D3158" s="3" t="s">
        <v>2843</v>
      </c>
      <c r="E3158" s="3" t="s">
        <v>5991</v>
      </c>
      <c r="F3158" s="3" t="s">
        <v>8588</v>
      </c>
      <c r="G3158" s="3" t="s">
        <v>4210</v>
      </c>
      <c r="H3158" s="3" t="s">
        <v>482</v>
      </c>
      <c r="I3158" s="3" t="s">
        <v>8496</v>
      </c>
      <c r="J3158" s="5" t="s">
        <v>483</v>
      </c>
      <c r="L3158" s="3" t="s">
        <v>184</v>
      </c>
      <c r="M3158" s="3">
        <v>2</v>
      </c>
      <c r="N3158" s="4" t="s">
        <v>9676</v>
      </c>
      <c r="O3158" s="4">
        <v>168</v>
      </c>
      <c r="P3158" s="11" t="s">
        <v>9729</v>
      </c>
      <c r="Q3158" s="11" t="s">
        <v>10734</v>
      </c>
      <c r="S3158" s="4" t="b">
        <f>ISNUMBER(MATCH(Q3158,T:T,0))</f>
        <v>1</v>
      </c>
      <c r="T3158" s="4" t="s">
        <v>10174</v>
      </c>
      <c r="U3158" s="4" t="str">
        <f t="shared" si="141"/>
        <v>念</v>
      </c>
    </row>
    <row r="3159" spans="1:21">
      <c r="A3159" s="3">
        <v>3151</v>
      </c>
      <c r="B3159" s="3" t="s">
        <v>465</v>
      </c>
      <c r="C3159" s="3" t="s">
        <v>6038</v>
      </c>
      <c r="D3159" s="3" t="s">
        <v>2843</v>
      </c>
      <c r="E3159" s="3" t="s">
        <v>5991</v>
      </c>
      <c r="F3159" s="3" t="s">
        <v>8588</v>
      </c>
      <c r="G3159" s="3" t="s">
        <v>4210</v>
      </c>
      <c r="H3159" s="3" t="s">
        <v>484</v>
      </c>
      <c r="I3159" s="3" t="s">
        <v>8496</v>
      </c>
      <c r="J3159" s="5" t="s">
        <v>485</v>
      </c>
      <c r="L3159" s="3" t="s">
        <v>2165</v>
      </c>
      <c r="M3159" s="3">
        <v>1</v>
      </c>
      <c r="N3159" s="4" t="s">
        <v>9676</v>
      </c>
      <c r="O3159" s="4">
        <v>168</v>
      </c>
      <c r="P3159" s="11" t="s">
        <v>9728</v>
      </c>
      <c r="Q3159" s="11" t="s">
        <v>10734</v>
      </c>
      <c r="S3159" s="4" t="b">
        <f>ISNUMBER(MATCH(Q3159,T:T,0))</f>
        <v>1</v>
      </c>
      <c r="T3159" s="4" t="s">
        <v>485</v>
      </c>
      <c r="U3159" s="4" t="str">
        <f t="shared" si="141"/>
        <v>念</v>
      </c>
    </row>
    <row r="3160" spans="1:21">
      <c r="A3160" s="3">
        <v>3152</v>
      </c>
      <c r="B3160" s="3" t="s">
        <v>465</v>
      </c>
      <c r="C3160" s="3" t="s">
        <v>6058</v>
      </c>
      <c r="D3160" s="3" t="s">
        <v>2843</v>
      </c>
      <c r="E3160" s="3" t="s">
        <v>5991</v>
      </c>
      <c r="F3160" s="3" t="s">
        <v>8588</v>
      </c>
      <c r="G3160" s="3" t="s">
        <v>4210</v>
      </c>
      <c r="H3160" s="3" t="s">
        <v>486</v>
      </c>
      <c r="I3160" s="3" t="s">
        <v>8496</v>
      </c>
      <c r="J3160" s="8" t="s">
        <v>487</v>
      </c>
      <c r="L3160" s="3" t="s">
        <v>2173</v>
      </c>
      <c r="M3160" s="3">
        <v>1</v>
      </c>
      <c r="N3160" s="4" t="s">
        <v>9676</v>
      </c>
      <c r="O3160" s="4">
        <v>168</v>
      </c>
      <c r="P3160" s="11" t="s">
        <v>9727</v>
      </c>
      <c r="Q3160" s="11" t="s">
        <v>10734</v>
      </c>
      <c r="S3160" s="4" t="b">
        <f>ISNUMBER(MATCH(Q3160,T:T,0))</f>
        <v>1</v>
      </c>
      <c r="T3160" s="4" t="s">
        <v>487</v>
      </c>
      <c r="U3160" s="4" t="str">
        <f t="shared" si="141"/>
        <v>念</v>
      </c>
    </row>
    <row r="3161" spans="1:21">
      <c r="A3161" s="3">
        <v>3153</v>
      </c>
      <c r="B3161" s="3" t="s">
        <v>488</v>
      </c>
      <c r="C3161" s="3" t="s">
        <v>6092</v>
      </c>
      <c r="D3161" s="3" t="s">
        <v>6001</v>
      </c>
      <c r="E3161" s="3" t="s">
        <v>5991</v>
      </c>
      <c r="F3161" s="3" t="s">
        <v>8631</v>
      </c>
      <c r="G3161" s="3" t="s">
        <v>4210</v>
      </c>
      <c r="H3161" s="3" t="s">
        <v>489</v>
      </c>
      <c r="I3161" s="3" t="s">
        <v>8496</v>
      </c>
      <c r="J3161" s="5" t="s">
        <v>490</v>
      </c>
      <c r="L3161" s="3" t="s">
        <v>5666</v>
      </c>
      <c r="M3161" s="3">
        <v>2</v>
      </c>
      <c r="N3161" s="4" t="s">
        <v>9677</v>
      </c>
      <c r="O3161" s="4">
        <v>169</v>
      </c>
      <c r="P3161" s="11" t="s">
        <v>6462</v>
      </c>
      <c r="Q3161" s="11" t="s">
        <v>10736</v>
      </c>
      <c r="S3161" s="4" t="b">
        <f>ISNUMBER(MATCH(Q3161,T:T,0))</f>
        <v>1</v>
      </c>
      <c r="T3161" s="4" t="s">
        <v>9677</v>
      </c>
      <c r="U3161" s="4" t="str">
        <f t="shared" si="141"/>
        <v>欠</v>
      </c>
    </row>
    <row r="3162" spans="1:21">
      <c r="A3162" s="3">
        <v>3154</v>
      </c>
      <c r="B3162" s="3" t="s">
        <v>488</v>
      </c>
      <c r="C3162" s="3" t="s">
        <v>6089</v>
      </c>
      <c r="D3162" s="3" t="s">
        <v>6001</v>
      </c>
      <c r="E3162" s="3" t="s">
        <v>5991</v>
      </c>
      <c r="F3162" s="3" t="s">
        <v>8631</v>
      </c>
      <c r="G3162" s="3" t="s">
        <v>4210</v>
      </c>
      <c r="H3162" s="3" t="s">
        <v>491</v>
      </c>
      <c r="I3162" s="3" t="s">
        <v>8496</v>
      </c>
      <c r="J3162" s="5" t="s">
        <v>492</v>
      </c>
      <c r="L3162" s="3" t="s">
        <v>3156</v>
      </c>
      <c r="M3162" s="3">
        <v>2</v>
      </c>
      <c r="N3162" s="4" t="s">
        <v>9677</v>
      </c>
      <c r="O3162" s="4">
        <v>169</v>
      </c>
      <c r="P3162" s="11" t="s">
        <v>9753</v>
      </c>
      <c r="Q3162" s="11" t="s">
        <v>10736</v>
      </c>
      <c r="S3162" s="4" t="b">
        <f>ISNUMBER(MATCH(Q3162,T:T,0))</f>
        <v>1</v>
      </c>
      <c r="T3162" s="4" t="s">
        <v>12567</v>
      </c>
      <c r="U3162" s="4" t="str">
        <f t="shared" si="141"/>
        <v>欠</v>
      </c>
    </row>
    <row r="3163" spans="1:21">
      <c r="A3163" s="3">
        <v>3155</v>
      </c>
      <c r="B3163" s="3" t="s">
        <v>488</v>
      </c>
      <c r="C3163" s="3" t="s">
        <v>6038</v>
      </c>
      <c r="D3163" s="3" t="s">
        <v>6001</v>
      </c>
      <c r="E3163" s="3" t="s">
        <v>5991</v>
      </c>
      <c r="F3163" s="3" t="s">
        <v>8631</v>
      </c>
      <c r="G3163" s="3" t="s">
        <v>4210</v>
      </c>
      <c r="H3163" s="3" t="s">
        <v>493</v>
      </c>
      <c r="I3163" s="3" t="s">
        <v>8496</v>
      </c>
      <c r="J3163" s="5" t="s">
        <v>494</v>
      </c>
      <c r="L3163" s="3" t="s">
        <v>2165</v>
      </c>
      <c r="M3163" s="3">
        <v>2</v>
      </c>
      <c r="N3163" s="4" t="s">
        <v>9677</v>
      </c>
      <c r="O3163" s="4">
        <v>169</v>
      </c>
      <c r="P3163" s="11" t="s">
        <v>9825</v>
      </c>
      <c r="Q3163" s="11" t="s">
        <v>9677</v>
      </c>
      <c r="S3163" s="4" t="b">
        <f>ISNUMBER(MATCH(Q3163,T:T,0))</f>
        <v>1</v>
      </c>
      <c r="T3163" s="4" t="s">
        <v>11543</v>
      </c>
      <c r="U3163" s="4" t="str">
        <f t="shared" si="141"/>
        <v>釅</v>
      </c>
    </row>
    <row r="3164" spans="1:21">
      <c r="A3164" s="3">
        <v>3178</v>
      </c>
      <c r="B3164" s="3" t="s">
        <v>488</v>
      </c>
      <c r="C3164" s="3" t="s">
        <v>6025</v>
      </c>
      <c r="D3164" s="3" t="s">
        <v>6001</v>
      </c>
      <c r="E3164" s="3" t="s">
        <v>5991</v>
      </c>
      <c r="F3164" s="3" t="s">
        <v>8631</v>
      </c>
      <c r="G3164" s="3" t="s">
        <v>4210</v>
      </c>
      <c r="H3164" s="3" t="s">
        <v>535</v>
      </c>
      <c r="I3164" s="3" t="s">
        <v>8496</v>
      </c>
      <c r="J3164" s="8" t="s">
        <v>9510</v>
      </c>
      <c r="L3164" s="3" t="s">
        <v>184</v>
      </c>
      <c r="M3164" s="3">
        <v>1</v>
      </c>
      <c r="N3164" s="4" t="s">
        <v>9677</v>
      </c>
      <c r="O3164" s="4">
        <v>169</v>
      </c>
      <c r="P3164" s="11" t="s">
        <v>9717</v>
      </c>
      <c r="Q3164" s="11" t="s">
        <v>10736</v>
      </c>
      <c r="S3164" s="4" t="b">
        <f>ISNUMBER(MATCH(Q3164,T:T,0))</f>
        <v>1</v>
      </c>
      <c r="T3164" s="4" t="s">
        <v>10737</v>
      </c>
      <c r="U3164" s="4" t="str">
        <f t="shared" si="141"/>
        <v>欠</v>
      </c>
    </row>
    <row r="3165" spans="1:21">
      <c r="A3165" s="3">
        <v>3179</v>
      </c>
      <c r="B3165" s="3" t="s">
        <v>488</v>
      </c>
      <c r="C3165" s="3" t="s">
        <v>6038</v>
      </c>
      <c r="D3165" s="3" t="s">
        <v>6001</v>
      </c>
      <c r="E3165" s="3" t="s">
        <v>5991</v>
      </c>
      <c r="F3165" s="3" t="s">
        <v>8631</v>
      </c>
      <c r="G3165" s="3" t="s">
        <v>4210</v>
      </c>
      <c r="H3165" s="3" t="s">
        <v>866</v>
      </c>
      <c r="I3165" s="3" t="s">
        <v>8496</v>
      </c>
      <c r="J3165" s="5" t="s">
        <v>536</v>
      </c>
      <c r="L3165" s="3" t="s">
        <v>2165</v>
      </c>
      <c r="M3165" s="3">
        <v>2</v>
      </c>
      <c r="N3165" s="4" t="s">
        <v>9677</v>
      </c>
      <c r="O3165" s="4">
        <v>169</v>
      </c>
      <c r="P3165" s="11" t="s">
        <v>4210</v>
      </c>
      <c r="Q3165" s="11" t="s">
        <v>10737</v>
      </c>
      <c r="S3165" s="4" t="b">
        <f>ISNUMBER(MATCH(Q3165,T:T,0))</f>
        <v>1</v>
      </c>
      <c r="T3165" s="4" t="s">
        <v>10736</v>
      </c>
      <c r="U3165" s="4" t="str">
        <f t="shared" si="141"/>
        <v>劔</v>
      </c>
    </row>
    <row r="3166" spans="1:21">
      <c r="A3166" s="3">
        <v>3180</v>
      </c>
      <c r="B3166" s="3" t="s">
        <v>488</v>
      </c>
      <c r="C3166" s="3" t="s">
        <v>6072</v>
      </c>
      <c r="D3166" s="3" t="s">
        <v>6001</v>
      </c>
      <c r="E3166" s="3" t="s">
        <v>5991</v>
      </c>
      <c r="F3166" s="3" t="s">
        <v>8631</v>
      </c>
      <c r="G3166" s="3" t="s">
        <v>4210</v>
      </c>
      <c r="H3166" s="3" t="s">
        <v>867</v>
      </c>
      <c r="I3166" s="3" t="s">
        <v>8496</v>
      </c>
      <c r="J3166" s="5" t="s">
        <v>9511</v>
      </c>
      <c r="L3166" s="3" t="s">
        <v>5666</v>
      </c>
      <c r="M3166" s="3">
        <v>8</v>
      </c>
      <c r="N3166" s="4" t="s">
        <v>9677</v>
      </c>
      <c r="O3166" s="4">
        <v>169</v>
      </c>
      <c r="P3166" s="11" t="s">
        <v>9754</v>
      </c>
      <c r="Q3166" s="11" t="s">
        <v>10737</v>
      </c>
      <c r="S3166" s="4" t="b">
        <f>ISNUMBER(MATCH(Q3166,T:T,0))</f>
        <v>1</v>
      </c>
      <c r="T3166" s="4" t="s">
        <v>12579</v>
      </c>
      <c r="U3166" s="4" t="str">
        <f t="shared" si="141"/>
        <v>劔</v>
      </c>
    </row>
    <row r="3167" spans="1:21">
      <c r="A3167" s="3">
        <v>3157</v>
      </c>
      <c r="B3167" s="3" t="s">
        <v>498</v>
      </c>
      <c r="C3167" s="3" t="s">
        <v>6067</v>
      </c>
      <c r="D3167" s="3" t="s">
        <v>6157</v>
      </c>
      <c r="E3167" s="3" t="s">
        <v>5991</v>
      </c>
      <c r="F3167" s="3" t="s">
        <v>8496</v>
      </c>
      <c r="G3167" s="3" t="s">
        <v>4210</v>
      </c>
      <c r="H3167" s="7" t="s">
        <v>865</v>
      </c>
      <c r="I3167" s="3" t="s">
        <v>8496</v>
      </c>
      <c r="J3167" s="5" t="s">
        <v>9505</v>
      </c>
      <c r="L3167" s="3" t="s">
        <v>3156</v>
      </c>
      <c r="M3167" s="3">
        <v>5</v>
      </c>
      <c r="N3167" s="4" t="s">
        <v>497</v>
      </c>
      <c r="O3167" s="4">
        <v>170</v>
      </c>
      <c r="P3167" s="11" t="s">
        <v>9731</v>
      </c>
      <c r="Q3167" s="11" t="s">
        <v>10738</v>
      </c>
      <c r="S3167" s="4" t="b">
        <f>ISNUMBER(MATCH(Q3167,T:T,0))</f>
        <v>1</v>
      </c>
      <c r="T3167" s="4" t="s">
        <v>497</v>
      </c>
      <c r="U3167" s="4" t="str">
        <f t="shared" si="141"/>
        <v>韽</v>
      </c>
    </row>
    <row r="3168" spans="1:21">
      <c r="A3168" s="3">
        <v>3158</v>
      </c>
      <c r="B3168" s="3" t="s">
        <v>498</v>
      </c>
      <c r="C3168" s="3" t="s">
        <v>6072</v>
      </c>
      <c r="D3168" s="3" t="s">
        <v>6157</v>
      </c>
      <c r="E3168" s="3" t="s">
        <v>5991</v>
      </c>
      <c r="F3168" s="3" t="s">
        <v>8496</v>
      </c>
      <c r="G3168" s="3" t="s">
        <v>4210</v>
      </c>
      <c r="H3168" s="3" t="s">
        <v>499</v>
      </c>
      <c r="I3168" s="3" t="s">
        <v>8496</v>
      </c>
      <c r="J3168" s="5" t="s">
        <v>9506</v>
      </c>
      <c r="L3168" s="3" t="s">
        <v>5666</v>
      </c>
      <c r="M3168" s="3">
        <v>4</v>
      </c>
      <c r="N3168" s="4" t="s">
        <v>497</v>
      </c>
      <c r="O3168" s="4">
        <v>170</v>
      </c>
      <c r="P3168" s="11" t="s">
        <v>9754</v>
      </c>
      <c r="Q3168" s="11" t="s">
        <v>497</v>
      </c>
      <c r="S3168" s="4" t="b">
        <f>ISNUMBER(MATCH(Q3168,T:T,0))</f>
        <v>1</v>
      </c>
      <c r="T3168" s="4" t="s">
        <v>10738</v>
      </c>
      <c r="U3168" s="4" t="str">
        <f t="shared" si="141"/>
        <v>陷</v>
      </c>
    </row>
    <row r="3169" spans="1:22">
      <c r="A3169" s="3">
        <v>3159</v>
      </c>
      <c r="B3169" s="3" t="s">
        <v>498</v>
      </c>
      <c r="C3169" s="3" t="s">
        <v>6318</v>
      </c>
      <c r="D3169" s="3" t="s">
        <v>6157</v>
      </c>
      <c r="E3169" s="3" t="s">
        <v>5991</v>
      </c>
      <c r="F3169" s="3" t="s">
        <v>8496</v>
      </c>
      <c r="G3169" s="3" t="s">
        <v>4210</v>
      </c>
      <c r="H3169" s="3" t="s">
        <v>500</v>
      </c>
      <c r="I3169" s="3" t="s">
        <v>8496</v>
      </c>
      <c r="J3169" s="5" t="s">
        <v>501</v>
      </c>
      <c r="L3169" s="3" t="s">
        <v>6960</v>
      </c>
      <c r="M3169" s="3">
        <v>1</v>
      </c>
      <c r="N3169" s="4" t="s">
        <v>497</v>
      </c>
      <c r="O3169" s="4">
        <v>170</v>
      </c>
      <c r="P3169" s="11" t="s">
        <v>6318</v>
      </c>
      <c r="Q3169" s="11" t="s">
        <v>497</v>
      </c>
      <c r="S3169" s="4" t="b">
        <f>ISNUMBER(MATCH(Q3169,T:T,0))</f>
        <v>1</v>
      </c>
      <c r="T3169" s="4" t="s">
        <v>501</v>
      </c>
      <c r="U3169" s="4" t="str">
        <f t="shared" si="141"/>
        <v>陷</v>
      </c>
    </row>
    <row r="3170" spans="1:22">
      <c r="A3170" s="3">
        <v>3160</v>
      </c>
      <c r="B3170" s="3" t="s">
        <v>498</v>
      </c>
      <c r="C3170" s="3" t="s">
        <v>6000</v>
      </c>
      <c r="D3170" s="3" t="s">
        <v>6157</v>
      </c>
      <c r="E3170" s="3" t="s">
        <v>5991</v>
      </c>
      <c r="F3170" s="3" t="s">
        <v>8496</v>
      </c>
      <c r="G3170" s="3" t="s">
        <v>4210</v>
      </c>
      <c r="H3170" s="3" t="s">
        <v>502</v>
      </c>
      <c r="I3170" s="3" t="s">
        <v>8496</v>
      </c>
      <c r="J3170" s="5" t="s">
        <v>503</v>
      </c>
      <c r="L3170" s="3" t="s">
        <v>6960</v>
      </c>
      <c r="M3170" s="3">
        <v>3</v>
      </c>
      <c r="N3170" s="4" t="s">
        <v>497</v>
      </c>
      <c r="O3170" s="4">
        <v>170</v>
      </c>
      <c r="P3170" s="11" t="s">
        <v>9707</v>
      </c>
      <c r="Q3170" s="11" t="s">
        <v>497</v>
      </c>
      <c r="S3170" s="4" t="b">
        <f>ISNUMBER(MATCH(Q3170,T:T,0))</f>
        <v>1</v>
      </c>
      <c r="T3170" s="4" t="s">
        <v>12569</v>
      </c>
      <c r="U3170" s="4" t="str">
        <f t="shared" si="141"/>
        <v>陷</v>
      </c>
    </row>
    <row r="3171" spans="1:22">
      <c r="A3171" s="3">
        <v>3161</v>
      </c>
      <c r="B3171" s="3" t="s">
        <v>498</v>
      </c>
      <c r="C3171" s="3" t="s">
        <v>6038</v>
      </c>
      <c r="D3171" s="3" t="s">
        <v>6157</v>
      </c>
      <c r="E3171" s="3" t="s">
        <v>5991</v>
      </c>
      <c r="F3171" s="3" t="s">
        <v>8496</v>
      </c>
      <c r="G3171" s="3" t="s">
        <v>4210</v>
      </c>
      <c r="H3171" s="3" t="s">
        <v>504</v>
      </c>
      <c r="I3171" s="3" t="s">
        <v>8496</v>
      </c>
      <c r="J3171" s="5" t="s">
        <v>505</v>
      </c>
      <c r="L3171" s="3" t="s">
        <v>2165</v>
      </c>
      <c r="M3171" s="3">
        <v>2</v>
      </c>
      <c r="N3171" s="4" t="s">
        <v>497</v>
      </c>
      <c r="O3171" s="4">
        <v>170</v>
      </c>
      <c r="P3171" s="11" t="s">
        <v>9915</v>
      </c>
      <c r="Q3171" s="11" t="s">
        <v>497</v>
      </c>
      <c r="S3171" s="4" t="b">
        <f>ISNUMBER(MATCH(Q3171,T:T,0))</f>
        <v>1</v>
      </c>
      <c r="T3171" s="4" t="s">
        <v>12570</v>
      </c>
      <c r="U3171" s="4" t="str">
        <f t="shared" si="141"/>
        <v>陷</v>
      </c>
    </row>
    <row r="3172" spans="1:22">
      <c r="A3172" s="3">
        <v>3162</v>
      </c>
      <c r="B3172" s="3" t="s">
        <v>498</v>
      </c>
      <c r="C3172" s="3" t="s">
        <v>6005</v>
      </c>
      <c r="D3172" s="3" t="s">
        <v>6157</v>
      </c>
      <c r="E3172" s="3" t="s">
        <v>5991</v>
      </c>
      <c r="F3172" s="3" t="s">
        <v>8496</v>
      </c>
      <c r="G3172" s="3" t="s">
        <v>4210</v>
      </c>
      <c r="H3172" s="3" t="s">
        <v>506</v>
      </c>
      <c r="I3172" s="3" t="s">
        <v>8496</v>
      </c>
      <c r="J3172" s="5" t="s">
        <v>507</v>
      </c>
      <c r="K3172" s="3" t="s">
        <v>5585</v>
      </c>
      <c r="L3172" s="3" t="s">
        <v>6960</v>
      </c>
      <c r="M3172" s="3">
        <v>3</v>
      </c>
      <c r="N3172" s="4" t="s">
        <v>497</v>
      </c>
      <c r="O3172" s="4">
        <v>170</v>
      </c>
      <c r="P3172" s="11" t="s">
        <v>10739</v>
      </c>
      <c r="Q3172" s="11" t="s">
        <v>497</v>
      </c>
      <c r="S3172" s="4" t="b">
        <f>ISNUMBER(MATCH(Q3172,T:T,0))</f>
        <v>1</v>
      </c>
      <c r="T3172" s="4" t="s">
        <v>12571</v>
      </c>
      <c r="U3172" s="4" t="str">
        <f t="shared" si="141"/>
        <v>陷</v>
      </c>
    </row>
    <row r="3173" spans="1:22">
      <c r="A3173" s="3">
        <v>3163</v>
      </c>
      <c r="B3173" s="3" t="s">
        <v>498</v>
      </c>
      <c r="C3173" s="3" t="s">
        <v>6015</v>
      </c>
      <c r="D3173" s="3" t="s">
        <v>6157</v>
      </c>
      <c r="E3173" s="3" t="s">
        <v>5991</v>
      </c>
      <c r="F3173" s="3" t="s">
        <v>8496</v>
      </c>
      <c r="G3173" s="3" t="s">
        <v>4210</v>
      </c>
      <c r="H3173" s="3" t="s">
        <v>508</v>
      </c>
      <c r="I3173" s="3" t="s">
        <v>8496</v>
      </c>
      <c r="J3173" s="5" t="s">
        <v>509</v>
      </c>
      <c r="L3173" s="3" t="s">
        <v>6960</v>
      </c>
      <c r="M3173" s="3">
        <v>3</v>
      </c>
      <c r="N3173" s="4" t="s">
        <v>497</v>
      </c>
      <c r="O3173" s="4">
        <v>170</v>
      </c>
      <c r="P3173" s="11" t="s">
        <v>9866</v>
      </c>
      <c r="Q3173" s="11" t="s">
        <v>497</v>
      </c>
      <c r="S3173" s="4" t="b">
        <f>ISNUMBER(MATCH(Q3173,T:T,0))</f>
        <v>1</v>
      </c>
      <c r="T3173" s="4" t="s">
        <v>12572</v>
      </c>
      <c r="U3173" s="4" t="str">
        <f t="shared" si="141"/>
        <v>陷</v>
      </c>
    </row>
    <row r="3174" spans="1:22">
      <c r="A3174" s="3">
        <v>3164</v>
      </c>
      <c r="B3174" s="3" t="s">
        <v>498</v>
      </c>
      <c r="C3174" s="3" t="s">
        <v>6025</v>
      </c>
      <c r="D3174" s="3" t="s">
        <v>6157</v>
      </c>
      <c r="E3174" s="3" t="s">
        <v>5991</v>
      </c>
      <c r="F3174" s="3" t="s">
        <v>8496</v>
      </c>
      <c r="G3174" s="3" t="s">
        <v>4210</v>
      </c>
      <c r="H3174" s="3" t="s">
        <v>510</v>
      </c>
      <c r="I3174" s="3" t="s">
        <v>8496</v>
      </c>
      <c r="J3174" s="5" t="s">
        <v>511</v>
      </c>
      <c r="L3174" s="3" t="s">
        <v>184</v>
      </c>
      <c r="M3174" s="3">
        <v>2</v>
      </c>
      <c r="N3174" s="4" t="s">
        <v>497</v>
      </c>
      <c r="O3174" s="4">
        <v>170</v>
      </c>
      <c r="P3174" s="11" t="s">
        <v>9732</v>
      </c>
      <c r="Q3174" s="11" t="s">
        <v>497</v>
      </c>
      <c r="S3174" s="4" t="b">
        <f>ISNUMBER(MATCH(Q3174,T:T,0))</f>
        <v>1</v>
      </c>
      <c r="T3174" s="4" t="s">
        <v>425</v>
      </c>
      <c r="U3174" s="4" t="str">
        <f t="shared" si="141"/>
        <v>陷</v>
      </c>
    </row>
    <row r="3175" spans="1:22">
      <c r="A3175" s="3">
        <v>3165</v>
      </c>
      <c r="B3175" s="3" t="s">
        <v>498</v>
      </c>
      <c r="C3175" s="3" t="s">
        <v>6137</v>
      </c>
      <c r="D3175" s="3" t="s">
        <v>6157</v>
      </c>
      <c r="E3175" s="3" t="s">
        <v>5991</v>
      </c>
      <c r="F3175" s="3" t="s">
        <v>8496</v>
      </c>
      <c r="G3175" s="3" t="s">
        <v>4210</v>
      </c>
      <c r="H3175" s="3" t="s">
        <v>512</v>
      </c>
      <c r="I3175" s="3" t="s">
        <v>8496</v>
      </c>
      <c r="J3175" s="5" t="s">
        <v>513</v>
      </c>
      <c r="L3175" s="3" t="s">
        <v>2068</v>
      </c>
      <c r="M3175" s="3">
        <v>1</v>
      </c>
      <c r="N3175" s="4" t="s">
        <v>497</v>
      </c>
      <c r="O3175" s="4">
        <v>170</v>
      </c>
      <c r="P3175" s="11" t="s">
        <v>9812</v>
      </c>
      <c r="Q3175" s="11" t="s">
        <v>10740</v>
      </c>
      <c r="R3175" s="12" t="s">
        <v>13171</v>
      </c>
      <c r="S3175" s="4" t="b">
        <f>ISNUMBER(MATCH(Q3175,T:T,0))</f>
        <v>0</v>
      </c>
      <c r="T3175" s="4" t="s">
        <v>513</v>
      </c>
      <c r="U3175" s="4" t="str">
        <f t="shared" si="141"/>
        <v>𧸖</v>
      </c>
      <c r="V3175" s="4" t="b">
        <f>ISNUMBER(MATCH(R3175,T:T,0))</f>
        <v>1</v>
      </c>
    </row>
    <row r="3176" spans="1:22">
      <c r="A3176" s="3">
        <v>3166</v>
      </c>
      <c r="B3176" s="3" t="s">
        <v>498</v>
      </c>
      <c r="C3176" s="3" t="s">
        <v>6092</v>
      </c>
      <c r="D3176" s="3" t="s">
        <v>6157</v>
      </c>
      <c r="E3176" s="3" t="s">
        <v>5991</v>
      </c>
      <c r="F3176" s="3" t="s">
        <v>8496</v>
      </c>
      <c r="G3176" s="3" t="s">
        <v>4210</v>
      </c>
      <c r="H3176" s="3" t="s">
        <v>514</v>
      </c>
      <c r="I3176" s="3" t="s">
        <v>8496</v>
      </c>
      <c r="J3176" s="5" t="s">
        <v>515</v>
      </c>
      <c r="L3176" s="3" t="s">
        <v>5666</v>
      </c>
      <c r="M3176" s="3">
        <v>1</v>
      </c>
      <c r="N3176" s="4" t="s">
        <v>497</v>
      </c>
      <c r="O3176" s="4">
        <v>170</v>
      </c>
      <c r="P3176" s="11" t="s">
        <v>10741</v>
      </c>
      <c r="Q3176" s="11" t="s">
        <v>497</v>
      </c>
      <c r="S3176" s="4" t="b">
        <f>ISNUMBER(MATCH(Q3176,T:T,0))</f>
        <v>1</v>
      </c>
      <c r="T3176" s="4" t="s">
        <v>515</v>
      </c>
      <c r="U3176" s="4" t="str">
        <f t="shared" si="141"/>
        <v>陷</v>
      </c>
    </row>
    <row r="3177" spans="1:22">
      <c r="A3177" s="3">
        <v>3167</v>
      </c>
      <c r="B3177" s="3" t="s">
        <v>516</v>
      </c>
      <c r="C3177" s="3" t="s">
        <v>6025</v>
      </c>
      <c r="D3177" s="3" t="s">
        <v>6157</v>
      </c>
      <c r="E3177" s="3" t="s">
        <v>5991</v>
      </c>
      <c r="F3177" s="3" t="s">
        <v>8617</v>
      </c>
      <c r="G3177" s="3" t="s">
        <v>4210</v>
      </c>
      <c r="H3177" s="3" t="s">
        <v>517</v>
      </c>
      <c r="I3177" s="3" t="s">
        <v>8496</v>
      </c>
      <c r="J3177" s="5" t="s">
        <v>518</v>
      </c>
      <c r="L3177" s="3" t="s">
        <v>184</v>
      </c>
      <c r="M3177" s="3">
        <v>5</v>
      </c>
      <c r="N3177" s="4" t="s">
        <v>9679</v>
      </c>
      <c r="O3177" s="4">
        <v>171</v>
      </c>
      <c r="P3177" s="11" t="s">
        <v>10742</v>
      </c>
      <c r="Q3177" s="11" t="s">
        <v>10743</v>
      </c>
      <c r="S3177" s="4" t="b">
        <f>ISNUMBER(MATCH(Q3177,T:T,0))</f>
        <v>1</v>
      </c>
      <c r="T3177" s="4" t="s">
        <v>9679</v>
      </c>
      <c r="U3177" s="4" t="str">
        <f t="shared" si="141"/>
        <v>懺</v>
      </c>
    </row>
    <row r="3178" spans="1:22">
      <c r="A3178" s="3">
        <v>3168</v>
      </c>
      <c r="B3178" s="3" t="s">
        <v>516</v>
      </c>
      <c r="C3178" s="3" t="s">
        <v>6167</v>
      </c>
      <c r="D3178" s="3" t="s">
        <v>6157</v>
      </c>
      <c r="E3178" s="3" t="s">
        <v>5991</v>
      </c>
      <c r="F3178" s="3" t="s">
        <v>8617</v>
      </c>
      <c r="G3178" s="3" t="s">
        <v>4210</v>
      </c>
      <c r="H3178" s="3" t="s">
        <v>519</v>
      </c>
      <c r="I3178" s="3" t="s">
        <v>8496</v>
      </c>
      <c r="J3178" s="5" t="s">
        <v>520</v>
      </c>
      <c r="L3178" s="3" t="s">
        <v>2142</v>
      </c>
      <c r="M3178" s="3">
        <v>6</v>
      </c>
      <c r="N3178" s="4" t="s">
        <v>9679</v>
      </c>
      <c r="O3178" s="4">
        <v>171</v>
      </c>
      <c r="P3178" s="11" t="s">
        <v>9769</v>
      </c>
      <c r="Q3178" s="11" t="s">
        <v>9679</v>
      </c>
      <c r="S3178" s="4" t="b">
        <f>ISNUMBER(MATCH(Q3178,T:T,0))</f>
        <v>1</v>
      </c>
      <c r="T3178" s="4" t="s">
        <v>10743</v>
      </c>
      <c r="U3178" s="4" t="str">
        <f t="shared" si="141"/>
        <v>鑑</v>
      </c>
    </row>
    <row r="3179" spans="1:22">
      <c r="A3179" s="3">
        <v>3169</v>
      </c>
      <c r="B3179" s="3" t="s">
        <v>516</v>
      </c>
      <c r="C3179" s="3" t="s">
        <v>6318</v>
      </c>
      <c r="D3179" s="3" t="s">
        <v>6157</v>
      </c>
      <c r="E3179" s="3" t="s">
        <v>5991</v>
      </c>
      <c r="F3179" s="3" t="s">
        <v>8617</v>
      </c>
      <c r="G3179" s="3" t="s">
        <v>4210</v>
      </c>
      <c r="H3179" s="3" t="s">
        <v>521</v>
      </c>
      <c r="I3179" s="3" t="s">
        <v>8496</v>
      </c>
      <c r="J3179" s="8" t="s">
        <v>9507</v>
      </c>
      <c r="L3179" s="3" t="s">
        <v>6960</v>
      </c>
      <c r="M3179" s="3">
        <v>3</v>
      </c>
      <c r="N3179" s="4" t="s">
        <v>9679</v>
      </c>
      <c r="O3179" s="4">
        <v>171</v>
      </c>
      <c r="P3179" s="11" t="s">
        <v>9737</v>
      </c>
      <c r="Q3179" s="11" t="s">
        <v>9679</v>
      </c>
      <c r="S3179" s="4" t="b">
        <f>ISNUMBER(MATCH(Q3179,T:T,0))</f>
        <v>1</v>
      </c>
      <c r="T3179" s="4" t="s">
        <v>12573</v>
      </c>
      <c r="U3179" s="4" t="str">
        <f t="shared" si="141"/>
        <v>鑑</v>
      </c>
    </row>
    <row r="3180" spans="1:22">
      <c r="A3180" s="3">
        <v>3170</v>
      </c>
      <c r="B3180" s="3" t="s">
        <v>516</v>
      </c>
      <c r="C3180" s="3" t="s">
        <v>6180</v>
      </c>
      <c r="D3180" s="3" t="s">
        <v>6157</v>
      </c>
      <c r="E3180" s="3" t="s">
        <v>5991</v>
      </c>
      <c r="F3180" s="3" t="s">
        <v>8617</v>
      </c>
      <c r="G3180" s="3" t="s">
        <v>4210</v>
      </c>
      <c r="H3180" s="3" t="s">
        <v>522</v>
      </c>
      <c r="I3180" s="3" t="s">
        <v>8496</v>
      </c>
      <c r="J3180" s="5" t="s">
        <v>523</v>
      </c>
      <c r="L3180" s="3" t="s">
        <v>3164</v>
      </c>
      <c r="M3180" s="3">
        <v>3</v>
      </c>
      <c r="N3180" s="4" t="s">
        <v>9679</v>
      </c>
      <c r="O3180" s="4">
        <v>171</v>
      </c>
      <c r="P3180" s="11" t="s">
        <v>9774</v>
      </c>
      <c r="Q3180" s="11" t="s">
        <v>9679</v>
      </c>
      <c r="S3180" s="4" t="b">
        <f>ISNUMBER(MATCH(Q3180,T:T,0))</f>
        <v>1</v>
      </c>
      <c r="T3180" s="4" t="s">
        <v>12574</v>
      </c>
      <c r="U3180" s="4" t="str">
        <f t="shared" si="141"/>
        <v>鑑</v>
      </c>
    </row>
    <row r="3181" spans="1:22">
      <c r="A3181" s="3">
        <v>3171</v>
      </c>
      <c r="B3181" s="3" t="s">
        <v>516</v>
      </c>
      <c r="C3181" s="3" t="s">
        <v>6089</v>
      </c>
      <c r="D3181" s="3" t="s">
        <v>6157</v>
      </c>
      <c r="E3181" s="3" t="s">
        <v>5991</v>
      </c>
      <c r="F3181" s="3" t="s">
        <v>8617</v>
      </c>
      <c r="G3181" s="3" t="s">
        <v>4210</v>
      </c>
      <c r="H3181" s="3" t="s">
        <v>524</v>
      </c>
      <c r="I3181" s="3" t="s">
        <v>8496</v>
      </c>
      <c r="J3181" s="5" t="s">
        <v>525</v>
      </c>
      <c r="L3181" s="3" t="s">
        <v>3156</v>
      </c>
      <c r="M3181" s="3">
        <v>3</v>
      </c>
      <c r="N3181" s="4" t="s">
        <v>9679</v>
      </c>
      <c r="O3181" s="4">
        <v>171</v>
      </c>
      <c r="P3181" s="11" t="s">
        <v>9753</v>
      </c>
      <c r="Q3181" s="11" t="s">
        <v>9679</v>
      </c>
      <c r="S3181" s="4" t="b">
        <f>ISNUMBER(MATCH(Q3181,T:T,0))</f>
        <v>1</v>
      </c>
      <c r="T3181" s="4" t="s">
        <v>12575</v>
      </c>
      <c r="U3181" s="4" t="str">
        <f t="shared" si="141"/>
        <v>鑑</v>
      </c>
    </row>
    <row r="3182" spans="1:22">
      <c r="A3182" s="3">
        <v>3172</v>
      </c>
      <c r="B3182" s="3" t="s">
        <v>516</v>
      </c>
      <c r="C3182" s="3" t="s">
        <v>6045</v>
      </c>
      <c r="D3182" s="3" t="s">
        <v>6157</v>
      </c>
      <c r="E3182" s="3" t="s">
        <v>5991</v>
      </c>
      <c r="F3182" s="3" t="s">
        <v>8617</v>
      </c>
      <c r="G3182" s="3" t="s">
        <v>4210</v>
      </c>
      <c r="H3182" s="3" t="s">
        <v>526</v>
      </c>
      <c r="I3182" s="3" t="s">
        <v>8496</v>
      </c>
      <c r="J3182" s="8" t="s">
        <v>9508</v>
      </c>
      <c r="L3182" s="3" t="s">
        <v>313</v>
      </c>
      <c r="M3182" s="3">
        <v>2</v>
      </c>
      <c r="N3182" s="4" t="s">
        <v>9679</v>
      </c>
      <c r="O3182" s="4">
        <v>171</v>
      </c>
      <c r="P3182" s="11" t="s">
        <v>9965</v>
      </c>
      <c r="Q3182" s="11" t="s">
        <v>9679</v>
      </c>
      <c r="S3182" s="4" t="b">
        <f>ISNUMBER(MATCH(Q3182,T:T,0))</f>
        <v>1</v>
      </c>
      <c r="T3182" s="4" t="s">
        <v>12576</v>
      </c>
      <c r="U3182" s="4" t="str">
        <f t="shared" si="141"/>
        <v>鑑</v>
      </c>
    </row>
    <row r="3183" spans="1:22">
      <c r="A3183" s="3">
        <v>3173</v>
      </c>
      <c r="B3183" s="3" t="s">
        <v>516</v>
      </c>
      <c r="C3183" s="3" t="s">
        <v>6067</v>
      </c>
      <c r="D3183" s="3" t="s">
        <v>6157</v>
      </c>
      <c r="E3183" s="3" t="s">
        <v>5991</v>
      </c>
      <c r="F3183" s="3" t="s">
        <v>8617</v>
      </c>
      <c r="G3183" s="3" t="s">
        <v>4210</v>
      </c>
      <c r="H3183" s="3" t="s">
        <v>527</v>
      </c>
      <c r="I3183" s="3" t="s">
        <v>8496</v>
      </c>
      <c r="J3183" s="5" t="s">
        <v>528</v>
      </c>
      <c r="L3183" s="3" t="s">
        <v>3156</v>
      </c>
      <c r="M3183" s="3">
        <v>2</v>
      </c>
      <c r="N3183" s="4" t="s">
        <v>9679</v>
      </c>
      <c r="O3183" s="4">
        <v>171</v>
      </c>
      <c r="P3183" s="11" t="s">
        <v>9870</v>
      </c>
      <c r="Q3183" s="11" t="s">
        <v>10743</v>
      </c>
      <c r="S3183" s="4" t="b">
        <f>ISNUMBER(MATCH(Q3183,T:T,0))</f>
        <v>1</v>
      </c>
      <c r="T3183" s="4" t="s">
        <v>12577</v>
      </c>
      <c r="U3183" s="4" t="str">
        <f t="shared" si="141"/>
        <v>懺</v>
      </c>
    </row>
    <row r="3184" spans="1:22">
      <c r="A3184" s="3">
        <v>3174</v>
      </c>
      <c r="B3184" s="3" t="s">
        <v>516</v>
      </c>
      <c r="C3184" s="3" t="s">
        <v>6015</v>
      </c>
      <c r="D3184" s="3" t="s">
        <v>6157</v>
      </c>
      <c r="E3184" s="3" t="s">
        <v>5991</v>
      </c>
      <c r="F3184" s="3" t="s">
        <v>8617</v>
      </c>
      <c r="G3184" s="3" t="s">
        <v>4210</v>
      </c>
      <c r="H3184" s="3" t="s">
        <v>529</v>
      </c>
      <c r="I3184" s="3" t="s">
        <v>8496</v>
      </c>
      <c r="J3184" s="5" t="s">
        <v>530</v>
      </c>
      <c r="L3184" s="3" t="s">
        <v>6960</v>
      </c>
      <c r="M3184" s="3">
        <v>6</v>
      </c>
      <c r="N3184" s="4" t="s">
        <v>9679</v>
      </c>
      <c r="O3184" s="4">
        <v>171</v>
      </c>
      <c r="P3184" s="11" t="s">
        <v>9777</v>
      </c>
      <c r="Q3184" s="11" t="s">
        <v>10743</v>
      </c>
      <c r="S3184" s="4" t="b">
        <f>ISNUMBER(MATCH(Q3184,T:T,0))</f>
        <v>1</v>
      </c>
      <c r="T3184" s="4" t="s">
        <v>12578</v>
      </c>
      <c r="U3184" s="4" t="str">
        <f t="shared" si="141"/>
        <v>懺</v>
      </c>
    </row>
    <row r="3185" spans="1:22">
      <c r="A3185" s="3">
        <v>3175</v>
      </c>
      <c r="B3185" s="3" t="s">
        <v>516</v>
      </c>
      <c r="C3185" s="3" t="s">
        <v>6072</v>
      </c>
      <c r="D3185" s="3" t="s">
        <v>6157</v>
      </c>
      <c r="E3185" s="3" t="s">
        <v>5991</v>
      </c>
      <c r="F3185" s="3" t="s">
        <v>8617</v>
      </c>
      <c r="G3185" s="3" t="s">
        <v>4210</v>
      </c>
      <c r="I3185" s="3" t="s">
        <v>8496</v>
      </c>
      <c r="J3185" s="5" t="s">
        <v>531</v>
      </c>
      <c r="L3185" s="3" t="s">
        <v>5666</v>
      </c>
      <c r="M3185" s="3">
        <v>1</v>
      </c>
      <c r="N3185" s="4" t="s">
        <v>9679</v>
      </c>
      <c r="O3185" s="4">
        <v>171</v>
      </c>
      <c r="T3185" s="4" t="s">
        <v>531</v>
      </c>
      <c r="U3185" s="4">
        <f t="shared" si="141"/>
        <v>0</v>
      </c>
    </row>
    <row r="3186" spans="1:22">
      <c r="A3186" s="3">
        <v>3156</v>
      </c>
      <c r="B3186" s="3" t="s">
        <v>495</v>
      </c>
      <c r="C3186" s="3" t="s">
        <v>6035</v>
      </c>
      <c r="D3186" s="3" t="s">
        <v>6001</v>
      </c>
      <c r="E3186" s="3" t="s">
        <v>6212</v>
      </c>
      <c r="F3186" s="3" t="s">
        <v>8639</v>
      </c>
      <c r="G3186" s="3" t="s">
        <v>4210</v>
      </c>
      <c r="H3186" s="3" t="s">
        <v>864</v>
      </c>
      <c r="I3186" s="3" t="s">
        <v>8496</v>
      </c>
      <c r="J3186" s="5" t="s">
        <v>496</v>
      </c>
      <c r="L3186" s="3" t="s">
        <v>5658</v>
      </c>
      <c r="M3186" s="3">
        <v>1</v>
      </c>
      <c r="N3186" s="4" t="s">
        <v>9678</v>
      </c>
      <c r="O3186" s="4">
        <v>172</v>
      </c>
      <c r="P3186" s="11" t="s">
        <v>10151</v>
      </c>
      <c r="Q3186" s="11" t="s">
        <v>10737</v>
      </c>
      <c r="S3186" s="4" t="b">
        <f>ISNUMBER(MATCH(Q3186,T:T,0))</f>
        <v>1</v>
      </c>
      <c r="T3186" s="4" t="s">
        <v>12568</v>
      </c>
      <c r="U3186" s="4" t="str">
        <f t="shared" si="141"/>
        <v>劔</v>
      </c>
    </row>
    <row r="3187" spans="1:22">
      <c r="A3187" s="3">
        <v>3176</v>
      </c>
      <c r="B3187" s="3" t="s">
        <v>495</v>
      </c>
      <c r="C3187" s="3" t="s">
        <v>6045</v>
      </c>
      <c r="D3187" s="3" t="s">
        <v>6001</v>
      </c>
      <c r="E3187" s="3" t="s">
        <v>6212</v>
      </c>
      <c r="F3187" s="3" t="s">
        <v>8639</v>
      </c>
      <c r="G3187" s="3" t="s">
        <v>4210</v>
      </c>
      <c r="H3187" s="3" t="s">
        <v>532</v>
      </c>
      <c r="I3187" s="3" t="s">
        <v>8496</v>
      </c>
      <c r="J3187" s="5" t="s">
        <v>533</v>
      </c>
      <c r="L3187" s="3" t="s">
        <v>207</v>
      </c>
      <c r="M3187" s="3">
        <v>3</v>
      </c>
      <c r="N3187" s="4" t="s">
        <v>9678</v>
      </c>
      <c r="O3187" s="4">
        <v>172</v>
      </c>
      <c r="P3187" s="11" t="s">
        <v>9926</v>
      </c>
      <c r="Q3187" s="11" t="s">
        <v>10744</v>
      </c>
      <c r="S3187" s="4" t="b">
        <f>ISNUMBER(MATCH(Q3187,T:T,0))</f>
        <v>1</v>
      </c>
      <c r="T3187" s="4" t="s">
        <v>9678</v>
      </c>
      <c r="U3187" s="4" t="str">
        <f t="shared" si="141"/>
        <v>泛</v>
      </c>
    </row>
    <row r="3188" spans="1:22">
      <c r="A3188" s="3">
        <v>3177</v>
      </c>
      <c r="B3188" s="3" t="s">
        <v>495</v>
      </c>
      <c r="C3188" s="3" t="s">
        <v>6053</v>
      </c>
      <c r="D3188" s="3" t="s">
        <v>6001</v>
      </c>
      <c r="E3188" s="3" t="s">
        <v>6212</v>
      </c>
      <c r="F3188" s="3" t="s">
        <v>8639</v>
      </c>
      <c r="G3188" s="3" t="s">
        <v>4210</v>
      </c>
      <c r="H3188" s="3" t="s">
        <v>534</v>
      </c>
      <c r="I3188" s="3" t="s">
        <v>8496</v>
      </c>
      <c r="J3188" s="5" t="s">
        <v>9509</v>
      </c>
      <c r="L3188" s="3" t="s">
        <v>207</v>
      </c>
      <c r="M3188" s="3">
        <v>8</v>
      </c>
      <c r="N3188" s="4" t="s">
        <v>9678</v>
      </c>
      <c r="O3188" s="4">
        <v>172</v>
      </c>
      <c r="P3188" s="11" t="s">
        <v>9955</v>
      </c>
      <c r="Q3188" s="11" t="s">
        <v>9678</v>
      </c>
      <c r="S3188" s="4" t="b">
        <f>ISNUMBER(MATCH(Q3188,T:T,0))</f>
        <v>1</v>
      </c>
      <c r="T3188" s="4" t="s">
        <v>10744</v>
      </c>
      <c r="U3188" s="4" t="str">
        <f t="shared" si="141"/>
        <v>梵</v>
      </c>
    </row>
    <row r="3189" spans="1:22">
      <c r="A3189" s="3">
        <v>3181</v>
      </c>
      <c r="B3189" s="3" t="s">
        <v>537</v>
      </c>
      <c r="C3189" s="3" t="s">
        <v>6072</v>
      </c>
      <c r="D3189" s="3" t="s">
        <v>5990</v>
      </c>
      <c r="E3189" s="3" t="s">
        <v>5991</v>
      </c>
      <c r="F3189" s="3" t="s">
        <v>5992</v>
      </c>
      <c r="G3189" s="3" t="s">
        <v>538</v>
      </c>
      <c r="H3189" s="3" t="s">
        <v>539</v>
      </c>
      <c r="I3189" s="3" t="s">
        <v>5995</v>
      </c>
      <c r="J3189" s="5" t="s">
        <v>540</v>
      </c>
      <c r="L3189" s="3" t="s">
        <v>541</v>
      </c>
      <c r="M3189" s="3">
        <v>7</v>
      </c>
      <c r="N3189" s="4" t="s">
        <v>542</v>
      </c>
      <c r="O3189" s="4">
        <v>173</v>
      </c>
      <c r="P3189" s="11" t="s">
        <v>9734</v>
      </c>
      <c r="Q3189" s="11" t="s">
        <v>10179</v>
      </c>
      <c r="R3189" s="4" t="s">
        <v>13172</v>
      </c>
      <c r="S3189" s="4" t="b">
        <f>ISNUMBER(MATCH(Q3189,T:T,0))</f>
        <v>0</v>
      </c>
      <c r="T3189" s="4" t="s">
        <v>542</v>
      </c>
      <c r="U3189" s="4" t="str">
        <f t="shared" si="141"/>
        <v>穀禄</v>
      </c>
      <c r="V3189" s="4" t="b">
        <f t="shared" ref="V3189:V3190" si="142">ISNUMBER(MATCH(R3189,T:T,0))</f>
        <v>0</v>
      </c>
    </row>
    <row r="3190" spans="1:22" ht="39">
      <c r="A3190" s="3">
        <v>3182</v>
      </c>
      <c r="B3190" s="3" t="s">
        <v>537</v>
      </c>
      <c r="C3190" s="3" t="s">
        <v>5997</v>
      </c>
      <c r="D3190" s="3" t="s">
        <v>5990</v>
      </c>
      <c r="E3190" s="3" t="s">
        <v>5991</v>
      </c>
      <c r="F3190" s="3" t="s">
        <v>5992</v>
      </c>
      <c r="G3190" s="3" t="s">
        <v>538</v>
      </c>
      <c r="H3190" s="3" t="s">
        <v>543</v>
      </c>
      <c r="I3190" s="3" t="s">
        <v>5995</v>
      </c>
      <c r="J3190" s="5" t="s">
        <v>9512</v>
      </c>
      <c r="L3190" s="3" t="s">
        <v>544</v>
      </c>
      <c r="M3190" s="3">
        <v>30</v>
      </c>
      <c r="N3190" s="4" t="s">
        <v>542</v>
      </c>
      <c r="O3190" s="4">
        <v>173</v>
      </c>
      <c r="P3190" s="11" t="s">
        <v>9706</v>
      </c>
      <c r="Q3190" s="11" t="s">
        <v>10179</v>
      </c>
      <c r="R3190" s="4" t="s">
        <v>13172</v>
      </c>
      <c r="S3190" s="4" t="b">
        <f>ISNUMBER(MATCH(Q3190,T:T,0))</f>
        <v>0</v>
      </c>
      <c r="T3190" s="4" t="s">
        <v>12580</v>
      </c>
      <c r="U3190" s="4" t="str">
        <f t="shared" si="141"/>
        <v>穀禄</v>
      </c>
      <c r="V3190" s="4" t="b">
        <f t="shared" si="142"/>
        <v>0</v>
      </c>
    </row>
    <row r="3191" spans="1:22">
      <c r="A3191" s="3">
        <v>3183</v>
      </c>
      <c r="B3191" s="3" t="s">
        <v>537</v>
      </c>
      <c r="C3191" s="3" t="s">
        <v>6025</v>
      </c>
      <c r="D3191" s="3" t="s">
        <v>5990</v>
      </c>
      <c r="E3191" s="3" t="s">
        <v>5991</v>
      </c>
      <c r="F3191" s="3" t="s">
        <v>5992</v>
      </c>
      <c r="G3191" s="3" t="s">
        <v>538</v>
      </c>
      <c r="H3191" s="3" t="s">
        <v>868</v>
      </c>
      <c r="I3191" s="3" t="s">
        <v>5995</v>
      </c>
      <c r="J3191" s="5" t="s">
        <v>9513</v>
      </c>
      <c r="L3191" s="3" t="s">
        <v>545</v>
      </c>
      <c r="M3191" s="3">
        <v>17</v>
      </c>
      <c r="N3191" s="4" t="s">
        <v>542</v>
      </c>
      <c r="O3191" s="4">
        <v>173</v>
      </c>
      <c r="P3191" s="11" t="s">
        <v>9729</v>
      </c>
      <c r="Q3191" s="11" t="s">
        <v>10745</v>
      </c>
      <c r="S3191" s="4" t="b">
        <f>ISNUMBER(MATCH(Q3191,T:T,0))</f>
        <v>1</v>
      </c>
      <c r="T3191" s="4" t="s">
        <v>12581</v>
      </c>
      <c r="U3191" s="4" t="str">
        <f t="shared" si="141"/>
        <v>禄</v>
      </c>
    </row>
    <row r="3192" spans="1:22">
      <c r="A3192" s="3">
        <v>3184</v>
      </c>
      <c r="B3192" s="3" t="s">
        <v>537</v>
      </c>
      <c r="C3192" s="3" t="s">
        <v>6067</v>
      </c>
      <c r="D3192" s="3" t="s">
        <v>5990</v>
      </c>
      <c r="E3192" s="3" t="s">
        <v>5991</v>
      </c>
      <c r="F3192" s="3" t="s">
        <v>5992</v>
      </c>
      <c r="G3192" s="3" t="s">
        <v>538</v>
      </c>
      <c r="H3192" s="3" t="s">
        <v>546</v>
      </c>
      <c r="I3192" s="3" t="s">
        <v>5995</v>
      </c>
      <c r="J3192" s="5" t="s">
        <v>9514</v>
      </c>
      <c r="L3192" s="3" t="s">
        <v>2796</v>
      </c>
      <c r="M3192" s="3">
        <v>14</v>
      </c>
      <c r="N3192" s="4" t="s">
        <v>542</v>
      </c>
      <c r="O3192" s="4">
        <v>173</v>
      </c>
      <c r="P3192" s="11" t="s">
        <v>9870</v>
      </c>
      <c r="Q3192" s="11" t="s">
        <v>10179</v>
      </c>
      <c r="R3192" s="4" t="s">
        <v>13172</v>
      </c>
      <c r="S3192" s="4" t="b">
        <f>ISNUMBER(MATCH(Q3192,T:T,0))</f>
        <v>0</v>
      </c>
      <c r="T3192" s="4" t="s">
        <v>12582</v>
      </c>
      <c r="U3192" s="4" t="str">
        <f t="shared" si="141"/>
        <v>穀禄</v>
      </c>
      <c r="V3192" s="4" t="b">
        <f t="shared" ref="V3192:V3194" si="143">ISNUMBER(MATCH(R3192,T:T,0))</f>
        <v>0</v>
      </c>
    </row>
    <row r="3193" spans="1:22">
      <c r="A3193" s="3">
        <v>3185</v>
      </c>
      <c r="B3193" s="3" t="s">
        <v>537</v>
      </c>
      <c r="C3193" s="3" t="s">
        <v>6038</v>
      </c>
      <c r="D3193" s="3" t="s">
        <v>5990</v>
      </c>
      <c r="E3193" s="3" t="s">
        <v>5991</v>
      </c>
      <c r="F3193" s="3" t="s">
        <v>5992</v>
      </c>
      <c r="G3193" s="3" t="s">
        <v>538</v>
      </c>
      <c r="H3193" s="3" t="s">
        <v>547</v>
      </c>
      <c r="I3193" s="3" t="s">
        <v>5995</v>
      </c>
      <c r="J3193" s="5" t="s">
        <v>548</v>
      </c>
      <c r="K3193" s="3" t="s">
        <v>630</v>
      </c>
      <c r="L3193" s="3" t="s">
        <v>2798</v>
      </c>
      <c r="M3193" s="3">
        <v>8</v>
      </c>
      <c r="N3193" s="4" t="s">
        <v>542</v>
      </c>
      <c r="O3193" s="4">
        <v>173</v>
      </c>
      <c r="P3193" s="11" t="s">
        <v>9725</v>
      </c>
      <c r="Q3193" s="11" t="s">
        <v>10179</v>
      </c>
      <c r="R3193" s="4" t="s">
        <v>13172</v>
      </c>
      <c r="S3193" s="4" t="b">
        <f>ISNUMBER(MATCH(Q3193,T:T,0))</f>
        <v>0</v>
      </c>
      <c r="T3193" s="4" t="s">
        <v>12583</v>
      </c>
      <c r="U3193" s="4" t="str">
        <f t="shared" si="141"/>
        <v>穀禄</v>
      </c>
      <c r="V3193" s="4" t="b">
        <f t="shared" si="143"/>
        <v>0</v>
      </c>
    </row>
    <row r="3194" spans="1:22">
      <c r="A3194" s="3">
        <v>3186</v>
      </c>
      <c r="B3194" s="3" t="s">
        <v>537</v>
      </c>
      <c r="C3194" s="3" t="s">
        <v>6079</v>
      </c>
      <c r="D3194" s="3" t="s">
        <v>5990</v>
      </c>
      <c r="E3194" s="3" t="s">
        <v>5991</v>
      </c>
      <c r="F3194" s="3" t="s">
        <v>5992</v>
      </c>
      <c r="G3194" s="3" t="s">
        <v>538</v>
      </c>
      <c r="H3194" s="3" t="s">
        <v>549</v>
      </c>
      <c r="I3194" s="3" t="s">
        <v>5995</v>
      </c>
      <c r="J3194" s="8" t="s">
        <v>9515</v>
      </c>
      <c r="L3194" s="3" t="s">
        <v>2838</v>
      </c>
      <c r="M3194" s="3">
        <v>5</v>
      </c>
      <c r="N3194" s="4" t="s">
        <v>542</v>
      </c>
      <c r="O3194" s="4">
        <v>173</v>
      </c>
      <c r="P3194" s="11" t="s">
        <v>9736</v>
      </c>
      <c r="Q3194" s="11" t="s">
        <v>10179</v>
      </c>
      <c r="R3194" s="4" t="s">
        <v>13172</v>
      </c>
      <c r="S3194" s="4" t="b">
        <f>ISNUMBER(MATCH(Q3194,T:T,0))</f>
        <v>0</v>
      </c>
      <c r="T3194" s="4" t="s">
        <v>12584</v>
      </c>
      <c r="U3194" s="4" t="str">
        <f t="shared" si="141"/>
        <v>穀禄</v>
      </c>
      <c r="V3194" s="4" t="b">
        <f t="shared" si="143"/>
        <v>0</v>
      </c>
    </row>
    <row r="3195" spans="1:22">
      <c r="A3195" s="3">
        <v>3187</v>
      </c>
      <c r="B3195" s="3" t="s">
        <v>537</v>
      </c>
      <c r="C3195" s="3" t="s">
        <v>5989</v>
      </c>
      <c r="D3195" s="3" t="s">
        <v>5990</v>
      </c>
      <c r="E3195" s="3" t="s">
        <v>5991</v>
      </c>
      <c r="F3195" s="3" t="s">
        <v>5992</v>
      </c>
      <c r="G3195" s="3" t="s">
        <v>538</v>
      </c>
      <c r="H3195" s="3" t="s">
        <v>550</v>
      </c>
      <c r="I3195" s="3" t="s">
        <v>5995</v>
      </c>
      <c r="J3195" s="5" t="s">
        <v>551</v>
      </c>
      <c r="K3195" s="3" t="s">
        <v>552</v>
      </c>
      <c r="L3195" s="3" t="s">
        <v>2801</v>
      </c>
      <c r="M3195" s="3">
        <v>8</v>
      </c>
      <c r="N3195" s="4" t="s">
        <v>542</v>
      </c>
      <c r="O3195" s="4">
        <v>173</v>
      </c>
      <c r="P3195" s="11" t="s">
        <v>9822</v>
      </c>
      <c r="Q3195" s="11" t="s">
        <v>10746</v>
      </c>
      <c r="S3195" s="4" t="b">
        <f>ISNUMBER(MATCH(Q3195,T:T,0))</f>
        <v>1</v>
      </c>
      <c r="T3195" s="4" t="s">
        <v>12585</v>
      </c>
      <c r="U3195" s="4" t="str">
        <f t="shared" si="141"/>
        <v>木</v>
      </c>
    </row>
    <row r="3196" spans="1:22" ht="39">
      <c r="A3196" s="3">
        <v>3188</v>
      </c>
      <c r="B3196" s="3" t="s">
        <v>537</v>
      </c>
      <c r="C3196" s="3" t="s">
        <v>6017</v>
      </c>
      <c r="D3196" s="3" t="s">
        <v>5990</v>
      </c>
      <c r="E3196" s="3" t="s">
        <v>5991</v>
      </c>
      <c r="F3196" s="3" t="s">
        <v>5992</v>
      </c>
      <c r="G3196" s="3" t="s">
        <v>538</v>
      </c>
      <c r="H3196" s="3" t="s">
        <v>553</v>
      </c>
      <c r="I3196" s="3" t="s">
        <v>5995</v>
      </c>
      <c r="J3196" s="5" t="s">
        <v>9516</v>
      </c>
      <c r="L3196" s="3" t="s">
        <v>2817</v>
      </c>
      <c r="M3196" s="3">
        <v>18</v>
      </c>
      <c r="N3196" s="4" t="s">
        <v>542</v>
      </c>
      <c r="O3196" s="4">
        <v>173</v>
      </c>
      <c r="P3196" s="11" t="s">
        <v>10115</v>
      </c>
      <c r="Q3196" s="11" t="s">
        <v>10179</v>
      </c>
      <c r="R3196" s="4" t="s">
        <v>13172</v>
      </c>
      <c r="S3196" s="4" t="b">
        <f>ISNUMBER(MATCH(Q3196,T:T,0))</f>
        <v>0</v>
      </c>
      <c r="T3196" s="4" t="s">
        <v>10147</v>
      </c>
      <c r="U3196" s="4" t="str">
        <f t="shared" si="141"/>
        <v>穀禄</v>
      </c>
      <c r="V3196" s="4" t="b">
        <f t="shared" ref="V3196:V3197" si="144">ISNUMBER(MATCH(R3196,T:T,0))</f>
        <v>0</v>
      </c>
    </row>
    <row r="3197" spans="1:22" ht="58.5">
      <c r="A3197" s="3">
        <v>3189</v>
      </c>
      <c r="B3197" s="3" t="s">
        <v>537</v>
      </c>
      <c r="C3197" s="3" t="s">
        <v>6058</v>
      </c>
      <c r="D3197" s="3" t="s">
        <v>5990</v>
      </c>
      <c r="E3197" s="3" t="s">
        <v>5991</v>
      </c>
      <c r="F3197" s="3" t="s">
        <v>5992</v>
      </c>
      <c r="G3197" s="3" t="s">
        <v>538</v>
      </c>
      <c r="H3197" s="3" t="s">
        <v>554</v>
      </c>
      <c r="I3197" s="3" t="s">
        <v>5995</v>
      </c>
      <c r="J3197" s="8" t="s">
        <v>9517</v>
      </c>
      <c r="L3197" s="3" t="s">
        <v>5192</v>
      </c>
      <c r="M3197" s="3">
        <v>47</v>
      </c>
      <c r="N3197" s="4" t="s">
        <v>542</v>
      </c>
      <c r="O3197" s="4">
        <v>173</v>
      </c>
      <c r="P3197" s="11" t="s">
        <v>9730</v>
      </c>
      <c r="Q3197" s="11" t="s">
        <v>10179</v>
      </c>
      <c r="R3197" s="4" t="s">
        <v>13172</v>
      </c>
      <c r="S3197" s="4" t="b">
        <f>ISNUMBER(MATCH(Q3197,T:T,0))</f>
        <v>0</v>
      </c>
      <c r="T3197" s="4" t="s">
        <v>10745</v>
      </c>
      <c r="U3197" s="4" t="str">
        <f t="shared" si="141"/>
        <v>穀禄</v>
      </c>
      <c r="V3197" s="4" t="b">
        <f t="shared" si="144"/>
        <v>0</v>
      </c>
    </row>
    <row r="3198" spans="1:22">
      <c r="A3198" s="3">
        <v>3190</v>
      </c>
      <c r="B3198" s="3" t="s">
        <v>537</v>
      </c>
      <c r="C3198" s="3" t="s">
        <v>6089</v>
      </c>
      <c r="D3198" s="3" t="s">
        <v>5990</v>
      </c>
      <c r="E3198" s="3" t="s">
        <v>5991</v>
      </c>
      <c r="F3198" s="3" t="s">
        <v>5992</v>
      </c>
      <c r="G3198" s="3" t="s">
        <v>538</v>
      </c>
      <c r="H3198" s="3" t="s">
        <v>555</v>
      </c>
      <c r="I3198" s="3" t="s">
        <v>5995</v>
      </c>
      <c r="J3198" s="5" t="s">
        <v>9518</v>
      </c>
      <c r="L3198" s="3" t="s">
        <v>2795</v>
      </c>
      <c r="M3198" s="3">
        <v>7</v>
      </c>
      <c r="N3198" s="4" t="s">
        <v>542</v>
      </c>
      <c r="O3198" s="4">
        <v>173</v>
      </c>
      <c r="P3198" s="11" t="s">
        <v>9739</v>
      </c>
      <c r="Q3198" s="11" t="s">
        <v>10746</v>
      </c>
      <c r="S3198" s="4" t="b">
        <f>ISNUMBER(MATCH(Q3198,T:T,0))</f>
        <v>1</v>
      </c>
      <c r="T3198" s="4" t="s">
        <v>12586</v>
      </c>
      <c r="U3198" s="4" t="str">
        <f t="shared" si="141"/>
        <v>木</v>
      </c>
    </row>
    <row r="3199" spans="1:22">
      <c r="A3199" s="3">
        <v>3191</v>
      </c>
      <c r="B3199" s="3" t="s">
        <v>537</v>
      </c>
      <c r="C3199" s="3" t="s">
        <v>6069</v>
      </c>
      <c r="D3199" s="3" t="s">
        <v>5990</v>
      </c>
      <c r="E3199" s="3" t="s">
        <v>5991</v>
      </c>
      <c r="F3199" s="3" t="s">
        <v>5992</v>
      </c>
      <c r="G3199" s="3" t="s">
        <v>538</v>
      </c>
      <c r="H3199" s="3" t="s">
        <v>556</v>
      </c>
      <c r="I3199" s="3" t="s">
        <v>5995</v>
      </c>
      <c r="J3199" s="5" t="s">
        <v>557</v>
      </c>
      <c r="L3199" s="3" t="s">
        <v>558</v>
      </c>
      <c r="M3199" s="3">
        <v>3</v>
      </c>
      <c r="N3199" s="4" t="s">
        <v>542</v>
      </c>
      <c r="O3199" s="4">
        <v>173</v>
      </c>
      <c r="P3199" s="11" t="s">
        <v>9880</v>
      </c>
      <c r="Q3199" s="11" t="s">
        <v>10746</v>
      </c>
      <c r="S3199" s="4" t="b">
        <f>ISNUMBER(MATCH(Q3199,T:T,0))</f>
        <v>1</v>
      </c>
      <c r="T3199" s="4" t="s">
        <v>12587</v>
      </c>
      <c r="U3199" s="4" t="str">
        <f t="shared" si="141"/>
        <v>木</v>
      </c>
    </row>
    <row r="3200" spans="1:22">
      <c r="A3200" s="3">
        <v>3192</v>
      </c>
      <c r="B3200" s="3" t="s">
        <v>537</v>
      </c>
      <c r="C3200" s="3" t="s">
        <v>6076</v>
      </c>
      <c r="D3200" s="3" t="s">
        <v>5990</v>
      </c>
      <c r="E3200" s="3" t="s">
        <v>5991</v>
      </c>
      <c r="F3200" s="3" t="s">
        <v>5992</v>
      </c>
      <c r="G3200" s="3" t="s">
        <v>538</v>
      </c>
      <c r="H3200" s="3" t="s">
        <v>559</v>
      </c>
      <c r="I3200" s="3" t="s">
        <v>5995</v>
      </c>
      <c r="J3200" s="5" t="s">
        <v>9519</v>
      </c>
      <c r="L3200" s="3" t="s">
        <v>2832</v>
      </c>
      <c r="M3200" s="3">
        <v>6</v>
      </c>
      <c r="N3200" s="4" t="s">
        <v>542</v>
      </c>
      <c r="O3200" s="4">
        <v>173</v>
      </c>
      <c r="P3200" s="11" t="s">
        <v>10150</v>
      </c>
      <c r="Q3200" s="11" t="s">
        <v>10746</v>
      </c>
      <c r="S3200" s="4" t="b">
        <f>ISNUMBER(MATCH(Q3200,T:T,0))</f>
        <v>1</v>
      </c>
      <c r="T3200" s="4" t="s">
        <v>12588</v>
      </c>
      <c r="U3200" s="4" t="str">
        <f t="shared" si="141"/>
        <v>木</v>
      </c>
    </row>
    <row r="3201" spans="1:22">
      <c r="A3201" s="3">
        <v>3193</v>
      </c>
      <c r="B3201" s="3" t="s">
        <v>537</v>
      </c>
      <c r="C3201" s="3" t="s">
        <v>6083</v>
      </c>
      <c r="D3201" s="3" t="s">
        <v>5990</v>
      </c>
      <c r="E3201" s="3" t="s">
        <v>5991</v>
      </c>
      <c r="F3201" s="3" t="s">
        <v>5992</v>
      </c>
      <c r="G3201" s="3" t="s">
        <v>538</v>
      </c>
      <c r="H3201" s="3" t="s">
        <v>3296</v>
      </c>
      <c r="I3201" s="3" t="s">
        <v>5995</v>
      </c>
      <c r="J3201" s="5" t="s">
        <v>9520</v>
      </c>
      <c r="L3201" s="3" t="s">
        <v>2811</v>
      </c>
      <c r="M3201" s="3">
        <v>2</v>
      </c>
      <c r="N3201" s="4" t="s">
        <v>542</v>
      </c>
      <c r="O3201" s="4">
        <v>173</v>
      </c>
      <c r="P3201" s="11" t="s">
        <v>9745</v>
      </c>
      <c r="Q3201" s="11" t="s">
        <v>10746</v>
      </c>
      <c r="S3201" s="4" t="b">
        <f>ISNUMBER(MATCH(Q3201,T:T,0))</f>
        <v>1</v>
      </c>
      <c r="T3201" s="4" t="s">
        <v>12589</v>
      </c>
      <c r="U3201" s="4" t="str">
        <f t="shared" si="141"/>
        <v>木</v>
      </c>
    </row>
    <row r="3202" spans="1:22">
      <c r="A3202" s="3">
        <v>3194</v>
      </c>
      <c r="B3202" s="3" t="s">
        <v>537</v>
      </c>
      <c r="C3202" s="3" t="s">
        <v>6045</v>
      </c>
      <c r="D3202" s="3" t="s">
        <v>5990</v>
      </c>
      <c r="E3202" s="3" t="s">
        <v>5991</v>
      </c>
      <c r="F3202" s="3" t="s">
        <v>5992</v>
      </c>
      <c r="G3202" s="3" t="s">
        <v>538</v>
      </c>
      <c r="H3202" s="3" t="s">
        <v>3297</v>
      </c>
      <c r="I3202" s="3" t="s">
        <v>5995</v>
      </c>
      <c r="J3202" s="5" t="s">
        <v>9521</v>
      </c>
      <c r="K3202" s="3" t="s">
        <v>631</v>
      </c>
      <c r="L3202" s="3" t="s">
        <v>3298</v>
      </c>
      <c r="M3202" s="3">
        <v>12</v>
      </c>
      <c r="N3202" s="4" t="s">
        <v>542</v>
      </c>
      <c r="O3202" s="4">
        <v>173</v>
      </c>
      <c r="P3202" s="11" t="s">
        <v>9965</v>
      </c>
      <c r="Q3202" s="11" t="s">
        <v>10746</v>
      </c>
      <c r="S3202" s="4" t="b">
        <f>ISNUMBER(MATCH(Q3202,T:T,0))</f>
        <v>1</v>
      </c>
      <c r="T3202" s="4" t="s">
        <v>12395</v>
      </c>
      <c r="U3202" s="4" t="str">
        <f t="shared" si="141"/>
        <v>木</v>
      </c>
    </row>
    <row r="3203" spans="1:22">
      <c r="A3203" s="3">
        <v>3195</v>
      </c>
      <c r="B3203" s="3" t="s">
        <v>537</v>
      </c>
      <c r="C3203" s="3" t="s">
        <v>6053</v>
      </c>
      <c r="D3203" s="3" t="s">
        <v>5990</v>
      </c>
      <c r="E3203" s="3" t="s">
        <v>5991</v>
      </c>
      <c r="F3203" s="3" t="s">
        <v>5992</v>
      </c>
      <c r="G3203" s="3" t="s">
        <v>538</v>
      </c>
      <c r="H3203" s="3" t="s">
        <v>3299</v>
      </c>
      <c r="I3203" s="3" t="s">
        <v>5995</v>
      </c>
      <c r="J3203" s="5" t="s">
        <v>9522</v>
      </c>
      <c r="L3203" s="3" t="s">
        <v>2826</v>
      </c>
      <c r="M3203" s="3">
        <v>11</v>
      </c>
      <c r="N3203" s="4" t="s">
        <v>542</v>
      </c>
      <c r="O3203" s="4">
        <v>173</v>
      </c>
      <c r="P3203" s="11" t="s">
        <v>9884</v>
      </c>
      <c r="Q3203" s="11" t="s">
        <v>10746</v>
      </c>
      <c r="S3203" s="4" t="b">
        <f>ISNUMBER(MATCH(Q3203,T:T,0))</f>
        <v>1</v>
      </c>
      <c r="T3203" s="4" t="s">
        <v>12590</v>
      </c>
      <c r="U3203" s="4" t="str">
        <f t="shared" ref="U3203:U3266" si="145">IF(ISBLANK(R3203),Q3203,R3203)</f>
        <v>木</v>
      </c>
    </row>
    <row r="3204" spans="1:22">
      <c r="A3204" s="3">
        <v>3196</v>
      </c>
      <c r="B3204" s="3" t="s">
        <v>537</v>
      </c>
      <c r="C3204" s="3" t="s">
        <v>6049</v>
      </c>
      <c r="D3204" s="3" t="s">
        <v>5990</v>
      </c>
      <c r="E3204" s="3" t="s">
        <v>5991</v>
      </c>
      <c r="F3204" s="3" t="s">
        <v>5992</v>
      </c>
      <c r="G3204" s="3" t="s">
        <v>538</v>
      </c>
      <c r="H3204" s="3" t="s">
        <v>3300</v>
      </c>
      <c r="I3204" s="3" t="s">
        <v>5995</v>
      </c>
      <c r="J3204" s="5" t="s">
        <v>3301</v>
      </c>
      <c r="L3204" s="3" t="s">
        <v>2793</v>
      </c>
      <c r="M3204" s="3">
        <v>14</v>
      </c>
      <c r="N3204" s="4" t="s">
        <v>542</v>
      </c>
      <c r="O3204" s="4">
        <v>173</v>
      </c>
      <c r="P3204" s="11" t="s">
        <v>9770</v>
      </c>
      <c r="Q3204" s="11" t="s">
        <v>10746</v>
      </c>
      <c r="S3204" s="4" t="b">
        <f>ISNUMBER(MATCH(Q3204,T:T,0))</f>
        <v>1</v>
      </c>
      <c r="T3204" s="4" t="s">
        <v>10747</v>
      </c>
      <c r="U3204" s="4" t="str">
        <f t="shared" si="145"/>
        <v>木</v>
      </c>
    </row>
    <row r="3205" spans="1:22">
      <c r="A3205" s="3">
        <v>3197</v>
      </c>
      <c r="B3205" s="3" t="s">
        <v>537</v>
      </c>
      <c r="C3205" s="3" t="s">
        <v>6035</v>
      </c>
      <c r="D3205" s="3" t="s">
        <v>5990</v>
      </c>
      <c r="E3205" s="3" t="s">
        <v>5991</v>
      </c>
      <c r="F3205" s="3" t="s">
        <v>5992</v>
      </c>
      <c r="G3205" s="3" t="s">
        <v>538</v>
      </c>
      <c r="H3205" s="3" t="s">
        <v>3302</v>
      </c>
      <c r="I3205" s="3" t="s">
        <v>5995</v>
      </c>
      <c r="J3205" s="5" t="s">
        <v>9523</v>
      </c>
      <c r="K3205" s="3" t="s">
        <v>3303</v>
      </c>
      <c r="L3205" s="3" t="s">
        <v>5188</v>
      </c>
      <c r="M3205" s="3">
        <v>12</v>
      </c>
      <c r="N3205" s="4" t="s">
        <v>542</v>
      </c>
      <c r="O3205" s="4">
        <v>173</v>
      </c>
      <c r="P3205" s="11" t="s">
        <v>9719</v>
      </c>
      <c r="Q3205" s="11" t="s">
        <v>10747</v>
      </c>
      <c r="S3205" s="4" t="b">
        <f>ISNUMBER(MATCH(Q3205,T:T,0))</f>
        <v>1</v>
      </c>
      <c r="T3205" s="4" t="s">
        <v>10746</v>
      </c>
      <c r="U3205" s="4" t="str">
        <f t="shared" si="145"/>
        <v>卜</v>
      </c>
    </row>
    <row r="3206" spans="1:22">
      <c r="A3206" s="3">
        <v>3198</v>
      </c>
      <c r="B3206" s="3" t="s">
        <v>537</v>
      </c>
      <c r="C3206" s="3" t="s">
        <v>6049</v>
      </c>
      <c r="D3206" s="3" t="s">
        <v>6001</v>
      </c>
      <c r="E3206" s="3" t="s">
        <v>5991</v>
      </c>
      <c r="F3206" s="3" t="s">
        <v>5992</v>
      </c>
      <c r="G3206" s="3" t="s">
        <v>538</v>
      </c>
      <c r="H3206" s="3" t="s">
        <v>3304</v>
      </c>
      <c r="I3206" s="3" t="s">
        <v>5995</v>
      </c>
      <c r="J3206" s="5" t="s">
        <v>9524</v>
      </c>
      <c r="K3206" s="3" t="s">
        <v>632</v>
      </c>
      <c r="L3206" s="3" t="s">
        <v>3305</v>
      </c>
      <c r="M3206" s="3">
        <v>17</v>
      </c>
      <c r="N3206" s="4" t="s">
        <v>542</v>
      </c>
      <c r="O3206" s="4">
        <v>173</v>
      </c>
      <c r="P3206" s="11" t="s">
        <v>9723</v>
      </c>
      <c r="Q3206" s="11" t="s">
        <v>10748</v>
      </c>
      <c r="S3206" s="4" t="b">
        <f>ISNUMBER(MATCH(Q3206,T:T,0))</f>
        <v>1</v>
      </c>
      <c r="T3206" s="4" t="s">
        <v>10752</v>
      </c>
      <c r="U3206" s="4" t="str">
        <f t="shared" si="145"/>
        <v>六</v>
      </c>
    </row>
    <row r="3207" spans="1:22" ht="39">
      <c r="A3207" s="3">
        <v>3199</v>
      </c>
      <c r="B3207" s="3" t="s">
        <v>537</v>
      </c>
      <c r="C3207" s="3" t="s">
        <v>6045</v>
      </c>
      <c r="D3207" s="3" t="s">
        <v>6001</v>
      </c>
      <c r="E3207" s="3" t="s">
        <v>5991</v>
      </c>
      <c r="F3207" s="3" t="s">
        <v>5992</v>
      </c>
      <c r="G3207" s="3" t="s">
        <v>538</v>
      </c>
      <c r="H3207" s="3" t="s">
        <v>3306</v>
      </c>
      <c r="I3207" s="3" t="s">
        <v>5995</v>
      </c>
      <c r="J3207" s="5" t="s">
        <v>9525</v>
      </c>
      <c r="L3207" s="3" t="s">
        <v>2769</v>
      </c>
      <c r="M3207" s="3">
        <v>33</v>
      </c>
      <c r="N3207" s="4" t="s">
        <v>542</v>
      </c>
      <c r="O3207" s="4">
        <v>173</v>
      </c>
      <c r="P3207" s="11" t="s">
        <v>9722</v>
      </c>
      <c r="Q3207" s="11" t="s">
        <v>10748</v>
      </c>
      <c r="S3207" s="4" t="b">
        <f>ISNUMBER(MATCH(Q3207,T:T,0))</f>
        <v>1</v>
      </c>
      <c r="T3207" s="4" t="s">
        <v>12591</v>
      </c>
      <c r="U3207" s="4" t="str">
        <f t="shared" si="145"/>
        <v>六</v>
      </c>
    </row>
    <row r="3208" spans="1:22">
      <c r="A3208" s="3">
        <v>3200</v>
      </c>
      <c r="B3208" s="3" t="s">
        <v>537</v>
      </c>
      <c r="C3208" s="3" t="s">
        <v>6180</v>
      </c>
      <c r="D3208" s="3" t="s">
        <v>6001</v>
      </c>
      <c r="E3208" s="3" t="s">
        <v>5991</v>
      </c>
      <c r="F3208" s="3" t="s">
        <v>5992</v>
      </c>
      <c r="G3208" s="3" t="s">
        <v>538</v>
      </c>
      <c r="H3208" s="3" t="s">
        <v>3307</v>
      </c>
      <c r="I3208" s="3" t="s">
        <v>5995</v>
      </c>
      <c r="J3208" s="5" t="s">
        <v>9526</v>
      </c>
      <c r="K3208" s="3" t="s">
        <v>633</v>
      </c>
      <c r="L3208" s="3" t="s">
        <v>2786</v>
      </c>
      <c r="M3208" s="3">
        <v>13</v>
      </c>
      <c r="N3208" s="4" t="s">
        <v>542</v>
      </c>
      <c r="O3208" s="4">
        <v>173</v>
      </c>
      <c r="P3208" s="11" t="s">
        <v>9774</v>
      </c>
      <c r="Q3208" s="11" t="s">
        <v>10748</v>
      </c>
      <c r="S3208" s="4" t="b">
        <f>ISNUMBER(MATCH(Q3208,T:T,0))</f>
        <v>1</v>
      </c>
      <c r="T3208" s="4" t="s">
        <v>12592</v>
      </c>
      <c r="U3208" s="4" t="str">
        <f t="shared" si="145"/>
        <v>六</v>
      </c>
    </row>
    <row r="3209" spans="1:22" ht="39">
      <c r="A3209" s="3">
        <v>3201</v>
      </c>
      <c r="B3209" s="3" t="s">
        <v>537</v>
      </c>
      <c r="C3209" s="3" t="s">
        <v>6058</v>
      </c>
      <c r="D3209" s="3" t="s">
        <v>6001</v>
      </c>
      <c r="E3209" s="3" t="s">
        <v>5991</v>
      </c>
      <c r="F3209" s="3" t="s">
        <v>5992</v>
      </c>
      <c r="G3209" s="3" t="s">
        <v>538</v>
      </c>
      <c r="H3209" s="3" t="s">
        <v>3308</v>
      </c>
      <c r="I3209" s="3" t="s">
        <v>5995</v>
      </c>
      <c r="J3209" s="5" t="s">
        <v>9527</v>
      </c>
      <c r="L3209" s="3" t="s">
        <v>1385</v>
      </c>
      <c r="M3209" s="3">
        <v>22</v>
      </c>
      <c r="N3209" s="4" t="s">
        <v>542</v>
      </c>
      <c r="O3209" s="4">
        <v>173</v>
      </c>
      <c r="P3209" s="11" t="s">
        <v>9727</v>
      </c>
      <c r="Q3209" s="11" t="s">
        <v>9803</v>
      </c>
      <c r="S3209" s="4" t="b">
        <f>ISNUMBER(MATCH(Q3209,T:T,0))</f>
        <v>1</v>
      </c>
      <c r="T3209" s="4" t="s">
        <v>10748</v>
      </c>
      <c r="U3209" s="4" t="str">
        <f t="shared" si="145"/>
        <v>竹</v>
      </c>
    </row>
    <row r="3210" spans="1:22">
      <c r="A3210" s="3">
        <v>3202</v>
      </c>
      <c r="B3210" s="3" t="s">
        <v>537</v>
      </c>
      <c r="C3210" s="3" t="s">
        <v>6005</v>
      </c>
      <c r="D3210" s="3" t="s">
        <v>6001</v>
      </c>
      <c r="E3210" s="3" t="s">
        <v>5991</v>
      </c>
      <c r="F3210" s="3" t="s">
        <v>5992</v>
      </c>
      <c r="G3210" s="3" t="s">
        <v>538</v>
      </c>
      <c r="H3210" s="3" t="s">
        <v>3309</v>
      </c>
      <c r="I3210" s="3" t="s">
        <v>5995</v>
      </c>
      <c r="J3210" s="5" t="s">
        <v>3310</v>
      </c>
      <c r="L3210" s="3" t="s">
        <v>3311</v>
      </c>
      <c r="M3210" s="3">
        <v>12</v>
      </c>
      <c r="N3210" s="4" t="s">
        <v>542</v>
      </c>
      <c r="O3210" s="4">
        <v>173</v>
      </c>
      <c r="P3210" s="11" t="s">
        <v>9709</v>
      </c>
      <c r="Q3210" s="11" t="s">
        <v>10748</v>
      </c>
      <c r="S3210" s="4" t="b">
        <f>ISNUMBER(MATCH(Q3210,T:T,0))</f>
        <v>1</v>
      </c>
      <c r="T3210" s="4" t="s">
        <v>10753</v>
      </c>
      <c r="U3210" s="4" t="str">
        <f t="shared" si="145"/>
        <v>六</v>
      </c>
    </row>
    <row r="3211" spans="1:22" ht="39">
      <c r="A3211" s="3">
        <v>3203</v>
      </c>
      <c r="B3211" s="3" t="s">
        <v>537</v>
      </c>
      <c r="C3211" s="3" t="s">
        <v>6025</v>
      </c>
      <c r="D3211" s="3" t="s">
        <v>6001</v>
      </c>
      <c r="E3211" s="3" t="s">
        <v>5991</v>
      </c>
      <c r="F3211" s="3" t="s">
        <v>5992</v>
      </c>
      <c r="G3211" s="3" t="s">
        <v>538</v>
      </c>
      <c r="H3211" s="3" t="s">
        <v>3312</v>
      </c>
      <c r="I3211" s="3" t="s">
        <v>5995</v>
      </c>
      <c r="J3211" s="5" t="s">
        <v>9528</v>
      </c>
      <c r="L3211" s="3" t="s">
        <v>2761</v>
      </c>
      <c r="M3211" s="3">
        <v>33</v>
      </c>
      <c r="N3211" s="4" t="s">
        <v>542</v>
      </c>
      <c r="O3211" s="4">
        <v>173</v>
      </c>
      <c r="P3211" s="11" t="s">
        <v>9717</v>
      </c>
      <c r="Q3211" s="11" t="s">
        <v>10748</v>
      </c>
      <c r="S3211" s="4" t="b">
        <f>ISNUMBER(MATCH(Q3211,T:T,0))</f>
        <v>1</v>
      </c>
      <c r="T3211" s="4" t="s">
        <v>10754</v>
      </c>
      <c r="U3211" s="4" t="str">
        <f t="shared" si="145"/>
        <v>六</v>
      </c>
    </row>
    <row r="3212" spans="1:22">
      <c r="A3212" s="3">
        <v>3204</v>
      </c>
      <c r="B3212" s="3" t="s">
        <v>537</v>
      </c>
      <c r="C3212" s="3" t="s">
        <v>6038</v>
      </c>
      <c r="D3212" s="3" t="s">
        <v>6001</v>
      </c>
      <c r="E3212" s="3" t="s">
        <v>5991</v>
      </c>
      <c r="F3212" s="3" t="s">
        <v>5992</v>
      </c>
      <c r="G3212" s="3" t="s">
        <v>538</v>
      </c>
      <c r="H3212" s="3" t="s">
        <v>3313</v>
      </c>
      <c r="I3212" s="3" t="s">
        <v>5995</v>
      </c>
      <c r="J3212" s="5" t="s">
        <v>9529</v>
      </c>
      <c r="L3212" s="3" t="s">
        <v>2829</v>
      </c>
      <c r="M3212" s="3">
        <v>5</v>
      </c>
      <c r="N3212" s="4" t="s">
        <v>542</v>
      </c>
      <c r="O3212" s="4">
        <v>173</v>
      </c>
      <c r="P3212" s="11" t="s">
        <v>10250</v>
      </c>
      <c r="Q3212" s="11" t="s">
        <v>10749</v>
      </c>
      <c r="R3212" s="4" t="s">
        <v>13173</v>
      </c>
      <c r="S3212" s="4" t="b">
        <f>ISNUMBER(MATCH(Q3212,T:T,0))</f>
        <v>0</v>
      </c>
      <c r="T3212" s="4" t="s">
        <v>12593</v>
      </c>
      <c r="U3212" s="4" t="str">
        <f t="shared" si="145"/>
        <v>菊</v>
      </c>
      <c r="V3212" s="4" t="b">
        <f>ISNUMBER(MATCH(R3212,T:T,0))</f>
        <v>1</v>
      </c>
    </row>
    <row r="3213" spans="1:22">
      <c r="A3213" s="3">
        <v>3205</v>
      </c>
      <c r="B3213" s="3" t="s">
        <v>537</v>
      </c>
      <c r="C3213" s="3" t="s">
        <v>6148</v>
      </c>
      <c r="D3213" s="3" t="s">
        <v>6001</v>
      </c>
      <c r="E3213" s="3" t="s">
        <v>5991</v>
      </c>
      <c r="F3213" s="3" t="s">
        <v>5992</v>
      </c>
      <c r="G3213" s="3" t="s">
        <v>538</v>
      </c>
      <c r="H3213" s="3" t="s">
        <v>3314</v>
      </c>
      <c r="I3213" s="3" t="s">
        <v>5995</v>
      </c>
      <c r="J3213" s="5" t="s">
        <v>9530</v>
      </c>
      <c r="L3213" s="3" t="s">
        <v>3315</v>
      </c>
      <c r="M3213" s="3">
        <v>8</v>
      </c>
      <c r="N3213" s="4" t="s">
        <v>542</v>
      </c>
      <c r="O3213" s="4">
        <v>173</v>
      </c>
      <c r="P3213" s="11" t="s">
        <v>10750</v>
      </c>
      <c r="Q3213" s="11" t="s">
        <v>10748</v>
      </c>
      <c r="S3213" s="4" t="b">
        <f>ISNUMBER(MATCH(Q3213,T:T,0))</f>
        <v>1</v>
      </c>
      <c r="T3213" s="4" t="s">
        <v>12594</v>
      </c>
      <c r="U3213" s="4" t="str">
        <f t="shared" si="145"/>
        <v>六</v>
      </c>
    </row>
    <row r="3214" spans="1:22">
      <c r="A3214" s="3">
        <v>3206</v>
      </c>
      <c r="B3214" s="3" t="s">
        <v>537</v>
      </c>
      <c r="C3214" s="3" t="s">
        <v>6055</v>
      </c>
      <c r="D3214" s="3" t="s">
        <v>6001</v>
      </c>
      <c r="E3214" s="3" t="s">
        <v>5991</v>
      </c>
      <c r="F3214" s="3" t="s">
        <v>5992</v>
      </c>
      <c r="G3214" s="3" t="s">
        <v>538</v>
      </c>
      <c r="H3214" s="3" t="s">
        <v>3316</v>
      </c>
      <c r="I3214" s="3" t="s">
        <v>5995</v>
      </c>
      <c r="J3214" s="5" t="s">
        <v>3317</v>
      </c>
      <c r="L3214" s="3" t="s">
        <v>2745</v>
      </c>
      <c r="M3214" s="3">
        <v>5</v>
      </c>
      <c r="N3214" s="4" t="s">
        <v>542</v>
      </c>
      <c r="O3214" s="4">
        <v>173</v>
      </c>
      <c r="P3214" s="11" t="s">
        <v>6055</v>
      </c>
      <c r="Q3214" s="11" t="s">
        <v>10748</v>
      </c>
      <c r="S3214" s="4" t="b">
        <f>ISNUMBER(MATCH(Q3214,T:T,0))</f>
        <v>1</v>
      </c>
      <c r="T3214" s="4" t="s">
        <v>12595</v>
      </c>
      <c r="U3214" s="4" t="str">
        <f t="shared" si="145"/>
        <v>六</v>
      </c>
    </row>
    <row r="3215" spans="1:22" ht="39">
      <c r="A3215" s="3">
        <v>3207</v>
      </c>
      <c r="B3215" s="3" t="s">
        <v>537</v>
      </c>
      <c r="C3215" s="3" t="s">
        <v>6028</v>
      </c>
      <c r="D3215" s="3" t="s">
        <v>6001</v>
      </c>
      <c r="E3215" s="3" t="s">
        <v>5991</v>
      </c>
      <c r="F3215" s="3" t="s">
        <v>5992</v>
      </c>
      <c r="G3215" s="3" t="s">
        <v>538</v>
      </c>
      <c r="H3215" s="3" t="s">
        <v>3318</v>
      </c>
      <c r="I3215" s="3" t="s">
        <v>5995</v>
      </c>
      <c r="J3215" s="5" t="s">
        <v>9531</v>
      </c>
      <c r="L3215" s="3" t="s">
        <v>1382</v>
      </c>
      <c r="M3215" s="3">
        <v>24</v>
      </c>
      <c r="N3215" s="4" t="s">
        <v>542</v>
      </c>
      <c r="O3215" s="4">
        <v>173</v>
      </c>
      <c r="P3215" s="11" t="s">
        <v>9850</v>
      </c>
      <c r="Q3215" s="11" t="s">
        <v>10748</v>
      </c>
      <c r="S3215" s="4" t="b">
        <f>ISNUMBER(MATCH(Q3215,T:T,0))</f>
        <v>1</v>
      </c>
      <c r="T3215" s="4" t="s">
        <v>12596</v>
      </c>
      <c r="U3215" s="4" t="str">
        <f t="shared" si="145"/>
        <v>六</v>
      </c>
    </row>
    <row r="3216" spans="1:22">
      <c r="A3216" s="3">
        <v>3208</v>
      </c>
      <c r="B3216" s="3" t="s">
        <v>537</v>
      </c>
      <c r="C3216" s="3" t="s">
        <v>6041</v>
      </c>
      <c r="D3216" s="3" t="s">
        <v>6001</v>
      </c>
      <c r="E3216" s="3" t="s">
        <v>5991</v>
      </c>
      <c r="F3216" s="3" t="s">
        <v>5992</v>
      </c>
      <c r="G3216" s="3" t="s">
        <v>538</v>
      </c>
      <c r="H3216" s="3" t="s">
        <v>3319</v>
      </c>
      <c r="I3216" s="3" t="s">
        <v>5995</v>
      </c>
      <c r="J3216" s="5" t="s">
        <v>9532</v>
      </c>
      <c r="L3216" s="3" t="s">
        <v>3320</v>
      </c>
      <c r="M3216" s="3">
        <v>12</v>
      </c>
      <c r="N3216" s="4" t="s">
        <v>542</v>
      </c>
      <c r="O3216" s="4">
        <v>173</v>
      </c>
      <c r="P3216" s="11" t="s">
        <v>9721</v>
      </c>
      <c r="Q3216" s="11" t="s">
        <v>9803</v>
      </c>
      <c r="S3216" s="4" t="b">
        <f>ISNUMBER(MATCH(Q3216,T:T,0))</f>
        <v>1</v>
      </c>
      <c r="T3216" s="4" t="s">
        <v>12597</v>
      </c>
      <c r="U3216" s="4" t="str">
        <f t="shared" si="145"/>
        <v>竹</v>
      </c>
    </row>
    <row r="3217" spans="1:22">
      <c r="A3217" s="3">
        <v>3209</v>
      </c>
      <c r="B3217" s="3" t="s">
        <v>537</v>
      </c>
      <c r="C3217" s="3" t="s">
        <v>6076</v>
      </c>
      <c r="D3217" s="3" t="s">
        <v>6001</v>
      </c>
      <c r="E3217" s="3" t="s">
        <v>5991</v>
      </c>
      <c r="F3217" s="3" t="s">
        <v>5992</v>
      </c>
      <c r="G3217" s="3" t="s">
        <v>538</v>
      </c>
      <c r="H3217" s="3" t="s">
        <v>3321</v>
      </c>
      <c r="I3217" s="3" t="s">
        <v>5995</v>
      </c>
      <c r="J3217" s="5" t="s">
        <v>3322</v>
      </c>
      <c r="L3217" s="3" t="s">
        <v>2832</v>
      </c>
      <c r="M3217" s="3">
        <v>3</v>
      </c>
      <c r="N3217" s="4" t="s">
        <v>542</v>
      </c>
      <c r="O3217" s="4">
        <v>173</v>
      </c>
      <c r="P3217" s="11" t="s">
        <v>9766</v>
      </c>
      <c r="Q3217" s="11" t="s">
        <v>10751</v>
      </c>
      <c r="R3217" s="4" t="s">
        <v>13174</v>
      </c>
      <c r="S3217" s="4" t="b">
        <f>ISNUMBER(MATCH(Q3217,T:T,0))</f>
        <v>0</v>
      </c>
      <c r="T3217" s="4" t="s">
        <v>12598</v>
      </c>
      <c r="U3217" s="4" t="str">
        <f t="shared" si="145"/>
        <v>肅</v>
      </c>
      <c r="V3217" s="4" t="b">
        <f>ISNUMBER(MATCH(R3217,T:T,0))</f>
        <v>1</v>
      </c>
    </row>
    <row r="3218" spans="1:22">
      <c r="A3218" s="3">
        <v>3210</v>
      </c>
      <c r="B3218" s="3" t="s">
        <v>537</v>
      </c>
      <c r="C3218" s="3" t="s">
        <v>6021</v>
      </c>
      <c r="D3218" s="3" t="s">
        <v>6001</v>
      </c>
      <c r="E3218" s="3" t="s">
        <v>5991</v>
      </c>
      <c r="F3218" s="3" t="s">
        <v>5992</v>
      </c>
      <c r="G3218" s="3" t="s">
        <v>538</v>
      </c>
      <c r="H3218" s="3" t="s">
        <v>3323</v>
      </c>
      <c r="I3218" s="3" t="s">
        <v>5995</v>
      </c>
      <c r="J3218" s="5" t="s">
        <v>9533</v>
      </c>
      <c r="L3218" s="3" t="s">
        <v>1412</v>
      </c>
      <c r="M3218" s="3">
        <v>3</v>
      </c>
      <c r="N3218" s="4" t="s">
        <v>542</v>
      </c>
      <c r="O3218" s="4">
        <v>173</v>
      </c>
      <c r="P3218" s="11" t="s">
        <v>9715</v>
      </c>
      <c r="Q3218" s="11" t="s">
        <v>10748</v>
      </c>
      <c r="S3218" s="4" t="b">
        <f>ISNUMBER(MATCH(Q3218,T:T,0))</f>
        <v>1</v>
      </c>
      <c r="T3218" s="4" t="s">
        <v>12599</v>
      </c>
      <c r="U3218" s="4" t="str">
        <f t="shared" si="145"/>
        <v>六</v>
      </c>
    </row>
    <row r="3219" spans="1:22">
      <c r="A3219" s="3">
        <v>3211</v>
      </c>
      <c r="B3219" s="3" t="s">
        <v>537</v>
      </c>
      <c r="C3219" s="3" t="s">
        <v>6009</v>
      </c>
      <c r="D3219" s="3" t="s">
        <v>6001</v>
      </c>
      <c r="E3219" s="3" t="s">
        <v>5991</v>
      </c>
      <c r="F3219" s="3" t="s">
        <v>5992</v>
      </c>
      <c r="G3219" s="3" t="s">
        <v>538</v>
      </c>
      <c r="H3219" s="3" t="s">
        <v>3324</v>
      </c>
      <c r="I3219" s="3" t="s">
        <v>5995</v>
      </c>
      <c r="J3219" s="5" t="s">
        <v>3325</v>
      </c>
      <c r="L3219" s="3" t="s">
        <v>3326</v>
      </c>
      <c r="M3219" s="3">
        <v>5</v>
      </c>
      <c r="N3219" s="4" t="s">
        <v>542</v>
      </c>
      <c r="O3219" s="4">
        <v>173</v>
      </c>
      <c r="P3219" s="11" t="s">
        <v>6396</v>
      </c>
      <c r="Q3219" s="11" t="s">
        <v>10748</v>
      </c>
      <c r="S3219" s="4" t="b">
        <f>ISNUMBER(MATCH(Q3219,T:T,0))</f>
        <v>1</v>
      </c>
      <c r="T3219" s="4" t="s">
        <v>12600</v>
      </c>
      <c r="U3219" s="4" t="str">
        <f t="shared" si="145"/>
        <v>六</v>
      </c>
    </row>
    <row r="3220" spans="1:22">
      <c r="A3220" s="3">
        <v>3212</v>
      </c>
      <c r="B3220" s="3" t="s">
        <v>537</v>
      </c>
      <c r="C3220" s="3" t="s">
        <v>6120</v>
      </c>
      <c r="D3220" s="3" t="s">
        <v>6001</v>
      </c>
      <c r="E3220" s="3" t="s">
        <v>5991</v>
      </c>
      <c r="F3220" s="3" t="s">
        <v>5992</v>
      </c>
      <c r="G3220" s="3" t="s">
        <v>538</v>
      </c>
      <c r="H3220" s="3" t="s">
        <v>3327</v>
      </c>
      <c r="I3220" s="3" t="s">
        <v>5995</v>
      </c>
      <c r="J3220" s="5" t="s">
        <v>9534</v>
      </c>
      <c r="L3220" s="3" t="s">
        <v>2786</v>
      </c>
      <c r="M3220" s="3">
        <v>13</v>
      </c>
      <c r="N3220" s="4" t="s">
        <v>542</v>
      </c>
      <c r="O3220" s="4">
        <v>173</v>
      </c>
      <c r="P3220" s="11" t="s">
        <v>9793</v>
      </c>
      <c r="Q3220" s="11" t="s">
        <v>9803</v>
      </c>
      <c r="S3220" s="4" t="b">
        <f>ISNUMBER(MATCH(Q3220,T:T,0))</f>
        <v>1</v>
      </c>
      <c r="T3220" s="4" t="s">
        <v>12601</v>
      </c>
      <c r="U3220" s="4" t="str">
        <f t="shared" si="145"/>
        <v>竹</v>
      </c>
    </row>
    <row r="3221" spans="1:22">
      <c r="A3221" s="3">
        <v>3213</v>
      </c>
      <c r="B3221" s="3" t="s">
        <v>537</v>
      </c>
      <c r="C3221" s="3" t="s">
        <v>6089</v>
      </c>
      <c r="D3221" s="3" t="s">
        <v>6001</v>
      </c>
      <c r="E3221" s="3" t="s">
        <v>5991</v>
      </c>
      <c r="F3221" s="3" t="s">
        <v>5992</v>
      </c>
      <c r="G3221" s="3" t="s">
        <v>538</v>
      </c>
      <c r="H3221" s="3" t="s">
        <v>3328</v>
      </c>
      <c r="I3221" s="3" t="s">
        <v>5995</v>
      </c>
      <c r="J3221" s="5" t="s">
        <v>9535</v>
      </c>
      <c r="K3221" s="3" t="s">
        <v>634</v>
      </c>
      <c r="L3221" s="3" t="s">
        <v>5987</v>
      </c>
      <c r="M3221" s="3">
        <v>10</v>
      </c>
      <c r="N3221" s="4" t="s">
        <v>542</v>
      </c>
      <c r="O3221" s="4">
        <v>173</v>
      </c>
      <c r="P3221" s="11" t="s">
        <v>9753</v>
      </c>
      <c r="Q3221" s="11" t="s">
        <v>9803</v>
      </c>
      <c r="S3221" s="4" t="b">
        <f>ISNUMBER(MATCH(Q3221,T:T,0))</f>
        <v>1</v>
      </c>
      <c r="T3221" s="4" t="s">
        <v>12602</v>
      </c>
      <c r="U3221" s="4" t="str">
        <f t="shared" si="145"/>
        <v>竹</v>
      </c>
    </row>
    <row r="3222" spans="1:22">
      <c r="A3222" s="3">
        <v>3214</v>
      </c>
      <c r="B3222" s="3" t="s">
        <v>537</v>
      </c>
      <c r="C3222" s="3" t="s">
        <v>6000</v>
      </c>
      <c r="D3222" s="3" t="s">
        <v>6001</v>
      </c>
      <c r="E3222" s="3" t="s">
        <v>5991</v>
      </c>
      <c r="F3222" s="3" t="s">
        <v>5992</v>
      </c>
      <c r="G3222" s="3" t="s">
        <v>538</v>
      </c>
      <c r="H3222" s="3" t="s">
        <v>3329</v>
      </c>
      <c r="I3222" s="3" t="s">
        <v>5995</v>
      </c>
      <c r="J3222" s="5" t="s">
        <v>3330</v>
      </c>
      <c r="L3222" s="3" t="s">
        <v>3326</v>
      </c>
      <c r="M3222" s="3">
        <v>6</v>
      </c>
      <c r="N3222" s="4" t="s">
        <v>542</v>
      </c>
      <c r="O3222" s="4">
        <v>173</v>
      </c>
      <c r="P3222" s="11" t="s">
        <v>10007</v>
      </c>
      <c r="Q3222" s="11" t="s">
        <v>10748</v>
      </c>
      <c r="S3222" s="4" t="b">
        <f>ISNUMBER(MATCH(Q3222,T:T,0))</f>
        <v>1</v>
      </c>
      <c r="T3222" s="4" t="s">
        <v>9803</v>
      </c>
      <c r="U3222" s="4" t="str">
        <f t="shared" si="145"/>
        <v>六</v>
      </c>
    </row>
    <row r="3223" spans="1:22">
      <c r="A3223" s="3">
        <v>3215</v>
      </c>
      <c r="B3223" s="3" t="s">
        <v>537</v>
      </c>
      <c r="C3223" s="3" t="s">
        <v>6083</v>
      </c>
      <c r="D3223" s="3" t="s">
        <v>6001</v>
      </c>
      <c r="E3223" s="3" t="s">
        <v>5991</v>
      </c>
      <c r="F3223" s="3" t="s">
        <v>5992</v>
      </c>
      <c r="G3223" s="3" t="s">
        <v>538</v>
      </c>
      <c r="H3223" s="3" t="s">
        <v>3331</v>
      </c>
      <c r="I3223" s="3" t="s">
        <v>5995</v>
      </c>
      <c r="J3223" s="5" t="s">
        <v>9536</v>
      </c>
      <c r="L3223" s="3" t="s">
        <v>2811</v>
      </c>
      <c r="M3223" s="3">
        <v>17</v>
      </c>
      <c r="N3223" s="4" t="s">
        <v>542</v>
      </c>
      <c r="O3223" s="4">
        <v>173</v>
      </c>
      <c r="P3223" s="11" t="s">
        <v>9737</v>
      </c>
      <c r="Q3223" s="11" t="s">
        <v>10748</v>
      </c>
      <c r="S3223" s="4" t="b">
        <f>ISNUMBER(MATCH(Q3223,T:T,0))</f>
        <v>1</v>
      </c>
      <c r="T3223" s="4" t="s">
        <v>12603</v>
      </c>
      <c r="U3223" s="4" t="str">
        <f t="shared" si="145"/>
        <v>六</v>
      </c>
    </row>
    <row r="3224" spans="1:22">
      <c r="A3224" s="3">
        <v>3216</v>
      </c>
      <c r="B3224" s="3" t="s">
        <v>537</v>
      </c>
      <c r="C3224" s="3" t="s">
        <v>6167</v>
      </c>
      <c r="D3224" s="3" t="s">
        <v>6001</v>
      </c>
      <c r="E3224" s="3" t="s">
        <v>5991</v>
      </c>
      <c r="F3224" s="3" t="s">
        <v>5992</v>
      </c>
      <c r="G3224" s="3" t="s">
        <v>538</v>
      </c>
      <c r="H3224" s="3" t="s">
        <v>3332</v>
      </c>
      <c r="I3224" s="3" t="s">
        <v>5995</v>
      </c>
      <c r="J3224" s="5" t="s">
        <v>3333</v>
      </c>
      <c r="L3224" s="3" t="s">
        <v>2745</v>
      </c>
      <c r="M3224" s="3">
        <v>6</v>
      </c>
      <c r="N3224" s="4" t="s">
        <v>542</v>
      </c>
      <c r="O3224" s="4">
        <v>173</v>
      </c>
      <c r="P3224" s="11" t="s">
        <v>6167</v>
      </c>
      <c r="Q3224" s="11" t="s">
        <v>10748</v>
      </c>
      <c r="S3224" s="4" t="b">
        <f>ISNUMBER(MATCH(Q3224,T:T,0))</f>
        <v>1</v>
      </c>
      <c r="T3224" s="4" t="s">
        <v>12604</v>
      </c>
      <c r="U3224" s="4" t="str">
        <f t="shared" si="145"/>
        <v>六</v>
      </c>
    </row>
    <row r="3225" spans="1:22">
      <c r="A3225" s="3">
        <v>3217</v>
      </c>
      <c r="B3225" s="3" t="s">
        <v>537</v>
      </c>
      <c r="C3225" s="3" t="s">
        <v>6137</v>
      </c>
      <c r="D3225" s="3" t="s">
        <v>6001</v>
      </c>
      <c r="E3225" s="3" t="s">
        <v>5991</v>
      </c>
      <c r="F3225" s="3" t="s">
        <v>5992</v>
      </c>
      <c r="G3225" s="3" t="s">
        <v>538</v>
      </c>
      <c r="H3225" s="3" t="s">
        <v>3334</v>
      </c>
      <c r="I3225" s="3" t="s">
        <v>5995</v>
      </c>
      <c r="J3225" s="5" t="s">
        <v>9537</v>
      </c>
      <c r="L3225" s="3" t="s">
        <v>1418</v>
      </c>
      <c r="M3225" s="3">
        <v>8</v>
      </c>
      <c r="N3225" s="4" t="s">
        <v>542</v>
      </c>
      <c r="O3225" s="4">
        <v>173</v>
      </c>
      <c r="P3225" s="11" t="s">
        <v>9755</v>
      </c>
      <c r="Q3225" s="11" t="s">
        <v>10748</v>
      </c>
      <c r="S3225" s="4" t="b">
        <f>ISNUMBER(MATCH(Q3225,T:T,0))</f>
        <v>1</v>
      </c>
      <c r="T3225" s="4" t="s">
        <v>12605</v>
      </c>
      <c r="U3225" s="4" t="str">
        <f t="shared" si="145"/>
        <v>六</v>
      </c>
    </row>
    <row r="3226" spans="1:22">
      <c r="A3226" s="3">
        <v>3218</v>
      </c>
      <c r="B3226" s="3" t="s">
        <v>537</v>
      </c>
      <c r="C3226" s="3" t="s">
        <v>6318</v>
      </c>
      <c r="D3226" s="3" t="s">
        <v>6001</v>
      </c>
      <c r="E3226" s="3" t="s">
        <v>5991</v>
      </c>
      <c r="F3226" s="3" t="s">
        <v>5992</v>
      </c>
      <c r="G3226" s="3" t="s">
        <v>538</v>
      </c>
      <c r="H3226" s="3" t="s">
        <v>3335</v>
      </c>
      <c r="I3226" s="3" t="s">
        <v>5995</v>
      </c>
      <c r="J3226" s="8" t="s">
        <v>9538</v>
      </c>
      <c r="L3226" s="3" t="s">
        <v>3326</v>
      </c>
      <c r="M3226" s="3">
        <v>2</v>
      </c>
      <c r="N3226" s="4" t="s">
        <v>542</v>
      </c>
      <c r="O3226" s="4">
        <v>173</v>
      </c>
      <c r="P3226" s="11" t="s">
        <v>9804</v>
      </c>
      <c r="Q3226" s="11" t="s">
        <v>10748</v>
      </c>
      <c r="S3226" s="4" t="b">
        <f>ISNUMBER(MATCH(Q3226,T:T,0))</f>
        <v>1</v>
      </c>
      <c r="T3226" s="4" t="s">
        <v>12606</v>
      </c>
      <c r="U3226" s="4" t="str">
        <f t="shared" si="145"/>
        <v>六</v>
      </c>
    </row>
    <row r="3227" spans="1:22">
      <c r="A3227" s="3">
        <v>3219</v>
      </c>
      <c r="B3227" s="3" t="s">
        <v>537</v>
      </c>
      <c r="C3227" s="3" t="s">
        <v>6053</v>
      </c>
      <c r="D3227" s="3" t="s">
        <v>6001</v>
      </c>
      <c r="E3227" s="3" t="s">
        <v>5991</v>
      </c>
      <c r="F3227" s="3" t="s">
        <v>5992</v>
      </c>
      <c r="G3227" s="3" t="s">
        <v>538</v>
      </c>
      <c r="H3227" s="3" t="s">
        <v>3336</v>
      </c>
      <c r="I3227" s="3" t="s">
        <v>5995</v>
      </c>
      <c r="J3227" s="5" t="s">
        <v>3337</v>
      </c>
      <c r="L3227" s="3" t="s">
        <v>3305</v>
      </c>
      <c r="M3227" s="3">
        <v>8</v>
      </c>
      <c r="N3227" s="4" t="s">
        <v>542</v>
      </c>
      <c r="O3227" s="4">
        <v>173</v>
      </c>
      <c r="P3227" s="11" t="s">
        <v>9841</v>
      </c>
      <c r="Q3227" s="11" t="s">
        <v>10752</v>
      </c>
      <c r="S3227" s="4" t="b">
        <f>ISNUMBER(MATCH(Q3227,T:T,0))</f>
        <v>1</v>
      </c>
      <c r="T3227" s="4" t="s">
        <v>12607</v>
      </c>
      <c r="U3227" s="4" t="str">
        <f t="shared" si="145"/>
        <v>福</v>
      </c>
    </row>
    <row r="3228" spans="1:22" ht="39">
      <c r="A3228" s="3">
        <v>3220</v>
      </c>
      <c r="B3228" s="3" t="s">
        <v>537</v>
      </c>
      <c r="C3228" s="3" t="s">
        <v>6072</v>
      </c>
      <c r="D3228" s="3" t="s">
        <v>6001</v>
      </c>
      <c r="E3228" s="3" t="s">
        <v>5991</v>
      </c>
      <c r="F3228" s="3" t="s">
        <v>5992</v>
      </c>
      <c r="G3228" s="3" t="s">
        <v>538</v>
      </c>
      <c r="H3228" s="3" t="s">
        <v>3338</v>
      </c>
      <c r="I3228" s="3" t="s">
        <v>5995</v>
      </c>
      <c r="J3228" s="5" t="s">
        <v>9539</v>
      </c>
      <c r="L3228" s="3" t="s">
        <v>5098</v>
      </c>
      <c r="M3228" s="3">
        <v>20</v>
      </c>
      <c r="N3228" s="4" t="s">
        <v>542</v>
      </c>
      <c r="O3228" s="4">
        <v>173</v>
      </c>
      <c r="P3228" s="11" t="s">
        <v>9754</v>
      </c>
      <c r="Q3228" s="11" t="s">
        <v>10748</v>
      </c>
      <c r="S3228" s="4" t="b">
        <f>ISNUMBER(MATCH(Q3228,T:T,0))</f>
        <v>1</v>
      </c>
      <c r="T3228" s="4" t="s">
        <v>12608</v>
      </c>
      <c r="U3228" s="4" t="str">
        <f t="shared" si="145"/>
        <v>六</v>
      </c>
    </row>
    <row r="3229" spans="1:22" ht="39">
      <c r="A3229" s="3">
        <v>3221</v>
      </c>
      <c r="B3229" s="3" t="s">
        <v>537</v>
      </c>
      <c r="C3229" s="3" t="s">
        <v>6017</v>
      </c>
      <c r="D3229" s="3" t="s">
        <v>6001</v>
      </c>
      <c r="E3229" s="3" t="s">
        <v>5991</v>
      </c>
      <c r="F3229" s="3" t="s">
        <v>5992</v>
      </c>
      <c r="G3229" s="3" t="s">
        <v>538</v>
      </c>
      <c r="H3229" s="3" t="s">
        <v>3339</v>
      </c>
      <c r="I3229" s="3" t="s">
        <v>5995</v>
      </c>
      <c r="J3229" s="5" t="s">
        <v>9540</v>
      </c>
      <c r="K3229" s="3" t="s">
        <v>635</v>
      </c>
      <c r="L3229" s="3" t="s">
        <v>2817</v>
      </c>
      <c r="M3229" s="3">
        <v>23</v>
      </c>
      <c r="N3229" s="4" t="s">
        <v>542</v>
      </c>
      <c r="O3229" s="4">
        <v>173</v>
      </c>
      <c r="P3229" s="11" t="s">
        <v>9714</v>
      </c>
      <c r="Q3229" s="11" t="s">
        <v>10753</v>
      </c>
      <c r="S3229" s="4" t="b">
        <f>ISNUMBER(MATCH(Q3229,T:T,0))</f>
        <v>1</v>
      </c>
      <c r="T3229" s="4" t="s">
        <v>12609</v>
      </c>
      <c r="U3229" s="4" t="str">
        <f t="shared" si="145"/>
        <v>逐</v>
      </c>
    </row>
    <row r="3230" spans="1:22">
      <c r="A3230" s="3">
        <v>3222</v>
      </c>
      <c r="B3230" s="3" t="s">
        <v>537</v>
      </c>
      <c r="C3230" s="3" t="s">
        <v>6035</v>
      </c>
      <c r="D3230" s="3" t="s">
        <v>6001</v>
      </c>
      <c r="E3230" s="3" t="s">
        <v>5991</v>
      </c>
      <c r="F3230" s="3" t="s">
        <v>5992</v>
      </c>
      <c r="G3230" s="3" t="s">
        <v>538</v>
      </c>
      <c r="H3230" s="3" t="s">
        <v>3340</v>
      </c>
      <c r="I3230" s="3" t="s">
        <v>5995</v>
      </c>
      <c r="J3230" s="5" t="s">
        <v>3341</v>
      </c>
      <c r="L3230" s="3" t="s">
        <v>5188</v>
      </c>
      <c r="M3230" s="3">
        <v>11</v>
      </c>
      <c r="N3230" s="4" t="s">
        <v>542</v>
      </c>
      <c r="O3230" s="4">
        <v>173</v>
      </c>
      <c r="P3230" s="11" t="s">
        <v>9719</v>
      </c>
      <c r="Q3230" s="11" t="s">
        <v>10748</v>
      </c>
      <c r="S3230" s="4" t="b">
        <f>ISNUMBER(MATCH(Q3230,T:T,0))</f>
        <v>1</v>
      </c>
      <c r="T3230" s="4" t="s">
        <v>12610</v>
      </c>
      <c r="U3230" s="4" t="str">
        <f t="shared" si="145"/>
        <v>六</v>
      </c>
    </row>
    <row r="3231" spans="1:22">
      <c r="A3231" s="3">
        <v>3223</v>
      </c>
      <c r="B3231" s="3" t="s">
        <v>537</v>
      </c>
      <c r="C3231" s="3" t="s">
        <v>6032</v>
      </c>
      <c r="D3231" s="3" t="s">
        <v>6001</v>
      </c>
      <c r="E3231" s="3" t="s">
        <v>5991</v>
      </c>
      <c r="F3231" s="3" t="s">
        <v>5992</v>
      </c>
      <c r="G3231" s="3" t="s">
        <v>538</v>
      </c>
      <c r="H3231" s="3" t="s">
        <v>3342</v>
      </c>
      <c r="I3231" s="3" t="s">
        <v>5995</v>
      </c>
      <c r="J3231" s="5" t="s">
        <v>9541</v>
      </c>
      <c r="L3231" s="3" t="s">
        <v>1382</v>
      </c>
      <c r="M3231" s="3">
        <v>2</v>
      </c>
      <c r="N3231" s="4" t="s">
        <v>542</v>
      </c>
      <c r="O3231" s="4">
        <v>173</v>
      </c>
      <c r="P3231" s="11" t="s">
        <v>9859</v>
      </c>
      <c r="Q3231" s="11" t="s">
        <v>10748</v>
      </c>
      <c r="S3231" s="4" t="b">
        <f>ISNUMBER(MATCH(Q3231,T:T,0))</f>
        <v>1</v>
      </c>
      <c r="T3231" s="4" t="s">
        <v>12611</v>
      </c>
      <c r="U3231" s="4" t="str">
        <f t="shared" si="145"/>
        <v>六</v>
      </c>
    </row>
    <row r="3232" spans="1:22">
      <c r="A3232" s="3">
        <v>3224</v>
      </c>
      <c r="B3232" s="3" t="s">
        <v>537</v>
      </c>
      <c r="C3232" s="3" t="s">
        <v>6011</v>
      </c>
      <c r="D3232" s="3" t="s">
        <v>6001</v>
      </c>
      <c r="E3232" s="3" t="s">
        <v>5991</v>
      </c>
      <c r="F3232" s="3" t="s">
        <v>5992</v>
      </c>
      <c r="G3232" s="3" t="s">
        <v>538</v>
      </c>
      <c r="H3232" s="3" t="s">
        <v>3343</v>
      </c>
      <c r="I3232" s="3" t="s">
        <v>5995</v>
      </c>
      <c r="J3232" s="5" t="s">
        <v>9542</v>
      </c>
      <c r="L3232" s="3" t="s">
        <v>2745</v>
      </c>
      <c r="M3232" s="3">
        <v>10</v>
      </c>
      <c r="N3232" s="4" t="s">
        <v>542</v>
      </c>
      <c r="O3232" s="4">
        <v>173</v>
      </c>
      <c r="P3232" s="11" t="s">
        <v>9757</v>
      </c>
      <c r="Q3232" s="11" t="s">
        <v>10748</v>
      </c>
      <c r="S3232" s="4" t="b">
        <f>ISNUMBER(MATCH(Q3232,T:T,0))</f>
        <v>1</v>
      </c>
      <c r="T3232" s="4" t="s">
        <v>12602</v>
      </c>
      <c r="U3232" s="4" t="str">
        <f t="shared" si="145"/>
        <v>六</v>
      </c>
    </row>
    <row r="3233" spans="1:21">
      <c r="A3233" s="3">
        <v>3225</v>
      </c>
      <c r="B3233" s="3" t="s">
        <v>537</v>
      </c>
      <c r="C3233" s="3" t="s">
        <v>6092</v>
      </c>
      <c r="D3233" s="3" t="s">
        <v>6001</v>
      </c>
      <c r="E3233" s="3" t="s">
        <v>5991</v>
      </c>
      <c r="F3233" s="3" t="s">
        <v>5992</v>
      </c>
      <c r="G3233" s="3" t="s">
        <v>538</v>
      </c>
      <c r="H3233" s="3" t="s">
        <v>3344</v>
      </c>
      <c r="I3233" s="3" t="s">
        <v>5995</v>
      </c>
      <c r="J3233" s="5" t="s">
        <v>3345</v>
      </c>
      <c r="L3233" s="3" t="s">
        <v>1382</v>
      </c>
      <c r="M3233" s="3">
        <v>1</v>
      </c>
      <c r="N3233" s="4" t="s">
        <v>542</v>
      </c>
      <c r="O3233" s="4">
        <v>173</v>
      </c>
      <c r="P3233" s="11" t="s">
        <v>6462</v>
      </c>
      <c r="Q3233" s="11" t="s">
        <v>10754</v>
      </c>
      <c r="S3233" s="4" t="b">
        <f>ISNUMBER(MATCH(Q3233,T:T,0))</f>
        <v>1</v>
      </c>
      <c r="T3233" s="4" t="s">
        <v>3345</v>
      </c>
      <c r="U3233" s="4" t="str">
        <f t="shared" si="145"/>
        <v>菊</v>
      </c>
    </row>
    <row r="3234" spans="1:21">
      <c r="A3234" s="3">
        <v>3226</v>
      </c>
      <c r="B3234" s="3" t="s">
        <v>537</v>
      </c>
      <c r="C3234" s="3" t="s">
        <v>6069</v>
      </c>
      <c r="D3234" s="3" t="s">
        <v>6001</v>
      </c>
      <c r="E3234" s="3" t="s">
        <v>5991</v>
      </c>
      <c r="F3234" s="3" t="s">
        <v>5992</v>
      </c>
      <c r="G3234" s="3" t="s">
        <v>538</v>
      </c>
      <c r="H3234" s="3" t="s">
        <v>3346</v>
      </c>
      <c r="I3234" s="3" t="s">
        <v>5995</v>
      </c>
      <c r="J3234" s="5" t="s">
        <v>3347</v>
      </c>
      <c r="L3234" s="3" t="s">
        <v>558</v>
      </c>
      <c r="M3234" s="3">
        <v>1</v>
      </c>
      <c r="N3234" s="4" t="s">
        <v>542</v>
      </c>
      <c r="O3234" s="4">
        <v>173</v>
      </c>
      <c r="P3234" s="11" t="s">
        <v>9925</v>
      </c>
      <c r="Q3234" s="11" t="s">
        <v>10748</v>
      </c>
      <c r="S3234" s="4" t="b">
        <f>ISNUMBER(MATCH(Q3234,T:T,0))</f>
        <v>1</v>
      </c>
      <c r="T3234" s="4" t="s">
        <v>3347</v>
      </c>
      <c r="U3234" s="4" t="str">
        <f t="shared" si="145"/>
        <v>六</v>
      </c>
    </row>
    <row r="3235" spans="1:21">
      <c r="A3235" s="3">
        <v>3227</v>
      </c>
      <c r="B3235" s="3" t="s">
        <v>3348</v>
      </c>
      <c r="C3235" s="3" t="s">
        <v>6072</v>
      </c>
      <c r="D3235" s="3" t="s">
        <v>5990</v>
      </c>
      <c r="E3235" s="3" t="s">
        <v>5991</v>
      </c>
      <c r="F3235" s="3" t="s">
        <v>6098</v>
      </c>
      <c r="G3235" s="3" t="s">
        <v>538</v>
      </c>
      <c r="H3235" s="3" t="s">
        <v>3349</v>
      </c>
      <c r="I3235" s="3" t="s">
        <v>5995</v>
      </c>
      <c r="J3235" s="5" t="s">
        <v>3350</v>
      </c>
      <c r="L3235" s="3" t="s">
        <v>541</v>
      </c>
      <c r="M3235" s="3">
        <v>7</v>
      </c>
      <c r="N3235" s="4" t="s">
        <v>3351</v>
      </c>
      <c r="O3235" s="4">
        <v>174</v>
      </c>
      <c r="P3235" s="11" t="s">
        <v>9734</v>
      </c>
      <c r="Q3235" s="11" t="s">
        <v>10755</v>
      </c>
      <c r="S3235" s="4" t="b">
        <f>ISNUMBER(MATCH(Q3235,T:T,0))</f>
        <v>1</v>
      </c>
      <c r="T3235" s="4" t="s">
        <v>3351</v>
      </c>
      <c r="U3235" s="4" t="str">
        <f t="shared" si="145"/>
        <v>酷</v>
      </c>
    </row>
    <row r="3236" spans="1:21">
      <c r="A3236" s="3">
        <v>3228</v>
      </c>
      <c r="B3236" s="3" t="s">
        <v>3348</v>
      </c>
      <c r="C3236" s="3" t="s">
        <v>5997</v>
      </c>
      <c r="D3236" s="3" t="s">
        <v>5990</v>
      </c>
      <c r="E3236" s="3" t="s">
        <v>5991</v>
      </c>
      <c r="F3236" s="3" t="s">
        <v>6098</v>
      </c>
      <c r="G3236" s="3" t="s">
        <v>538</v>
      </c>
      <c r="H3236" s="3" t="s">
        <v>3352</v>
      </c>
      <c r="I3236" s="3" t="s">
        <v>5995</v>
      </c>
      <c r="J3236" s="5" t="s">
        <v>9543</v>
      </c>
      <c r="L3236" s="3" t="s">
        <v>544</v>
      </c>
      <c r="M3236" s="3">
        <v>8</v>
      </c>
      <c r="N3236" s="4" t="s">
        <v>3351</v>
      </c>
      <c r="O3236" s="4">
        <v>174</v>
      </c>
      <c r="P3236" s="11" t="s">
        <v>9706</v>
      </c>
      <c r="Q3236" s="11" t="s">
        <v>3351</v>
      </c>
      <c r="S3236" s="4" t="b">
        <f>ISNUMBER(MATCH(Q3236,T:T,0))</f>
        <v>1</v>
      </c>
      <c r="T3236" s="4" t="s">
        <v>10756</v>
      </c>
      <c r="U3236" s="4" t="str">
        <f t="shared" si="145"/>
        <v>沃</v>
      </c>
    </row>
    <row r="3237" spans="1:21">
      <c r="A3237" s="3">
        <v>3229</v>
      </c>
      <c r="B3237" s="3" t="s">
        <v>3348</v>
      </c>
      <c r="C3237" s="3" t="s">
        <v>5989</v>
      </c>
      <c r="D3237" s="3" t="s">
        <v>5990</v>
      </c>
      <c r="E3237" s="3" t="s">
        <v>5991</v>
      </c>
      <c r="F3237" s="3" t="s">
        <v>6098</v>
      </c>
      <c r="G3237" s="3" t="s">
        <v>538</v>
      </c>
      <c r="H3237" s="3" t="s">
        <v>3353</v>
      </c>
      <c r="I3237" s="3" t="s">
        <v>5995</v>
      </c>
      <c r="J3237" s="5" t="s">
        <v>3354</v>
      </c>
      <c r="L3237" s="3" t="s">
        <v>2801</v>
      </c>
      <c r="M3237" s="3">
        <v>11</v>
      </c>
      <c r="N3237" s="4" t="s">
        <v>3351</v>
      </c>
      <c r="O3237" s="4">
        <v>174</v>
      </c>
      <c r="P3237" s="11" t="s">
        <v>6098</v>
      </c>
      <c r="Q3237" s="11" t="s">
        <v>10756</v>
      </c>
      <c r="S3237" s="4" t="b">
        <f>ISNUMBER(MATCH(Q3237,T:T,0))</f>
        <v>1</v>
      </c>
      <c r="T3237" s="4" t="s">
        <v>10757</v>
      </c>
      <c r="U3237" s="4" t="str">
        <f t="shared" si="145"/>
        <v>毒</v>
      </c>
    </row>
    <row r="3238" spans="1:21">
      <c r="A3238" s="3">
        <v>3230</v>
      </c>
      <c r="B3238" s="3" t="s">
        <v>3348</v>
      </c>
      <c r="C3238" s="3" t="s">
        <v>6038</v>
      </c>
      <c r="D3238" s="3" t="s">
        <v>5990</v>
      </c>
      <c r="E3238" s="3" t="s">
        <v>5991</v>
      </c>
      <c r="F3238" s="3" t="s">
        <v>6098</v>
      </c>
      <c r="G3238" s="3" t="s">
        <v>538</v>
      </c>
      <c r="H3238" s="3" t="s">
        <v>3355</v>
      </c>
      <c r="I3238" s="3" t="s">
        <v>5995</v>
      </c>
      <c r="J3238" s="5" t="s">
        <v>9544</v>
      </c>
      <c r="L3238" s="3" t="s">
        <v>2798</v>
      </c>
      <c r="M3238" s="3">
        <v>6</v>
      </c>
      <c r="N3238" s="4" t="s">
        <v>3351</v>
      </c>
      <c r="O3238" s="4">
        <v>174</v>
      </c>
      <c r="P3238" s="11" t="s">
        <v>9728</v>
      </c>
      <c r="Q3238" s="11" t="s">
        <v>3351</v>
      </c>
      <c r="S3238" s="4" t="b">
        <f>ISNUMBER(MATCH(Q3238,T:T,0))</f>
        <v>1</v>
      </c>
      <c r="T3238" s="4" t="s">
        <v>10755</v>
      </c>
      <c r="U3238" s="4" t="str">
        <f t="shared" si="145"/>
        <v>沃</v>
      </c>
    </row>
    <row r="3239" spans="1:21">
      <c r="A3239" s="3">
        <v>3231</v>
      </c>
      <c r="B3239" s="3" t="s">
        <v>3348</v>
      </c>
      <c r="C3239" s="3" t="s">
        <v>6067</v>
      </c>
      <c r="D3239" s="3" t="s">
        <v>5990</v>
      </c>
      <c r="E3239" s="3" t="s">
        <v>5991</v>
      </c>
      <c r="F3239" s="3" t="s">
        <v>6098</v>
      </c>
      <c r="G3239" s="3" t="s">
        <v>538</v>
      </c>
      <c r="H3239" s="3" t="s">
        <v>3356</v>
      </c>
      <c r="I3239" s="3" t="s">
        <v>5995</v>
      </c>
      <c r="J3239" s="5" t="s">
        <v>9545</v>
      </c>
      <c r="L3239" s="3" t="s">
        <v>2796</v>
      </c>
      <c r="M3239" s="3">
        <v>8</v>
      </c>
      <c r="N3239" s="4" t="s">
        <v>3351</v>
      </c>
      <c r="O3239" s="4">
        <v>174</v>
      </c>
      <c r="P3239" s="11" t="s">
        <v>9870</v>
      </c>
      <c r="Q3239" s="11" t="s">
        <v>3351</v>
      </c>
      <c r="S3239" s="4" t="b">
        <f>ISNUMBER(MATCH(Q3239,T:T,0))</f>
        <v>1</v>
      </c>
      <c r="T3239" s="4" t="s">
        <v>12612</v>
      </c>
      <c r="U3239" s="4" t="str">
        <f t="shared" si="145"/>
        <v>沃</v>
      </c>
    </row>
    <row r="3240" spans="1:21">
      <c r="A3240" s="3">
        <v>3232</v>
      </c>
      <c r="B3240" s="3" t="s">
        <v>3348</v>
      </c>
      <c r="C3240" s="3" t="s">
        <v>6045</v>
      </c>
      <c r="D3240" s="3" t="s">
        <v>5990</v>
      </c>
      <c r="E3240" s="3" t="s">
        <v>5991</v>
      </c>
      <c r="F3240" s="3" t="s">
        <v>6098</v>
      </c>
      <c r="G3240" s="3" t="s">
        <v>538</v>
      </c>
      <c r="H3240" s="3" t="s">
        <v>3357</v>
      </c>
      <c r="I3240" s="3" t="s">
        <v>5995</v>
      </c>
      <c r="J3240" s="5" t="s">
        <v>3358</v>
      </c>
      <c r="K3240" s="3" t="s">
        <v>3359</v>
      </c>
      <c r="L3240" s="3" t="s">
        <v>3298</v>
      </c>
      <c r="M3240" s="3">
        <v>7</v>
      </c>
      <c r="N3240" s="4" t="s">
        <v>3351</v>
      </c>
      <c r="O3240" s="4">
        <v>174</v>
      </c>
      <c r="P3240" s="11" t="s">
        <v>9965</v>
      </c>
      <c r="Q3240" s="11" t="s">
        <v>3351</v>
      </c>
      <c r="S3240" s="4" t="b">
        <f>ISNUMBER(MATCH(Q3240,T:T,0))</f>
        <v>1</v>
      </c>
      <c r="T3240" s="4" t="s">
        <v>12613</v>
      </c>
      <c r="U3240" s="4" t="str">
        <f t="shared" si="145"/>
        <v>沃</v>
      </c>
    </row>
    <row r="3241" spans="1:21">
      <c r="A3241" s="3">
        <v>3233</v>
      </c>
      <c r="B3241" s="3" t="s">
        <v>3348</v>
      </c>
      <c r="C3241" s="3" t="s">
        <v>6017</v>
      </c>
      <c r="D3241" s="3" t="s">
        <v>5990</v>
      </c>
      <c r="E3241" s="3" t="s">
        <v>5991</v>
      </c>
      <c r="F3241" s="3" t="s">
        <v>6098</v>
      </c>
      <c r="G3241" s="3" t="s">
        <v>538</v>
      </c>
      <c r="H3241" s="3" t="s">
        <v>3360</v>
      </c>
      <c r="I3241" s="3" t="s">
        <v>5995</v>
      </c>
      <c r="J3241" s="5" t="s">
        <v>3361</v>
      </c>
      <c r="L3241" s="3" t="s">
        <v>2817</v>
      </c>
      <c r="M3241" s="3">
        <v>2</v>
      </c>
      <c r="N3241" s="4" t="s">
        <v>3351</v>
      </c>
      <c r="O3241" s="4">
        <v>174</v>
      </c>
      <c r="P3241" s="11" t="s">
        <v>8121</v>
      </c>
      <c r="Q3241" s="11" t="s">
        <v>10757</v>
      </c>
      <c r="S3241" s="4" t="b">
        <f>ISNUMBER(MATCH(Q3241,T:T,0))</f>
        <v>1</v>
      </c>
      <c r="T3241" s="4" t="s">
        <v>12614</v>
      </c>
      <c r="U3241" s="4" t="str">
        <f t="shared" si="145"/>
        <v>篤</v>
      </c>
    </row>
    <row r="3242" spans="1:21">
      <c r="A3242" s="3">
        <v>3234</v>
      </c>
      <c r="B3242" s="3" t="s">
        <v>3348</v>
      </c>
      <c r="C3242" s="3" t="s">
        <v>6025</v>
      </c>
      <c r="D3242" s="3" t="s">
        <v>5990</v>
      </c>
      <c r="E3242" s="3" t="s">
        <v>5991</v>
      </c>
      <c r="F3242" s="3" t="s">
        <v>6098</v>
      </c>
      <c r="G3242" s="3" t="s">
        <v>538</v>
      </c>
      <c r="H3242" s="3" t="s">
        <v>3362</v>
      </c>
      <c r="I3242" s="3" t="s">
        <v>5995</v>
      </c>
      <c r="J3242" s="5" t="s">
        <v>3363</v>
      </c>
      <c r="L3242" s="3" t="s">
        <v>2798</v>
      </c>
      <c r="M3242" s="3">
        <v>9</v>
      </c>
      <c r="N3242" s="4" t="s">
        <v>3351</v>
      </c>
      <c r="O3242" s="4">
        <v>174</v>
      </c>
      <c r="P3242" s="11" t="s">
        <v>9729</v>
      </c>
      <c r="Q3242" s="11" t="s">
        <v>3351</v>
      </c>
      <c r="S3242" s="4" t="b">
        <f>ISNUMBER(MATCH(Q3242,T:T,0))</f>
        <v>1</v>
      </c>
      <c r="T3242" s="4" t="s">
        <v>12615</v>
      </c>
      <c r="U3242" s="4" t="str">
        <f t="shared" si="145"/>
        <v>沃</v>
      </c>
    </row>
    <row r="3243" spans="1:21">
      <c r="A3243" s="3">
        <v>3235</v>
      </c>
      <c r="B3243" s="3" t="s">
        <v>3348</v>
      </c>
      <c r="C3243" s="3" t="s">
        <v>6035</v>
      </c>
      <c r="D3243" s="3" t="s">
        <v>5990</v>
      </c>
      <c r="E3243" s="3" t="s">
        <v>5991</v>
      </c>
      <c r="F3243" s="3" t="s">
        <v>6098</v>
      </c>
      <c r="G3243" s="3" t="s">
        <v>538</v>
      </c>
      <c r="H3243" s="3" t="s">
        <v>3364</v>
      </c>
      <c r="I3243" s="3" t="s">
        <v>5995</v>
      </c>
      <c r="J3243" s="5" t="s">
        <v>3365</v>
      </c>
      <c r="L3243" s="3" t="s">
        <v>5188</v>
      </c>
      <c r="M3243" s="3">
        <v>5</v>
      </c>
      <c r="N3243" s="4" t="s">
        <v>3351</v>
      </c>
      <c r="O3243" s="4">
        <v>174</v>
      </c>
      <c r="P3243" s="11" t="s">
        <v>9719</v>
      </c>
      <c r="Q3243" s="11" t="s">
        <v>3351</v>
      </c>
      <c r="S3243" s="4" t="b">
        <f>ISNUMBER(MATCH(Q3243,T:T,0))</f>
        <v>1</v>
      </c>
      <c r="T3243" s="4" t="s">
        <v>12616</v>
      </c>
      <c r="U3243" s="4" t="str">
        <f t="shared" si="145"/>
        <v>沃</v>
      </c>
    </row>
    <row r="3244" spans="1:21">
      <c r="A3244" s="3">
        <v>3236</v>
      </c>
      <c r="B3244" s="3" t="s">
        <v>3348</v>
      </c>
      <c r="C3244" s="3" t="s">
        <v>6089</v>
      </c>
      <c r="D3244" s="3" t="s">
        <v>5990</v>
      </c>
      <c r="E3244" s="3" t="s">
        <v>5991</v>
      </c>
      <c r="F3244" s="3" t="s">
        <v>6098</v>
      </c>
      <c r="G3244" s="3" t="s">
        <v>538</v>
      </c>
      <c r="H3244" s="3" t="s">
        <v>3366</v>
      </c>
      <c r="I3244" s="3" t="s">
        <v>5995</v>
      </c>
      <c r="J3244" s="5" t="s">
        <v>9546</v>
      </c>
      <c r="L3244" s="3" t="s">
        <v>2795</v>
      </c>
      <c r="M3244" s="3">
        <v>4</v>
      </c>
      <c r="N3244" s="4" t="s">
        <v>3351</v>
      </c>
      <c r="O3244" s="4">
        <v>174</v>
      </c>
      <c r="P3244" s="11" t="s">
        <v>9904</v>
      </c>
      <c r="Q3244" s="11" t="s">
        <v>10755</v>
      </c>
      <c r="S3244" s="4" t="b">
        <f>ISNUMBER(MATCH(Q3244,T:T,0))</f>
        <v>1</v>
      </c>
      <c r="T3244" s="4" t="s">
        <v>12617</v>
      </c>
      <c r="U3244" s="4" t="str">
        <f t="shared" si="145"/>
        <v>酷</v>
      </c>
    </row>
    <row r="3245" spans="1:21">
      <c r="A3245" s="3">
        <v>3237</v>
      </c>
      <c r="B3245" s="3" t="s">
        <v>3348</v>
      </c>
      <c r="C3245" s="3" t="s">
        <v>6102</v>
      </c>
      <c r="D3245" s="3" t="s">
        <v>5990</v>
      </c>
      <c r="E3245" s="3" t="s">
        <v>5991</v>
      </c>
      <c r="F3245" s="3" t="s">
        <v>6098</v>
      </c>
      <c r="G3245" s="3" t="s">
        <v>538</v>
      </c>
      <c r="H3245" s="7" t="s">
        <v>869</v>
      </c>
      <c r="I3245" s="3" t="s">
        <v>5995</v>
      </c>
      <c r="J3245" s="5" t="s">
        <v>9547</v>
      </c>
      <c r="L3245" s="3" t="s">
        <v>5206</v>
      </c>
      <c r="M3245" s="3">
        <v>4</v>
      </c>
      <c r="N3245" s="4" t="s">
        <v>3351</v>
      </c>
      <c r="O3245" s="4">
        <v>174</v>
      </c>
      <c r="P3245" s="11" t="s">
        <v>10565</v>
      </c>
      <c r="Q3245" s="11" t="s">
        <v>3351</v>
      </c>
      <c r="S3245" s="4" t="b">
        <f>ISNUMBER(MATCH(Q3245,T:T,0))</f>
        <v>1</v>
      </c>
      <c r="T3245" s="4" t="s">
        <v>12618</v>
      </c>
      <c r="U3245" s="4" t="str">
        <f t="shared" si="145"/>
        <v>沃</v>
      </c>
    </row>
    <row r="3246" spans="1:21">
      <c r="A3246" s="3">
        <v>3238</v>
      </c>
      <c r="B3246" s="3" t="s">
        <v>3348</v>
      </c>
      <c r="C3246" s="3" t="s">
        <v>6083</v>
      </c>
      <c r="D3246" s="3" t="s">
        <v>5990</v>
      </c>
      <c r="E3246" s="3" t="s">
        <v>5991</v>
      </c>
      <c r="F3246" s="3" t="s">
        <v>6098</v>
      </c>
      <c r="G3246" s="3" t="s">
        <v>538</v>
      </c>
      <c r="H3246" s="3" t="s">
        <v>3367</v>
      </c>
      <c r="I3246" s="3" t="s">
        <v>5995</v>
      </c>
      <c r="J3246" s="5" t="s">
        <v>9548</v>
      </c>
      <c r="L3246" s="3" t="s">
        <v>2811</v>
      </c>
      <c r="M3246" s="3">
        <v>3</v>
      </c>
      <c r="N3246" s="4" t="s">
        <v>3351</v>
      </c>
      <c r="O3246" s="4">
        <v>174</v>
      </c>
      <c r="P3246" s="11" t="s">
        <v>9933</v>
      </c>
      <c r="Q3246" s="11" t="s">
        <v>10756</v>
      </c>
      <c r="S3246" s="4" t="b">
        <f>ISNUMBER(MATCH(Q3246,T:T,0))</f>
        <v>1</v>
      </c>
      <c r="T3246" s="4" t="s">
        <v>12619</v>
      </c>
      <c r="U3246" s="4" t="str">
        <f t="shared" si="145"/>
        <v>毒</v>
      </c>
    </row>
    <row r="3247" spans="1:21">
      <c r="A3247" s="3">
        <v>3239</v>
      </c>
      <c r="B3247" s="3" t="s">
        <v>3348</v>
      </c>
      <c r="C3247" s="3" t="s">
        <v>6049</v>
      </c>
      <c r="D3247" s="3" t="s">
        <v>5990</v>
      </c>
      <c r="E3247" s="3" t="s">
        <v>5991</v>
      </c>
      <c r="F3247" s="3" t="s">
        <v>6098</v>
      </c>
      <c r="G3247" s="3" t="s">
        <v>538</v>
      </c>
      <c r="H3247" s="3" t="s">
        <v>3368</v>
      </c>
      <c r="I3247" s="3" t="s">
        <v>5995</v>
      </c>
      <c r="J3247" s="5" t="s">
        <v>3369</v>
      </c>
      <c r="L3247" s="3" t="s">
        <v>2793</v>
      </c>
      <c r="M3247" s="3">
        <v>3</v>
      </c>
      <c r="N3247" s="4" t="s">
        <v>3351</v>
      </c>
      <c r="O3247" s="4">
        <v>174</v>
      </c>
      <c r="P3247" s="11" t="s">
        <v>9770</v>
      </c>
      <c r="Q3247" s="11" t="s">
        <v>3351</v>
      </c>
      <c r="S3247" s="4" t="b">
        <f>ISNUMBER(MATCH(Q3247,T:T,0))</f>
        <v>1</v>
      </c>
      <c r="T3247" s="4" t="s">
        <v>12620</v>
      </c>
      <c r="U3247" s="4" t="str">
        <f t="shared" si="145"/>
        <v>沃</v>
      </c>
    </row>
    <row r="3248" spans="1:21">
      <c r="A3248" s="3">
        <v>3240</v>
      </c>
      <c r="B3248" s="3" t="s">
        <v>3348</v>
      </c>
      <c r="C3248" s="3" t="s">
        <v>6058</v>
      </c>
      <c r="D3248" s="3" t="s">
        <v>5990</v>
      </c>
      <c r="E3248" s="3" t="s">
        <v>5991</v>
      </c>
      <c r="F3248" s="3" t="s">
        <v>6098</v>
      </c>
      <c r="G3248" s="3" t="s">
        <v>538</v>
      </c>
      <c r="H3248" s="3" t="s">
        <v>3370</v>
      </c>
      <c r="I3248" s="3" t="s">
        <v>5995</v>
      </c>
      <c r="J3248" s="5" t="s">
        <v>3371</v>
      </c>
      <c r="L3248" s="3" t="s">
        <v>5192</v>
      </c>
      <c r="M3248" s="3">
        <v>1</v>
      </c>
      <c r="N3248" s="4" t="s">
        <v>3351</v>
      </c>
      <c r="O3248" s="4">
        <v>174</v>
      </c>
      <c r="P3248" s="11" t="s">
        <v>9730</v>
      </c>
      <c r="Q3248" s="11" t="s">
        <v>10756</v>
      </c>
      <c r="S3248" s="4" t="b">
        <f>ISNUMBER(MATCH(Q3248,T:T,0))</f>
        <v>1</v>
      </c>
      <c r="T3248" s="4" t="s">
        <v>3371</v>
      </c>
      <c r="U3248" s="4" t="str">
        <f t="shared" si="145"/>
        <v>毒</v>
      </c>
    </row>
    <row r="3249" spans="1:22">
      <c r="A3249" s="3">
        <v>3241</v>
      </c>
      <c r="B3249" s="3" t="s">
        <v>3348</v>
      </c>
      <c r="C3249" s="3" t="s">
        <v>6092</v>
      </c>
      <c r="D3249" s="3" t="s">
        <v>5990</v>
      </c>
      <c r="E3249" s="3" t="s">
        <v>5991</v>
      </c>
      <c r="F3249" s="3" t="s">
        <v>6098</v>
      </c>
      <c r="G3249" s="3" t="s">
        <v>538</v>
      </c>
      <c r="H3249" s="3" t="s">
        <v>3372</v>
      </c>
      <c r="I3249" s="3" t="s">
        <v>5995</v>
      </c>
      <c r="J3249" s="5" t="s">
        <v>3373</v>
      </c>
      <c r="L3249" s="3" t="s">
        <v>5161</v>
      </c>
      <c r="M3249" s="3">
        <v>1</v>
      </c>
      <c r="N3249" s="4" t="s">
        <v>3351</v>
      </c>
      <c r="O3249" s="4">
        <v>174</v>
      </c>
      <c r="P3249" s="11" t="s">
        <v>9740</v>
      </c>
      <c r="Q3249" s="11" t="s">
        <v>3351</v>
      </c>
      <c r="S3249" s="4" t="b">
        <f>ISNUMBER(MATCH(Q3249,T:T,0))</f>
        <v>1</v>
      </c>
      <c r="T3249" s="4" t="s">
        <v>3373</v>
      </c>
      <c r="U3249" s="4" t="str">
        <f t="shared" si="145"/>
        <v>沃</v>
      </c>
    </row>
    <row r="3250" spans="1:22" ht="28.5">
      <c r="A3250" s="3">
        <v>3242</v>
      </c>
      <c r="B3250" s="3" t="s">
        <v>3374</v>
      </c>
      <c r="C3250" s="3" t="s">
        <v>6009</v>
      </c>
      <c r="D3250" s="3" t="s">
        <v>6001</v>
      </c>
      <c r="E3250" s="3" t="s">
        <v>5991</v>
      </c>
      <c r="F3250" s="3" t="s">
        <v>6117</v>
      </c>
      <c r="G3250" s="3" t="s">
        <v>538</v>
      </c>
      <c r="H3250" s="3" t="s">
        <v>3375</v>
      </c>
      <c r="I3250" s="3" t="s">
        <v>5995</v>
      </c>
      <c r="J3250" s="5" t="s">
        <v>9549</v>
      </c>
      <c r="K3250" s="3" t="s">
        <v>3376</v>
      </c>
      <c r="L3250" s="3" t="s">
        <v>3326</v>
      </c>
      <c r="M3250" s="3">
        <v>13</v>
      </c>
      <c r="N3250" s="4" t="s">
        <v>9680</v>
      </c>
      <c r="O3250" s="4">
        <v>175</v>
      </c>
      <c r="P3250" s="11" t="s">
        <v>6396</v>
      </c>
      <c r="Q3250" s="11" t="s">
        <v>10758</v>
      </c>
      <c r="S3250" s="4" t="b">
        <f>ISNUMBER(MATCH(Q3250,T:T,0))</f>
        <v>1</v>
      </c>
      <c r="T3250" s="4" t="s">
        <v>9680</v>
      </c>
      <c r="U3250" s="4" t="str">
        <f t="shared" si="145"/>
        <v>欲</v>
      </c>
    </row>
    <row r="3251" spans="1:22">
      <c r="A3251" s="3">
        <v>3243</v>
      </c>
      <c r="B3251" s="3" t="s">
        <v>3374</v>
      </c>
      <c r="C3251" s="3" t="s">
        <v>6092</v>
      </c>
      <c r="D3251" s="3" t="s">
        <v>6001</v>
      </c>
      <c r="E3251" s="3" t="s">
        <v>5991</v>
      </c>
      <c r="F3251" s="3" t="s">
        <v>6117</v>
      </c>
      <c r="G3251" s="3" t="s">
        <v>538</v>
      </c>
      <c r="H3251" s="3" t="s">
        <v>3377</v>
      </c>
      <c r="I3251" s="3" t="s">
        <v>5995</v>
      </c>
      <c r="J3251" s="5" t="s">
        <v>3378</v>
      </c>
      <c r="L3251" s="3" t="s">
        <v>1382</v>
      </c>
      <c r="M3251" s="3">
        <v>4</v>
      </c>
      <c r="N3251" s="4" t="s">
        <v>9680</v>
      </c>
      <c r="O3251" s="4">
        <v>175</v>
      </c>
      <c r="P3251" s="11" t="s">
        <v>6462</v>
      </c>
      <c r="Q3251" s="11" t="s">
        <v>10758</v>
      </c>
      <c r="S3251" s="4" t="b">
        <f>ISNUMBER(MATCH(Q3251,T:T,0))</f>
        <v>1</v>
      </c>
      <c r="T3251" s="4" t="s">
        <v>10741</v>
      </c>
      <c r="U3251" s="4" t="str">
        <f t="shared" si="145"/>
        <v>欲</v>
      </c>
    </row>
    <row r="3252" spans="1:22">
      <c r="A3252" s="3">
        <v>3244</v>
      </c>
      <c r="B3252" s="3" t="s">
        <v>3374</v>
      </c>
      <c r="C3252" s="3" t="s">
        <v>6089</v>
      </c>
      <c r="D3252" s="3" t="s">
        <v>6001</v>
      </c>
      <c r="E3252" s="3" t="s">
        <v>5991</v>
      </c>
      <c r="F3252" s="3" t="s">
        <v>6117</v>
      </c>
      <c r="G3252" s="3" t="s">
        <v>538</v>
      </c>
      <c r="H3252" s="3" t="s">
        <v>3379</v>
      </c>
      <c r="I3252" s="3" t="s">
        <v>5995</v>
      </c>
      <c r="J3252" s="5" t="s">
        <v>3380</v>
      </c>
      <c r="L3252" s="3" t="s">
        <v>5987</v>
      </c>
      <c r="M3252" s="3">
        <v>5</v>
      </c>
      <c r="N3252" s="4" t="s">
        <v>9680</v>
      </c>
      <c r="O3252" s="4">
        <v>175</v>
      </c>
      <c r="P3252" s="11" t="s">
        <v>9753</v>
      </c>
      <c r="Q3252" s="11" t="s">
        <v>10741</v>
      </c>
      <c r="S3252" s="4" t="b">
        <f>ISNUMBER(MATCH(Q3252,T:T,0))</f>
        <v>1</v>
      </c>
      <c r="T3252" s="4" t="s">
        <v>12621</v>
      </c>
      <c r="U3252" s="4" t="str">
        <f t="shared" si="145"/>
        <v>玉</v>
      </c>
    </row>
    <row r="3253" spans="1:22">
      <c r="A3253" s="3">
        <v>3245</v>
      </c>
      <c r="B3253" s="3" t="s">
        <v>3374</v>
      </c>
      <c r="C3253" s="3" t="s">
        <v>6025</v>
      </c>
      <c r="D3253" s="3" t="s">
        <v>6001</v>
      </c>
      <c r="E3253" s="3" t="s">
        <v>5991</v>
      </c>
      <c r="F3253" s="3" t="s">
        <v>6117</v>
      </c>
      <c r="G3253" s="3" t="s">
        <v>538</v>
      </c>
      <c r="H3253" s="3" t="s">
        <v>3381</v>
      </c>
      <c r="I3253" s="3" t="s">
        <v>5995</v>
      </c>
      <c r="J3253" s="5" t="s">
        <v>3382</v>
      </c>
      <c r="L3253" s="3" t="s">
        <v>2761</v>
      </c>
      <c r="M3253" s="3">
        <v>12</v>
      </c>
      <c r="N3253" s="4" t="s">
        <v>9680</v>
      </c>
      <c r="O3253" s="4">
        <v>175</v>
      </c>
      <c r="P3253" s="11" t="s">
        <v>9717</v>
      </c>
      <c r="Q3253" s="11" t="s">
        <v>10741</v>
      </c>
      <c r="S3253" s="4" t="b">
        <f>ISNUMBER(MATCH(Q3253,T:T,0))</f>
        <v>1</v>
      </c>
      <c r="T3253" s="4" t="s">
        <v>12622</v>
      </c>
      <c r="U3253" s="4" t="str">
        <f t="shared" si="145"/>
        <v>玉</v>
      </c>
    </row>
    <row r="3254" spans="1:22">
      <c r="A3254" s="3">
        <v>3246</v>
      </c>
      <c r="B3254" s="3" t="s">
        <v>3374</v>
      </c>
      <c r="C3254" s="3" t="s">
        <v>6041</v>
      </c>
      <c r="D3254" s="3" t="s">
        <v>6001</v>
      </c>
      <c r="E3254" s="3" t="s">
        <v>5991</v>
      </c>
      <c r="F3254" s="3" t="s">
        <v>6117</v>
      </c>
      <c r="G3254" s="3" t="s">
        <v>538</v>
      </c>
      <c r="H3254" s="3" t="s">
        <v>3383</v>
      </c>
      <c r="I3254" s="3" t="s">
        <v>5995</v>
      </c>
      <c r="J3254" s="5" t="s">
        <v>3384</v>
      </c>
      <c r="L3254" s="3" t="s">
        <v>3320</v>
      </c>
      <c r="M3254" s="3">
        <v>5</v>
      </c>
      <c r="N3254" s="4" t="s">
        <v>9680</v>
      </c>
      <c r="O3254" s="4">
        <v>175</v>
      </c>
      <c r="P3254" s="11" t="s">
        <v>9721</v>
      </c>
      <c r="Q3254" s="11" t="s">
        <v>10741</v>
      </c>
      <c r="S3254" s="4" t="b">
        <f>ISNUMBER(MATCH(Q3254,T:T,0))</f>
        <v>1</v>
      </c>
      <c r="T3254" s="4" t="s">
        <v>12623</v>
      </c>
      <c r="U3254" s="4" t="str">
        <f t="shared" si="145"/>
        <v>玉</v>
      </c>
    </row>
    <row r="3255" spans="1:22">
      <c r="A3255" s="3">
        <v>3247</v>
      </c>
      <c r="B3255" s="3" t="s">
        <v>3374</v>
      </c>
      <c r="C3255" s="3" t="s">
        <v>6148</v>
      </c>
      <c r="D3255" s="3" t="s">
        <v>6001</v>
      </c>
      <c r="E3255" s="3" t="s">
        <v>5991</v>
      </c>
      <c r="F3255" s="3" t="s">
        <v>6117</v>
      </c>
      <c r="G3255" s="3" t="s">
        <v>538</v>
      </c>
      <c r="H3255" s="3" t="s">
        <v>3385</v>
      </c>
      <c r="I3255" s="3" t="s">
        <v>5995</v>
      </c>
      <c r="J3255" s="5" t="s">
        <v>9550</v>
      </c>
      <c r="L3255" s="3" t="s">
        <v>3315</v>
      </c>
      <c r="M3255" s="3">
        <v>12</v>
      </c>
      <c r="N3255" s="4" t="s">
        <v>9680</v>
      </c>
      <c r="O3255" s="4">
        <v>175</v>
      </c>
      <c r="P3255" s="11" t="s">
        <v>9829</v>
      </c>
      <c r="Q3255" s="11" t="s">
        <v>10741</v>
      </c>
      <c r="S3255" s="4" t="b">
        <f>ISNUMBER(MATCH(Q3255,T:T,0))</f>
        <v>1</v>
      </c>
      <c r="T3255" s="4" t="s">
        <v>9762</v>
      </c>
      <c r="U3255" s="4" t="str">
        <f t="shared" si="145"/>
        <v>玉</v>
      </c>
    </row>
    <row r="3256" spans="1:22">
      <c r="A3256" s="3">
        <v>3248</v>
      </c>
      <c r="B3256" s="3" t="s">
        <v>3374</v>
      </c>
      <c r="C3256" s="3" t="s">
        <v>6055</v>
      </c>
      <c r="D3256" s="3" t="s">
        <v>6001</v>
      </c>
      <c r="E3256" s="3" t="s">
        <v>5991</v>
      </c>
      <c r="F3256" s="3" t="s">
        <v>6117</v>
      </c>
      <c r="G3256" s="3" t="s">
        <v>538</v>
      </c>
      <c r="H3256" s="3" t="s">
        <v>3386</v>
      </c>
      <c r="I3256" s="3" t="s">
        <v>5995</v>
      </c>
      <c r="J3256" s="5" t="s">
        <v>3387</v>
      </c>
      <c r="L3256" s="3" t="s">
        <v>2745</v>
      </c>
      <c r="M3256" s="3">
        <v>4</v>
      </c>
      <c r="N3256" s="4" t="s">
        <v>9680</v>
      </c>
      <c r="O3256" s="4">
        <v>175</v>
      </c>
      <c r="P3256" s="11" t="s">
        <v>9749</v>
      </c>
      <c r="Q3256" s="11" t="s">
        <v>10741</v>
      </c>
      <c r="S3256" s="4" t="b">
        <f>ISNUMBER(MATCH(Q3256,T:T,0))</f>
        <v>1</v>
      </c>
      <c r="T3256" s="4" t="s">
        <v>12624</v>
      </c>
      <c r="U3256" s="4" t="str">
        <f t="shared" si="145"/>
        <v>玉</v>
      </c>
    </row>
    <row r="3257" spans="1:22">
      <c r="A3257" s="3">
        <v>3249</v>
      </c>
      <c r="B3257" s="3" t="s">
        <v>3374</v>
      </c>
      <c r="C3257" s="3" t="s">
        <v>6021</v>
      </c>
      <c r="D3257" s="3" t="s">
        <v>6001</v>
      </c>
      <c r="E3257" s="3" t="s">
        <v>5991</v>
      </c>
      <c r="F3257" s="3" t="s">
        <v>6117</v>
      </c>
      <c r="G3257" s="3" t="s">
        <v>538</v>
      </c>
      <c r="H3257" s="3" t="s">
        <v>3388</v>
      </c>
      <c r="I3257" s="3" t="s">
        <v>5995</v>
      </c>
      <c r="J3257" s="5" t="s">
        <v>3389</v>
      </c>
      <c r="L3257" s="3" t="s">
        <v>1412</v>
      </c>
      <c r="M3257" s="3">
        <v>11</v>
      </c>
      <c r="N3257" s="4" t="s">
        <v>9680</v>
      </c>
      <c r="O3257" s="4">
        <v>175</v>
      </c>
      <c r="P3257" s="11" t="s">
        <v>9761</v>
      </c>
      <c r="Q3257" s="11" t="s">
        <v>9762</v>
      </c>
      <c r="S3257" s="4" t="b">
        <f>ISNUMBER(MATCH(Q3257,T:T,0))</f>
        <v>1</v>
      </c>
      <c r="T3257" s="4" t="s">
        <v>12625</v>
      </c>
      <c r="U3257" s="4" t="str">
        <f t="shared" si="145"/>
        <v>蜀</v>
      </c>
    </row>
    <row r="3258" spans="1:22">
      <c r="A3258" s="3">
        <v>3250</v>
      </c>
      <c r="B3258" s="3" t="s">
        <v>3374</v>
      </c>
      <c r="C3258" s="3" t="s">
        <v>6120</v>
      </c>
      <c r="D3258" s="3" t="s">
        <v>6001</v>
      </c>
      <c r="E3258" s="3" t="s">
        <v>5991</v>
      </c>
      <c r="F3258" s="3" t="s">
        <v>6117</v>
      </c>
      <c r="G3258" s="3" t="s">
        <v>538</v>
      </c>
      <c r="H3258" s="3" t="s">
        <v>3390</v>
      </c>
      <c r="I3258" s="3" t="s">
        <v>5995</v>
      </c>
      <c r="J3258" s="5" t="s">
        <v>3391</v>
      </c>
      <c r="L3258" s="3" t="s">
        <v>2786</v>
      </c>
      <c r="M3258" s="3">
        <v>2</v>
      </c>
      <c r="N3258" s="4" t="s">
        <v>9680</v>
      </c>
      <c r="O3258" s="4">
        <v>175</v>
      </c>
      <c r="P3258" s="11" t="s">
        <v>6120</v>
      </c>
      <c r="Q3258" s="11" t="s">
        <v>10741</v>
      </c>
      <c r="S3258" s="4" t="b">
        <f>ISNUMBER(MATCH(Q3258,T:T,0))</f>
        <v>1</v>
      </c>
      <c r="T3258" s="4" t="s">
        <v>12626</v>
      </c>
      <c r="U3258" s="4" t="str">
        <f t="shared" si="145"/>
        <v>玉</v>
      </c>
    </row>
    <row r="3259" spans="1:22">
      <c r="A3259" s="3">
        <v>3251</v>
      </c>
      <c r="B3259" s="3" t="s">
        <v>3374</v>
      </c>
      <c r="C3259" s="3" t="s">
        <v>6028</v>
      </c>
      <c r="D3259" s="3" t="s">
        <v>6001</v>
      </c>
      <c r="E3259" s="3" t="s">
        <v>5991</v>
      </c>
      <c r="F3259" s="3" t="s">
        <v>6117</v>
      </c>
      <c r="G3259" s="3" t="s">
        <v>538</v>
      </c>
      <c r="H3259" s="3" t="s">
        <v>3392</v>
      </c>
      <c r="I3259" s="3" t="s">
        <v>5995</v>
      </c>
      <c r="J3259" s="5" t="s">
        <v>3393</v>
      </c>
      <c r="L3259" s="3" t="s">
        <v>1382</v>
      </c>
      <c r="M3259" s="3">
        <v>9</v>
      </c>
      <c r="N3259" s="4" t="s">
        <v>9680</v>
      </c>
      <c r="O3259" s="4">
        <v>175</v>
      </c>
      <c r="P3259" s="11" t="s">
        <v>9850</v>
      </c>
      <c r="Q3259" s="11" t="s">
        <v>9762</v>
      </c>
      <c r="S3259" s="4" t="b">
        <f>ISNUMBER(MATCH(Q3259,T:T,0))</f>
        <v>1</v>
      </c>
      <c r="T3259" s="4" t="s">
        <v>10758</v>
      </c>
      <c r="U3259" s="4" t="str">
        <f t="shared" si="145"/>
        <v>蜀</v>
      </c>
    </row>
    <row r="3260" spans="1:22">
      <c r="A3260" s="3">
        <v>3252</v>
      </c>
      <c r="B3260" s="3" t="s">
        <v>3374</v>
      </c>
      <c r="C3260" s="3" t="s">
        <v>6005</v>
      </c>
      <c r="D3260" s="3" t="s">
        <v>6001</v>
      </c>
      <c r="E3260" s="3" t="s">
        <v>5991</v>
      </c>
      <c r="F3260" s="3" t="s">
        <v>6117</v>
      </c>
      <c r="G3260" s="3" t="s">
        <v>538</v>
      </c>
      <c r="H3260" s="3" t="s">
        <v>870</v>
      </c>
      <c r="I3260" s="3" t="s">
        <v>5995</v>
      </c>
      <c r="J3260" s="5" t="s">
        <v>3394</v>
      </c>
      <c r="L3260" s="3" t="s">
        <v>3311</v>
      </c>
      <c r="M3260" s="3">
        <v>3</v>
      </c>
      <c r="N3260" s="4" t="s">
        <v>9680</v>
      </c>
      <c r="O3260" s="4">
        <v>175</v>
      </c>
      <c r="P3260" s="11" t="s">
        <v>9709</v>
      </c>
      <c r="Q3260" s="11" t="s">
        <v>10759</v>
      </c>
      <c r="R3260" s="4" t="s">
        <v>13175</v>
      </c>
      <c r="S3260" s="4" t="b">
        <f>ISNUMBER(MATCH(Q3260,T:T,0))</f>
        <v>0</v>
      </c>
      <c r="T3260" s="4" t="s">
        <v>12627</v>
      </c>
      <c r="U3260" s="4" t="str">
        <f t="shared" si="145"/>
        <v>綠</v>
      </c>
      <c r="V3260" s="4" t="b">
        <f>ISNUMBER(MATCH(R3260,T:T,0))</f>
        <v>1</v>
      </c>
    </row>
    <row r="3261" spans="1:22" ht="39">
      <c r="A3261" s="3">
        <v>3253</v>
      </c>
      <c r="B3261" s="3" t="s">
        <v>3374</v>
      </c>
      <c r="C3261" s="3" t="s">
        <v>6058</v>
      </c>
      <c r="D3261" s="3" t="s">
        <v>6001</v>
      </c>
      <c r="E3261" s="3" t="s">
        <v>5991</v>
      </c>
      <c r="F3261" s="3" t="s">
        <v>6117</v>
      </c>
      <c r="G3261" s="3" t="s">
        <v>538</v>
      </c>
      <c r="H3261" s="3" t="s">
        <v>3395</v>
      </c>
      <c r="I3261" s="3" t="s">
        <v>5995</v>
      </c>
      <c r="J3261" s="5" t="s">
        <v>9551</v>
      </c>
      <c r="L3261" s="3" t="s">
        <v>1385</v>
      </c>
      <c r="M3261" s="3">
        <v>17</v>
      </c>
      <c r="N3261" s="4" t="s">
        <v>9680</v>
      </c>
      <c r="O3261" s="4">
        <v>175</v>
      </c>
      <c r="P3261" s="11" t="s">
        <v>9727</v>
      </c>
      <c r="Q3261" s="11" t="s">
        <v>10741</v>
      </c>
      <c r="S3261" s="4" t="b">
        <f>ISNUMBER(MATCH(Q3261,T:T,0))</f>
        <v>1</v>
      </c>
      <c r="T3261" s="4" t="s">
        <v>12628</v>
      </c>
      <c r="U3261" s="4" t="str">
        <f t="shared" si="145"/>
        <v>玉</v>
      </c>
    </row>
    <row r="3262" spans="1:22">
      <c r="A3262" s="3">
        <v>3254</v>
      </c>
      <c r="B3262" s="3" t="s">
        <v>3374</v>
      </c>
      <c r="C3262" s="3" t="s">
        <v>6038</v>
      </c>
      <c r="D3262" s="3" t="s">
        <v>6001</v>
      </c>
      <c r="E3262" s="3" t="s">
        <v>5991</v>
      </c>
      <c r="F3262" s="3" t="s">
        <v>6117</v>
      </c>
      <c r="G3262" s="3" t="s">
        <v>538</v>
      </c>
      <c r="H3262" s="3" t="s">
        <v>3396</v>
      </c>
      <c r="I3262" s="3" t="s">
        <v>5995</v>
      </c>
      <c r="J3262" s="5" t="s">
        <v>9552</v>
      </c>
      <c r="L3262" s="3" t="s">
        <v>2829</v>
      </c>
      <c r="M3262" s="3">
        <v>4</v>
      </c>
      <c r="N3262" s="4" t="s">
        <v>9680</v>
      </c>
      <c r="O3262" s="4">
        <v>175</v>
      </c>
      <c r="P3262" s="11" t="s">
        <v>9825</v>
      </c>
      <c r="Q3262" s="11" t="s">
        <v>10741</v>
      </c>
      <c r="S3262" s="4" t="b">
        <f>ISNUMBER(MATCH(Q3262,T:T,0))</f>
        <v>1</v>
      </c>
      <c r="T3262" s="4" t="s">
        <v>9767</v>
      </c>
      <c r="U3262" s="4" t="str">
        <f t="shared" si="145"/>
        <v>玉</v>
      </c>
    </row>
    <row r="3263" spans="1:22">
      <c r="A3263" s="3">
        <v>3255</v>
      </c>
      <c r="B3263" s="3" t="s">
        <v>3374</v>
      </c>
      <c r="C3263" s="3" t="s">
        <v>6000</v>
      </c>
      <c r="D3263" s="3" t="s">
        <v>6001</v>
      </c>
      <c r="E3263" s="3" t="s">
        <v>5991</v>
      </c>
      <c r="F3263" s="3" t="s">
        <v>6117</v>
      </c>
      <c r="G3263" s="3" t="s">
        <v>538</v>
      </c>
      <c r="H3263" s="3" t="s">
        <v>3397</v>
      </c>
      <c r="I3263" s="3" t="s">
        <v>5995</v>
      </c>
      <c r="J3263" s="5" t="s">
        <v>3398</v>
      </c>
      <c r="L3263" s="3" t="s">
        <v>3326</v>
      </c>
      <c r="M3263" s="3">
        <v>7</v>
      </c>
      <c r="N3263" s="4" t="s">
        <v>9680</v>
      </c>
      <c r="O3263" s="4">
        <v>175</v>
      </c>
      <c r="P3263" s="11" t="s">
        <v>9707</v>
      </c>
      <c r="Q3263" s="11" t="s">
        <v>10741</v>
      </c>
      <c r="S3263" s="4" t="b">
        <f>ISNUMBER(MATCH(Q3263,T:T,0))</f>
        <v>1</v>
      </c>
      <c r="T3263" s="4" t="s">
        <v>12629</v>
      </c>
      <c r="U3263" s="4" t="str">
        <f t="shared" si="145"/>
        <v>玉</v>
      </c>
    </row>
    <row r="3264" spans="1:22">
      <c r="A3264" s="3">
        <v>3256</v>
      </c>
      <c r="B3264" s="3" t="s">
        <v>3374</v>
      </c>
      <c r="C3264" s="3" t="s">
        <v>6083</v>
      </c>
      <c r="D3264" s="3" t="s">
        <v>6001</v>
      </c>
      <c r="E3264" s="3" t="s">
        <v>5991</v>
      </c>
      <c r="F3264" s="3" t="s">
        <v>6117</v>
      </c>
      <c r="G3264" s="3" t="s">
        <v>538</v>
      </c>
      <c r="H3264" s="3" t="s">
        <v>3399</v>
      </c>
      <c r="I3264" s="3" t="s">
        <v>5995</v>
      </c>
      <c r="J3264" s="5" t="s">
        <v>3400</v>
      </c>
      <c r="L3264" s="3" t="s">
        <v>2811</v>
      </c>
      <c r="M3264" s="3">
        <v>2</v>
      </c>
      <c r="N3264" s="4" t="s">
        <v>9680</v>
      </c>
      <c r="O3264" s="4">
        <v>175</v>
      </c>
      <c r="P3264" s="11" t="s">
        <v>9760</v>
      </c>
      <c r="Q3264" s="11" t="s">
        <v>10741</v>
      </c>
      <c r="S3264" s="4" t="b">
        <f>ISNUMBER(MATCH(Q3264,T:T,0))</f>
        <v>1</v>
      </c>
      <c r="T3264" s="4" t="s">
        <v>10760</v>
      </c>
      <c r="U3264" s="4" t="str">
        <f t="shared" si="145"/>
        <v>玉</v>
      </c>
    </row>
    <row r="3265" spans="1:22">
      <c r="A3265" s="3">
        <v>3257</v>
      </c>
      <c r="B3265" s="3" t="s">
        <v>3374</v>
      </c>
      <c r="C3265" s="3" t="s">
        <v>3093</v>
      </c>
      <c r="D3265" s="3" t="s">
        <v>6001</v>
      </c>
      <c r="E3265" s="3" t="s">
        <v>5991</v>
      </c>
      <c r="F3265" s="3" t="s">
        <v>6117</v>
      </c>
      <c r="G3265" s="3" t="s">
        <v>538</v>
      </c>
      <c r="H3265" s="3" t="s">
        <v>3401</v>
      </c>
      <c r="I3265" s="3" t="s">
        <v>5995</v>
      </c>
      <c r="J3265" s="5" t="s">
        <v>3402</v>
      </c>
      <c r="L3265" s="3" t="s">
        <v>3315</v>
      </c>
      <c r="M3265" s="3">
        <v>3</v>
      </c>
      <c r="N3265" s="4" t="s">
        <v>9680</v>
      </c>
      <c r="O3265" s="4">
        <v>175</v>
      </c>
      <c r="P3265" s="11" t="s">
        <v>10211</v>
      </c>
      <c r="Q3265" s="11" t="s">
        <v>9762</v>
      </c>
      <c r="S3265" s="4" t="b">
        <f>ISNUMBER(MATCH(Q3265,T:T,0))</f>
        <v>1</v>
      </c>
      <c r="T3265" s="4" t="s">
        <v>12630</v>
      </c>
      <c r="U3265" s="4" t="str">
        <f t="shared" si="145"/>
        <v>蜀</v>
      </c>
    </row>
    <row r="3266" spans="1:22">
      <c r="A3266" s="3">
        <v>3258</v>
      </c>
      <c r="B3266" s="3" t="s">
        <v>3374</v>
      </c>
      <c r="C3266" s="3" t="s">
        <v>6045</v>
      </c>
      <c r="D3266" s="3" t="s">
        <v>6001</v>
      </c>
      <c r="E3266" s="3" t="s">
        <v>5991</v>
      </c>
      <c r="F3266" s="3" t="s">
        <v>6117</v>
      </c>
      <c r="G3266" s="3" t="s">
        <v>538</v>
      </c>
      <c r="H3266" s="3" t="s">
        <v>3403</v>
      </c>
      <c r="I3266" s="3" t="s">
        <v>5995</v>
      </c>
      <c r="J3266" s="8" t="s">
        <v>9553</v>
      </c>
      <c r="L3266" s="3" t="s">
        <v>2769</v>
      </c>
      <c r="M3266" s="3">
        <v>2</v>
      </c>
      <c r="N3266" s="4" t="s">
        <v>9680</v>
      </c>
      <c r="O3266" s="4">
        <v>175</v>
      </c>
      <c r="P3266" s="11" t="s">
        <v>9722</v>
      </c>
      <c r="Q3266" s="11" t="s">
        <v>10741</v>
      </c>
      <c r="S3266" s="4" t="b">
        <f>ISNUMBER(MATCH(Q3266,T:T,0))</f>
        <v>1</v>
      </c>
      <c r="T3266" s="4" t="s">
        <v>12631</v>
      </c>
      <c r="U3266" s="4" t="str">
        <f t="shared" si="145"/>
        <v>玉</v>
      </c>
    </row>
    <row r="3267" spans="1:22">
      <c r="A3267" s="3">
        <v>3259</v>
      </c>
      <c r="B3267" s="3" t="s">
        <v>3374</v>
      </c>
      <c r="C3267" s="3" t="s">
        <v>6076</v>
      </c>
      <c r="D3267" s="3" t="s">
        <v>6001</v>
      </c>
      <c r="E3267" s="3" t="s">
        <v>5991</v>
      </c>
      <c r="F3267" s="3" t="s">
        <v>6117</v>
      </c>
      <c r="G3267" s="3" t="s">
        <v>538</v>
      </c>
      <c r="H3267" s="3" t="s">
        <v>3404</v>
      </c>
      <c r="I3267" s="3" t="s">
        <v>5995</v>
      </c>
      <c r="J3267" s="5" t="s">
        <v>9554</v>
      </c>
      <c r="K3267" s="3" t="s">
        <v>3405</v>
      </c>
      <c r="L3267" s="3" t="s">
        <v>2832</v>
      </c>
      <c r="M3267" s="3">
        <v>6</v>
      </c>
      <c r="N3267" s="4" t="s">
        <v>9680</v>
      </c>
      <c r="O3267" s="4">
        <v>175</v>
      </c>
      <c r="P3267" s="11" t="s">
        <v>9766</v>
      </c>
      <c r="Q3267" s="11" t="s">
        <v>10741</v>
      </c>
      <c r="S3267" s="4" t="b">
        <f>ISNUMBER(MATCH(Q3267,T:T,0))</f>
        <v>1</v>
      </c>
      <c r="T3267" s="4" t="s">
        <v>12632</v>
      </c>
      <c r="U3267" s="4" t="str">
        <f t="shared" ref="U3267:U3330" si="146">IF(ISBLANK(R3267),Q3267,R3267)</f>
        <v>玉</v>
      </c>
    </row>
    <row r="3268" spans="1:22">
      <c r="A3268" s="3">
        <v>3260</v>
      </c>
      <c r="B3268" s="3" t="s">
        <v>3374</v>
      </c>
      <c r="C3268" s="3" t="s">
        <v>6123</v>
      </c>
      <c r="D3268" s="3" t="s">
        <v>6001</v>
      </c>
      <c r="E3268" s="3" t="s">
        <v>5991</v>
      </c>
      <c r="F3268" s="3" t="s">
        <v>6117</v>
      </c>
      <c r="G3268" s="3" t="s">
        <v>538</v>
      </c>
      <c r="H3268" s="3" t="s">
        <v>3406</v>
      </c>
      <c r="I3268" s="3" t="s">
        <v>5995</v>
      </c>
      <c r="J3268" s="5" t="s">
        <v>3407</v>
      </c>
      <c r="L3268" s="3" t="s">
        <v>3408</v>
      </c>
      <c r="M3268" s="3">
        <v>4</v>
      </c>
      <c r="N3268" s="4" t="s">
        <v>9680</v>
      </c>
      <c r="O3268" s="4">
        <v>175</v>
      </c>
      <c r="P3268" s="11" t="s">
        <v>9833</v>
      </c>
      <c r="Q3268" s="11" t="s">
        <v>10760</v>
      </c>
      <c r="S3268" s="4" t="b">
        <f>ISNUMBER(MATCH(Q3268,T:T,0))</f>
        <v>1</v>
      </c>
      <c r="T3268" s="4" t="s">
        <v>12633</v>
      </c>
      <c r="U3268" s="4" t="str">
        <f t="shared" si="146"/>
        <v>足</v>
      </c>
    </row>
    <row r="3269" spans="1:22">
      <c r="A3269" s="3">
        <v>3261</v>
      </c>
      <c r="B3269" s="3" t="s">
        <v>3374</v>
      </c>
      <c r="C3269" s="3" t="s">
        <v>6017</v>
      </c>
      <c r="D3269" s="3" t="s">
        <v>6001</v>
      </c>
      <c r="E3269" s="3" t="s">
        <v>5991</v>
      </c>
      <c r="F3269" s="3" t="s">
        <v>6117</v>
      </c>
      <c r="G3269" s="3" t="s">
        <v>538</v>
      </c>
      <c r="H3269" s="3" t="s">
        <v>3409</v>
      </c>
      <c r="I3269" s="3" t="s">
        <v>5995</v>
      </c>
      <c r="J3269" s="5" t="s">
        <v>3410</v>
      </c>
      <c r="L3269" s="3" t="s">
        <v>2817</v>
      </c>
      <c r="M3269" s="3">
        <v>7</v>
      </c>
      <c r="N3269" s="4" t="s">
        <v>9680</v>
      </c>
      <c r="O3269" s="4">
        <v>175</v>
      </c>
      <c r="P3269" s="11" t="s">
        <v>2555</v>
      </c>
      <c r="Q3269" s="11" t="s">
        <v>10741</v>
      </c>
      <c r="S3269" s="4" t="b">
        <f>ISNUMBER(MATCH(Q3269,T:T,0))</f>
        <v>1</v>
      </c>
      <c r="T3269" s="4" t="s">
        <v>12634</v>
      </c>
      <c r="U3269" s="4" t="str">
        <f t="shared" si="146"/>
        <v>玉</v>
      </c>
    </row>
    <row r="3270" spans="1:22">
      <c r="A3270" s="3">
        <v>3262</v>
      </c>
      <c r="B3270" s="3" t="s">
        <v>3374</v>
      </c>
      <c r="C3270" s="3" t="s">
        <v>6049</v>
      </c>
      <c r="D3270" s="3" t="s">
        <v>6001</v>
      </c>
      <c r="E3270" s="3" t="s">
        <v>5991</v>
      </c>
      <c r="F3270" s="3" t="s">
        <v>6117</v>
      </c>
      <c r="G3270" s="3" t="s">
        <v>538</v>
      </c>
      <c r="H3270" s="3" t="s">
        <v>3411</v>
      </c>
      <c r="I3270" s="3" t="s">
        <v>5995</v>
      </c>
      <c r="J3270" s="5" t="s">
        <v>3412</v>
      </c>
      <c r="L3270" s="3" t="s">
        <v>3305</v>
      </c>
      <c r="M3270" s="3">
        <v>1</v>
      </c>
      <c r="N3270" s="4" t="s">
        <v>9680</v>
      </c>
      <c r="O3270" s="4">
        <v>175</v>
      </c>
      <c r="P3270" s="11" t="s">
        <v>9751</v>
      </c>
      <c r="Q3270" s="11" t="s">
        <v>9767</v>
      </c>
      <c r="S3270" s="4" t="b">
        <f>ISNUMBER(MATCH(Q3270,T:T,0))</f>
        <v>1</v>
      </c>
      <c r="T3270" s="4" t="s">
        <v>3412</v>
      </c>
      <c r="U3270" s="4" t="str">
        <f t="shared" si="146"/>
        <v>曲</v>
      </c>
    </row>
    <row r="3271" spans="1:22">
      <c r="A3271" s="3">
        <v>3263</v>
      </c>
      <c r="B3271" s="3" t="s">
        <v>3374</v>
      </c>
      <c r="C3271" s="3" t="s">
        <v>6011</v>
      </c>
      <c r="D3271" s="3" t="s">
        <v>6001</v>
      </c>
      <c r="E3271" s="3" t="s">
        <v>5991</v>
      </c>
      <c r="F3271" s="3" t="s">
        <v>6117</v>
      </c>
      <c r="G3271" s="3" t="s">
        <v>538</v>
      </c>
      <c r="H3271" s="3" t="s">
        <v>3413</v>
      </c>
      <c r="I3271" s="3" t="s">
        <v>5995</v>
      </c>
      <c r="J3271" s="5" t="s">
        <v>3414</v>
      </c>
      <c r="L3271" s="3" t="s">
        <v>2745</v>
      </c>
      <c r="M3271" s="3">
        <v>7</v>
      </c>
      <c r="N3271" s="4" t="s">
        <v>9680</v>
      </c>
      <c r="O3271" s="4">
        <v>175</v>
      </c>
      <c r="P3271" s="11" t="s">
        <v>9757</v>
      </c>
      <c r="Q3271" s="11" t="s">
        <v>10741</v>
      </c>
      <c r="S3271" s="4" t="b">
        <f>ISNUMBER(MATCH(Q3271,T:T,0))</f>
        <v>1</v>
      </c>
      <c r="T3271" s="4" t="s">
        <v>12635</v>
      </c>
      <c r="U3271" s="4" t="str">
        <f t="shared" si="146"/>
        <v>玉</v>
      </c>
    </row>
    <row r="3272" spans="1:22" ht="39">
      <c r="A3272" s="3">
        <v>3264</v>
      </c>
      <c r="B3272" s="3" t="s">
        <v>3415</v>
      </c>
      <c r="C3272" s="3" t="s">
        <v>6025</v>
      </c>
      <c r="D3272" s="3" t="s">
        <v>6157</v>
      </c>
      <c r="E3272" s="3" t="s">
        <v>5991</v>
      </c>
      <c r="F3272" s="3" t="s">
        <v>6158</v>
      </c>
      <c r="G3272" s="3" t="s">
        <v>538</v>
      </c>
      <c r="H3272" s="3" t="s">
        <v>3416</v>
      </c>
      <c r="I3272" s="3" t="s">
        <v>6158</v>
      </c>
      <c r="J3272" s="5" t="s">
        <v>9555</v>
      </c>
      <c r="L3272" s="3" t="s">
        <v>3417</v>
      </c>
      <c r="M3272" s="3">
        <v>18</v>
      </c>
      <c r="N3272" s="4" t="s">
        <v>3418</v>
      </c>
      <c r="O3272" s="4">
        <v>176</v>
      </c>
      <c r="P3272" s="11" t="s">
        <v>9729</v>
      </c>
      <c r="Q3272" s="11" t="s">
        <v>10761</v>
      </c>
      <c r="R3272" s="4" t="s">
        <v>13176</v>
      </c>
      <c r="S3272" s="4" t="b">
        <f>ISNUMBER(MATCH(Q3272,T:T,0))</f>
        <v>0</v>
      </c>
      <c r="T3272" s="4" t="s">
        <v>3418</v>
      </c>
      <c r="U3272" s="4" t="str">
        <f t="shared" si="146"/>
        <v>嶽</v>
      </c>
      <c r="V3272" s="4" t="b">
        <f t="shared" ref="V3272:V3287" si="147">ISNUMBER(MATCH(R3272,T:T,0))</f>
        <v>1</v>
      </c>
    </row>
    <row r="3273" spans="1:22">
      <c r="A3273" s="3">
        <v>3265</v>
      </c>
      <c r="B3273" s="3" t="s">
        <v>3415</v>
      </c>
      <c r="C3273" s="3" t="s">
        <v>6092</v>
      </c>
      <c r="D3273" s="3" t="s">
        <v>6157</v>
      </c>
      <c r="E3273" s="3" t="s">
        <v>5991</v>
      </c>
      <c r="F3273" s="3" t="s">
        <v>6158</v>
      </c>
      <c r="G3273" s="3" t="s">
        <v>538</v>
      </c>
      <c r="H3273" s="3" t="s">
        <v>3419</v>
      </c>
      <c r="I3273" s="3" t="s">
        <v>6158</v>
      </c>
      <c r="J3273" s="5" t="s">
        <v>9556</v>
      </c>
      <c r="L3273" s="3" t="s">
        <v>3420</v>
      </c>
      <c r="M3273" s="3">
        <v>8</v>
      </c>
      <c r="N3273" s="4" t="s">
        <v>3418</v>
      </c>
      <c r="O3273" s="4">
        <v>176</v>
      </c>
      <c r="P3273" s="11" t="s">
        <v>9740</v>
      </c>
      <c r="Q3273" s="11" t="s">
        <v>10762</v>
      </c>
      <c r="R3273" s="4" t="s">
        <v>13177</v>
      </c>
      <c r="S3273" s="4" t="b">
        <f>ISNUMBER(MATCH(Q3273,T:T,0))</f>
        <v>0</v>
      </c>
      <c r="T3273" s="4" t="s">
        <v>12636</v>
      </c>
      <c r="U3273" s="4" t="str">
        <f t="shared" si="146"/>
        <v>覺</v>
      </c>
      <c r="V3273" s="4" t="b">
        <f t="shared" si="147"/>
        <v>1</v>
      </c>
    </row>
    <row r="3274" spans="1:22" ht="28.5">
      <c r="A3274" s="3">
        <v>3266</v>
      </c>
      <c r="B3274" s="3" t="s">
        <v>3415</v>
      </c>
      <c r="C3274" s="3" t="s">
        <v>6015</v>
      </c>
      <c r="D3274" s="3" t="s">
        <v>6157</v>
      </c>
      <c r="E3274" s="3" t="s">
        <v>5991</v>
      </c>
      <c r="F3274" s="3" t="s">
        <v>6158</v>
      </c>
      <c r="G3274" s="3" t="s">
        <v>538</v>
      </c>
      <c r="H3274" s="3" t="s">
        <v>3421</v>
      </c>
      <c r="I3274" s="3" t="s">
        <v>6158</v>
      </c>
      <c r="J3274" s="5" t="s">
        <v>9557</v>
      </c>
      <c r="K3274" s="3" t="s">
        <v>636</v>
      </c>
      <c r="L3274" s="3" t="s">
        <v>3422</v>
      </c>
      <c r="M3274" s="3">
        <v>12</v>
      </c>
      <c r="N3274" s="4" t="s">
        <v>3418</v>
      </c>
      <c r="O3274" s="4">
        <v>176</v>
      </c>
      <c r="P3274" s="11" t="s">
        <v>9777</v>
      </c>
      <c r="Q3274" s="11" t="s">
        <v>10762</v>
      </c>
      <c r="R3274" s="4" t="s">
        <v>13177</v>
      </c>
      <c r="S3274" s="4" t="b">
        <f>ISNUMBER(MATCH(Q3274,T:T,0))</f>
        <v>0</v>
      </c>
      <c r="T3274" s="4" t="s">
        <v>12637</v>
      </c>
      <c r="U3274" s="4" t="str">
        <f t="shared" si="146"/>
        <v>覺</v>
      </c>
      <c r="V3274" s="4" t="b">
        <f t="shared" si="147"/>
        <v>1</v>
      </c>
    </row>
    <row r="3275" spans="1:22">
      <c r="A3275" s="3">
        <v>3267</v>
      </c>
      <c r="B3275" s="3" t="s">
        <v>3415</v>
      </c>
      <c r="C3275" s="3" t="s">
        <v>6318</v>
      </c>
      <c r="D3275" s="3" t="s">
        <v>6157</v>
      </c>
      <c r="E3275" s="3" t="s">
        <v>5991</v>
      </c>
      <c r="F3275" s="3" t="s">
        <v>6158</v>
      </c>
      <c r="G3275" s="3" t="s">
        <v>538</v>
      </c>
      <c r="H3275" s="3" t="s">
        <v>3423</v>
      </c>
      <c r="I3275" s="3" t="s">
        <v>6158</v>
      </c>
      <c r="J3275" s="5" t="s">
        <v>3424</v>
      </c>
      <c r="L3275" s="3" t="s">
        <v>3425</v>
      </c>
      <c r="M3275" s="3">
        <v>7</v>
      </c>
      <c r="N3275" s="4" t="s">
        <v>3418</v>
      </c>
      <c r="O3275" s="4">
        <v>176</v>
      </c>
      <c r="P3275" s="11" t="s">
        <v>9804</v>
      </c>
      <c r="Q3275" s="11" t="s">
        <v>10762</v>
      </c>
      <c r="R3275" s="4" t="s">
        <v>13177</v>
      </c>
      <c r="S3275" s="4" t="b">
        <f>ISNUMBER(MATCH(Q3275,T:T,0))</f>
        <v>0</v>
      </c>
      <c r="T3275" s="4" t="s">
        <v>12638</v>
      </c>
      <c r="U3275" s="4" t="str">
        <f t="shared" si="146"/>
        <v>覺</v>
      </c>
      <c r="V3275" s="4" t="b">
        <f t="shared" si="147"/>
        <v>1</v>
      </c>
    </row>
    <row r="3276" spans="1:22">
      <c r="A3276" s="3">
        <v>3268</v>
      </c>
      <c r="B3276" s="3" t="s">
        <v>3415</v>
      </c>
      <c r="C3276" s="3" t="s">
        <v>6180</v>
      </c>
      <c r="D3276" s="3" t="s">
        <v>6157</v>
      </c>
      <c r="E3276" s="3" t="s">
        <v>5991</v>
      </c>
      <c r="F3276" s="3" t="s">
        <v>6158</v>
      </c>
      <c r="G3276" s="3" t="s">
        <v>538</v>
      </c>
      <c r="H3276" s="3" t="s">
        <v>3426</v>
      </c>
      <c r="I3276" s="3" t="s">
        <v>6158</v>
      </c>
      <c r="J3276" s="5" t="s">
        <v>9558</v>
      </c>
      <c r="L3276" s="3" t="s">
        <v>3427</v>
      </c>
      <c r="M3276" s="3">
        <v>12</v>
      </c>
      <c r="N3276" s="4" t="s">
        <v>3418</v>
      </c>
      <c r="O3276" s="4">
        <v>176</v>
      </c>
      <c r="P3276" s="11" t="s">
        <v>9774</v>
      </c>
      <c r="Q3276" s="11" t="s">
        <v>10762</v>
      </c>
      <c r="R3276" s="4" t="s">
        <v>13177</v>
      </c>
      <c r="S3276" s="4" t="b">
        <f>ISNUMBER(MATCH(Q3276,T:T,0))</f>
        <v>0</v>
      </c>
      <c r="T3276" s="4" t="s">
        <v>12639</v>
      </c>
      <c r="U3276" s="4" t="str">
        <f t="shared" si="146"/>
        <v>覺</v>
      </c>
      <c r="V3276" s="4" t="b">
        <f t="shared" si="147"/>
        <v>1</v>
      </c>
    </row>
    <row r="3277" spans="1:22" ht="39">
      <c r="A3277" s="3">
        <v>3269</v>
      </c>
      <c r="B3277" s="3" t="s">
        <v>3415</v>
      </c>
      <c r="C3277" s="3" t="s">
        <v>6000</v>
      </c>
      <c r="D3277" s="3" t="s">
        <v>6157</v>
      </c>
      <c r="E3277" s="3" t="s">
        <v>5991</v>
      </c>
      <c r="F3277" s="3" t="s">
        <v>6158</v>
      </c>
      <c r="G3277" s="3" t="s">
        <v>538</v>
      </c>
      <c r="H3277" s="3" t="s">
        <v>3428</v>
      </c>
      <c r="I3277" s="3" t="s">
        <v>6158</v>
      </c>
      <c r="J3277" s="5" t="s">
        <v>9559</v>
      </c>
      <c r="L3277" s="3" t="s">
        <v>3425</v>
      </c>
      <c r="M3277" s="3">
        <v>19</v>
      </c>
      <c r="N3277" s="4" t="s">
        <v>3418</v>
      </c>
      <c r="O3277" s="4">
        <v>176</v>
      </c>
      <c r="P3277" s="11" t="s">
        <v>9803</v>
      </c>
      <c r="Q3277" s="11" t="s">
        <v>10762</v>
      </c>
      <c r="R3277" s="4" t="s">
        <v>13177</v>
      </c>
      <c r="S3277" s="4" t="b">
        <f>ISNUMBER(MATCH(Q3277,T:T,0))</f>
        <v>0</v>
      </c>
      <c r="T3277" s="4" t="s">
        <v>9913</v>
      </c>
      <c r="U3277" s="4" t="str">
        <f t="shared" si="146"/>
        <v>覺</v>
      </c>
      <c r="V3277" s="4" t="b">
        <f t="shared" si="147"/>
        <v>1</v>
      </c>
    </row>
    <row r="3278" spans="1:22">
      <c r="A3278" s="3">
        <v>3270</v>
      </c>
      <c r="B3278" s="3" t="s">
        <v>3415</v>
      </c>
      <c r="C3278" s="3" t="s">
        <v>6049</v>
      </c>
      <c r="D3278" s="3" t="s">
        <v>6157</v>
      </c>
      <c r="E3278" s="3" t="s">
        <v>5991</v>
      </c>
      <c r="F3278" s="3" t="s">
        <v>6158</v>
      </c>
      <c r="G3278" s="3" t="s">
        <v>538</v>
      </c>
      <c r="H3278" s="3" t="s">
        <v>3429</v>
      </c>
      <c r="I3278" s="3" t="s">
        <v>6158</v>
      </c>
      <c r="J3278" s="5" t="s">
        <v>9560</v>
      </c>
      <c r="L3278" s="3" t="s">
        <v>2792</v>
      </c>
      <c r="M3278" s="3">
        <v>14</v>
      </c>
      <c r="N3278" s="4" t="s">
        <v>3418</v>
      </c>
      <c r="O3278" s="4">
        <v>176</v>
      </c>
      <c r="P3278" s="11" t="s">
        <v>9979</v>
      </c>
      <c r="Q3278" s="11" t="s">
        <v>10762</v>
      </c>
      <c r="R3278" s="4" t="s">
        <v>13177</v>
      </c>
      <c r="S3278" s="4" t="b">
        <f>ISNUMBER(MATCH(Q3278,T:T,0))</f>
        <v>0</v>
      </c>
      <c r="T3278" s="4" t="s">
        <v>12640</v>
      </c>
      <c r="U3278" s="4" t="str">
        <f t="shared" si="146"/>
        <v>覺</v>
      </c>
      <c r="V3278" s="4" t="b">
        <f t="shared" si="147"/>
        <v>1</v>
      </c>
    </row>
    <row r="3279" spans="1:22">
      <c r="A3279" s="3">
        <v>3271</v>
      </c>
      <c r="B3279" s="3" t="s">
        <v>3415</v>
      </c>
      <c r="C3279" s="3" t="s">
        <v>6035</v>
      </c>
      <c r="D3279" s="3" t="s">
        <v>6157</v>
      </c>
      <c r="E3279" s="3" t="s">
        <v>5991</v>
      </c>
      <c r="F3279" s="3" t="s">
        <v>6158</v>
      </c>
      <c r="G3279" s="3" t="s">
        <v>538</v>
      </c>
      <c r="H3279" s="3" t="s">
        <v>3430</v>
      </c>
      <c r="I3279" s="3" t="s">
        <v>6158</v>
      </c>
      <c r="J3279" s="5" t="s">
        <v>9561</v>
      </c>
      <c r="L3279" s="3" t="s">
        <v>2415</v>
      </c>
      <c r="M3279" s="3">
        <v>9</v>
      </c>
      <c r="N3279" s="4" t="s">
        <v>3418</v>
      </c>
      <c r="O3279" s="4">
        <v>176</v>
      </c>
      <c r="P3279" s="11" t="s">
        <v>9719</v>
      </c>
      <c r="Q3279" s="11" t="s">
        <v>10762</v>
      </c>
      <c r="R3279" s="4" t="s">
        <v>13177</v>
      </c>
      <c r="S3279" s="4" t="b">
        <f>ISNUMBER(MATCH(Q3279,T:T,0))</f>
        <v>0</v>
      </c>
      <c r="T3279" s="4" t="s">
        <v>12641</v>
      </c>
      <c r="U3279" s="4" t="str">
        <f t="shared" si="146"/>
        <v>覺</v>
      </c>
      <c r="V3279" s="4" t="b">
        <f t="shared" si="147"/>
        <v>1</v>
      </c>
    </row>
    <row r="3280" spans="1:22" ht="39">
      <c r="A3280" s="3">
        <v>3272</v>
      </c>
      <c r="B3280" s="3" t="s">
        <v>3415</v>
      </c>
      <c r="C3280" s="3" t="s">
        <v>6045</v>
      </c>
      <c r="D3280" s="3" t="s">
        <v>6157</v>
      </c>
      <c r="E3280" s="3" t="s">
        <v>5991</v>
      </c>
      <c r="F3280" s="3" t="s">
        <v>6158</v>
      </c>
      <c r="G3280" s="3" t="s">
        <v>538</v>
      </c>
      <c r="H3280" s="3" t="s">
        <v>3431</v>
      </c>
      <c r="I3280" s="3" t="s">
        <v>6158</v>
      </c>
      <c r="J3280" s="5" t="s">
        <v>9562</v>
      </c>
      <c r="K3280" s="3" t="s">
        <v>637</v>
      </c>
      <c r="L3280" s="3" t="s">
        <v>3432</v>
      </c>
      <c r="M3280" s="3">
        <v>20</v>
      </c>
      <c r="N3280" s="4" t="s">
        <v>3418</v>
      </c>
      <c r="O3280" s="4">
        <v>176</v>
      </c>
      <c r="P3280" s="11" t="s">
        <v>9965</v>
      </c>
      <c r="Q3280" s="11" t="s">
        <v>10762</v>
      </c>
      <c r="R3280" s="4" t="s">
        <v>13177</v>
      </c>
      <c r="S3280" s="4" t="b">
        <f>ISNUMBER(MATCH(Q3280,T:T,0))</f>
        <v>0</v>
      </c>
      <c r="T3280" s="4" t="s">
        <v>12642</v>
      </c>
      <c r="U3280" s="4" t="str">
        <f t="shared" si="146"/>
        <v>覺</v>
      </c>
      <c r="V3280" s="4" t="b">
        <f t="shared" si="147"/>
        <v>1</v>
      </c>
    </row>
    <row r="3281" spans="1:22">
      <c r="A3281" s="3">
        <v>3273</v>
      </c>
      <c r="B3281" s="3" t="s">
        <v>3415</v>
      </c>
      <c r="C3281" s="3" t="s">
        <v>6053</v>
      </c>
      <c r="D3281" s="3" t="s">
        <v>6157</v>
      </c>
      <c r="E3281" s="3" t="s">
        <v>5991</v>
      </c>
      <c r="F3281" s="3" t="s">
        <v>6158</v>
      </c>
      <c r="G3281" s="3" t="s">
        <v>538</v>
      </c>
      <c r="H3281" s="3" t="s">
        <v>3433</v>
      </c>
      <c r="I3281" s="3" t="s">
        <v>6158</v>
      </c>
      <c r="J3281" s="5" t="s">
        <v>9563</v>
      </c>
      <c r="L3281" s="3" t="s">
        <v>2825</v>
      </c>
      <c r="M3281" s="3">
        <v>15</v>
      </c>
      <c r="N3281" s="4" t="s">
        <v>3418</v>
      </c>
      <c r="O3281" s="4">
        <v>176</v>
      </c>
      <c r="P3281" s="11" t="s">
        <v>9772</v>
      </c>
      <c r="Q3281" s="11" t="s">
        <v>10762</v>
      </c>
      <c r="R3281" s="4" t="s">
        <v>13177</v>
      </c>
      <c r="S3281" s="4" t="b">
        <f>ISNUMBER(MATCH(Q3281,T:T,0))</f>
        <v>0</v>
      </c>
      <c r="T3281" s="4" t="s">
        <v>12643</v>
      </c>
      <c r="U3281" s="4" t="str">
        <f t="shared" si="146"/>
        <v>覺</v>
      </c>
      <c r="V3281" s="4" t="b">
        <f t="shared" si="147"/>
        <v>1</v>
      </c>
    </row>
    <row r="3282" spans="1:22" ht="39">
      <c r="A3282" s="3">
        <v>3274</v>
      </c>
      <c r="B3282" s="3" t="s">
        <v>3415</v>
      </c>
      <c r="C3282" s="3" t="s">
        <v>6038</v>
      </c>
      <c r="D3282" s="3" t="s">
        <v>6157</v>
      </c>
      <c r="E3282" s="3" t="s">
        <v>5991</v>
      </c>
      <c r="F3282" s="3" t="s">
        <v>6158</v>
      </c>
      <c r="G3282" s="3" t="s">
        <v>538</v>
      </c>
      <c r="H3282" s="3" t="s">
        <v>3434</v>
      </c>
      <c r="I3282" s="3" t="s">
        <v>6158</v>
      </c>
      <c r="J3282" s="5" t="s">
        <v>9564</v>
      </c>
      <c r="K3282" s="3" t="s">
        <v>638</v>
      </c>
      <c r="L3282" s="3" t="s">
        <v>2895</v>
      </c>
      <c r="M3282" s="3">
        <v>19</v>
      </c>
      <c r="N3282" s="4" t="s">
        <v>3418</v>
      </c>
      <c r="O3282" s="4">
        <v>176</v>
      </c>
      <c r="P3282" s="11" t="s">
        <v>9728</v>
      </c>
      <c r="Q3282" s="11" t="s">
        <v>10762</v>
      </c>
      <c r="R3282" s="4" t="s">
        <v>13177</v>
      </c>
      <c r="S3282" s="4" t="b">
        <f>ISNUMBER(MATCH(Q3282,T:T,0))</f>
        <v>0</v>
      </c>
      <c r="T3282" s="4" t="s">
        <v>12644</v>
      </c>
      <c r="U3282" s="4" t="str">
        <f t="shared" si="146"/>
        <v>覺</v>
      </c>
      <c r="V3282" s="4" t="b">
        <f t="shared" si="147"/>
        <v>1</v>
      </c>
    </row>
    <row r="3283" spans="1:22">
      <c r="A3283" s="3">
        <v>3275</v>
      </c>
      <c r="B3283" s="3" t="s">
        <v>3415</v>
      </c>
      <c r="C3283" s="3" t="s">
        <v>6005</v>
      </c>
      <c r="D3283" s="3" t="s">
        <v>6157</v>
      </c>
      <c r="E3283" s="3" t="s">
        <v>5991</v>
      </c>
      <c r="F3283" s="3" t="s">
        <v>6158</v>
      </c>
      <c r="G3283" s="3" t="s">
        <v>538</v>
      </c>
      <c r="H3283" s="3" t="s">
        <v>3435</v>
      </c>
      <c r="I3283" s="3" t="s">
        <v>6158</v>
      </c>
      <c r="J3283" s="5" t="s">
        <v>3436</v>
      </c>
      <c r="L3283" s="3" t="s">
        <v>3422</v>
      </c>
      <c r="M3283" s="3">
        <v>16</v>
      </c>
      <c r="N3283" s="4" t="s">
        <v>3418</v>
      </c>
      <c r="O3283" s="4">
        <v>176</v>
      </c>
      <c r="P3283" s="11" t="s">
        <v>9709</v>
      </c>
      <c r="Q3283" s="11" t="s">
        <v>10762</v>
      </c>
      <c r="R3283" s="4" t="s">
        <v>13177</v>
      </c>
      <c r="S3283" s="4" t="b">
        <f>ISNUMBER(MATCH(Q3283,T:T,0))</f>
        <v>0</v>
      </c>
      <c r="T3283" s="4" t="s">
        <v>12645</v>
      </c>
      <c r="U3283" s="4" t="str">
        <f t="shared" si="146"/>
        <v>覺</v>
      </c>
      <c r="V3283" s="4" t="b">
        <f t="shared" si="147"/>
        <v>1</v>
      </c>
    </row>
    <row r="3284" spans="1:22">
      <c r="A3284" s="3">
        <v>3276</v>
      </c>
      <c r="B3284" s="3" t="s">
        <v>3415</v>
      </c>
      <c r="C3284" s="3" t="s">
        <v>6072</v>
      </c>
      <c r="D3284" s="3" t="s">
        <v>6157</v>
      </c>
      <c r="E3284" s="3" t="s">
        <v>5991</v>
      </c>
      <c r="F3284" s="3" t="s">
        <v>6158</v>
      </c>
      <c r="G3284" s="3" t="s">
        <v>538</v>
      </c>
      <c r="H3284" s="3" t="s">
        <v>3437</v>
      </c>
      <c r="I3284" s="3" t="s">
        <v>6158</v>
      </c>
      <c r="J3284" s="5" t="s">
        <v>9565</v>
      </c>
      <c r="L3284" s="3" t="s">
        <v>3438</v>
      </c>
      <c r="M3284" s="3">
        <v>17</v>
      </c>
      <c r="N3284" s="4" t="s">
        <v>3418</v>
      </c>
      <c r="O3284" s="4">
        <v>176</v>
      </c>
      <c r="P3284" s="11" t="s">
        <v>9754</v>
      </c>
      <c r="Q3284" s="11" t="s">
        <v>10762</v>
      </c>
      <c r="R3284" s="4" t="s">
        <v>13177</v>
      </c>
      <c r="S3284" s="4" t="b">
        <f>ISNUMBER(MATCH(Q3284,T:T,0))</f>
        <v>0</v>
      </c>
      <c r="T3284" s="4" t="s">
        <v>9775</v>
      </c>
      <c r="U3284" s="4" t="str">
        <f t="shared" si="146"/>
        <v>覺</v>
      </c>
      <c r="V3284" s="4" t="b">
        <f t="shared" si="147"/>
        <v>1</v>
      </c>
    </row>
    <row r="3285" spans="1:22">
      <c r="A3285" s="3">
        <v>3277</v>
      </c>
      <c r="B3285" s="3" t="s">
        <v>3415</v>
      </c>
      <c r="C3285" s="3" t="s">
        <v>6137</v>
      </c>
      <c r="D3285" s="3" t="s">
        <v>6157</v>
      </c>
      <c r="E3285" s="3" t="s">
        <v>5991</v>
      </c>
      <c r="F3285" s="3" t="s">
        <v>6158</v>
      </c>
      <c r="G3285" s="3" t="s">
        <v>538</v>
      </c>
      <c r="H3285" s="3" t="s">
        <v>3439</v>
      </c>
      <c r="I3285" s="3" t="s">
        <v>6158</v>
      </c>
      <c r="J3285" s="5" t="s">
        <v>9566</v>
      </c>
      <c r="L3285" s="3" t="s">
        <v>2396</v>
      </c>
      <c r="M3285" s="3">
        <v>6</v>
      </c>
      <c r="N3285" s="4" t="s">
        <v>3418</v>
      </c>
      <c r="O3285" s="4">
        <v>176</v>
      </c>
      <c r="P3285" s="11" t="s">
        <v>9755</v>
      </c>
      <c r="Q3285" s="11" t="s">
        <v>10762</v>
      </c>
      <c r="R3285" s="4" t="s">
        <v>13177</v>
      </c>
      <c r="S3285" s="4" t="b">
        <f>ISNUMBER(MATCH(Q3285,T:T,0))</f>
        <v>0</v>
      </c>
      <c r="T3285" s="4" t="s">
        <v>12646</v>
      </c>
      <c r="U3285" s="4" t="str">
        <f t="shared" si="146"/>
        <v>覺</v>
      </c>
      <c r="V3285" s="4" t="b">
        <f t="shared" si="147"/>
        <v>1</v>
      </c>
    </row>
    <row r="3286" spans="1:22">
      <c r="A3286" s="3">
        <v>3278</v>
      </c>
      <c r="B3286" s="3" t="s">
        <v>3415</v>
      </c>
      <c r="C3286" s="3" t="s">
        <v>6011</v>
      </c>
      <c r="D3286" s="3" t="s">
        <v>6157</v>
      </c>
      <c r="E3286" s="3" t="s">
        <v>5991</v>
      </c>
      <c r="F3286" s="3" t="s">
        <v>6158</v>
      </c>
      <c r="G3286" s="3" t="s">
        <v>538</v>
      </c>
      <c r="H3286" s="3" t="s">
        <v>3440</v>
      </c>
      <c r="I3286" s="3" t="s">
        <v>6158</v>
      </c>
      <c r="J3286" s="5" t="s">
        <v>9567</v>
      </c>
      <c r="L3286" s="3" t="s">
        <v>3441</v>
      </c>
      <c r="M3286" s="3">
        <v>5</v>
      </c>
      <c r="N3286" s="4" t="s">
        <v>3418</v>
      </c>
      <c r="O3286" s="4">
        <v>176</v>
      </c>
      <c r="P3286" s="11" t="s">
        <v>9711</v>
      </c>
      <c r="Q3286" s="11" t="s">
        <v>10762</v>
      </c>
      <c r="R3286" s="4" t="s">
        <v>13177</v>
      </c>
      <c r="S3286" s="4" t="b">
        <f>ISNUMBER(MATCH(Q3286,T:T,0))</f>
        <v>0</v>
      </c>
      <c r="T3286" s="4" t="s">
        <v>12647</v>
      </c>
      <c r="U3286" s="4" t="str">
        <f t="shared" si="146"/>
        <v>覺</v>
      </c>
      <c r="V3286" s="4" t="b">
        <f t="shared" si="147"/>
        <v>1</v>
      </c>
    </row>
    <row r="3287" spans="1:22">
      <c r="A3287" s="3">
        <v>3279</v>
      </c>
      <c r="B3287" s="3" t="s">
        <v>3415</v>
      </c>
      <c r="C3287" s="3" t="s">
        <v>6058</v>
      </c>
      <c r="D3287" s="3" t="s">
        <v>6157</v>
      </c>
      <c r="E3287" s="3" t="s">
        <v>5991</v>
      </c>
      <c r="F3287" s="3" t="s">
        <v>6158</v>
      </c>
      <c r="G3287" s="3" t="s">
        <v>538</v>
      </c>
      <c r="H3287" s="3" t="s">
        <v>3442</v>
      </c>
      <c r="I3287" s="3" t="s">
        <v>6158</v>
      </c>
      <c r="J3287" s="5" t="s">
        <v>3443</v>
      </c>
      <c r="L3287" s="3" t="s">
        <v>2387</v>
      </c>
      <c r="M3287" s="3">
        <v>3</v>
      </c>
      <c r="N3287" s="4" t="s">
        <v>3418</v>
      </c>
      <c r="O3287" s="4">
        <v>176</v>
      </c>
      <c r="P3287" s="11" t="s">
        <v>9773</v>
      </c>
      <c r="Q3287" s="11" t="s">
        <v>10762</v>
      </c>
      <c r="R3287" s="4" t="s">
        <v>13177</v>
      </c>
      <c r="S3287" s="4" t="b">
        <f>ISNUMBER(MATCH(Q3287,T:T,0))</f>
        <v>0</v>
      </c>
      <c r="T3287" s="4" t="s">
        <v>12648</v>
      </c>
      <c r="U3287" s="4" t="str">
        <f t="shared" si="146"/>
        <v>覺</v>
      </c>
      <c r="V3287" s="4" t="b">
        <f t="shared" si="147"/>
        <v>1</v>
      </c>
    </row>
    <row r="3288" spans="1:22">
      <c r="A3288" s="3">
        <v>3280</v>
      </c>
      <c r="B3288" s="3" t="s">
        <v>3415</v>
      </c>
      <c r="C3288" s="3" t="s">
        <v>6067</v>
      </c>
      <c r="D3288" s="3" t="s">
        <v>6157</v>
      </c>
      <c r="E3288" s="3" t="s">
        <v>5991</v>
      </c>
      <c r="F3288" s="3" t="s">
        <v>6158</v>
      </c>
      <c r="G3288" s="3" t="s">
        <v>538</v>
      </c>
      <c r="H3288" s="3" t="s">
        <v>3444</v>
      </c>
      <c r="I3288" s="3" t="s">
        <v>6158</v>
      </c>
      <c r="J3288" s="5" t="s">
        <v>3445</v>
      </c>
      <c r="L3288" s="3" t="s">
        <v>3446</v>
      </c>
      <c r="M3288" s="3">
        <v>9</v>
      </c>
      <c r="N3288" s="4" t="s">
        <v>3418</v>
      </c>
      <c r="O3288" s="4">
        <v>176</v>
      </c>
      <c r="P3288" s="11" t="s">
        <v>9870</v>
      </c>
      <c r="Q3288" s="11" t="s">
        <v>3418</v>
      </c>
      <c r="S3288" s="4" t="b">
        <f>ISNUMBER(MATCH(Q3288,T:T,0))</f>
        <v>1</v>
      </c>
      <c r="T3288" s="4" t="s">
        <v>12649</v>
      </c>
      <c r="U3288" s="4" t="str">
        <f t="shared" si="146"/>
        <v>覺</v>
      </c>
    </row>
    <row r="3289" spans="1:22">
      <c r="A3289" s="3">
        <v>3281</v>
      </c>
      <c r="B3289" s="3" t="s">
        <v>3415</v>
      </c>
      <c r="C3289" s="3" t="s">
        <v>6089</v>
      </c>
      <c r="D3289" s="3" t="s">
        <v>6157</v>
      </c>
      <c r="E3289" s="3" t="s">
        <v>5991</v>
      </c>
      <c r="F3289" s="3" t="s">
        <v>6158</v>
      </c>
      <c r="G3289" s="3" t="s">
        <v>538</v>
      </c>
      <c r="H3289" s="3" t="s">
        <v>3447</v>
      </c>
      <c r="I3289" s="3" t="s">
        <v>6158</v>
      </c>
      <c r="J3289" s="5" t="s">
        <v>9568</v>
      </c>
      <c r="L3289" s="3" t="s">
        <v>3448</v>
      </c>
      <c r="M3289" s="3">
        <v>10</v>
      </c>
      <c r="N3289" s="4" t="s">
        <v>3418</v>
      </c>
      <c r="O3289" s="4">
        <v>176</v>
      </c>
      <c r="P3289" s="11" t="s">
        <v>9753</v>
      </c>
      <c r="Q3289" s="11" t="s">
        <v>10762</v>
      </c>
      <c r="R3289" s="4" t="s">
        <v>13177</v>
      </c>
      <c r="S3289" s="4" t="b">
        <f>ISNUMBER(MATCH(Q3289,T:T,0))</f>
        <v>0</v>
      </c>
      <c r="T3289" s="4" t="s">
        <v>12650</v>
      </c>
      <c r="U3289" s="4" t="str">
        <f t="shared" si="146"/>
        <v>覺</v>
      </c>
      <c r="V3289" s="4" t="b">
        <f t="shared" ref="V3289:V3290" si="148">ISNUMBER(MATCH(R3289,T:T,0))</f>
        <v>1</v>
      </c>
    </row>
    <row r="3290" spans="1:22">
      <c r="A3290" s="3">
        <v>3282</v>
      </c>
      <c r="B3290" s="3" t="s">
        <v>3415</v>
      </c>
      <c r="C3290" s="3" t="s">
        <v>6167</v>
      </c>
      <c r="D3290" s="3" t="s">
        <v>6157</v>
      </c>
      <c r="E3290" s="3" t="s">
        <v>5991</v>
      </c>
      <c r="F3290" s="3" t="s">
        <v>6158</v>
      </c>
      <c r="G3290" s="3" t="s">
        <v>538</v>
      </c>
      <c r="H3290" s="3" t="s">
        <v>3449</v>
      </c>
      <c r="I3290" s="3" t="s">
        <v>6158</v>
      </c>
      <c r="J3290" s="5" t="s">
        <v>3450</v>
      </c>
      <c r="L3290" s="3" t="s">
        <v>3441</v>
      </c>
      <c r="M3290" s="3">
        <v>8</v>
      </c>
      <c r="N3290" s="4" t="s">
        <v>3418</v>
      </c>
      <c r="O3290" s="4">
        <v>176</v>
      </c>
      <c r="P3290" s="11" t="s">
        <v>9855</v>
      </c>
      <c r="Q3290" s="11" t="s">
        <v>10762</v>
      </c>
      <c r="R3290" s="4" t="s">
        <v>13177</v>
      </c>
      <c r="S3290" s="4" t="b">
        <f>ISNUMBER(MATCH(Q3290,T:T,0))</f>
        <v>0</v>
      </c>
      <c r="T3290" s="4" t="s">
        <v>12651</v>
      </c>
      <c r="U3290" s="4" t="str">
        <f t="shared" si="146"/>
        <v>覺</v>
      </c>
      <c r="V3290" s="4" t="b">
        <f t="shared" si="148"/>
        <v>1</v>
      </c>
    </row>
    <row r="3291" spans="1:22">
      <c r="A3291" s="3">
        <v>3283</v>
      </c>
      <c r="B3291" s="3" t="s">
        <v>3451</v>
      </c>
      <c r="C3291" s="3" t="s">
        <v>6009</v>
      </c>
      <c r="D3291" s="3" t="s">
        <v>6001</v>
      </c>
      <c r="E3291" s="3" t="s">
        <v>5991</v>
      </c>
      <c r="F3291" s="7" t="s">
        <v>688</v>
      </c>
      <c r="G3291" s="3" t="s">
        <v>538</v>
      </c>
      <c r="H3291" s="3" t="s">
        <v>3452</v>
      </c>
      <c r="I3291" s="3" t="s">
        <v>3079</v>
      </c>
      <c r="J3291" s="5" t="s">
        <v>9569</v>
      </c>
      <c r="L3291" s="3" t="s">
        <v>3453</v>
      </c>
      <c r="M3291" s="3">
        <v>15</v>
      </c>
      <c r="N3291" s="4" t="s">
        <v>3454</v>
      </c>
      <c r="O3291" s="4">
        <v>177</v>
      </c>
      <c r="P3291" s="11" t="s">
        <v>6396</v>
      </c>
      <c r="Q3291" s="11" t="s">
        <v>6021</v>
      </c>
      <c r="S3291" s="4" t="b">
        <f>ISNUMBER(MATCH(Q3291,T:T,0))</f>
        <v>1</v>
      </c>
      <c r="T3291" s="4" t="s">
        <v>3454</v>
      </c>
      <c r="U3291" s="4" t="str">
        <f t="shared" si="146"/>
        <v>日</v>
      </c>
    </row>
    <row r="3292" spans="1:22">
      <c r="A3292" s="3">
        <v>3284</v>
      </c>
      <c r="B3292" s="3" t="s">
        <v>3451</v>
      </c>
      <c r="C3292" s="3" t="s">
        <v>6021</v>
      </c>
      <c r="D3292" s="3" t="s">
        <v>6001</v>
      </c>
      <c r="E3292" s="3" t="s">
        <v>5991</v>
      </c>
      <c r="F3292" s="7" t="s">
        <v>688</v>
      </c>
      <c r="G3292" s="3" t="s">
        <v>538</v>
      </c>
      <c r="H3292" s="3" t="s">
        <v>3455</v>
      </c>
      <c r="I3292" s="3" t="s">
        <v>3079</v>
      </c>
      <c r="J3292" s="5" t="s">
        <v>3456</v>
      </c>
      <c r="L3292" s="3" t="s">
        <v>3457</v>
      </c>
      <c r="M3292" s="3">
        <v>5</v>
      </c>
      <c r="N3292" s="4" t="s">
        <v>3454</v>
      </c>
      <c r="O3292" s="4">
        <v>177</v>
      </c>
      <c r="P3292" s="11" t="s">
        <v>9798</v>
      </c>
      <c r="Q3292" s="11" t="s">
        <v>3454</v>
      </c>
      <c r="S3292" s="4" t="b">
        <f>ISNUMBER(MATCH(Q3292,T:T,0))</f>
        <v>1</v>
      </c>
      <c r="T3292" s="4" t="s">
        <v>6021</v>
      </c>
      <c r="U3292" s="4" t="str">
        <f t="shared" si="146"/>
        <v>質</v>
      </c>
    </row>
    <row r="3293" spans="1:22">
      <c r="A3293" s="3">
        <v>3285</v>
      </c>
      <c r="B3293" s="3" t="s">
        <v>3451</v>
      </c>
      <c r="C3293" s="3" t="s">
        <v>3093</v>
      </c>
      <c r="D3293" s="3" t="s">
        <v>6001</v>
      </c>
      <c r="E3293" s="3" t="s">
        <v>5991</v>
      </c>
      <c r="F3293" s="7" t="s">
        <v>688</v>
      </c>
      <c r="G3293" s="3" t="s">
        <v>538</v>
      </c>
      <c r="H3293" s="3" t="s">
        <v>3458</v>
      </c>
      <c r="I3293" s="3" t="s">
        <v>3079</v>
      </c>
      <c r="J3293" s="5" t="s">
        <v>3459</v>
      </c>
      <c r="L3293" s="3" t="s">
        <v>3460</v>
      </c>
      <c r="M3293" s="3">
        <v>1</v>
      </c>
      <c r="N3293" s="4" t="s">
        <v>3454</v>
      </c>
      <c r="O3293" s="4">
        <v>177</v>
      </c>
      <c r="P3293" s="11" t="s">
        <v>10211</v>
      </c>
      <c r="Q3293" s="11" t="s">
        <v>3454</v>
      </c>
      <c r="S3293" s="4" t="b">
        <f>ISNUMBER(MATCH(Q3293,T:T,0))</f>
        <v>1</v>
      </c>
      <c r="T3293" s="4" t="s">
        <v>3459</v>
      </c>
      <c r="U3293" s="4" t="str">
        <f t="shared" si="146"/>
        <v>質</v>
      </c>
    </row>
    <row r="3294" spans="1:22">
      <c r="A3294" s="3">
        <v>3286</v>
      </c>
      <c r="B3294" s="3" t="s">
        <v>3451</v>
      </c>
      <c r="C3294" s="3" t="s">
        <v>6005</v>
      </c>
      <c r="D3294" s="3" t="s">
        <v>6001</v>
      </c>
      <c r="E3294" s="3" t="s">
        <v>5991</v>
      </c>
      <c r="F3294" s="7" t="s">
        <v>689</v>
      </c>
      <c r="G3294" s="3" t="s">
        <v>538</v>
      </c>
      <c r="H3294" s="3" t="s">
        <v>3461</v>
      </c>
      <c r="I3294" s="3" t="s">
        <v>3079</v>
      </c>
      <c r="J3294" s="5" t="s">
        <v>9570</v>
      </c>
      <c r="L3294" s="3" t="s">
        <v>3462</v>
      </c>
      <c r="M3294" s="3">
        <v>12</v>
      </c>
      <c r="N3294" s="4" t="s">
        <v>3454</v>
      </c>
      <c r="O3294" s="4">
        <v>177</v>
      </c>
      <c r="P3294" s="11" t="s">
        <v>9709</v>
      </c>
      <c r="Q3294" s="11" t="s">
        <v>5990</v>
      </c>
      <c r="S3294" s="4" t="b">
        <f>ISNUMBER(MATCH(Q3294,T:T,0))</f>
        <v>1</v>
      </c>
      <c r="T3294" s="4" t="s">
        <v>12652</v>
      </c>
      <c r="U3294" s="4" t="str">
        <f t="shared" si="146"/>
        <v>一</v>
      </c>
    </row>
    <row r="3295" spans="1:22">
      <c r="A3295" s="3">
        <v>3287</v>
      </c>
      <c r="B3295" s="3" t="s">
        <v>3451</v>
      </c>
      <c r="C3295" s="3" t="s">
        <v>6017</v>
      </c>
      <c r="D3295" s="3" t="s">
        <v>6001</v>
      </c>
      <c r="E3295" s="3" t="s">
        <v>5991</v>
      </c>
      <c r="F3295" s="7" t="s">
        <v>688</v>
      </c>
      <c r="G3295" s="3" t="s">
        <v>538</v>
      </c>
      <c r="H3295" s="3" t="s">
        <v>3463</v>
      </c>
      <c r="I3295" s="3" t="s">
        <v>3079</v>
      </c>
      <c r="J3295" s="5" t="s">
        <v>9571</v>
      </c>
      <c r="L3295" s="3" t="s">
        <v>6394</v>
      </c>
      <c r="M3295" s="3">
        <v>9</v>
      </c>
      <c r="N3295" s="4" t="s">
        <v>3454</v>
      </c>
      <c r="O3295" s="4">
        <v>177</v>
      </c>
      <c r="P3295" s="11" t="s">
        <v>9714</v>
      </c>
      <c r="Q3295" s="11" t="s">
        <v>9766</v>
      </c>
      <c r="S3295" s="4" t="b">
        <f>ISNUMBER(MATCH(Q3295,T:T,0))</f>
        <v>1</v>
      </c>
      <c r="T3295" s="4" t="s">
        <v>10364</v>
      </c>
      <c r="U3295" s="4" t="str">
        <f t="shared" si="146"/>
        <v>七</v>
      </c>
    </row>
    <row r="3296" spans="1:22">
      <c r="A3296" s="3">
        <v>3288</v>
      </c>
      <c r="B3296" s="3" t="s">
        <v>3451</v>
      </c>
      <c r="C3296" s="3" t="s">
        <v>6072</v>
      </c>
      <c r="D3296" s="3" t="s">
        <v>6001</v>
      </c>
      <c r="E3296" s="3" t="s">
        <v>5991</v>
      </c>
      <c r="F3296" s="7" t="s">
        <v>688</v>
      </c>
      <c r="G3296" s="3" t="s">
        <v>538</v>
      </c>
      <c r="H3296" s="3" t="s">
        <v>3464</v>
      </c>
      <c r="I3296" s="3" t="s">
        <v>3079</v>
      </c>
      <c r="J3296" s="5" t="s">
        <v>9572</v>
      </c>
      <c r="L3296" s="3" t="s">
        <v>6377</v>
      </c>
      <c r="M3296" s="3">
        <v>3</v>
      </c>
      <c r="N3296" s="4" t="s">
        <v>3454</v>
      </c>
      <c r="O3296" s="4">
        <v>177</v>
      </c>
      <c r="P3296" s="11" t="s">
        <v>9754</v>
      </c>
      <c r="Q3296" s="11" t="s">
        <v>10364</v>
      </c>
      <c r="S3296" s="4" t="b">
        <f>ISNUMBER(MATCH(Q3296,T:T,0))</f>
        <v>1</v>
      </c>
      <c r="T3296" s="4" t="s">
        <v>5990</v>
      </c>
      <c r="U3296" s="4" t="str">
        <f t="shared" si="146"/>
        <v>悉</v>
      </c>
    </row>
    <row r="3297" spans="1:22" ht="42.75">
      <c r="A3297" s="3">
        <v>3289</v>
      </c>
      <c r="B3297" s="3" t="s">
        <v>3451</v>
      </c>
      <c r="C3297" s="3" t="s">
        <v>6076</v>
      </c>
      <c r="D3297" s="3" t="s">
        <v>6001</v>
      </c>
      <c r="E3297" s="3" t="s">
        <v>5991</v>
      </c>
      <c r="F3297" s="7" t="s">
        <v>688</v>
      </c>
      <c r="G3297" s="3" t="s">
        <v>538</v>
      </c>
      <c r="H3297" s="3" t="s">
        <v>3465</v>
      </c>
      <c r="I3297" s="3" t="s">
        <v>3079</v>
      </c>
      <c r="J3297" s="5" t="s">
        <v>3466</v>
      </c>
      <c r="K3297" s="3" t="s">
        <v>639</v>
      </c>
      <c r="L3297" s="3" t="s">
        <v>6418</v>
      </c>
      <c r="M3297" s="3">
        <v>10</v>
      </c>
      <c r="N3297" s="4" t="s">
        <v>3454</v>
      </c>
      <c r="O3297" s="4">
        <v>177</v>
      </c>
      <c r="P3297" s="11" t="s">
        <v>10347</v>
      </c>
      <c r="Q3297" s="11" t="s">
        <v>10626</v>
      </c>
      <c r="S3297" s="4" t="b">
        <f>ISNUMBER(MATCH(Q3297,T:T,0))</f>
        <v>1</v>
      </c>
      <c r="T3297" s="4" t="s">
        <v>9766</v>
      </c>
      <c r="U3297" s="4" t="str">
        <f t="shared" si="146"/>
        <v>吉</v>
      </c>
    </row>
    <row r="3298" spans="1:22">
      <c r="A3298" s="3">
        <v>3290</v>
      </c>
      <c r="B3298" s="3" t="s">
        <v>3451</v>
      </c>
      <c r="C3298" s="3" t="s">
        <v>6053</v>
      </c>
      <c r="D3298" s="3" t="s">
        <v>6001</v>
      </c>
      <c r="E3298" s="3" t="s">
        <v>5991</v>
      </c>
      <c r="F3298" s="7" t="s">
        <v>688</v>
      </c>
      <c r="G3298" s="3" t="s">
        <v>538</v>
      </c>
      <c r="H3298" s="3" t="s">
        <v>3467</v>
      </c>
      <c r="I3298" s="3" t="s">
        <v>3079</v>
      </c>
      <c r="J3298" s="5" t="s">
        <v>3468</v>
      </c>
      <c r="L3298" s="3" t="s">
        <v>3469</v>
      </c>
      <c r="M3298" s="3">
        <v>4</v>
      </c>
      <c r="N3298" s="4" t="s">
        <v>3454</v>
      </c>
      <c r="O3298" s="4">
        <v>177</v>
      </c>
      <c r="P3298" s="11" t="s">
        <v>10763</v>
      </c>
      <c r="Q3298" s="11" t="s">
        <v>10626</v>
      </c>
      <c r="S3298" s="4" t="b">
        <f>ISNUMBER(MATCH(Q3298,T:T,0))</f>
        <v>1</v>
      </c>
      <c r="T3298" s="4" t="s">
        <v>9772</v>
      </c>
      <c r="U3298" s="4" t="str">
        <f t="shared" si="146"/>
        <v>吉</v>
      </c>
    </row>
    <row r="3299" spans="1:22">
      <c r="A3299" s="3">
        <v>3291</v>
      </c>
      <c r="B3299" s="3" t="s">
        <v>3451</v>
      </c>
      <c r="C3299" s="3" t="s">
        <v>6025</v>
      </c>
      <c r="D3299" s="3" t="s">
        <v>6001</v>
      </c>
      <c r="E3299" s="3" t="s">
        <v>5991</v>
      </c>
      <c r="F3299" s="7" t="s">
        <v>688</v>
      </c>
      <c r="G3299" s="3" t="s">
        <v>538</v>
      </c>
      <c r="H3299" s="3" t="s">
        <v>3470</v>
      </c>
      <c r="I3299" s="3" t="s">
        <v>3079</v>
      </c>
      <c r="J3299" s="5" t="s">
        <v>9573</v>
      </c>
      <c r="L3299" s="3" t="s">
        <v>6331</v>
      </c>
      <c r="M3299" s="3">
        <v>8</v>
      </c>
      <c r="N3299" s="4" t="s">
        <v>3454</v>
      </c>
      <c r="O3299" s="4">
        <v>177</v>
      </c>
      <c r="P3299" s="11" t="s">
        <v>9717</v>
      </c>
      <c r="Q3299" s="11" t="s">
        <v>3454</v>
      </c>
      <c r="S3299" s="4" t="b">
        <f>ISNUMBER(MATCH(Q3299,T:T,0))</f>
        <v>1</v>
      </c>
      <c r="T3299" s="4" t="s">
        <v>10626</v>
      </c>
      <c r="U3299" s="4" t="str">
        <f t="shared" si="146"/>
        <v>質</v>
      </c>
    </row>
    <row r="3300" spans="1:22">
      <c r="A3300" s="3">
        <v>3292</v>
      </c>
      <c r="B3300" s="3" t="s">
        <v>3451</v>
      </c>
      <c r="C3300" s="3" t="s">
        <v>6137</v>
      </c>
      <c r="D3300" s="3" t="s">
        <v>6001</v>
      </c>
      <c r="E3300" s="3" t="s">
        <v>5991</v>
      </c>
      <c r="F3300" s="7" t="s">
        <v>689</v>
      </c>
      <c r="G3300" s="3" t="s">
        <v>538</v>
      </c>
      <c r="H3300" s="3" t="s">
        <v>3471</v>
      </c>
      <c r="I3300" s="3" t="s">
        <v>3079</v>
      </c>
      <c r="J3300" s="5" t="s">
        <v>3472</v>
      </c>
      <c r="L3300" s="3" t="s">
        <v>4449</v>
      </c>
      <c r="M3300" s="3">
        <v>7</v>
      </c>
      <c r="N3300" s="4" t="s">
        <v>3454</v>
      </c>
      <c r="O3300" s="4">
        <v>177</v>
      </c>
      <c r="P3300" s="11" t="s">
        <v>9812</v>
      </c>
      <c r="Q3300" s="11" t="s">
        <v>3454</v>
      </c>
      <c r="S3300" s="4" t="b">
        <f>ISNUMBER(MATCH(Q3300,T:T,0))</f>
        <v>1</v>
      </c>
      <c r="T3300" s="4" t="s">
        <v>12653</v>
      </c>
      <c r="U3300" s="4" t="str">
        <f t="shared" si="146"/>
        <v>質</v>
      </c>
    </row>
    <row r="3301" spans="1:22">
      <c r="A3301" s="3">
        <v>3293</v>
      </c>
      <c r="B3301" s="3" t="s">
        <v>3451</v>
      </c>
      <c r="C3301" s="3" t="s">
        <v>6028</v>
      </c>
      <c r="D3301" s="3" t="s">
        <v>6001</v>
      </c>
      <c r="E3301" s="3" t="s">
        <v>5991</v>
      </c>
      <c r="F3301" s="7" t="s">
        <v>688</v>
      </c>
      <c r="G3301" s="3" t="s">
        <v>538</v>
      </c>
      <c r="H3301" s="3" t="s">
        <v>3473</v>
      </c>
      <c r="I3301" s="3" t="s">
        <v>3079</v>
      </c>
      <c r="J3301" s="5" t="s">
        <v>3474</v>
      </c>
      <c r="L3301" s="3" t="s">
        <v>4368</v>
      </c>
      <c r="M3301" s="3">
        <v>12</v>
      </c>
      <c r="N3301" s="4" t="s">
        <v>3454</v>
      </c>
      <c r="O3301" s="4">
        <v>177</v>
      </c>
      <c r="P3301" s="11" t="s">
        <v>9807</v>
      </c>
      <c r="Q3301" s="11" t="s">
        <v>3454</v>
      </c>
      <c r="S3301" s="4" t="b">
        <f>ISNUMBER(MATCH(Q3301,T:T,0))</f>
        <v>1</v>
      </c>
      <c r="T3301" s="4" t="s">
        <v>12654</v>
      </c>
      <c r="U3301" s="4" t="str">
        <f t="shared" si="146"/>
        <v>質</v>
      </c>
    </row>
    <row r="3302" spans="1:22">
      <c r="A3302" s="3">
        <v>3294</v>
      </c>
      <c r="B3302" s="3" t="s">
        <v>3451</v>
      </c>
      <c r="C3302" s="3" t="s">
        <v>6038</v>
      </c>
      <c r="D3302" s="3" t="s">
        <v>6001</v>
      </c>
      <c r="E3302" s="3" t="s">
        <v>5991</v>
      </c>
      <c r="F3302" s="7" t="s">
        <v>688</v>
      </c>
      <c r="G3302" s="3" t="s">
        <v>538</v>
      </c>
      <c r="H3302" s="3" t="s">
        <v>3475</v>
      </c>
      <c r="I3302" s="3" t="s">
        <v>3079</v>
      </c>
      <c r="J3302" s="5" t="s">
        <v>3476</v>
      </c>
      <c r="L3302" s="3" t="s">
        <v>6418</v>
      </c>
      <c r="M3302" s="3">
        <v>4</v>
      </c>
      <c r="N3302" s="4" t="s">
        <v>3454</v>
      </c>
      <c r="O3302" s="4">
        <v>177</v>
      </c>
      <c r="P3302" s="11" t="s">
        <v>4210</v>
      </c>
      <c r="Q3302" s="11" t="s">
        <v>10626</v>
      </c>
      <c r="S3302" s="4" t="b">
        <f>ISNUMBER(MATCH(Q3302,T:T,0))</f>
        <v>1</v>
      </c>
      <c r="T3302" s="4" t="s">
        <v>10487</v>
      </c>
      <c r="U3302" s="4" t="str">
        <f t="shared" si="146"/>
        <v>吉</v>
      </c>
    </row>
    <row r="3303" spans="1:22">
      <c r="A3303" s="3">
        <v>3295</v>
      </c>
      <c r="B3303" s="3" t="s">
        <v>3451</v>
      </c>
      <c r="C3303" s="3" t="s">
        <v>6089</v>
      </c>
      <c r="D3303" s="3" t="s">
        <v>6001</v>
      </c>
      <c r="E3303" s="3" t="s">
        <v>5991</v>
      </c>
      <c r="F3303" s="7" t="s">
        <v>688</v>
      </c>
      <c r="G3303" s="3" t="s">
        <v>538</v>
      </c>
      <c r="H3303" s="3" t="s">
        <v>3477</v>
      </c>
      <c r="I3303" s="3" t="s">
        <v>3079</v>
      </c>
      <c r="J3303" s="5" t="s">
        <v>9574</v>
      </c>
      <c r="L3303" s="3" t="s">
        <v>6394</v>
      </c>
      <c r="M3303" s="3">
        <v>5</v>
      </c>
      <c r="N3303" s="4" t="s">
        <v>3454</v>
      </c>
      <c r="O3303" s="4">
        <v>177</v>
      </c>
      <c r="P3303" s="11" t="s">
        <v>9753</v>
      </c>
      <c r="Q3303" s="11" t="s">
        <v>10626</v>
      </c>
      <c r="S3303" s="4" t="b">
        <f>ISNUMBER(MATCH(Q3303,T:T,0))</f>
        <v>1</v>
      </c>
      <c r="T3303" s="4" t="s">
        <v>12655</v>
      </c>
      <c r="U3303" s="4" t="str">
        <f t="shared" si="146"/>
        <v>吉</v>
      </c>
    </row>
    <row r="3304" spans="1:22">
      <c r="A3304" s="3">
        <v>3296</v>
      </c>
      <c r="B3304" s="3" t="s">
        <v>3451</v>
      </c>
      <c r="C3304" s="3" t="s">
        <v>6011</v>
      </c>
      <c r="D3304" s="3" t="s">
        <v>6001</v>
      </c>
      <c r="E3304" s="3" t="s">
        <v>5991</v>
      </c>
      <c r="F3304" s="7" t="s">
        <v>689</v>
      </c>
      <c r="G3304" s="3" t="s">
        <v>538</v>
      </c>
      <c r="H3304" s="3" t="s">
        <v>3478</v>
      </c>
      <c r="I3304" s="3" t="s">
        <v>3079</v>
      </c>
      <c r="J3304" s="5" t="s">
        <v>3479</v>
      </c>
      <c r="L3304" s="3" t="s">
        <v>3480</v>
      </c>
      <c r="M3304" s="3">
        <v>4</v>
      </c>
      <c r="N3304" s="4" t="s">
        <v>3454</v>
      </c>
      <c r="O3304" s="4">
        <v>177</v>
      </c>
      <c r="P3304" s="11" t="s">
        <v>9757</v>
      </c>
      <c r="Q3304" s="11" t="s">
        <v>10764</v>
      </c>
      <c r="S3304" s="4" t="b">
        <f>ISNUMBER(MATCH(Q3304,T:T,0))</f>
        <v>1</v>
      </c>
      <c r="T3304" s="4" t="s">
        <v>12656</v>
      </c>
      <c r="U3304" s="4" t="str">
        <f t="shared" si="146"/>
        <v>栗</v>
      </c>
    </row>
    <row r="3305" spans="1:22" ht="39">
      <c r="A3305" s="3">
        <v>3297</v>
      </c>
      <c r="B3305" s="3" t="s">
        <v>3451</v>
      </c>
      <c r="C3305" s="3" t="s">
        <v>6058</v>
      </c>
      <c r="D3305" s="3" t="s">
        <v>6001</v>
      </c>
      <c r="E3305" s="3" t="s">
        <v>5991</v>
      </c>
      <c r="F3305" s="7" t="s">
        <v>688</v>
      </c>
      <c r="G3305" s="3" t="s">
        <v>538</v>
      </c>
      <c r="H3305" s="3" t="s">
        <v>3481</v>
      </c>
      <c r="I3305" s="3" t="s">
        <v>3079</v>
      </c>
      <c r="J3305" s="5" t="s">
        <v>9575</v>
      </c>
      <c r="L3305" s="3" t="s">
        <v>4344</v>
      </c>
      <c r="M3305" s="3">
        <v>19</v>
      </c>
      <c r="N3305" s="4" t="s">
        <v>3454</v>
      </c>
      <c r="O3305" s="4">
        <v>177</v>
      </c>
      <c r="P3305" s="11" t="s">
        <v>9727</v>
      </c>
      <c r="Q3305" s="11" t="s">
        <v>3454</v>
      </c>
      <c r="S3305" s="4" t="b">
        <f>ISNUMBER(MATCH(Q3305,T:T,0))</f>
        <v>1</v>
      </c>
      <c r="T3305" s="4" t="s">
        <v>10764</v>
      </c>
      <c r="U3305" s="4" t="str">
        <f t="shared" si="146"/>
        <v>質</v>
      </c>
    </row>
    <row r="3306" spans="1:22">
      <c r="A3306" s="3">
        <v>3298</v>
      </c>
      <c r="B3306" s="3" t="s">
        <v>3451</v>
      </c>
      <c r="C3306" s="3" t="s">
        <v>6000</v>
      </c>
      <c r="D3306" s="3" t="s">
        <v>6001</v>
      </c>
      <c r="E3306" s="3" t="s">
        <v>5991</v>
      </c>
      <c r="F3306" s="7" t="s">
        <v>689</v>
      </c>
      <c r="G3306" s="3" t="s">
        <v>538</v>
      </c>
      <c r="H3306" s="3" t="s">
        <v>3482</v>
      </c>
      <c r="I3306" s="3" t="s">
        <v>3079</v>
      </c>
      <c r="J3306" s="5" t="s">
        <v>3483</v>
      </c>
      <c r="K3306" s="3" t="s">
        <v>640</v>
      </c>
      <c r="L3306" s="3" t="s">
        <v>3453</v>
      </c>
      <c r="M3306" s="3">
        <v>12</v>
      </c>
      <c r="N3306" s="4" t="s">
        <v>3454</v>
      </c>
      <c r="O3306" s="4">
        <v>177</v>
      </c>
      <c r="P3306" s="11" t="s">
        <v>9707</v>
      </c>
      <c r="Q3306" s="11" t="s">
        <v>10764</v>
      </c>
      <c r="S3306" s="4" t="b">
        <f>ISNUMBER(MATCH(Q3306,T:T,0))</f>
        <v>1</v>
      </c>
      <c r="T3306" s="4" t="s">
        <v>12657</v>
      </c>
      <c r="U3306" s="4" t="str">
        <f t="shared" si="146"/>
        <v>栗</v>
      </c>
    </row>
    <row r="3307" spans="1:22">
      <c r="A3307" s="3">
        <v>3299</v>
      </c>
      <c r="B3307" s="3" t="s">
        <v>3451</v>
      </c>
      <c r="C3307" s="3" t="s">
        <v>6069</v>
      </c>
      <c r="D3307" s="3" t="s">
        <v>6001</v>
      </c>
      <c r="E3307" s="3" t="s">
        <v>5991</v>
      </c>
      <c r="F3307" s="7" t="s">
        <v>688</v>
      </c>
      <c r="G3307" s="3" t="s">
        <v>538</v>
      </c>
      <c r="H3307" s="3" t="s">
        <v>3484</v>
      </c>
      <c r="I3307" s="3" t="s">
        <v>3079</v>
      </c>
      <c r="J3307" s="5" t="s">
        <v>9576</v>
      </c>
      <c r="L3307" s="3" t="s">
        <v>3485</v>
      </c>
      <c r="M3307" s="3">
        <v>11</v>
      </c>
      <c r="N3307" s="4" t="s">
        <v>3454</v>
      </c>
      <c r="O3307" s="4">
        <v>177</v>
      </c>
      <c r="P3307" s="11" t="s">
        <v>10492</v>
      </c>
      <c r="Q3307" s="11" t="s">
        <v>10364</v>
      </c>
      <c r="S3307" s="4" t="b">
        <f>ISNUMBER(MATCH(Q3307,T:T,0))</f>
        <v>1</v>
      </c>
      <c r="T3307" s="4" t="s">
        <v>9756</v>
      </c>
      <c r="U3307" s="4" t="str">
        <f t="shared" si="146"/>
        <v>悉</v>
      </c>
    </row>
    <row r="3308" spans="1:22">
      <c r="A3308" s="3">
        <v>3301</v>
      </c>
      <c r="B3308" s="3" t="s">
        <v>3451</v>
      </c>
      <c r="C3308" s="3" t="s">
        <v>6120</v>
      </c>
      <c r="D3308" s="3" t="s">
        <v>6001</v>
      </c>
      <c r="E3308" s="3" t="s">
        <v>5991</v>
      </c>
      <c r="F3308" s="7" t="s">
        <v>688</v>
      </c>
      <c r="G3308" s="3" t="s">
        <v>538</v>
      </c>
      <c r="H3308" s="3" t="s">
        <v>3489</v>
      </c>
      <c r="I3308" s="3" t="s">
        <v>3079</v>
      </c>
      <c r="J3308" s="5" t="s">
        <v>3490</v>
      </c>
      <c r="L3308" s="3" t="s">
        <v>3491</v>
      </c>
      <c r="M3308" s="3">
        <v>3</v>
      </c>
      <c r="N3308" s="4" t="s">
        <v>3454</v>
      </c>
      <c r="O3308" s="4">
        <v>177</v>
      </c>
      <c r="P3308" s="11" t="s">
        <v>9793</v>
      </c>
      <c r="Q3308" s="11" t="s">
        <v>3454</v>
      </c>
      <c r="S3308" s="4" t="b">
        <f>ISNUMBER(MATCH(Q3308,T:T,0))</f>
        <v>1</v>
      </c>
      <c r="T3308" s="4" t="s">
        <v>9931</v>
      </c>
      <c r="U3308" s="4" t="str">
        <f t="shared" si="146"/>
        <v>質</v>
      </c>
    </row>
    <row r="3309" spans="1:22">
      <c r="A3309" s="3">
        <v>3302</v>
      </c>
      <c r="B3309" s="3" t="s">
        <v>3451</v>
      </c>
      <c r="C3309" s="3" t="s">
        <v>6083</v>
      </c>
      <c r="D3309" s="3" t="s">
        <v>6001</v>
      </c>
      <c r="E3309" s="3" t="s">
        <v>5991</v>
      </c>
      <c r="F3309" s="7" t="s">
        <v>688</v>
      </c>
      <c r="G3309" s="3" t="s">
        <v>538</v>
      </c>
      <c r="H3309" s="3" t="s">
        <v>3492</v>
      </c>
      <c r="I3309" s="3" t="s">
        <v>3079</v>
      </c>
      <c r="J3309" s="5" t="s">
        <v>3493</v>
      </c>
      <c r="L3309" s="3" t="s">
        <v>6331</v>
      </c>
      <c r="M3309" s="3">
        <v>8</v>
      </c>
      <c r="N3309" s="4" t="s">
        <v>3454</v>
      </c>
      <c r="O3309" s="4">
        <v>177</v>
      </c>
      <c r="P3309" s="11" t="s">
        <v>9811</v>
      </c>
      <c r="Q3309" s="11" t="s">
        <v>10364</v>
      </c>
      <c r="S3309" s="4" t="b">
        <f>ISNUMBER(MATCH(Q3309,T:T,0))</f>
        <v>1</v>
      </c>
      <c r="T3309" s="4" t="s">
        <v>12659</v>
      </c>
      <c r="U3309" s="4" t="str">
        <f t="shared" si="146"/>
        <v>悉</v>
      </c>
    </row>
    <row r="3310" spans="1:22">
      <c r="A3310" s="3">
        <v>3303</v>
      </c>
      <c r="B3310" s="3" t="s">
        <v>3451</v>
      </c>
      <c r="C3310" s="3" t="s">
        <v>6035</v>
      </c>
      <c r="D3310" s="3" t="s">
        <v>6001</v>
      </c>
      <c r="E3310" s="3" t="s">
        <v>5991</v>
      </c>
      <c r="F3310" s="7" t="s">
        <v>688</v>
      </c>
      <c r="G3310" s="3" t="s">
        <v>538</v>
      </c>
      <c r="H3310" s="3" t="s">
        <v>3494</v>
      </c>
      <c r="I3310" s="3" t="s">
        <v>3079</v>
      </c>
      <c r="J3310" s="5" t="s">
        <v>9577</v>
      </c>
      <c r="L3310" s="3" t="s">
        <v>4427</v>
      </c>
      <c r="M3310" s="3">
        <v>9</v>
      </c>
      <c r="N3310" s="4" t="s">
        <v>3454</v>
      </c>
      <c r="O3310" s="4">
        <v>177</v>
      </c>
      <c r="P3310" s="11" t="s">
        <v>9941</v>
      </c>
      <c r="Q3310" s="11" t="s">
        <v>10765</v>
      </c>
      <c r="R3310" s="4" t="s">
        <v>13178</v>
      </c>
      <c r="S3310" s="4" t="b">
        <f>ISNUMBER(MATCH(Q3310,T:T,0))</f>
        <v>0</v>
      </c>
      <c r="T3310" s="4" t="s">
        <v>12660</v>
      </c>
      <c r="U3310" s="4" t="str">
        <f t="shared" si="146"/>
        <v>必</v>
      </c>
      <c r="V3310" s="4" t="b">
        <f>ISNUMBER(MATCH(R3310,T:T,0))</f>
        <v>1</v>
      </c>
    </row>
    <row r="3311" spans="1:22" ht="39">
      <c r="A3311" s="3">
        <v>3304</v>
      </c>
      <c r="B3311" s="3" t="s">
        <v>3451</v>
      </c>
      <c r="C3311" s="3" t="s">
        <v>6049</v>
      </c>
      <c r="D3311" s="3" t="s">
        <v>6001</v>
      </c>
      <c r="E3311" s="3" t="s">
        <v>5991</v>
      </c>
      <c r="F3311" s="7" t="s">
        <v>688</v>
      </c>
      <c r="G3311" s="3" t="s">
        <v>538</v>
      </c>
      <c r="H3311" s="3" t="s">
        <v>3495</v>
      </c>
      <c r="I3311" s="3" t="s">
        <v>3079</v>
      </c>
      <c r="J3311" s="5" t="s">
        <v>9578</v>
      </c>
      <c r="L3311" s="3" t="s">
        <v>6335</v>
      </c>
      <c r="M3311" s="3">
        <v>27</v>
      </c>
      <c r="N3311" s="4" t="s">
        <v>3454</v>
      </c>
      <c r="O3311" s="4">
        <v>177</v>
      </c>
      <c r="P3311" s="11" t="s">
        <v>10015</v>
      </c>
      <c r="Q3311" s="11" t="s">
        <v>10626</v>
      </c>
      <c r="S3311" s="4" t="b">
        <f>ISNUMBER(MATCH(Q3311,T:T,0))</f>
        <v>1</v>
      </c>
      <c r="T3311" s="4" t="s">
        <v>9932</v>
      </c>
      <c r="U3311" s="4" t="str">
        <f t="shared" si="146"/>
        <v>吉</v>
      </c>
    </row>
    <row r="3312" spans="1:22">
      <c r="A3312" s="3">
        <v>3305</v>
      </c>
      <c r="B3312" s="3" t="s">
        <v>3451</v>
      </c>
      <c r="C3312" s="3" t="s">
        <v>6041</v>
      </c>
      <c r="D3312" s="3" t="s">
        <v>6001</v>
      </c>
      <c r="E3312" s="3" t="s">
        <v>5991</v>
      </c>
      <c r="F3312" s="7" t="s">
        <v>689</v>
      </c>
      <c r="G3312" s="3" t="s">
        <v>538</v>
      </c>
      <c r="H3312" s="3" t="s">
        <v>3496</v>
      </c>
      <c r="I3312" s="3" t="s">
        <v>3079</v>
      </c>
      <c r="J3312" s="5" t="s">
        <v>3497</v>
      </c>
      <c r="L3312" s="3" t="s">
        <v>3485</v>
      </c>
      <c r="M3312" s="3">
        <v>5</v>
      </c>
      <c r="N3312" s="4" t="s">
        <v>3454</v>
      </c>
      <c r="O3312" s="4">
        <v>177</v>
      </c>
      <c r="P3312" s="11" t="s">
        <v>9789</v>
      </c>
      <c r="Q3312" s="11" t="s">
        <v>9907</v>
      </c>
      <c r="S3312" s="4" t="b">
        <f>ISNUMBER(MATCH(Q3312,T:T,0))</f>
        <v>1</v>
      </c>
      <c r="T3312" s="4" t="s">
        <v>12661</v>
      </c>
      <c r="U3312" s="4" t="str">
        <f t="shared" si="146"/>
        <v>乙</v>
      </c>
    </row>
    <row r="3313" spans="1:22" ht="39">
      <c r="A3313" s="3">
        <v>3306</v>
      </c>
      <c r="B3313" s="3" t="s">
        <v>3451</v>
      </c>
      <c r="C3313" s="3" t="s">
        <v>6045</v>
      </c>
      <c r="D3313" s="3" t="s">
        <v>6001</v>
      </c>
      <c r="E3313" s="3" t="s">
        <v>5991</v>
      </c>
      <c r="F3313" s="7" t="s">
        <v>688</v>
      </c>
      <c r="G3313" s="3" t="s">
        <v>538</v>
      </c>
      <c r="H3313" s="3" t="s">
        <v>3498</v>
      </c>
      <c r="I3313" s="3" t="s">
        <v>3079</v>
      </c>
      <c r="J3313" s="5" t="s">
        <v>9579</v>
      </c>
      <c r="L3313" s="3" t="s">
        <v>3499</v>
      </c>
      <c r="M3313" s="3">
        <v>21</v>
      </c>
      <c r="N3313" s="4" t="s">
        <v>3454</v>
      </c>
      <c r="O3313" s="4">
        <v>177</v>
      </c>
      <c r="P3313" s="11" t="s">
        <v>10275</v>
      </c>
      <c r="Q3313" s="11" t="s">
        <v>9932</v>
      </c>
      <c r="S3313" s="4" t="b">
        <f>ISNUMBER(MATCH(Q3313,T:T,0))</f>
        <v>1</v>
      </c>
      <c r="T3313" s="4" t="s">
        <v>12662</v>
      </c>
      <c r="U3313" s="4" t="str">
        <f t="shared" si="146"/>
        <v>必</v>
      </c>
    </row>
    <row r="3314" spans="1:22">
      <c r="A3314" s="3">
        <v>3307</v>
      </c>
      <c r="B3314" s="3" t="s">
        <v>3451</v>
      </c>
      <c r="C3314" s="3" t="s">
        <v>6032</v>
      </c>
      <c r="D3314" s="3" t="s">
        <v>6001</v>
      </c>
      <c r="E3314" s="3" t="s">
        <v>6212</v>
      </c>
      <c r="F3314" s="7" t="s">
        <v>689</v>
      </c>
      <c r="G3314" s="3" t="s">
        <v>538</v>
      </c>
      <c r="H3314" s="3" t="s">
        <v>3500</v>
      </c>
      <c r="I3314" s="3" t="s">
        <v>3079</v>
      </c>
      <c r="J3314" s="5" t="s">
        <v>3501</v>
      </c>
      <c r="L3314" s="3" t="s">
        <v>1382</v>
      </c>
      <c r="M3314" s="3">
        <v>5</v>
      </c>
      <c r="N3314" s="4" t="s">
        <v>3454</v>
      </c>
      <c r="O3314" s="4">
        <v>177</v>
      </c>
      <c r="P3314" s="11" t="s">
        <v>9859</v>
      </c>
      <c r="Q3314" s="11" t="s">
        <v>10123</v>
      </c>
      <c r="S3314" s="4" t="b">
        <f>ISNUMBER(MATCH(Q3314,T:T,0))</f>
        <v>1</v>
      </c>
      <c r="T3314" s="4" t="s">
        <v>12663</v>
      </c>
      <c r="U3314" s="4" t="str">
        <f t="shared" si="146"/>
        <v>筆</v>
      </c>
    </row>
    <row r="3315" spans="1:22">
      <c r="A3315" s="3">
        <v>3309</v>
      </c>
      <c r="B3315" s="3" t="s">
        <v>3451</v>
      </c>
      <c r="C3315" s="3" t="s">
        <v>6055</v>
      </c>
      <c r="D3315" s="3" t="s">
        <v>6001</v>
      </c>
      <c r="E3315" s="3" t="s">
        <v>5991</v>
      </c>
      <c r="F3315" s="7" t="s">
        <v>688</v>
      </c>
      <c r="G3315" s="3" t="s">
        <v>538</v>
      </c>
      <c r="H3315" s="3" t="s">
        <v>3506</v>
      </c>
      <c r="I3315" s="3" t="s">
        <v>3079</v>
      </c>
      <c r="J3315" s="5" t="s">
        <v>3507</v>
      </c>
      <c r="L3315" s="3" t="s">
        <v>3480</v>
      </c>
      <c r="M3315" s="3">
        <v>1</v>
      </c>
      <c r="N3315" s="4" t="s">
        <v>3454</v>
      </c>
      <c r="O3315" s="4">
        <v>177</v>
      </c>
      <c r="P3315" s="11" t="s">
        <v>6055</v>
      </c>
      <c r="Q3315" s="11" t="s">
        <v>10764</v>
      </c>
      <c r="S3315" s="4" t="b">
        <f>ISNUMBER(MATCH(Q3315,T:T,0))</f>
        <v>1</v>
      </c>
      <c r="T3315" s="4" t="s">
        <v>3507</v>
      </c>
      <c r="U3315" s="4" t="str">
        <f t="shared" si="146"/>
        <v>栗</v>
      </c>
    </row>
    <row r="3316" spans="1:22">
      <c r="A3316" s="3">
        <v>3311</v>
      </c>
      <c r="B3316" s="3" t="s">
        <v>3451</v>
      </c>
      <c r="C3316" s="3" t="s">
        <v>6035</v>
      </c>
      <c r="D3316" s="3" t="s">
        <v>6001</v>
      </c>
      <c r="E3316" s="3" t="s">
        <v>5991</v>
      </c>
      <c r="F3316" s="7" t="s">
        <v>689</v>
      </c>
      <c r="G3316" s="3" t="s">
        <v>538</v>
      </c>
      <c r="H3316" s="3" t="s">
        <v>3511</v>
      </c>
      <c r="I3316" s="3" t="s">
        <v>3079</v>
      </c>
      <c r="J3316" s="5" t="s">
        <v>9580</v>
      </c>
      <c r="L3316" s="3" t="s">
        <v>4427</v>
      </c>
      <c r="M3316" s="3">
        <v>10</v>
      </c>
      <c r="N3316" s="4" t="s">
        <v>3454</v>
      </c>
      <c r="O3316" s="4">
        <v>177</v>
      </c>
      <c r="P3316" s="11" t="s">
        <v>10221</v>
      </c>
      <c r="Q3316" s="11" t="s">
        <v>10765</v>
      </c>
      <c r="R3316" s="4" t="s">
        <v>13178</v>
      </c>
      <c r="S3316" s="4" t="b">
        <f>ISNUMBER(MATCH(Q3316,T:T,0))</f>
        <v>0</v>
      </c>
      <c r="T3316" s="4" t="s">
        <v>10767</v>
      </c>
      <c r="U3316" s="4" t="str">
        <f t="shared" si="146"/>
        <v>必</v>
      </c>
      <c r="V3316" s="4" t="b">
        <f>ISNUMBER(MATCH(R3316,T:T,0))</f>
        <v>1</v>
      </c>
    </row>
    <row r="3317" spans="1:22">
      <c r="A3317" s="3">
        <v>3312</v>
      </c>
      <c r="B3317" s="3" t="s">
        <v>3451</v>
      </c>
      <c r="C3317" s="3" t="s">
        <v>6045</v>
      </c>
      <c r="D3317" s="3" t="s">
        <v>6001</v>
      </c>
      <c r="E3317" s="3" t="s">
        <v>5991</v>
      </c>
      <c r="F3317" s="7" t="s">
        <v>689</v>
      </c>
      <c r="G3317" s="3" t="s">
        <v>538</v>
      </c>
      <c r="H3317" s="3" t="s">
        <v>3512</v>
      </c>
      <c r="I3317" s="3" t="s">
        <v>3079</v>
      </c>
      <c r="J3317" s="5" t="s">
        <v>3513</v>
      </c>
      <c r="L3317" s="3" t="s">
        <v>3499</v>
      </c>
      <c r="M3317" s="3">
        <v>10</v>
      </c>
      <c r="N3317" s="4" t="s">
        <v>3454</v>
      </c>
      <c r="O3317" s="4">
        <v>177</v>
      </c>
      <c r="P3317" s="11" t="s">
        <v>9722</v>
      </c>
      <c r="Q3317" s="11" t="s">
        <v>10767</v>
      </c>
      <c r="S3317" s="4" t="b">
        <f>ISNUMBER(MATCH(Q3317,T:T,0))</f>
        <v>1</v>
      </c>
      <c r="T3317" s="4" t="s">
        <v>10847</v>
      </c>
      <c r="U3317" s="4" t="str">
        <f t="shared" si="146"/>
        <v>密</v>
      </c>
    </row>
    <row r="3318" spans="1:22">
      <c r="A3318" s="3">
        <v>3313</v>
      </c>
      <c r="B3318" s="3" t="s">
        <v>3451</v>
      </c>
      <c r="C3318" s="3" t="s">
        <v>6072</v>
      </c>
      <c r="D3318" s="3" t="s">
        <v>6001</v>
      </c>
      <c r="E3318" s="3" t="s">
        <v>5991</v>
      </c>
      <c r="F3318" s="7" t="s">
        <v>689</v>
      </c>
      <c r="G3318" s="3" t="s">
        <v>538</v>
      </c>
      <c r="H3318" s="3" t="s">
        <v>3514</v>
      </c>
      <c r="I3318" s="3" t="s">
        <v>3079</v>
      </c>
      <c r="J3318" s="5" t="s">
        <v>3515</v>
      </c>
      <c r="L3318" s="3" t="s">
        <v>6377</v>
      </c>
      <c r="M3318" s="3">
        <v>3</v>
      </c>
      <c r="N3318" s="4" t="s">
        <v>3454</v>
      </c>
      <c r="O3318" s="4">
        <v>177</v>
      </c>
      <c r="P3318" s="11" t="s">
        <v>9754</v>
      </c>
      <c r="Q3318" s="11" t="s">
        <v>10123</v>
      </c>
      <c r="S3318" s="4" t="b">
        <f>ISNUMBER(MATCH(Q3318,T:T,0))</f>
        <v>1</v>
      </c>
      <c r="T3318" s="4" t="s">
        <v>9907</v>
      </c>
      <c r="U3318" s="4" t="str">
        <f t="shared" si="146"/>
        <v>筆</v>
      </c>
    </row>
    <row r="3319" spans="1:22">
      <c r="A3319" s="3">
        <v>3314</v>
      </c>
      <c r="B3319" s="3" t="s">
        <v>3451</v>
      </c>
      <c r="C3319" s="3" t="s">
        <v>6092</v>
      </c>
      <c r="D3319" s="3" t="s">
        <v>6001</v>
      </c>
      <c r="E3319" s="3" t="s">
        <v>5991</v>
      </c>
      <c r="F3319" s="7" t="s">
        <v>689</v>
      </c>
      <c r="G3319" s="3" t="s">
        <v>538</v>
      </c>
      <c r="H3319" s="3" t="s">
        <v>3516</v>
      </c>
      <c r="I3319" s="3" t="s">
        <v>3079</v>
      </c>
      <c r="J3319" s="5" t="s">
        <v>9581</v>
      </c>
      <c r="L3319" s="3" t="s">
        <v>4368</v>
      </c>
      <c r="M3319" s="3">
        <v>7</v>
      </c>
      <c r="N3319" s="4" t="s">
        <v>3454</v>
      </c>
      <c r="O3319" s="4">
        <v>177</v>
      </c>
      <c r="P3319" s="11" t="s">
        <v>6462</v>
      </c>
      <c r="Q3319" s="11" t="s">
        <v>9907</v>
      </c>
      <c r="S3319" s="4" t="b">
        <f>ISNUMBER(MATCH(Q3319,T:T,0))</f>
        <v>1</v>
      </c>
      <c r="T3319" s="4" t="s">
        <v>12665</v>
      </c>
      <c r="U3319" s="4" t="str">
        <f t="shared" si="146"/>
        <v>乙</v>
      </c>
    </row>
    <row r="3320" spans="1:22">
      <c r="A3320" s="3">
        <v>3315</v>
      </c>
      <c r="B3320" s="3" t="s">
        <v>3451</v>
      </c>
      <c r="C3320" s="3" t="s">
        <v>6049</v>
      </c>
      <c r="D3320" s="3" t="s">
        <v>6001</v>
      </c>
      <c r="E3320" s="3" t="s">
        <v>5991</v>
      </c>
      <c r="F3320" s="7" t="s">
        <v>689</v>
      </c>
      <c r="G3320" s="3" t="s">
        <v>538</v>
      </c>
      <c r="H3320" s="3" t="s">
        <v>3517</v>
      </c>
      <c r="I3320" s="3" t="s">
        <v>3079</v>
      </c>
      <c r="J3320" s="5" t="s">
        <v>3518</v>
      </c>
      <c r="L3320" s="3" t="s">
        <v>6335</v>
      </c>
      <c r="M3320" s="3">
        <v>9</v>
      </c>
      <c r="N3320" s="4" t="s">
        <v>3454</v>
      </c>
      <c r="O3320" s="4">
        <v>177</v>
      </c>
      <c r="P3320" s="11" t="s">
        <v>10220</v>
      </c>
      <c r="Q3320" s="11" t="s">
        <v>10767</v>
      </c>
      <c r="S3320" s="4" t="b">
        <f>ISNUMBER(MATCH(Q3320,T:T,0))</f>
        <v>1</v>
      </c>
      <c r="T3320" s="4" t="s">
        <v>10123</v>
      </c>
      <c r="U3320" s="4" t="str">
        <f t="shared" si="146"/>
        <v>密</v>
      </c>
    </row>
    <row r="3321" spans="1:22">
      <c r="A3321" s="3">
        <v>3317</v>
      </c>
      <c r="B3321" s="3" t="s">
        <v>3451</v>
      </c>
      <c r="C3321" s="3" t="s">
        <v>6089</v>
      </c>
      <c r="D3321" s="3" t="s">
        <v>6001</v>
      </c>
      <c r="E3321" s="3" t="s">
        <v>5991</v>
      </c>
      <c r="F3321" s="7" t="s">
        <v>689</v>
      </c>
      <c r="G3321" s="3" t="s">
        <v>538</v>
      </c>
      <c r="H3321" s="3" t="s">
        <v>3521</v>
      </c>
      <c r="I3321" s="3" t="s">
        <v>3079</v>
      </c>
      <c r="J3321" s="5" t="s">
        <v>3522</v>
      </c>
      <c r="L3321" s="3" t="s">
        <v>6394</v>
      </c>
      <c r="M3321" s="3">
        <v>1</v>
      </c>
      <c r="N3321" s="4" t="s">
        <v>3454</v>
      </c>
      <c r="O3321" s="4">
        <v>177</v>
      </c>
      <c r="P3321" s="11" t="s">
        <v>10769</v>
      </c>
      <c r="Q3321" s="11" t="s">
        <v>9907</v>
      </c>
      <c r="S3321" s="4" t="b">
        <f>ISNUMBER(MATCH(Q3321,T:T,0))</f>
        <v>1</v>
      </c>
      <c r="T3321" s="4" t="s">
        <v>3522</v>
      </c>
      <c r="U3321" s="4" t="str">
        <f t="shared" si="146"/>
        <v>乙</v>
      </c>
    </row>
    <row r="3322" spans="1:22">
      <c r="A3322" s="3">
        <v>3318</v>
      </c>
      <c r="B3322" s="3" t="s">
        <v>3451</v>
      </c>
      <c r="C3322" s="3" t="s">
        <v>6025</v>
      </c>
      <c r="D3322" s="3" t="s">
        <v>6001</v>
      </c>
      <c r="E3322" s="3" t="s">
        <v>5991</v>
      </c>
      <c r="F3322" s="7" t="s">
        <v>689</v>
      </c>
      <c r="G3322" s="3" t="s">
        <v>538</v>
      </c>
      <c r="H3322" s="3" t="s">
        <v>3523</v>
      </c>
      <c r="I3322" s="3" t="s">
        <v>3079</v>
      </c>
      <c r="J3322" s="8" t="s">
        <v>3524</v>
      </c>
      <c r="L3322" s="3" t="s">
        <v>6331</v>
      </c>
      <c r="M3322" s="3">
        <v>1</v>
      </c>
      <c r="N3322" s="4" t="s">
        <v>3454</v>
      </c>
      <c r="O3322" s="4">
        <v>177</v>
      </c>
      <c r="P3322" s="11" t="s">
        <v>9717</v>
      </c>
      <c r="Q3322" s="11" t="s">
        <v>9907</v>
      </c>
      <c r="S3322" s="4" t="b">
        <f>ISNUMBER(MATCH(Q3322,T:T,0))</f>
        <v>1</v>
      </c>
      <c r="T3322" s="4" t="s">
        <v>3524</v>
      </c>
      <c r="U3322" s="4" t="str">
        <f t="shared" si="146"/>
        <v>乙</v>
      </c>
    </row>
    <row r="3323" spans="1:22">
      <c r="A3323" s="3">
        <v>3319</v>
      </c>
      <c r="B3323" s="3" t="s">
        <v>3451</v>
      </c>
      <c r="C3323" s="3" t="s">
        <v>6000</v>
      </c>
      <c r="D3323" s="3" t="s">
        <v>6001</v>
      </c>
      <c r="E3323" s="3" t="s">
        <v>5991</v>
      </c>
      <c r="F3323" s="7" t="s">
        <v>689</v>
      </c>
      <c r="G3323" s="3" t="s">
        <v>538</v>
      </c>
      <c r="H3323" s="3" t="s">
        <v>3525</v>
      </c>
      <c r="I3323" s="3" t="s">
        <v>3079</v>
      </c>
      <c r="J3323" s="5" t="s">
        <v>3526</v>
      </c>
      <c r="L3323" s="3" t="s">
        <v>3453</v>
      </c>
      <c r="M3323" s="3">
        <v>1</v>
      </c>
      <c r="N3323" s="4" t="s">
        <v>3454</v>
      </c>
      <c r="O3323" s="4">
        <v>177</v>
      </c>
      <c r="P3323" s="11" t="s">
        <v>9822</v>
      </c>
      <c r="Q3323" s="11" t="s">
        <v>10364</v>
      </c>
      <c r="S3323" s="4" t="b">
        <f>ISNUMBER(MATCH(Q3323,T:T,0))</f>
        <v>1</v>
      </c>
      <c r="T3323" s="4" t="s">
        <v>3526</v>
      </c>
      <c r="U3323" s="4" t="str">
        <f t="shared" si="146"/>
        <v>悉</v>
      </c>
    </row>
    <row r="3324" spans="1:22">
      <c r="A3324" s="3">
        <v>3300</v>
      </c>
      <c r="B3324" s="3" t="s">
        <v>3486</v>
      </c>
      <c r="C3324" s="3" t="s">
        <v>6167</v>
      </c>
      <c r="D3324" s="3" t="s">
        <v>6001</v>
      </c>
      <c r="E3324" s="3" t="s">
        <v>5991</v>
      </c>
      <c r="F3324" s="3" t="s">
        <v>3079</v>
      </c>
      <c r="G3324" s="3" t="s">
        <v>538</v>
      </c>
      <c r="H3324" s="3" t="s">
        <v>3487</v>
      </c>
      <c r="I3324" s="3" t="s">
        <v>3079</v>
      </c>
      <c r="J3324" s="5" t="s">
        <v>3488</v>
      </c>
      <c r="L3324" s="3" t="s">
        <v>2852</v>
      </c>
      <c r="M3324" s="3">
        <v>4</v>
      </c>
      <c r="N3324" s="4" t="s">
        <v>9681</v>
      </c>
      <c r="O3324" s="4">
        <v>178</v>
      </c>
      <c r="P3324" s="11" t="s">
        <v>6167</v>
      </c>
      <c r="Q3324" s="11" t="s">
        <v>10764</v>
      </c>
      <c r="S3324" s="4" t="b">
        <f>ISNUMBER(MATCH(Q3324,T:T,0))</f>
        <v>1</v>
      </c>
      <c r="T3324" s="4" t="s">
        <v>12658</v>
      </c>
      <c r="U3324" s="4" t="str">
        <f t="shared" si="146"/>
        <v>栗</v>
      </c>
    </row>
    <row r="3325" spans="1:22">
      <c r="A3325" s="3">
        <v>3310</v>
      </c>
      <c r="B3325" s="3" t="s">
        <v>3486</v>
      </c>
      <c r="C3325" s="3" t="s">
        <v>6015</v>
      </c>
      <c r="D3325" s="3" t="s">
        <v>6001</v>
      </c>
      <c r="E3325" s="3" t="s">
        <v>5991</v>
      </c>
      <c r="F3325" s="3" t="s">
        <v>3079</v>
      </c>
      <c r="G3325" s="3" t="s">
        <v>538</v>
      </c>
      <c r="H3325" s="3" t="s">
        <v>3508</v>
      </c>
      <c r="I3325" s="3" t="s">
        <v>3079</v>
      </c>
      <c r="J3325" s="5" t="s">
        <v>3509</v>
      </c>
      <c r="L3325" s="3" t="s">
        <v>3510</v>
      </c>
      <c r="M3325" s="3">
        <v>1</v>
      </c>
      <c r="N3325" s="4" t="s">
        <v>9681</v>
      </c>
      <c r="O3325" s="4">
        <v>178</v>
      </c>
      <c r="P3325" s="11" t="s">
        <v>9866</v>
      </c>
      <c r="Q3325" s="11" t="s">
        <v>3507</v>
      </c>
      <c r="S3325" s="4" t="b">
        <f>ISNUMBER(MATCH(Q3325,T:T,0))</f>
        <v>1</v>
      </c>
      <c r="T3325" s="4" t="s">
        <v>3509</v>
      </c>
      <c r="U3325" s="4" t="str">
        <f t="shared" si="146"/>
        <v>叱</v>
      </c>
    </row>
    <row r="3326" spans="1:22">
      <c r="A3326" s="3">
        <v>3335</v>
      </c>
      <c r="B3326" s="3" t="s">
        <v>3486</v>
      </c>
      <c r="C3326" s="3" t="s">
        <v>6318</v>
      </c>
      <c r="D3326" s="3" t="s">
        <v>6001</v>
      </c>
      <c r="E3326" s="3" t="s">
        <v>5991</v>
      </c>
      <c r="F3326" s="3" t="s">
        <v>3079</v>
      </c>
      <c r="G3326" s="3" t="s">
        <v>538</v>
      </c>
      <c r="H3326" s="3" t="s">
        <v>3549</v>
      </c>
      <c r="I3326" s="3" t="s">
        <v>3079</v>
      </c>
      <c r="J3326" s="5" t="s">
        <v>3550</v>
      </c>
      <c r="L3326" s="3" t="s">
        <v>3551</v>
      </c>
      <c r="M3326" s="3">
        <v>6</v>
      </c>
      <c r="N3326" s="4" t="s">
        <v>9681</v>
      </c>
      <c r="O3326" s="4">
        <v>178</v>
      </c>
      <c r="P3326" s="11" t="s">
        <v>9988</v>
      </c>
      <c r="Q3326" s="11" t="s">
        <v>10773</v>
      </c>
      <c r="S3326" s="4" t="b">
        <f>ISNUMBER(MATCH(Q3326,T:T,0))</f>
        <v>1</v>
      </c>
      <c r="T3326" s="4" t="s">
        <v>9681</v>
      </c>
      <c r="U3326" s="4" t="str">
        <f t="shared" si="146"/>
        <v>瑟</v>
      </c>
    </row>
    <row r="3327" spans="1:22">
      <c r="A3327" s="3">
        <v>3336</v>
      </c>
      <c r="B3327" s="3" t="s">
        <v>3486</v>
      </c>
      <c r="C3327" s="3" t="s">
        <v>6180</v>
      </c>
      <c r="D3327" s="3" t="s">
        <v>6001</v>
      </c>
      <c r="E3327" s="3" t="s">
        <v>5991</v>
      </c>
      <c r="F3327" s="3" t="s">
        <v>3079</v>
      </c>
      <c r="G3327" s="3" t="s">
        <v>538</v>
      </c>
      <c r="H3327" s="3" t="s">
        <v>3552</v>
      </c>
      <c r="I3327" s="3" t="s">
        <v>3079</v>
      </c>
      <c r="J3327" s="5" t="s">
        <v>3553</v>
      </c>
      <c r="L3327" s="3" t="s">
        <v>3554</v>
      </c>
      <c r="M3327" s="3">
        <v>6</v>
      </c>
      <c r="N3327" s="4" t="s">
        <v>9681</v>
      </c>
      <c r="O3327" s="4">
        <v>178</v>
      </c>
      <c r="P3327" s="11" t="s">
        <v>9774</v>
      </c>
      <c r="Q3327" s="11" t="s">
        <v>9681</v>
      </c>
      <c r="S3327" s="4" t="b">
        <f>ISNUMBER(MATCH(Q3327,T:T,0))</f>
        <v>1</v>
      </c>
      <c r="T3327" s="4" t="s">
        <v>10773</v>
      </c>
      <c r="U3327" s="4" t="str">
        <f t="shared" si="146"/>
        <v>櫛</v>
      </c>
    </row>
    <row r="3328" spans="1:22">
      <c r="A3328" s="3">
        <v>3337</v>
      </c>
      <c r="B3328" s="3" t="s">
        <v>3486</v>
      </c>
      <c r="C3328" s="3" t="s">
        <v>6015</v>
      </c>
      <c r="D3328" s="3" t="s">
        <v>6001</v>
      </c>
      <c r="E3328" s="3" t="s">
        <v>5991</v>
      </c>
      <c r="F3328" s="3" t="s">
        <v>3079</v>
      </c>
      <c r="G3328" s="3" t="s">
        <v>538</v>
      </c>
      <c r="H3328" s="3" t="s">
        <v>3555</v>
      </c>
      <c r="I3328" s="3" t="s">
        <v>3079</v>
      </c>
      <c r="J3328" s="5" t="s">
        <v>3509</v>
      </c>
      <c r="L3328" s="3" t="s">
        <v>3510</v>
      </c>
      <c r="M3328" s="3">
        <v>1</v>
      </c>
      <c r="N3328" s="4" t="s">
        <v>9681</v>
      </c>
      <c r="O3328" s="4">
        <v>178</v>
      </c>
      <c r="P3328" s="11" t="s">
        <v>10774</v>
      </c>
      <c r="Q3328" s="11" t="s">
        <v>10773</v>
      </c>
      <c r="S3328" s="4" t="b">
        <f>ISNUMBER(MATCH(Q3328,T:T,0))</f>
        <v>1</v>
      </c>
      <c r="T3328" s="4" t="s">
        <v>3509</v>
      </c>
      <c r="U3328" s="4" t="str">
        <f t="shared" si="146"/>
        <v>瑟</v>
      </c>
    </row>
    <row r="3329" spans="1:21">
      <c r="A3329" s="3">
        <v>3308</v>
      </c>
      <c r="B3329" s="3" t="s">
        <v>3502</v>
      </c>
      <c r="C3329" s="3" t="s">
        <v>6180</v>
      </c>
      <c r="D3329" s="3" t="s">
        <v>6001</v>
      </c>
      <c r="E3329" s="3" t="s">
        <v>6212</v>
      </c>
      <c r="F3329" s="3" t="s">
        <v>6769</v>
      </c>
      <c r="G3329" s="3" t="s">
        <v>538</v>
      </c>
      <c r="H3329" s="3" t="s">
        <v>3503</v>
      </c>
      <c r="I3329" s="3" t="s">
        <v>3079</v>
      </c>
      <c r="J3329" s="5" t="s">
        <v>3504</v>
      </c>
      <c r="L3329" s="3" t="s">
        <v>3505</v>
      </c>
      <c r="M3329" s="3">
        <v>10</v>
      </c>
      <c r="N3329" s="4" t="s">
        <v>9682</v>
      </c>
      <c r="O3329" s="4">
        <v>179</v>
      </c>
      <c r="P3329" s="11" t="s">
        <v>9774</v>
      </c>
      <c r="Q3329" s="11" t="s">
        <v>10766</v>
      </c>
      <c r="S3329" s="4" t="b">
        <f>ISNUMBER(MATCH(Q3329,T:T,0))</f>
        <v>1</v>
      </c>
      <c r="T3329" s="4" t="s">
        <v>12664</v>
      </c>
      <c r="U3329" s="4" t="str">
        <f t="shared" si="146"/>
        <v>律</v>
      </c>
    </row>
    <row r="3330" spans="1:21">
      <c r="A3330" s="3">
        <v>3316</v>
      </c>
      <c r="B3330" s="3" t="s">
        <v>3502</v>
      </c>
      <c r="C3330" s="3" t="s">
        <v>6000</v>
      </c>
      <c r="D3330" s="3" t="s">
        <v>6001</v>
      </c>
      <c r="E3330" s="3" t="s">
        <v>6212</v>
      </c>
      <c r="F3330" s="3" t="s">
        <v>6769</v>
      </c>
      <c r="G3330" s="3" t="s">
        <v>538</v>
      </c>
      <c r="H3330" s="3" t="s">
        <v>3519</v>
      </c>
      <c r="I3330" s="3" t="s">
        <v>3079</v>
      </c>
      <c r="J3330" s="5" t="s">
        <v>3520</v>
      </c>
      <c r="L3330" s="3" t="s">
        <v>3326</v>
      </c>
      <c r="M3330" s="3">
        <v>1</v>
      </c>
      <c r="N3330" s="4" t="s">
        <v>9682</v>
      </c>
      <c r="O3330" s="4">
        <v>179</v>
      </c>
      <c r="P3330" s="11" t="s">
        <v>10768</v>
      </c>
      <c r="Q3330" s="11" t="s">
        <v>10123</v>
      </c>
      <c r="S3330" s="4" t="b">
        <f>ISNUMBER(MATCH(Q3330,T:T,0))</f>
        <v>1</v>
      </c>
      <c r="T3330" s="4" t="s">
        <v>3520</v>
      </c>
      <c r="U3330" s="4" t="str">
        <f t="shared" si="146"/>
        <v>筆</v>
      </c>
    </row>
    <row r="3331" spans="1:21">
      <c r="A3331" s="3">
        <v>3320</v>
      </c>
      <c r="B3331" s="3" t="s">
        <v>3502</v>
      </c>
      <c r="C3331" s="3" t="s">
        <v>6089</v>
      </c>
      <c r="D3331" s="3" t="s">
        <v>6001</v>
      </c>
      <c r="E3331" s="3" t="s">
        <v>6212</v>
      </c>
      <c r="F3331" s="3" t="s">
        <v>6769</v>
      </c>
      <c r="G3331" s="3" t="s">
        <v>538</v>
      </c>
      <c r="H3331" s="3" t="s">
        <v>3527</v>
      </c>
      <c r="I3331" s="3" t="s">
        <v>3079</v>
      </c>
      <c r="J3331" s="5" t="s">
        <v>3528</v>
      </c>
      <c r="L3331" s="3" t="s">
        <v>5987</v>
      </c>
      <c r="M3331" s="3">
        <v>1</v>
      </c>
      <c r="N3331" s="4" t="s">
        <v>9682</v>
      </c>
      <c r="O3331" s="4">
        <v>179</v>
      </c>
      <c r="P3331" s="11" t="s">
        <v>9858</v>
      </c>
      <c r="Q3331" s="11" t="s">
        <v>9932</v>
      </c>
      <c r="S3331" s="4" t="b">
        <f>ISNUMBER(MATCH(Q3331,T:T,0))</f>
        <v>1</v>
      </c>
      <c r="T3331" s="4" t="s">
        <v>3528</v>
      </c>
      <c r="U3331" s="4" t="str">
        <f t="shared" ref="U3331:U3394" si="149">IF(ISBLANK(R3331),Q3331,R3331)</f>
        <v>必</v>
      </c>
    </row>
    <row r="3332" spans="1:21">
      <c r="A3332" s="3">
        <v>3321</v>
      </c>
      <c r="B3332" s="3" t="s">
        <v>3502</v>
      </c>
      <c r="C3332" s="3" t="s">
        <v>3093</v>
      </c>
      <c r="D3332" s="3" t="s">
        <v>6001</v>
      </c>
      <c r="E3332" s="3" t="s">
        <v>6212</v>
      </c>
      <c r="F3332" s="3" t="s">
        <v>6769</v>
      </c>
      <c r="G3332" s="3" t="s">
        <v>538</v>
      </c>
      <c r="H3332" s="3" t="s">
        <v>3529</v>
      </c>
      <c r="I3332" s="3" t="s">
        <v>3079</v>
      </c>
      <c r="J3332" s="5" t="s">
        <v>9582</v>
      </c>
      <c r="L3332" s="3" t="s">
        <v>3315</v>
      </c>
      <c r="M3332" s="3">
        <v>11</v>
      </c>
      <c r="N3332" s="4" t="s">
        <v>9682</v>
      </c>
      <c r="O3332" s="4">
        <v>179</v>
      </c>
      <c r="P3332" s="11" t="s">
        <v>9929</v>
      </c>
      <c r="Q3332" s="11" t="s">
        <v>10770</v>
      </c>
      <c r="S3332" s="4" t="b">
        <f>ISNUMBER(MATCH(Q3332,T:T,0))</f>
        <v>1</v>
      </c>
      <c r="T3332" s="4" t="s">
        <v>9682</v>
      </c>
      <c r="U3332" s="4" t="str">
        <f t="shared" si="149"/>
        <v>聿</v>
      </c>
    </row>
    <row r="3333" spans="1:21">
      <c r="A3333" s="3">
        <v>3322</v>
      </c>
      <c r="B3333" s="3" t="s">
        <v>3502</v>
      </c>
      <c r="C3333" s="3" t="s">
        <v>6025</v>
      </c>
      <c r="D3333" s="3" t="s">
        <v>6001</v>
      </c>
      <c r="E3333" s="3" t="s">
        <v>6212</v>
      </c>
      <c r="F3333" s="3" t="s">
        <v>6769</v>
      </c>
      <c r="G3333" s="3" t="s">
        <v>538</v>
      </c>
      <c r="H3333" s="3" t="s">
        <v>3530</v>
      </c>
      <c r="I3333" s="3" t="s">
        <v>3079</v>
      </c>
      <c r="J3333" s="5" t="s">
        <v>3531</v>
      </c>
      <c r="L3333" s="3" t="s">
        <v>2761</v>
      </c>
      <c r="M3333" s="3">
        <v>8</v>
      </c>
      <c r="N3333" s="4" t="s">
        <v>9682</v>
      </c>
      <c r="O3333" s="4">
        <v>179</v>
      </c>
      <c r="P3333" s="11" t="s">
        <v>9717</v>
      </c>
      <c r="Q3333" s="11" t="s">
        <v>10770</v>
      </c>
      <c r="S3333" s="4" t="b">
        <f>ISNUMBER(MATCH(Q3333,T:T,0))</f>
        <v>1</v>
      </c>
      <c r="T3333" s="4" t="s">
        <v>12666</v>
      </c>
      <c r="U3333" s="4" t="str">
        <f t="shared" si="149"/>
        <v>聿</v>
      </c>
    </row>
    <row r="3334" spans="1:21">
      <c r="A3334" s="3">
        <v>3323</v>
      </c>
      <c r="B3334" s="3" t="s">
        <v>3502</v>
      </c>
      <c r="C3334" s="3" t="s">
        <v>6069</v>
      </c>
      <c r="D3334" s="3" t="s">
        <v>6001</v>
      </c>
      <c r="E3334" s="3" t="s">
        <v>6212</v>
      </c>
      <c r="F3334" s="3" t="s">
        <v>6769</v>
      </c>
      <c r="G3334" s="3" t="s">
        <v>538</v>
      </c>
      <c r="H3334" s="3" t="s">
        <v>3532</v>
      </c>
      <c r="I3334" s="3" t="s">
        <v>3079</v>
      </c>
      <c r="J3334" s="5" t="s">
        <v>3533</v>
      </c>
      <c r="L3334" s="3" t="s">
        <v>3320</v>
      </c>
      <c r="M3334" s="3">
        <v>4</v>
      </c>
      <c r="N3334" s="4" t="s">
        <v>9682</v>
      </c>
      <c r="O3334" s="4">
        <v>179</v>
      </c>
      <c r="P3334" s="11" t="s">
        <v>10244</v>
      </c>
      <c r="Q3334" s="11" t="s">
        <v>10771</v>
      </c>
      <c r="S3334" s="4" t="b">
        <f>ISNUMBER(MATCH(Q3334,T:T,0))</f>
        <v>1</v>
      </c>
      <c r="T3334" s="4" t="s">
        <v>12667</v>
      </c>
      <c r="U3334" s="4" t="str">
        <f t="shared" si="149"/>
        <v>卹</v>
      </c>
    </row>
    <row r="3335" spans="1:21" ht="39">
      <c r="A3335" s="3">
        <v>3324</v>
      </c>
      <c r="B3335" s="3" t="s">
        <v>3502</v>
      </c>
      <c r="C3335" s="3" t="s">
        <v>6028</v>
      </c>
      <c r="D3335" s="3" t="s">
        <v>6001</v>
      </c>
      <c r="E3335" s="3" t="s">
        <v>6212</v>
      </c>
      <c r="F3335" s="3" t="s">
        <v>6769</v>
      </c>
      <c r="G3335" s="3" t="s">
        <v>538</v>
      </c>
      <c r="H3335" s="3" t="s">
        <v>3534</v>
      </c>
      <c r="I3335" s="3" t="s">
        <v>3079</v>
      </c>
      <c r="J3335" s="5" t="s">
        <v>9583</v>
      </c>
      <c r="L3335" s="3" t="s">
        <v>1382</v>
      </c>
      <c r="M3335" s="3">
        <v>21</v>
      </c>
      <c r="N3335" s="4" t="s">
        <v>9682</v>
      </c>
      <c r="O3335" s="4">
        <v>179</v>
      </c>
      <c r="P3335" s="11" t="s">
        <v>9750</v>
      </c>
      <c r="Q3335" s="11" t="s">
        <v>10766</v>
      </c>
      <c r="S3335" s="4" t="b">
        <f>ISNUMBER(MATCH(Q3335,T:T,0))</f>
        <v>1</v>
      </c>
      <c r="T3335" s="4" t="s">
        <v>10770</v>
      </c>
      <c r="U3335" s="4" t="str">
        <f t="shared" si="149"/>
        <v>律</v>
      </c>
    </row>
    <row r="3336" spans="1:21">
      <c r="A3336" s="3">
        <v>3325</v>
      </c>
      <c r="B3336" s="3" t="s">
        <v>3502</v>
      </c>
      <c r="C3336" s="3" t="s">
        <v>6083</v>
      </c>
      <c r="D3336" s="3" t="s">
        <v>6001</v>
      </c>
      <c r="E3336" s="3" t="s">
        <v>6212</v>
      </c>
      <c r="F3336" s="3" t="s">
        <v>6769</v>
      </c>
      <c r="G3336" s="3" t="s">
        <v>538</v>
      </c>
      <c r="H3336" s="3" t="s">
        <v>3535</v>
      </c>
      <c r="I3336" s="3" t="s">
        <v>3079</v>
      </c>
      <c r="J3336" s="5" t="s">
        <v>3536</v>
      </c>
      <c r="L3336" s="3" t="s">
        <v>2761</v>
      </c>
      <c r="M3336" s="3">
        <v>5</v>
      </c>
      <c r="N3336" s="4" t="s">
        <v>9682</v>
      </c>
      <c r="O3336" s="4">
        <v>179</v>
      </c>
      <c r="P3336" s="11" t="s">
        <v>9737</v>
      </c>
      <c r="Q3336" s="11" t="s">
        <v>10770</v>
      </c>
      <c r="S3336" s="4" t="b">
        <f>ISNUMBER(MATCH(Q3336,T:T,0))</f>
        <v>1</v>
      </c>
      <c r="T3336" s="4" t="s">
        <v>12668</v>
      </c>
      <c r="U3336" s="4" t="str">
        <f t="shared" si="149"/>
        <v>聿</v>
      </c>
    </row>
    <row r="3337" spans="1:21">
      <c r="A3337" s="3">
        <v>3326</v>
      </c>
      <c r="B3337" s="3" t="s">
        <v>3502</v>
      </c>
      <c r="C3337" s="3" t="s">
        <v>6017</v>
      </c>
      <c r="D3337" s="3" t="s">
        <v>6001</v>
      </c>
      <c r="E3337" s="3" t="s">
        <v>6212</v>
      </c>
      <c r="F3337" s="3" t="s">
        <v>6769</v>
      </c>
      <c r="G3337" s="3" t="s">
        <v>538</v>
      </c>
      <c r="H3337" s="3" t="s">
        <v>3537</v>
      </c>
      <c r="I3337" s="3" t="s">
        <v>3079</v>
      </c>
      <c r="J3337" s="5" t="s">
        <v>9584</v>
      </c>
      <c r="L3337" s="3" t="s">
        <v>5987</v>
      </c>
      <c r="M3337" s="3">
        <v>15</v>
      </c>
      <c r="N3337" s="4" t="s">
        <v>9682</v>
      </c>
      <c r="O3337" s="4">
        <v>179</v>
      </c>
      <c r="P3337" s="11" t="s">
        <v>10772</v>
      </c>
      <c r="Q3337" s="11" t="s">
        <v>10770</v>
      </c>
      <c r="S3337" s="4" t="b">
        <f>ISNUMBER(MATCH(Q3337,T:T,0))</f>
        <v>1</v>
      </c>
      <c r="T3337" s="4" t="s">
        <v>10771</v>
      </c>
      <c r="U3337" s="4" t="str">
        <f t="shared" si="149"/>
        <v>聿</v>
      </c>
    </row>
    <row r="3338" spans="1:21">
      <c r="A3338" s="3">
        <v>3327</v>
      </c>
      <c r="B3338" s="3" t="s">
        <v>3502</v>
      </c>
      <c r="C3338" s="3" t="s">
        <v>6058</v>
      </c>
      <c r="D3338" s="3" t="s">
        <v>6001</v>
      </c>
      <c r="E3338" s="3" t="s">
        <v>6212</v>
      </c>
      <c r="F3338" s="3" t="s">
        <v>6769</v>
      </c>
      <c r="G3338" s="3" t="s">
        <v>538</v>
      </c>
      <c r="H3338" s="3" t="s">
        <v>3538</v>
      </c>
      <c r="I3338" s="3" t="s">
        <v>3079</v>
      </c>
      <c r="J3338" s="5" t="s">
        <v>9585</v>
      </c>
      <c r="L3338" s="3" t="s">
        <v>1385</v>
      </c>
      <c r="M3338" s="3">
        <v>8</v>
      </c>
      <c r="N3338" s="4" t="s">
        <v>9682</v>
      </c>
      <c r="O3338" s="4">
        <v>179</v>
      </c>
      <c r="P3338" s="11" t="s">
        <v>9773</v>
      </c>
      <c r="Q3338" s="11" t="s">
        <v>10771</v>
      </c>
      <c r="S3338" s="4" t="b">
        <f>ISNUMBER(MATCH(Q3338,T:T,0))</f>
        <v>1</v>
      </c>
      <c r="T3338" s="4" t="s">
        <v>10766</v>
      </c>
      <c r="U3338" s="4" t="str">
        <f t="shared" si="149"/>
        <v>卹</v>
      </c>
    </row>
    <row r="3339" spans="1:21">
      <c r="A3339" s="3">
        <v>3328</v>
      </c>
      <c r="B3339" s="3" t="s">
        <v>3502</v>
      </c>
      <c r="C3339" s="3" t="s">
        <v>6011</v>
      </c>
      <c r="D3339" s="3" t="s">
        <v>6001</v>
      </c>
      <c r="E3339" s="3" t="s">
        <v>6212</v>
      </c>
      <c r="F3339" s="3" t="s">
        <v>6769</v>
      </c>
      <c r="G3339" s="3" t="s">
        <v>538</v>
      </c>
      <c r="H3339" s="3" t="s">
        <v>3539</v>
      </c>
      <c r="I3339" s="3" t="s">
        <v>3079</v>
      </c>
      <c r="J3339" s="5" t="s">
        <v>9586</v>
      </c>
      <c r="L3339" s="3" t="s">
        <v>2745</v>
      </c>
      <c r="M3339" s="3">
        <v>8</v>
      </c>
      <c r="N3339" s="4" t="s">
        <v>9682</v>
      </c>
      <c r="O3339" s="4">
        <v>179</v>
      </c>
      <c r="P3339" s="11" t="s">
        <v>9757</v>
      </c>
      <c r="Q3339" s="11" t="s">
        <v>10766</v>
      </c>
      <c r="S3339" s="4" t="b">
        <f>ISNUMBER(MATCH(Q3339,T:T,0))</f>
        <v>1</v>
      </c>
      <c r="T3339" s="4" t="s">
        <v>12669</v>
      </c>
      <c r="U3339" s="4" t="str">
        <f t="shared" si="149"/>
        <v>律</v>
      </c>
    </row>
    <row r="3340" spans="1:21">
      <c r="A3340" s="3">
        <v>3329</v>
      </c>
      <c r="B3340" s="3" t="s">
        <v>3502</v>
      </c>
      <c r="C3340" s="3" t="s">
        <v>6000</v>
      </c>
      <c r="D3340" s="3" t="s">
        <v>6001</v>
      </c>
      <c r="E3340" s="3" t="s">
        <v>6212</v>
      </c>
      <c r="F3340" s="3" t="s">
        <v>6769</v>
      </c>
      <c r="G3340" s="3" t="s">
        <v>538</v>
      </c>
      <c r="H3340" s="3" t="s">
        <v>3540</v>
      </c>
      <c r="I3340" s="3" t="s">
        <v>3079</v>
      </c>
      <c r="J3340" s="5" t="s">
        <v>9587</v>
      </c>
      <c r="L3340" s="3" t="s">
        <v>3326</v>
      </c>
      <c r="M3340" s="3">
        <v>8</v>
      </c>
      <c r="N3340" s="4" t="s">
        <v>9682</v>
      </c>
      <c r="O3340" s="4">
        <v>179</v>
      </c>
      <c r="P3340" s="11" t="s">
        <v>9803</v>
      </c>
      <c r="Q3340" s="11" t="s">
        <v>10766</v>
      </c>
      <c r="S3340" s="4" t="b">
        <f>ISNUMBER(MATCH(Q3340,T:T,0))</f>
        <v>1</v>
      </c>
      <c r="T3340" s="4" t="s">
        <v>12670</v>
      </c>
      <c r="U3340" s="4" t="str">
        <f t="shared" si="149"/>
        <v>律</v>
      </c>
    </row>
    <row r="3341" spans="1:21">
      <c r="A3341" s="3">
        <v>3330</v>
      </c>
      <c r="B3341" s="3" t="s">
        <v>3502</v>
      </c>
      <c r="C3341" s="3" t="s">
        <v>6005</v>
      </c>
      <c r="D3341" s="3" t="s">
        <v>6001</v>
      </c>
      <c r="E3341" s="3" t="s">
        <v>6212</v>
      </c>
      <c r="F3341" s="3" t="s">
        <v>6769</v>
      </c>
      <c r="G3341" s="3" t="s">
        <v>538</v>
      </c>
      <c r="H3341" s="3" t="s">
        <v>3541</v>
      </c>
      <c r="I3341" s="3" t="s">
        <v>3079</v>
      </c>
      <c r="J3341" s="8" t="s">
        <v>9588</v>
      </c>
      <c r="L3341" s="3" t="s">
        <v>3311</v>
      </c>
      <c r="M3341" s="3">
        <v>3</v>
      </c>
      <c r="N3341" s="4" t="s">
        <v>9682</v>
      </c>
      <c r="O3341" s="4">
        <v>179</v>
      </c>
      <c r="P3341" s="11" t="s">
        <v>9709</v>
      </c>
      <c r="Q3341" s="11" t="s">
        <v>10766</v>
      </c>
      <c r="S3341" s="4" t="b">
        <f>ISNUMBER(MATCH(Q3341,T:T,0))</f>
        <v>1</v>
      </c>
      <c r="T3341" s="4" t="s">
        <v>12671</v>
      </c>
      <c r="U3341" s="4" t="str">
        <f t="shared" si="149"/>
        <v>律</v>
      </c>
    </row>
    <row r="3342" spans="1:21">
      <c r="A3342" s="3">
        <v>3331</v>
      </c>
      <c r="B3342" s="3" t="s">
        <v>3502</v>
      </c>
      <c r="C3342" s="3" t="s">
        <v>6055</v>
      </c>
      <c r="D3342" s="3" t="s">
        <v>6001</v>
      </c>
      <c r="E3342" s="3" t="s">
        <v>6212</v>
      </c>
      <c r="F3342" s="3" t="s">
        <v>6769</v>
      </c>
      <c r="G3342" s="3" t="s">
        <v>538</v>
      </c>
      <c r="H3342" s="3" t="s">
        <v>3542</v>
      </c>
      <c r="I3342" s="3" t="s">
        <v>3079</v>
      </c>
      <c r="J3342" s="5" t="s">
        <v>4492</v>
      </c>
      <c r="L3342" s="3" t="s">
        <v>2745</v>
      </c>
      <c r="M3342" s="3">
        <v>1</v>
      </c>
      <c r="N3342" s="4" t="s">
        <v>9682</v>
      </c>
      <c r="O3342" s="4">
        <v>179</v>
      </c>
      <c r="P3342" s="11" t="s">
        <v>9835</v>
      </c>
      <c r="Q3342" s="11" t="s">
        <v>10766</v>
      </c>
      <c r="S3342" s="4" t="b">
        <f>ISNUMBER(MATCH(Q3342,T:T,0))</f>
        <v>1</v>
      </c>
      <c r="T3342" s="4" t="s">
        <v>4492</v>
      </c>
      <c r="U3342" s="4" t="str">
        <f t="shared" si="149"/>
        <v>律</v>
      </c>
    </row>
    <row r="3343" spans="1:21">
      <c r="A3343" s="3">
        <v>3332</v>
      </c>
      <c r="B3343" s="3" t="s">
        <v>3502</v>
      </c>
      <c r="C3343" s="3" t="s">
        <v>6076</v>
      </c>
      <c r="D3343" s="3" t="s">
        <v>6001</v>
      </c>
      <c r="E3343" s="3" t="s">
        <v>6212</v>
      </c>
      <c r="F3343" s="3" t="s">
        <v>6769</v>
      </c>
      <c r="G3343" s="3" t="s">
        <v>538</v>
      </c>
      <c r="H3343" s="3" t="s">
        <v>3543</v>
      </c>
      <c r="I3343" s="3" t="s">
        <v>3079</v>
      </c>
      <c r="J3343" s="5" t="s">
        <v>9589</v>
      </c>
      <c r="L3343" s="3" t="s">
        <v>2829</v>
      </c>
      <c r="M3343" s="3">
        <v>1</v>
      </c>
      <c r="N3343" s="4" t="s">
        <v>9682</v>
      </c>
      <c r="O3343" s="4">
        <v>179</v>
      </c>
      <c r="P3343" s="11" t="s">
        <v>9735</v>
      </c>
      <c r="Q3343" s="11" t="s">
        <v>10770</v>
      </c>
      <c r="S3343" s="4" t="b">
        <f>ISNUMBER(MATCH(Q3343,T:T,0))</f>
        <v>1</v>
      </c>
      <c r="T3343" s="4" t="s">
        <v>12294</v>
      </c>
      <c r="U3343" s="4" t="str">
        <f t="shared" si="149"/>
        <v>聿</v>
      </c>
    </row>
    <row r="3344" spans="1:21">
      <c r="A3344" s="3">
        <v>3333</v>
      </c>
      <c r="B3344" s="3" t="s">
        <v>3502</v>
      </c>
      <c r="C3344" s="3" t="s">
        <v>6318</v>
      </c>
      <c r="D3344" s="3" t="s">
        <v>6001</v>
      </c>
      <c r="E3344" s="3" t="s">
        <v>6212</v>
      </c>
      <c r="F3344" s="3" t="s">
        <v>6769</v>
      </c>
      <c r="G3344" s="3" t="s">
        <v>538</v>
      </c>
      <c r="H3344" s="3" t="s">
        <v>3544</v>
      </c>
      <c r="I3344" s="3" t="s">
        <v>3079</v>
      </c>
      <c r="J3344" s="5" t="s">
        <v>3545</v>
      </c>
      <c r="L3344" s="3" t="s">
        <v>3546</v>
      </c>
      <c r="M3344" s="3">
        <v>2</v>
      </c>
      <c r="N3344" s="4" t="s">
        <v>9682</v>
      </c>
      <c r="O3344" s="4">
        <v>179</v>
      </c>
      <c r="P3344" s="11" t="s">
        <v>9804</v>
      </c>
      <c r="Q3344" s="11" t="s">
        <v>10766</v>
      </c>
      <c r="S3344" s="4" t="b">
        <f>ISNUMBER(MATCH(Q3344,T:T,0))</f>
        <v>1</v>
      </c>
      <c r="T3344" s="4" t="s">
        <v>12672</v>
      </c>
      <c r="U3344" s="4" t="str">
        <f t="shared" si="149"/>
        <v>律</v>
      </c>
    </row>
    <row r="3345" spans="1:22">
      <c r="A3345" s="3">
        <v>3334</v>
      </c>
      <c r="B3345" s="3" t="s">
        <v>3502</v>
      </c>
      <c r="C3345" s="3" t="s">
        <v>6089</v>
      </c>
      <c r="D3345" s="3" t="s">
        <v>6001</v>
      </c>
      <c r="E3345" s="3" t="s">
        <v>6212</v>
      </c>
      <c r="F3345" s="3" t="s">
        <v>6769</v>
      </c>
      <c r="G3345" s="3" t="s">
        <v>538</v>
      </c>
      <c r="H3345" s="3" t="s">
        <v>3547</v>
      </c>
      <c r="I3345" s="3" t="s">
        <v>3079</v>
      </c>
      <c r="J3345" s="5" t="s">
        <v>3548</v>
      </c>
      <c r="L3345" s="3" t="s">
        <v>5987</v>
      </c>
      <c r="M3345" s="3">
        <v>4</v>
      </c>
      <c r="N3345" s="4" t="s">
        <v>9682</v>
      </c>
      <c r="O3345" s="4">
        <v>179</v>
      </c>
      <c r="P3345" s="11" t="s">
        <v>9753</v>
      </c>
      <c r="Q3345" s="11" t="s">
        <v>10770</v>
      </c>
      <c r="S3345" s="4" t="b">
        <f>ISNUMBER(MATCH(Q3345,T:T,0))</f>
        <v>1</v>
      </c>
      <c r="T3345" s="4" t="s">
        <v>12673</v>
      </c>
      <c r="U3345" s="4" t="str">
        <f t="shared" si="149"/>
        <v>聿</v>
      </c>
    </row>
    <row r="3346" spans="1:22">
      <c r="A3346" s="3">
        <v>3338</v>
      </c>
      <c r="B3346" s="3" t="s">
        <v>3556</v>
      </c>
      <c r="C3346" s="3" t="s">
        <v>6035</v>
      </c>
      <c r="D3346" s="3" t="s">
        <v>6001</v>
      </c>
      <c r="E3346" s="3" t="s">
        <v>6212</v>
      </c>
      <c r="F3346" s="3" t="s">
        <v>6809</v>
      </c>
      <c r="G3346" s="3" t="s">
        <v>538</v>
      </c>
      <c r="H3346" s="3" t="s">
        <v>3557</v>
      </c>
      <c r="I3346" s="3" t="s">
        <v>3079</v>
      </c>
      <c r="J3346" s="5" t="s">
        <v>9590</v>
      </c>
      <c r="L3346" s="3" t="s">
        <v>5161</v>
      </c>
      <c r="M3346" s="3">
        <v>9</v>
      </c>
      <c r="N3346" s="4" t="s">
        <v>3558</v>
      </c>
      <c r="O3346" s="4">
        <v>180</v>
      </c>
      <c r="P3346" s="11" t="s">
        <v>6809</v>
      </c>
      <c r="Q3346" s="11" t="s">
        <v>10775</v>
      </c>
      <c r="S3346" s="4" t="b">
        <f>ISNUMBER(MATCH(Q3346,T:T,0))</f>
        <v>1</v>
      </c>
      <c r="T3346" s="4" t="s">
        <v>3558</v>
      </c>
      <c r="U3346" s="4" t="str">
        <f t="shared" si="149"/>
        <v>弗</v>
      </c>
    </row>
    <row r="3347" spans="1:22" ht="39">
      <c r="A3347" s="3">
        <v>3339</v>
      </c>
      <c r="B3347" s="3" t="s">
        <v>3556</v>
      </c>
      <c r="C3347" s="3" t="s">
        <v>6049</v>
      </c>
      <c r="D3347" s="3" t="s">
        <v>6001</v>
      </c>
      <c r="E3347" s="3" t="s">
        <v>6212</v>
      </c>
      <c r="F3347" s="3" t="s">
        <v>6809</v>
      </c>
      <c r="G3347" s="3" t="s">
        <v>538</v>
      </c>
      <c r="H3347" s="3" t="s">
        <v>3559</v>
      </c>
      <c r="I3347" s="3" t="s">
        <v>3079</v>
      </c>
      <c r="J3347" s="5" t="s">
        <v>9591</v>
      </c>
      <c r="L3347" s="3" t="s">
        <v>3305</v>
      </c>
      <c r="M3347" s="3">
        <v>20</v>
      </c>
      <c r="N3347" s="4" t="s">
        <v>3558</v>
      </c>
      <c r="O3347" s="4">
        <v>180</v>
      </c>
      <c r="P3347" s="11" t="s">
        <v>9948</v>
      </c>
      <c r="Q3347" s="11" t="s">
        <v>10776</v>
      </c>
      <c r="R3347" s="4" t="s">
        <v>13179</v>
      </c>
      <c r="S3347" s="4" t="b">
        <f>ISNUMBER(MATCH(Q3347,T:T,0))</f>
        <v>0</v>
      </c>
      <c r="T3347" s="4" t="s">
        <v>10775</v>
      </c>
      <c r="U3347" s="4" t="str">
        <f t="shared" si="149"/>
        <v>物</v>
      </c>
      <c r="V3347" s="4" t="b">
        <f>ISNUMBER(MATCH(R3347,T:T,0))</f>
        <v>1</v>
      </c>
    </row>
    <row r="3348" spans="1:22">
      <c r="A3348" s="3">
        <v>3340</v>
      </c>
      <c r="B3348" s="3" t="s">
        <v>3556</v>
      </c>
      <c r="C3348" s="3" t="s">
        <v>6072</v>
      </c>
      <c r="D3348" s="3" t="s">
        <v>6001</v>
      </c>
      <c r="E3348" s="3" t="s">
        <v>6212</v>
      </c>
      <c r="F3348" s="3" t="s">
        <v>6809</v>
      </c>
      <c r="G3348" s="3" t="s">
        <v>538</v>
      </c>
      <c r="H3348" s="3" t="s">
        <v>3560</v>
      </c>
      <c r="I3348" s="3" t="s">
        <v>3079</v>
      </c>
      <c r="J3348" s="5" t="s">
        <v>9592</v>
      </c>
      <c r="L3348" s="3" t="s">
        <v>5098</v>
      </c>
      <c r="M3348" s="3">
        <v>12</v>
      </c>
      <c r="N3348" s="4" t="s">
        <v>3558</v>
      </c>
      <c r="O3348" s="4">
        <v>180</v>
      </c>
      <c r="P3348" s="11" t="s">
        <v>10377</v>
      </c>
      <c r="Q3348" s="11" t="s">
        <v>3558</v>
      </c>
      <c r="S3348" s="4" t="b">
        <f>ISNUMBER(MATCH(Q3348,T:T,0))</f>
        <v>1</v>
      </c>
      <c r="T3348" s="4" t="s">
        <v>12674</v>
      </c>
      <c r="U3348" s="4" t="str">
        <f t="shared" si="149"/>
        <v>物</v>
      </c>
    </row>
    <row r="3349" spans="1:22">
      <c r="A3349" s="3">
        <v>3341</v>
      </c>
      <c r="B3349" s="3" t="s">
        <v>3556</v>
      </c>
      <c r="C3349" s="3" t="s">
        <v>6025</v>
      </c>
      <c r="D3349" s="3" t="s">
        <v>6001</v>
      </c>
      <c r="E3349" s="3" t="s">
        <v>6212</v>
      </c>
      <c r="F3349" s="3" t="s">
        <v>6809</v>
      </c>
      <c r="G3349" s="3" t="s">
        <v>538</v>
      </c>
      <c r="H3349" s="3" t="s">
        <v>3561</v>
      </c>
      <c r="I3349" s="3" t="s">
        <v>3079</v>
      </c>
      <c r="J3349" s="5" t="s">
        <v>9593</v>
      </c>
      <c r="L3349" s="3" t="s">
        <v>2761</v>
      </c>
      <c r="M3349" s="3">
        <v>10</v>
      </c>
      <c r="N3349" s="4" t="s">
        <v>3558</v>
      </c>
      <c r="O3349" s="4">
        <v>180</v>
      </c>
      <c r="P3349" s="11" t="s">
        <v>9764</v>
      </c>
      <c r="Q3349" s="11" t="s">
        <v>10776</v>
      </c>
      <c r="R3349" s="4" t="s">
        <v>13179</v>
      </c>
      <c r="S3349" s="4" t="b">
        <f>ISNUMBER(MATCH(Q3349,T:T,0))</f>
        <v>0</v>
      </c>
      <c r="T3349" s="4" t="s">
        <v>12675</v>
      </c>
      <c r="U3349" s="4" t="str">
        <f t="shared" si="149"/>
        <v>物</v>
      </c>
      <c r="V3349" s="4" t="b">
        <f t="shared" ref="V3349:V3350" si="150">ISNUMBER(MATCH(R3349,T:T,0))</f>
        <v>1</v>
      </c>
    </row>
    <row r="3350" spans="1:22">
      <c r="A3350" s="3">
        <v>3342</v>
      </c>
      <c r="B3350" s="3" t="s">
        <v>3556</v>
      </c>
      <c r="C3350" s="3" t="s">
        <v>6038</v>
      </c>
      <c r="D3350" s="3" t="s">
        <v>6001</v>
      </c>
      <c r="E3350" s="3" t="s">
        <v>6212</v>
      </c>
      <c r="F3350" s="3" t="s">
        <v>6809</v>
      </c>
      <c r="G3350" s="3" t="s">
        <v>538</v>
      </c>
      <c r="H3350" s="3" t="s">
        <v>3562</v>
      </c>
      <c r="I3350" s="3" t="s">
        <v>3079</v>
      </c>
      <c r="J3350" s="5" t="s">
        <v>3563</v>
      </c>
      <c r="L3350" s="3" t="s">
        <v>2829</v>
      </c>
      <c r="M3350" s="3">
        <v>3</v>
      </c>
      <c r="N3350" s="4" t="s">
        <v>3558</v>
      </c>
      <c r="O3350" s="4">
        <v>180</v>
      </c>
      <c r="P3350" s="11" t="s">
        <v>10461</v>
      </c>
      <c r="Q3350" s="11" t="s">
        <v>10776</v>
      </c>
      <c r="R3350" s="4" t="s">
        <v>13179</v>
      </c>
      <c r="S3350" s="4" t="b">
        <f>ISNUMBER(MATCH(Q3350,T:T,0))</f>
        <v>0</v>
      </c>
      <c r="T3350" s="4" t="s">
        <v>12676</v>
      </c>
      <c r="U3350" s="4" t="str">
        <f t="shared" si="149"/>
        <v>物</v>
      </c>
      <c r="V3350" s="4" t="b">
        <f t="shared" si="150"/>
        <v>1</v>
      </c>
    </row>
    <row r="3351" spans="1:22">
      <c r="A3351" s="3">
        <v>3343</v>
      </c>
      <c r="B3351" s="3" t="s">
        <v>3556</v>
      </c>
      <c r="C3351" s="3" t="s">
        <v>6041</v>
      </c>
      <c r="D3351" s="3" t="s">
        <v>6001</v>
      </c>
      <c r="E3351" s="3" t="s">
        <v>6212</v>
      </c>
      <c r="F3351" s="3" t="s">
        <v>6809</v>
      </c>
      <c r="G3351" s="3" t="s">
        <v>538</v>
      </c>
      <c r="H3351" s="3" t="s">
        <v>3564</v>
      </c>
      <c r="I3351" s="3" t="s">
        <v>3079</v>
      </c>
      <c r="J3351" s="5" t="s">
        <v>3565</v>
      </c>
      <c r="L3351" s="3" t="s">
        <v>3320</v>
      </c>
      <c r="M3351" s="3">
        <v>9</v>
      </c>
      <c r="N3351" s="4" t="s">
        <v>3558</v>
      </c>
      <c r="O3351" s="4">
        <v>180</v>
      </c>
      <c r="P3351" s="11" t="s">
        <v>10777</v>
      </c>
      <c r="Q3351" s="11" t="s">
        <v>3558</v>
      </c>
      <c r="S3351" s="4" t="b">
        <f>ISNUMBER(MATCH(Q3351,T:T,0))</f>
        <v>1</v>
      </c>
      <c r="T3351" s="4" t="s">
        <v>12677</v>
      </c>
      <c r="U3351" s="4" t="str">
        <f t="shared" si="149"/>
        <v>物</v>
      </c>
    </row>
    <row r="3352" spans="1:22">
      <c r="A3352" s="3">
        <v>3344</v>
      </c>
      <c r="B3352" s="3" t="s">
        <v>3556</v>
      </c>
      <c r="C3352" s="3" t="s">
        <v>6045</v>
      </c>
      <c r="D3352" s="3" t="s">
        <v>6001</v>
      </c>
      <c r="E3352" s="3" t="s">
        <v>6212</v>
      </c>
      <c r="F3352" s="3" t="s">
        <v>6809</v>
      </c>
      <c r="G3352" s="3" t="s">
        <v>538</v>
      </c>
      <c r="H3352" s="3" t="s">
        <v>3566</v>
      </c>
      <c r="I3352" s="3" t="s">
        <v>3079</v>
      </c>
      <c r="J3352" s="5" t="s">
        <v>9594</v>
      </c>
      <c r="L3352" s="3" t="s">
        <v>2769</v>
      </c>
      <c r="M3352" s="3">
        <v>9</v>
      </c>
      <c r="N3352" s="4" t="s">
        <v>3558</v>
      </c>
      <c r="O3352" s="4">
        <v>180</v>
      </c>
      <c r="P3352" s="11" t="s">
        <v>9759</v>
      </c>
      <c r="Q3352" s="11" t="s">
        <v>10775</v>
      </c>
      <c r="S3352" s="4" t="b">
        <f>ISNUMBER(MATCH(Q3352,T:T,0))</f>
        <v>1</v>
      </c>
      <c r="T3352" s="4" t="s">
        <v>12678</v>
      </c>
      <c r="U3352" s="4" t="str">
        <f t="shared" si="149"/>
        <v>弗</v>
      </c>
    </row>
    <row r="3353" spans="1:22">
      <c r="A3353" s="3">
        <v>3345</v>
      </c>
      <c r="B3353" s="3" t="s">
        <v>3556</v>
      </c>
      <c r="C3353" s="3" t="s">
        <v>6089</v>
      </c>
      <c r="D3353" s="3" t="s">
        <v>6001</v>
      </c>
      <c r="E3353" s="3" t="s">
        <v>6212</v>
      </c>
      <c r="F3353" s="3" t="s">
        <v>6809</v>
      </c>
      <c r="G3353" s="3" t="s">
        <v>538</v>
      </c>
      <c r="H3353" s="3" t="s">
        <v>3567</v>
      </c>
      <c r="I3353" s="3" t="s">
        <v>3079</v>
      </c>
      <c r="J3353" s="5" t="s">
        <v>3568</v>
      </c>
      <c r="L3353" s="3" t="s">
        <v>5987</v>
      </c>
      <c r="M3353" s="3">
        <v>6</v>
      </c>
      <c r="N3353" s="4" t="s">
        <v>3558</v>
      </c>
      <c r="O3353" s="4">
        <v>180</v>
      </c>
      <c r="P3353" s="11" t="s">
        <v>9753</v>
      </c>
      <c r="Q3353" s="11" t="s">
        <v>10776</v>
      </c>
      <c r="R3353" s="4" t="s">
        <v>13179</v>
      </c>
      <c r="S3353" s="4" t="b">
        <f>ISNUMBER(MATCH(Q3353,T:T,0))</f>
        <v>0</v>
      </c>
      <c r="T3353" s="4" t="s">
        <v>12679</v>
      </c>
      <c r="U3353" s="4" t="str">
        <f t="shared" si="149"/>
        <v>物</v>
      </c>
      <c r="V3353" s="4" t="b">
        <f t="shared" ref="V3353:V3356" si="151">ISNUMBER(MATCH(R3353,T:T,0))</f>
        <v>1</v>
      </c>
    </row>
    <row r="3354" spans="1:22">
      <c r="A3354" s="3">
        <v>3346</v>
      </c>
      <c r="B3354" s="3" t="s">
        <v>3556</v>
      </c>
      <c r="C3354" s="3" t="s">
        <v>6032</v>
      </c>
      <c r="D3354" s="3" t="s">
        <v>6001</v>
      </c>
      <c r="E3354" s="3" t="s">
        <v>6212</v>
      </c>
      <c r="F3354" s="3" t="s">
        <v>6809</v>
      </c>
      <c r="G3354" s="3" t="s">
        <v>538</v>
      </c>
      <c r="H3354" s="3" t="s">
        <v>3569</v>
      </c>
      <c r="I3354" s="3" t="s">
        <v>3079</v>
      </c>
      <c r="J3354" s="5" t="s">
        <v>3570</v>
      </c>
      <c r="L3354" s="3" t="s">
        <v>1382</v>
      </c>
      <c r="M3354" s="3">
        <v>6</v>
      </c>
      <c r="N3354" s="4" t="s">
        <v>3558</v>
      </c>
      <c r="O3354" s="4">
        <v>180</v>
      </c>
      <c r="P3354" s="11" t="s">
        <v>9949</v>
      </c>
      <c r="Q3354" s="11" t="s">
        <v>10776</v>
      </c>
      <c r="R3354" s="4" t="s">
        <v>13179</v>
      </c>
      <c r="S3354" s="4" t="b">
        <f>ISNUMBER(MATCH(Q3354,T:T,0))</f>
        <v>0</v>
      </c>
      <c r="T3354" s="4" t="s">
        <v>12680</v>
      </c>
      <c r="U3354" s="4" t="str">
        <f t="shared" si="149"/>
        <v>物</v>
      </c>
      <c r="V3354" s="4" t="b">
        <f t="shared" si="151"/>
        <v>1</v>
      </c>
    </row>
    <row r="3355" spans="1:22">
      <c r="A3355" s="3">
        <v>3347</v>
      </c>
      <c r="B3355" s="3" t="s">
        <v>3556</v>
      </c>
      <c r="C3355" s="3" t="s">
        <v>6053</v>
      </c>
      <c r="D3355" s="3" t="s">
        <v>6001</v>
      </c>
      <c r="E3355" s="3" t="s">
        <v>6212</v>
      </c>
      <c r="F3355" s="3" t="s">
        <v>6809</v>
      </c>
      <c r="G3355" s="3" t="s">
        <v>538</v>
      </c>
      <c r="H3355" s="3" t="s">
        <v>3571</v>
      </c>
      <c r="I3355" s="3" t="s">
        <v>3079</v>
      </c>
      <c r="J3355" s="5" t="s">
        <v>9595</v>
      </c>
      <c r="L3355" s="3" t="s">
        <v>3305</v>
      </c>
      <c r="M3355" s="3">
        <v>12</v>
      </c>
      <c r="N3355" s="4" t="s">
        <v>3558</v>
      </c>
      <c r="O3355" s="4">
        <v>180</v>
      </c>
      <c r="P3355" s="11" t="s">
        <v>9724</v>
      </c>
      <c r="Q3355" s="11" t="s">
        <v>10776</v>
      </c>
      <c r="R3355" s="4" t="s">
        <v>13179</v>
      </c>
      <c r="S3355" s="4" t="b">
        <f>ISNUMBER(MATCH(Q3355,T:T,0))</f>
        <v>0</v>
      </c>
      <c r="T3355" s="4" t="s">
        <v>10784</v>
      </c>
      <c r="U3355" s="4" t="str">
        <f t="shared" si="149"/>
        <v>物</v>
      </c>
      <c r="V3355" s="4" t="b">
        <f t="shared" si="151"/>
        <v>1</v>
      </c>
    </row>
    <row r="3356" spans="1:22">
      <c r="A3356" s="3">
        <v>3348</v>
      </c>
      <c r="B3356" s="3" t="s">
        <v>3556</v>
      </c>
      <c r="C3356" s="3" t="s">
        <v>6092</v>
      </c>
      <c r="D3356" s="3" t="s">
        <v>6001</v>
      </c>
      <c r="E3356" s="3" t="s">
        <v>6212</v>
      </c>
      <c r="F3356" s="3" t="s">
        <v>6809</v>
      </c>
      <c r="G3356" s="3" t="s">
        <v>538</v>
      </c>
      <c r="H3356" s="3" t="s">
        <v>3572</v>
      </c>
      <c r="I3356" s="3" t="s">
        <v>3079</v>
      </c>
      <c r="J3356" s="5" t="s">
        <v>3573</v>
      </c>
      <c r="L3356" s="3" t="s">
        <v>1382</v>
      </c>
      <c r="M3356" s="3">
        <v>1</v>
      </c>
      <c r="N3356" s="4" t="s">
        <v>3558</v>
      </c>
      <c r="O3356" s="4">
        <v>180</v>
      </c>
      <c r="P3356" s="11" t="s">
        <v>6462</v>
      </c>
      <c r="Q3356" s="11" t="s">
        <v>10776</v>
      </c>
      <c r="R3356" s="4" t="s">
        <v>13179</v>
      </c>
      <c r="S3356" s="4" t="b">
        <f>ISNUMBER(MATCH(Q3356,T:T,0))</f>
        <v>0</v>
      </c>
      <c r="T3356" s="4" t="s">
        <v>3573</v>
      </c>
      <c r="U3356" s="4" t="str">
        <f t="shared" si="149"/>
        <v>物</v>
      </c>
      <c r="V3356" s="4" t="b">
        <f t="shared" si="151"/>
        <v>1</v>
      </c>
    </row>
    <row r="3357" spans="1:22">
      <c r="A3357" s="3">
        <v>3349</v>
      </c>
      <c r="B3357" s="3" t="s">
        <v>3574</v>
      </c>
      <c r="C3357" s="3" t="s">
        <v>6089</v>
      </c>
      <c r="D3357" s="3" t="s">
        <v>6001</v>
      </c>
      <c r="E3357" s="3" t="s">
        <v>5991</v>
      </c>
      <c r="F3357" s="3" t="s">
        <v>6825</v>
      </c>
      <c r="G3357" s="3" t="s">
        <v>538</v>
      </c>
      <c r="H3357" s="3" t="s">
        <v>3575</v>
      </c>
      <c r="I3357" s="3" t="s">
        <v>3079</v>
      </c>
      <c r="J3357" s="5" t="s">
        <v>3576</v>
      </c>
      <c r="L3357" s="3" t="s">
        <v>6394</v>
      </c>
      <c r="M3357" s="3">
        <v>9</v>
      </c>
      <c r="N3357" s="4" t="s">
        <v>9683</v>
      </c>
      <c r="O3357" s="4">
        <v>181</v>
      </c>
      <c r="P3357" s="11" t="s">
        <v>9753</v>
      </c>
      <c r="Q3357" s="11" t="s">
        <v>9683</v>
      </c>
      <c r="S3357" s="4" t="b">
        <f>ISNUMBER(MATCH(Q3357,T:T,0))</f>
        <v>1</v>
      </c>
      <c r="T3357" s="4" t="s">
        <v>9683</v>
      </c>
      <c r="U3357" s="4" t="str">
        <f t="shared" si="149"/>
        <v>迄</v>
      </c>
    </row>
    <row r="3358" spans="1:22">
      <c r="A3358" s="3">
        <v>3350</v>
      </c>
      <c r="B3358" s="3" t="s">
        <v>3574</v>
      </c>
      <c r="C3358" s="3" t="s">
        <v>6025</v>
      </c>
      <c r="D3358" s="3" t="s">
        <v>6001</v>
      </c>
      <c r="E3358" s="3" t="s">
        <v>5991</v>
      </c>
      <c r="F3358" s="3" t="s">
        <v>6825</v>
      </c>
      <c r="G3358" s="3" t="s">
        <v>538</v>
      </c>
      <c r="H3358" s="3" t="s">
        <v>3523</v>
      </c>
      <c r="I3358" s="3" t="s">
        <v>3079</v>
      </c>
      <c r="J3358" s="5" t="s">
        <v>9596</v>
      </c>
      <c r="L3358" s="3" t="s">
        <v>6331</v>
      </c>
      <c r="M3358" s="3">
        <v>5</v>
      </c>
      <c r="N3358" s="4" t="s">
        <v>9683</v>
      </c>
      <c r="O3358" s="4">
        <v>181</v>
      </c>
      <c r="P3358" s="11" t="s">
        <v>9717</v>
      </c>
      <c r="Q3358" s="11" t="s">
        <v>9907</v>
      </c>
      <c r="S3358" s="4" t="b">
        <f>ISNUMBER(MATCH(Q3358,T:T,0))</f>
        <v>1</v>
      </c>
      <c r="T3358" s="4" t="s">
        <v>12681</v>
      </c>
      <c r="U3358" s="4" t="str">
        <f t="shared" si="149"/>
        <v>乙</v>
      </c>
    </row>
    <row r="3359" spans="1:22">
      <c r="A3359" s="3">
        <v>3351</v>
      </c>
      <c r="B3359" s="3" t="s">
        <v>3574</v>
      </c>
      <c r="C3359" s="3" t="s">
        <v>6092</v>
      </c>
      <c r="D3359" s="3" t="s">
        <v>6001</v>
      </c>
      <c r="E3359" s="3" t="s">
        <v>5991</v>
      </c>
      <c r="F3359" s="3" t="s">
        <v>6825</v>
      </c>
      <c r="G3359" s="3" t="s">
        <v>538</v>
      </c>
      <c r="H3359" s="3" t="s">
        <v>3577</v>
      </c>
      <c r="I3359" s="3" t="s">
        <v>3079</v>
      </c>
      <c r="J3359" s="5" t="s">
        <v>3578</v>
      </c>
      <c r="L3359" s="3" t="s">
        <v>4368</v>
      </c>
      <c r="M3359" s="3">
        <v>5</v>
      </c>
      <c r="N3359" s="4" t="s">
        <v>9683</v>
      </c>
      <c r="O3359" s="4">
        <v>181</v>
      </c>
      <c r="P3359" s="11" t="s">
        <v>6462</v>
      </c>
      <c r="Q3359" s="11" t="s">
        <v>9683</v>
      </c>
      <c r="S3359" s="4" t="b">
        <f>ISNUMBER(MATCH(Q3359,T:T,0))</f>
        <v>1</v>
      </c>
      <c r="T3359" s="4" t="s">
        <v>12682</v>
      </c>
      <c r="U3359" s="4" t="str">
        <f t="shared" si="149"/>
        <v>迄</v>
      </c>
    </row>
    <row r="3360" spans="1:22">
      <c r="A3360" s="3">
        <v>3352</v>
      </c>
      <c r="B3360" s="3" t="s">
        <v>3574</v>
      </c>
      <c r="C3360" s="3" t="s">
        <v>6041</v>
      </c>
      <c r="D3360" s="3" t="s">
        <v>6001</v>
      </c>
      <c r="E3360" s="3" t="s">
        <v>5991</v>
      </c>
      <c r="F3360" s="3" t="s">
        <v>6825</v>
      </c>
      <c r="G3360" s="3" t="s">
        <v>538</v>
      </c>
      <c r="H3360" s="3" t="s">
        <v>3579</v>
      </c>
      <c r="I3360" s="3" t="s">
        <v>3079</v>
      </c>
      <c r="J3360" s="5" t="s">
        <v>3580</v>
      </c>
      <c r="L3360" s="3" t="s">
        <v>3485</v>
      </c>
      <c r="M3360" s="3">
        <v>2</v>
      </c>
      <c r="N3360" s="4" t="s">
        <v>9683</v>
      </c>
      <c r="O3360" s="4">
        <v>181</v>
      </c>
      <c r="P3360" s="11" t="s">
        <v>9830</v>
      </c>
      <c r="Q3360" s="11" t="s">
        <v>9683</v>
      </c>
      <c r="S3360" s="4" t="b">
        <f>ISNUMBER(MATCH(Q3360,T:T,0))</f>
        <v>1</v>
      </c>
      <c r="T3360" s="4" t="s">
        <v>12683</v>
      </c>
      <c r="U3360" s="4" t="str">
        <f t="shared" si="149"/>
        <v>迄</v>
      </c>
    </row>
    <row r="3361" spans="1:21">
      <c r="A3361" s="3">
        <v>3353</v>
      </c>
      <c r="B3361" s="3" t="s">
        <v>3574</v>
      </c>
      <c r="C3361" s="3" t="s">
        <v>6038</v>
      </c>
      <c r="D3361" s="3" t="s">
        <v>6001</v>
      </c>
      <c r="E3361" s="3" t="s">
        <v>5991</v>
      </c>
      <c r="F3361" s="3" t="s">
        <v>6825</v>
      </c>
      <c r="G3361" s="3" t="s">
        <v>538</v>
      </c>
      <c r="H3361" s="3" t="s">
        <v>3581</v>
      </c>
      <c r="I3361" s="3" t="s">
        <v>3079</v>
      </c>
      <c r="J3361" s="5" t="s">
        <v>3582</v>
      </c>
      <c r="L3361" s="3" t="s">
        <v>6418</v>
      </c>
      <c r="M3361" s="3">
        <v>3</v>
      </c>
      <c r="N3361" s="4" t="s">
        <v>9683</v>
      </c>
      <c r="O3361" s="4">
        <v>181</v>
      </c>
      <c r="P3361" s="11" t="s">
        <v>4210</v>
      </c>
      <c r="Q3361" s="11" t="s">
        <v>9683</v>
      </c>
      <c r="S3361" s="4" t="b">
        <f>ISNUMBER(MATCH(Q3361,T:T,0))</f>
        <v>1</v>
      </c>
      <c r="T3361" s="4" t="s">
        <v>10083</v>
      </c>
      <c r="U3361" s="4" t="str">
        <f t="shared" si="149"/>
        <v>迄</v>
      </c>
    </row>
    <row r="3362" spans="1:21">
      <c r="A3362" s="3">
        <v>3354</v>
      </c>
      <c r="B3362" s="3" t="s">
        <v>3583</v>
      </c>
      <c r="C3362" s="3" t="s">
        <v>6092</v>
      </c>
      <c r="D3362" s="3" t="s">
        <v>6001</v>
      </c>
      <c r="E3362" s="3" t="s">
        <v>6212</v>
      </c>
      <c r="F3362" s="3" t="s">
        <v>6834</v>
      </c>
      <c r="G3362" s="3" t="s">
        <v>538</v>
      </c>
      <c r="H3362" s="3" t="s">
        <v>3584</v>
      </c>
      <c r="I3362" s="3" t="s">
        <v>6836</v>
      </c>
      <c r="J3362" s="5" t="s">
        <v>9597</v>
      </c>
      <c r="K3362" s="3" t="s">
        <v>641</v>
      </c>
      <c r="L3362" s="3" t="s">
        <v>3420</v>
      </c>
      <c r="M3362" s="3">
        <v>11</v>
      </c>
      <c r="N3362" s="4" t="s">
        <v>3585</v>
      </c>
      <c r="O3362" s="4">
        <v>182</v>
      </c>
      <c r="P3362" s="11" t="s">
        <v>6462</v>
      </c>
      <c r="Q3362" s="11" t="s">
        <v>10778</v>
      </c>
      <c r="S3362" s="4" t="b">
        <f>ISNUMBER(MATCH(Q3362,T:T,0))</f>
        <v>1</v>
      </c>
      <c r="T3362" s="4" t="s">
        <v>3585</v>
      </c>
      <c r="U3362" s="4" t="str">
        <f t="shared" si="149"/>
        <v>厥</v>
      </c>
    </row>
    <row r="3363" spans="1:21">
      <c r="A3363" s="3">
        <v>3355</v>
      </c>
      <c r="B3363" s="3" t="s">
        <v>3583</v>
      </c>
      <c r="C3363" s="3" t="s">
        <v>6045</v>
      </c>
      <c r="D3363" s="3" t="s">
        <v>6001</v>
      </c>
      <c r="E3363" s="3" t="s">
        <v>6212</v>
      </c>
      <c r="F3363" s="3" t="s">
        <v>6834</v>
      </c>
      <c r="G3363" s="3" t="s">
        <v>538</v>
      </c>
      <c r="H3363" s="3" t="s">
        <v>3586</v>
      </c>
      <c r="I3363" s="3" t="s">
        <v>6836</v>
      </c>
      <c r="J3363" s="5" t="s">
        <v>9598</v>
      </c>
      <c r="L3363" s="3" t="s">
        <v>3587</v>
      </c>
      <c r="M3363" s="3">
        <v>14</v>
      </c>
      <c r="N3363" s="4" t="s">
        <v>3585</v>
      </c>
      <c r="O3363" s="4">
        <v>182</v>
      </c>
      <c r="P3363" s="11" t="s">
        <v>9722</v>
      </c>
      <c r="Q3363" s="11" t="s">
        <v>10779</v>
      </c>
      <c r="S3363" s="4" t="b">
        <f>ISNUMBER(MATCH(Q3363,T:T,0))</f>
        <v>1</v>
      </c>
      <c r="T3363" s="4" t="s">
        <v>10780</v>
      </c>
      <c r="U3363" s="4" t="str">
        <f t="shared" si="149"/>
        <v>越</v>
      </c>
    </row>
    <row r="3364" spans="1:21">
      <c r="A3364" s="3">
        <v>3356</v>
      </c>
      <c r="B3364" s="3" t="s">
        <v>3583</v>
      </c>
      <c r="C3364" s="3" t="s">
        <v>6032</v>
      </c>
      <c r="D3364" s="3" t="s">
        <v>6001</v>
      </c>
      <c r="E3364" s="3" t="s">
        <v>6212</v>
      </c>
      <c r="F3364" s="3" t="s">
        <v>6834</v>
      </c>
      <c r="G3364" s="3" t="s">
        <v>538</v>
      </c>
      <c r="H3364" s="3" t="s">
        <v>3588</v>
      </c>
      <c r="I3364" s="3" t="s">
        <v>6836</v>
      </c>
      <c r="J3364" s="5" t="s">
        <v>9599</v>
      </c>
      <c r="L3364" s="3" t="s">
        <v>3420</v>
      </c>
      <c r="M3364" s="3">
        <v>16</v>
      </c>
      <c r="N3364" s="4" t="s">
        <v>3585</v>
      </c>
      <c r="O3364" s="4">
        <v>182</v>
      </c>
      <c r="P3364" s="11" t="s">
        <v>9949</v>
      </c>
      <c r="Q3364" s="11" t="s">
        <v>10780</v>
      </c>
      <c r="S3364" s="4" t="b">
        <f>ISNUMBER(MATCH(Q3364,T:T,0))</f>
        <v>1</v>
      </c>
      <c r="T3364" s="4" t="s">
        <v>10779</v>
      </c>
      <c r="U3364" s="4" t="str">
        <f t="shared" si="149"/>
        <v>伐</v>
      </c>
    </row>
    <row r="3365" spans="1:21" ht="39">
      <c r="A3365" s="3">
        <v>3357</v>
      </c>
      <c r="B3365" s="3" t="s">
        <v>3583</v>
      </c>
      <c r="C3365" s="3" t="s">
        <v>6025</v>
      </c>
      <c r="D3365" s="3" t="s">
        <v>6001</v>
      </c>
      <c r="E3365" s="3" t="s">
        <v>6212</v>
      </c>
      <c r="F3365" s="3" t="s">
        <v>6834</v>
      </c>
      <c r="G3365" s="3" t="s">
        <v>538</v>
      </c>
      <c r="H3365" s="3" t="s">
        <v>3589</v>
      </c>
      <c r="I3365" s="3" t="s">
        <v>6836</v>
      </c>
      <c r="J3365" s="5" t="s">
        <v>9600</v>
      </c>
      <c r="K3365" s="3" t="s">
        <v>3590</v>
      </c>
      <c r="L3365" s="3" t="s">
        <v>3417</v>
      </c>
      <c r="M3365" s="3">
        <v>19</v>
      </c>
      <c r="N3365" s="4" t="s">
        <v>3585</v>
      </c>
      <c r="O3365" s="4">
        <v>182</v>
      </c>
      <c r="P3365" s="11" t="s">
        <v>9717</v>
      </c>
      <c r="Q3365" s="11" t="s">
        <v>3585</v>
      </c>
      <c r="S3365" s="4" t="b">
        <f>ISNUMBER(MATCH(Q3365,T:T,0))</f>
        <v>1</v>
      </c>
      <c r="T3365" s="4" t="s">
        <v>10778</v>
      </c>
      <c r="U3365" s="4" t="str">
        <f t="shared" si="149"/>
        <v>月</v>
      </c>
    </row>
    <row r="3366" spans="1:21">
      <c r="A3366" s="3">
        <v>3358</v>
      </c>
      <c r="B3366" s="3" t="s">
        <v>3583</v>
      </c>
      <c r="C3366" s="3" t="s">
        <v>6072</v>
      </c>
      <c r="D3366" s="3" t="s">
        <v>6001</v>
      </c>
      <c r="E3366" s="3" t="s">
        <v>6212</v>
      </c>
      <c r="F3366" s="3" t="s">
        <v>6834</v>
      </c>
      <c r="G3366" s="3" t="s">
        <v>538</v>
      </c>
      <c r="H3366" s="3" t="s">
        <v>3591</v>
      </c>
      <c r="I3366" s="3" t="s">
        <v>6836</v>
      </c>
      <c r="J3366" s="5" t="s">
        <v>3592</v>
      </c>
      <c r="L3366" s="3" t="s">
        <v>3438</v>
      </c>
      <c r="M3366" s="3">
        <v>4</v>
      </c>
      <c r="N3366" s="4" t="s">
        <v>3585</v>
      </c>
      <c r="O3366" s="4">
        <v>182</v>
      </c>
      <c r="P3366" s="11" t="s">
        <v>9754</v>
      </c>
      <c r="Q3366" s="11" t="s">
        <v>3585</v>
      </c>
      <c r="S3366" s="4" t="b">
        <f>ISNUMBER(MATCH(Q3366,T:T,0))</f>
        <v>1</v>
      </c>
      <c r="T3366" s="4" t="s">
        <v>12684</v>
      </c>
      <c r="U3366" s="4" t="str">
        <f t="shared" si="149"/>
        <v>月</v>
      </c>
    </row>
    <row r="3367" spans="1:21">
      <c r="A3367" s="3">
        <v>3359</v>
      </c>
      <c r="B3367" s="3" t="s">
        <v>3583</v>
      </c>
      <c r="C3367" s="3" t="s">
        <v>6041</v>
      </c>
      <c r="D3367" s="3" t="s">
        <v>6001</v>
      </c>
      <c r="E3367" s="3" t="s">
        <v>6212</v>
      </c>
      <c r="F3367" s="3" t="s">
        <v>6834</v>
      </c>
      <c r="G3367" s="3" t="s">
        <v>538</v>
      </c>
      <c r="H3367" s="3" t="s">
        <v>3593</v>
      </c>
      <c r="I3367" s="3" t="s">
        <v>6836</v>
      </c>
      <c r="J3367" s="5" t="s">
        <v>9601</v>
      </c>
      <c r="K3367" s="3" t="s">
        <v>642</v>
      </c>
      <c r="L3367" s="3" t="s">
        <v>3594</v>
      </c>
      <c r="M3367" s="3">
        <v>13</v>
      </c>
      <c r="N3367" s="4" t="s">
        <v>3585</v>
      </c>
      <c r="O3367" s="4">
        <v>182</v>
      </c>
      <c r="P3367" s="11" t="s">
        <v>9830</v>
      </c>
      <c r="Q3367" s="11" t="s">
        <v>3585</v>
      </c>
      <c r="S3367" s="4" t="b">
        <f>ISNUMBER(MATCH(Q3367,T:T,0))</f>
        <v>1</v>
      </c>
      <c r="T3367" s="4" t="s">
        <v>12685</v>
      </c>
      <c r="U3367" s="4" t="str">
        <f t="shared" si="149"/>
        <v>月</v>
      </c>
    </row>
    <row r="3368" spans="1:21">
      <c r="A3368" s="3">
        <v>3360</v>
      </c>
      <c r="B3368" s="3" t="s">
        <v>3583</v>
      </c>
      <c r="C3368" s="3" t="s">
        <v>6038</v>
      </c>
      <c r="D3368" s="3" t="s">
        <v>6001</v>
      </c>
      <c r="E3368" s="3" t="s">
        <v>6212</v>
      </c>
      <c r="F3368" s="3" t="s">
        <v>6834</v>
      </c>
      <c r="G3368" s="3" t="s">
        <v>538</v>
      </c>
      <c r="H3368" s="3" t="s">
        <v>3595</v>
      </c>
      <c r="I3368" s="3" t="s">
        <v>6836</v>
      </c>
      <c r="J3368" s="5" t="s">
        <v>3596</v>
      </c>
      <c r="L3368" s="3" t="s">
        <v>2895</v>
      </c>
      <c r="M3368" s="3">
        <v>3</v>
      </c>
      <c r="N3368" s="4" t="s">
        <v>3585</v>
      </c>
      <c r="O3368" s="4">
        <v>182</v>
      </c>
      <c r="P3368" s="11" t="s">
        <v>4210</v>
      </c>
      <c r="Q3368" s="11" t="s">
        <v>3585</v>
      </c>
      <c r="S3368" s="4" t="b">
        <f>ISNUMBER(MATCH(Q3368,T:T,0))</f>
        <v>1</v>
      </c>
      <c r="T3368" s="4" t="s">
        <v>12686</v>
      </c>
      <c r="U3368" s="4" t="str">
        <f t="shared" si="149"/>
        <v>月</v>
      </c>
    </row>
    <row r="3369" spans="1:21">
      <c r="A3369" s="3">
        <v>3361</v>
      </c>
      <c r="B3369" s="3" t="s">
        <v>3583</v>
      </c>
      <c r="C3369" s="3" t="s">
        <v>6049</v>
      </c>
      <c r="D3369" s="3" t="s">
        <v>6001</v>
      </c>
      <c r="E3369" s="3" t="s">
        <v>6212</v>
      </c>
      <c r="F3369" s="3" t="s">
        <v>6834</v>
      </c>
      <c r="G3369" s="3" t="s">
        <v>538</v>
      </c>
      <c r="H3369" s="3" t="s">
        <v>3597</v>
      </c>
      <c r="I3369" s="3" t="s">
        <v>6836</v>
      </c>
      <c r="J3369" s="5" t="s">
        <v>9602</v>
      </c>
      <c r="L3369" s="3" t="s">
        <v>3598</v>
      </c>
      <c r="M3369" s="3">
        <v>6</v>
      </c>
      <c r="N3369" s="4" t="s">
        <v>3585</v>
      </c>
      <c r="O3369" s="4">
        <v>182</v>
      </c>
      <c r="P3369" s="11" t="s">
        <v>9723</v>
      </c>
      <c r="Q3369" s="11" t="s">
        <v>10780</v>
      </c>
      <c r="S3369" s="4" t="b">
        <f>ISNUMBER(MATCH(Q3369,T:T,0))</f>
        <v>1</v>
      </c>
      <c r="T3369" s="4" t="s">
        <v>10782</v>
      </c>
      <c r="U3369" s="4" t="str">
        <f t="shared" si="149"/>
        <v>伐</v>
      </c>
    </row>
    <row r="3370" spans="1:21">
      <c r="A3370" s="3">
        <v>3362</v>
      </c>
      <c r="B3370" s="3" t="s">
        <v>3583</v>
      </c>
      <c r="C3370" s="3" t="s">
        <v>6035</v>
      </c>
      <c r="D3370" s="3" t="s">
        <v>6001</v>
      </c>
      <c r="E3370" s="3" t="s">
        <v>6212</v>
      </c>
      <c r="F3370" s="3" t="s">
        <v>6834</v>
      </c>
      <c r="G3370" s="3" t="s">
        <v>538</v>
      </c>
      <c r="H3370" s="3" t="s">
        <v>3599</v>
      </c>
      <c r="I3370" s="3" t="s">
        <v>6836</v>
      </c>
      <c r="J3370" s="8" t="s">
        <v>9603</v>
      </c>
      <c r="L3370" s="3" t="s">
        <v>2504</v>
      </c>
      <c r="M3370" s="3">
        <v>5</v>
      </c>
      <c r="N3370" s="4" t="s">
        <v>3585</v>
      </c>
      <c r="O3370" s="4">
        <v>182</v>
      </c>
      <c r="P3370" s="11" t="s">
        <v>10781</v>
      </c>
      <c r="Q3370" s="11" t="s">
        <v>10782</v>
      </c>
      <c r="S3370" s="4" t="b">
        <f>ISNUMBER(MATCH(Q3370,T:T,0))</f>
        <v>1</v>
      </c>
      <c r="T3370" s="4" t="s">
        <v>12687</v>
      </c>
      <c r="U3370" s="4" t="str">
        <f t="shared" si="149"/>
        <v>發</v>
      </c>
    </row>
    <row r="3371" spans="1:21">
      <c r="A3371" s="3">
        <v>3363</v>
      </c>
      <c r="B3371" s="3" t="s">
        <v>3583</v>
      </c>
      <c r="C3371" s="3" t="s">
        <v>6089</v>
      </c>
      <c r="D3371" s="3" t="s">
        <v>6001</v>
      </c>
      <c r="E3371" s="3" t="s">
        <v>6212</v>
      </c>
      <c r="F3371" s="3" t="s">
        <v>6834</v>
      </c>
      <c r="G3371" s="3" t="s">
        <v>538</v>
      </c>
      <c r="H3371" s="3" t="s">
        <v>3600</v>
      </c>
      <c r="I3371" s="3" t="s">
        <v>6836</v>
      </c>
      <c r="J3371" s="5" t="s">
        <v>3601</v>
      </c>
      <c r="L3371" s="3" t="s">
        <v>3448</v>
      </c>
      <c r="M3371" s="3">
        <v>6</v>
      </c>
      <c r="N3371" s="4" t="s">
        <v>3585</v>
      </c>
      <c r="O3371" s="4">
        <v>182</v>
      </c>
      <c r="P3371" s="11" t="s">
        <v>9753</v>
      </c>
      <c r="Q3371" s="11" t="s">
        <v>3585</v>
      </c>
      <c r="S3371" s="4" t="b">
        <f>ISNUMBER(MATCH(Q3371,T:T,0))</f>
        <v>1</v>
      </c>
      <c r="T3371" s="4" t="s">
        <v>12688</v>
      </c>
      <c r="U3371" s="4" t="str">
        <f t="shared" si="149"/>
        <v>月</v>
      </c>
    </row>
    <row r="3372" spans="1:21">
      <c r="A3372" s="3">
        <v>3364</v>
      </c>
      <c r="B3372" s="3" t="s">
        <v>3583</v>
      </c>
      <c r="C3372" s="3" t="s">
        <v>6072</v>
      </c>
      <c r="D3372" s="3" t="s">
        <v>6001</v>
      </c>
      <c r="E3372" s="3" t="s">
        <v>5991</v>
      </c>
      <c r="F3372" s="3" t="s">
        <v>6834</v>
      </c>
      <c r="G3372" s="3" t="s">
        <v>538</v>
      </c>
      <c r="H3372" s="3" t="s">
        <v>3602</v>
      </c>
      <c r="I3372" s="3" t="s">
        <v>6836</v>
      </c>
      <c r="J3372" s="5" t="s">
        <v>3603</v>
      </c>
      <c r="L3372" s="3" t="s">
        <v>6215</v>
      </c>
      <c r="M3372" s="3">
        <v>5</v>
      </c>
      <c r="N3372" s="4" t="s">
        <v>3585</v>
      </c>
      <c r="O3372" s="4">
        <v>182</v>
      </c>
      <c r="P3372" s="11" t="s">
        <v>9754</v>
      </c>
      <c r="Q3372" s="11" t="s">
        <v>10783</v>
      </c>
      <c r="S3372" s="4" t="b">
        <f>ISNUMBER(MATCH(Q3372,T:T,0))</f>
        <v>1</v>
      </c>
      <c r="T3372" s="4" t="s">
        <v>9959</v>
      </c>
      <c r="U3372" s="4" t="str">
        <f t="shared" si="149"/>
        <v>歇</v>
      </c>
    </row>
    <row r="3373" spans="1:21">
      <c r="A3373" s="3">
        <v>3365</v>
      </c>
      <c r="B3373" s="3" t="s">
        <v>3583</v>
      </c>
      <c r="C3373" s="3" t="s">
        <v>6089</v>
      </c>
      <c r="D3373" s="3" t="s">
        <v>6001</v>
      </c>
      <c r="E3373" s="3" t="s">
        <v>5991</v>
      </c>
      <c r="F3373" s="3" t="s">
        <v>6834</v>
      </c>
      <c r="G3373" s="3" t="s">
        <v>538</v>
      </c>
      <c r="H3373" s="3" t="s">
        <v>3604</v>
      </c>
      <c r="I3373" s="3" t="s">
        <v>6836</v>
      </c>
      <c r="J3373" s="5" t="s">
        <v>3605</v>
      </c>
      <c r="L3373" s="3" t="s">
        <v>6296</v>
      </c>
      <c r="M3373" s="3">
        <v>5</v>
      </c>
      <c r="N3373" s="4" t="s">
        <v>3585</v>
      </c>
      <c r="O3373" s="4">
        <v>182</v>
      </c>
      <c r="P3373" s="11" t="s">
        <v>9753</v>
      </c>
      <c r="Q3373" s="11" t="s">
        <v>9959</v>
      </c>
      <c r="S3373" s="4" t="b">
        <f>ISNUMBER(MATCH(Q3373,T:T,0))</f>
        <v>1</v>
      </c>
      <c r="T3373" s="4" t="s">
        <v>10783</v>
      </c>
      <c r="U3373" s="4" t="str">
        <f t="shared" si="149"/>
        <v>謁</v>
      </c>
    </row>
    <row r="3374" spans="1:21">
      <c r="A3374" s="3">
        <v>3366</v>
      </c>
      <c r="B3374" s="3" t="s">
        <v>3583</v>
      </c>
      <c r="C3374" s="3" t="s">
        <v>6025</v>
      </c>
      <c r="D3374" s="3" t="s">
        <v>6001</v>
      </c>
      <c r="E3374" s="3" t="s">
        <v>5991</v>
      </c>
      <c r="F3374" s="3" t="s">
        <v>6834</v>
      </c>
      <c r="G3374" s="3" t="s">
        <v>538</v>
      </c>
      <c r="H3374" s="3" t="s">
        <v>3606</v>
      </c>
      <c r="I3374" s="3" t="s">
        <v>6836</v>
      </c>
      <c r="J3374" s="5" t="s">
        <v>3607</v>
      </c>
      <c r="L3374" s="3" t="s">
        <v>3608</v>
      </c>
      <c r="M3374" s="3">
        <v>6</v>
      </c>
      <c r="N3374" s="4" t="s">
        <v>3585</v>
      </c>
      <c r="O3374" s="4">
        <v>182</v>
      </c>
      <c r="P3374" s="11" t="s">
        <v>9717</v>
      </c>
      <c r="Q3374" s="11" t="s">
        <v>9959</v>
      </c>
      <c r="S3374" s="4" t="b">
        <f>ISNUMBER(MATCH(Q3374,T:T,0))</f>
        <v>1</v>
      </c>
      <c r="T3374" s="4" t="s">
        <v>12689</v>
      </c>
      <c r="U3374" s="4" t="str">
        <f t="shared" si="149"/>
        <v>謁</v>
      </c>
    </row>
    <row r="3375" spans="1:21">
      <c r="A3375" s="3">
        <v>3367</v>
      </c>
      <c r="B3375" s="3" t="s">
        <v>3583</v>
      </c>
      <c r="C3375" s="3" t="s">
        <v>6041</v>
      </c>
      <c r="D3375" s="3" t="s">
        <v>6001</v>
      </c>
      <c r="E3375" s="3" t="s">
        <v>5991</v>
      </c>
      <c r="F3375" s="3" t="s">
        <v>6834</v>
      </c>
      <c r="G3375" s="3" t="s">
        <v>538</v>
      </c>
      <c r="H3375" s="3" t="s">
        <v>3609</v>
      </c>
      <c r="I3375" s="3" t="s">
        <v>6836</v>
      </c>
      <c r="J3375" s="5" t="s">
        <v>3610</v>
      </c>
      <c r="L3375" s="3" t="s">
        <v>3611</v>
      </c>
      <c r="M3375" s="3">
        <v>5</v>
      </c>
      <c r="N3375" s="4" t="s">
        <v>3585</v>
      </c>
      <c r="O3375" s="4">
        <v>182</v>
      </c>
      <c r="P3375" s="11" t="s">
        <v>9830</v>
      </c>
      <c r="Q3375" s="11" t="s">
        <v>9959</v>
      </c>
      <c r="S3375" s="4" t="b">
        <f>ISNUMBER(MATCH(Q3375,T:T,0))</f>
        <v>1</v>
      </c>
      <c r="T3375" s="4" t="s">
        <v>12690</v>
      </c>
      <c r="U3375" s="4" t="str">
        <f t="shared" si="149"/>
        <v>謁</v>
      </c>
    </row>
    <row r="3376" spans="1:21">
      <c r="A3376" s="3">
        <v>3368</v>
      </c>
      <c r="B3376" s="3" t="s">
        <v>3583</v>
      </c>
      <c r="C3376" s="3" t="s">
        <v>6053</v>
      </c>
      <c r="D3376" s="3" t="s">
        <v>6001</v>
      </c>
      <c r="E3376" s="3" t="s">
        <v>6212</v>
      </c>
      <c r="F3376" s="3" t="s">
        <v>6834</v>
      </c>
      <c r="G3376" s="3" t="s">
        <v>538</v>
      </c>
      <c r="H3376" s="3" t="s">
        <v>3612</v>
      </c>
      <c r="I3376" s="3" t="s">
        <v>6836</v>
      </c>
      <c r="J3376" s="5" t="s">
        <v>3613</v>
      </c>
      <c r="L3376" s="3" t="s">
        <v>3598</v>
      </c>
      <c r="M3376" s="3">
        <v>1</v>
      </c>
      <c r="N3376" s="4" t="s">
        <v>3585</v>
      </c>
      <c r="O3376" s="4">
        <v>182</v>
      </c>
      <c r="P3376" s="11" t="s">
        <v>10784</v>
      </c>
      <c r="Q3376" s="11" t="s">
        <v>10780</v>
      </c>
      <c r="S3376" s="4" t="b">
        <f>ISNUMBER(MATCH(Q3376,T:T,0))</f>
        <v>1</v>
      </c>
      <c r="T3376" s="4" t="s">
        <v>3613</v>
      </c>
      <c r="U3376" s="4" t="str">
        <f t="shared" si="149"/>
        <v>伐</v>
      </c>
    </row>
    <row r="3377" spans="1:22">
      <c r="A3377" s="3">
        <v>3369</v>
      </c>
      <c r="B3377" s="3" t="s">
        <v>3583</v>
      </c>
      <c r="C3377" s="3" t="s">
        <v>6092</v>
      </c>
      <c r="D3377" s="3" t="s">
        <v>6001</v>
      </c>
      <c r="E3377" s="3" t="s">
        <v>5991</v>
      </c>
      <c r="F3377" s="3" t="s">
        <v>6834</v>
      </c>
      <c r="G3377" s="3" t="s">
        <v>538</v>
      </c>
      <c r="H3377" s="3" t="s">
        <v>3614</v>
      </c>
      <c r="I3377" s="3" t="s">
        <v>6836</v>
      </c>
      <c r="J3377" s="5" t="s">
        <v>3615</v>
      </c>
      <c r="L3377" s="3" t="s">
        <v>5432</v>
      </c>
      <c r="M3377" s="3">
        <v>1</v>
      </c>
      <c r="N3377" s="4" t="s">
        <v>3585</v>
      </c>
      <c r="O3377" s="4">
        <v>182</v>
      </c>
      <c r="P3377" s="11" t="s">
        <v>9001</v>
      </c>
      <c r="Q3377" s="11" t="s">
        <v>10785</v>
      </c>
      <c r="R3377" s="4" t="s">
        <v>13180</v>
      </c>
      <c r="S3377" s="4" t="b">
        <f>ISNUMBER(MATCH(Q3377,T:T,0))</f>
        <v>0</v>
      </c>
      <c r="T3377" s="4" t="s">
        <v>3615</v>
      </c>
      <c r="U3377" s="4" t="str">
        <f t="shared" si="149"/>
        <v>揭</v>
      </c>
      <c r="V3377" s="4" t="b">
        <f>ISNUMBER(MATCH(R3377,T:T,0))</f>
        <v>1</v>
      </c>
    </row>
    <row r="3378" spans="1:22">
      <c r="A3378" s="3">
        <v>3370</v>
      </c>
      <c r="B3378" s="3" t="s">
        <v>3616</v>
      </c>
      <c r="C3378" s="3" t="s">
        <v>6035</v>
      </c>
      <c r="D3378" s="3" t="s">
        <v>5990</v>
      </c>
      <c r="E3378" s="3" t="s">
        <v>6212</v>
      </c>
      <c r="F3378" s="3" t="s">
        <v>6869</v>
      </c>
      <c r="G3378" s="3" t="s">
        <v>538</v>
      </c>
      <c r="H3378" s="3" t="s">
        <v>3617</v>
      </c>
      <c r="I3378" s="3" t="s">
        <v>3079</v>
      </c>
      <c r="J3378" s="5" t="s">
        <v>9604</v>
      </c>
      <c r="L3378" s="3" t="s">
        <v>2415</v>
      </c>
      <c r="M3378" s="3">
        <v>6</v>
      </c>
      <c r="N3378" s="4" t="s">
        <v>9684</v>
      </c>
      <c r="O3378" s="4">
        <v>183</v>
      </c>
      <c r="P3378" s="11" t="s">
        <v>9719</v>
      </c>
      <c r="Q3378" s="11" t="s">
        <v>10786</v>
      </c>
      <c r="S3378" s="4" t="b">
        <f>ISNUMBER(MATCH(Q3378,T:T,0))</f>
        <v>1</v>
      </c>
      <c r="T3378" s="4" t="s">
        <v>9684</v>
      </c>
      <c r="U3378" s="4" t="str">
        <f t="shared" si="149"/>
        <v>勃</v>
      </c>
    </row>
    <row r="3379" spans="1:22">
      <c r="A3379" s="3">
        <v>3371</v>
      </c>
      <c r="B3379" s="3" t="s">
        <v>3616</v>
      </c>
      <c r="C3379" s="3" t="s">
        <v>6079</v>
      </c>
      <c r="D3379" s="3" t="s">
        <v>5990</v>
      </c>
      <c r="E3379" s="3" t="s">
        <v>6212</v>
      </c>
      <c r="F3379" s="3" t="s">
        <v>6869</v>
      </c>
      <c r="G3379" s="3" t="s">
        <v>538</v>
      </c>
      <c r="H3379" s="3" t="s">
        <v>3618</v>
      </c>
      <c r="I3379" s="3" t="s">
        <v>3079</v>
      </c>
      <c r="J3379" s="8" t="s">
        <v>3619</v>
      </c>
      <c r="L3379" s="3" t="s">
        <v>2838</v>
      </c>
      <c r="M3379" s="3">
        <v>1</v>
      </c>
      <c r="N3379" s="4" t="s">
        <v>9684</v>
      </c>
      <c r="O3379" s="4">
        <v>183</v>
      </c>
      <c r="P3379" s="11" t="s">
        <v>9892</v>
      </c>
      <c r="Q3379" s="11" t="s">
        <v>10787</v>
      </c>
      <c r="S3379" s="4" t="b">
        <f>ISNUMBER(MATCH(Q3379,T:T,0))</f>
        <v>1</v>
      </c>
      <c r="T3379" s="4" t="s">
        <v>3619</v>
      </c>
      <c r="U3379" s="4" t="str">
        <f t="shared" si="149"/>
        <v>骨</v>
      </c>
    </row>
    <row r="3380" spans="1:22">
      <c r="A3380" s="3">
        <v>3372</v>
      </c>
      <c r="B3380" s="3" t="s">
        <v>3616</v>
      </c>
      <c r="C3380" s="3" t="s">
        <v>6025</v>
      </c>
      <c r="D3380" s="3" t="s">
        <v>5990</v>
      </c>
      <c r="E3380" s="3" t="s">
        <v>6212</v>
      </c>
      <c r="F3380" s="3" t="s">
        <v>6869</v>
      </c>
      <c r="G3380" s="3" t="s">
        <v>538</v>
      </c>
      <c r="H3380" s="3" t="s">
        <v>3620</v>
      </c>
      <c r="I3380" s="3" t="s">
        <v>3079</v>
      </c>
      <c r="J3380" s="5" t="s">
        <v>3621</v>
      </c>
      <c r="L3380" s="3" t="s">
        <v>545</v>
      </c>
      <c r="M3380" s="3">
        <v>16</v>
      </c>
      <c r="N3380" s="4" t="s">
        <v>9684</v>
      </c>
      <c r="O3380" s="4">
        <v>183</v>
      </c>
      <c r="P3380" s="11" t="s">
        <v>9729</v>
      </c>
      <c r="Q3380" s="11" t="s">
        <v>10788</v>
      </c>
      <c r="S3380" s="4" t="b">
        <f>ISNUMBER(MATCH(Q3380,T:T,0))</f>
        <v>1</v>
      </c>
      <c r="T3380" s="4" t="s">
        <v>10787</v>
      </c>
      <c r="U3380" s="4" t="str">
        <f t="shared" si="149"/>
        <v>忽</v>
      </c>
    </row>
    <row r="3381" spans="1:22" ht="39">
      <c r="A3381" s="3">
        <v>3373</v>
      </c>
      <c r="B3381" s="3" t="s">
        <v>3616</v>
      </c>
      <c r="C3381" s="3" t="s">
        <v>6045</v>
      </c>
      <c r="D3381" s="3" t="s">
        <v>5990</v>
      </c>
      <c r="E3381" s="3" t="s">
        <v>6212</v>
      </c>
      <c r="F3381" s="3" t="s">
        <v>6869</v>
      </c>
      <c r="G3381" s="3" t="s">
        <v>538</v>
      </c>
      <c r="H3381" s="3" t="s">
        <v>871</v>
      </c>
      <c r="I3381" s="3" t="s">
        <v>3079</v>
      </c>
      <c r="J3381" s="5" t="s">
        <v>3622</v>
      </c>
      <c r="L3381" s="3" t="s">
        <v>3432</v>
      </c>
      <c r="M3381" s="3">
        <v>23</v>
      </c>
      <c r="N3381" s="4" t="s">
        <v>9684</v>
      </c>
      <c r="O3381" s="4">
        <v>183</v>
      </c>
      <c r="P3381" s="11" t="s">
        <v>9965</v>
      </c>
      <c r="Q3381" s="11" t="s">
        <v>10789</v>
      </c>
      <c r="R3381" s="4" t="s">
        <v>13181</v>
      </c>
      <c r="S3381" s="4" t="b">
        <f>ISNUMBER(MATCH(Q3381,T:T,0))</f>
        <v>0</v>
      </c>
      <c r="T3381" s="4" t="s">
        <v>10786</v>
      </c>
      <c r="U3381" s="4" t="str">
        <f t="shared" si="149"/>
        <v>沒</v>
      </c>
      <c r="V3381" s="4" t="b">
        <f t="shared" ref="V3381:V3382" si="152">ISNUMBER(MATCH(R3381,T:T,0))</f>
        <v>1</v>
      </c>
    </row>
    <row r="3382" spans="1:22">
      <c r="A3382" s="3">
        <v>3374</v>
      </c>
      <c r="B3382" s="3" t="s">
        <v>3616</v>
      </c>
      <c r="C3382" s="3" t="s">
        <v>5989</v>
      </c>
      <c r="D3382" s="3" t="s">
        <v>5990</v>
      </c>
      <c r="E3382" s="3" t="s">
        <v>6212</v>
      </c>
      <c r="F3382" s="3" t="s">
        <v>6869</v>
      </c>
      <c r="G3382" s="3" t="s">
        <v>538</v>
      </c>
      <c r="H3382" s="3" t="s">
        <v>872</v>
      </c>
      <c r="I3382" s="3" t="s">
        <v>3079</v>
      </c>
      <c r="J3382" s="5" t="s">
        <v>3623</v>
      </c>
      <c r="L3382" s="3" t="s">
        <v>2801</v>
      </c>
      <c r="M3382" s="3">
        <v>4</v>
      </c>
      <c r="N3382" s="4" t="s">
        <v>9684</v>
      </c>
      <c r="O3382" s="4">
        <v>183</v>
      </c>
      <c r="P3382" s="11" t="s">
        <v>9883</v>
      </c>
      <c r="Q3382" s="11" t="s">
        <v>10789</v>
      </c>
      <c r="R3382" s="4" t="s">
        <v>13181</v>
      </c>
      <c r="S3382" s="4" t="b">
        <f>ISNUMBER(MATCH(Q3382,T:T,0))</f>
        <v>0</v>
      </c>
      <c r="T3382" s="4" t="s">
        <v>12691</v>
      </c>
      <c r="U3382" s="4" t="str">
        <f t="shared" si="149"/>
        <v>沒</v>
      </c>
      <c r="V3382" s="4" t="b">
        <f t="shared" si="152"/>
        <v>1</v>
      </c>
    </row>
    <row r="3383" spans="1:22">
      <c r="A3383" s="3">
        <v>3375</v>
      </c>
      <c r="B3383" s="3" t="s">
        <v>3616</v>
      </c>
      <c r="C3383" s="3" t="s">
        <v>6079</v>
      </c>
      <c r="D3383" s="3" t="s">
        <v>5990</v>
      </c>
      <c r="E3383" s="3" t="s">
        <v>6212</v>
      </c>
      <c r="F3383" s="3" t="s">
        <v>6869</v>
      </c>
      <c r="G3383" s="3" t="s">
        <v>538</v>
      </c>
      <c r="H3383" s="3" t="s">
        <v>3624</v>
      </c>
      <c r="I3383" s="3" t="s">
        <v>3079</v>
      </c>
      <c r="J3383" s="8" t="s">
        <v>9605</v>
      </c>
      <c r="L3383" s="3" t="s">
        <v>2838</v>
      </c>
      <c r="M3383" s="3">
        <v>6</v>
      </c>
      <c r="N3383" s="4" t="s">
        <v>9684</v>
      </c>
      <c r="O3383" s="4">
        <v>183</v>
      </c>
      <c r="P3383" s="11" t="s">
        <v>9736</v>
      </c>
      <c r="Q3383" s="11" t="s">
        <v>10787</v>
      </c>
      <c r="S3383" s="4" t="b">
        <f>ISNUMBER(MATCH(Q3383,T:T,0))</f>
        <v>1</v>
      </c>
      <c r="T3383" s="4" t="s">
        <v>3619</v>
      </c>
      <c r="U3383" s="4" t="str">
        <f t="shared" si="149"/>
        <v>骨</v>
      </c>
    </row>
    <row r="3384" spans="1:22">
      <c r="A3384" s="3">
        <v>3376</v>
      </c>
      <c r="B3384" s="3" t="s">
        <v>3616</v>
      </c>
      <c r="C3384" s="3" t="s">
        <v>5997</v>
      </c>
      <c r="D3384" s="3" t="s">
        <v>5990</v>
      </c>
      <c r="E3384" s="3" t="s">
        <v>6212</v>
      </c>
      <c r="F3384" s="3" t="s">
        <v>6869</v>
      </c>
      <c r="G3384" s="3" t="s">
        <v>538</v>
      </c>
      <c r="H3384" s="3" t="s">
        <v>3625</v>
      </c>
      <c r="I3384" s="3" t="s">
        <v>3079</v>
      </c>
      <c r="J3384" s="5" t="s">
        <v>9606</v>
      </c>
      <c r="L3384" s="3" t="s">
        <v>544</v>
      </c>
      <c r="M3384" s="3">
        <v>14</v>
      </c>
      <c r="N3384" s="4" t="s">
        <v>9684</v>
      </c>
      <c r="O3384" s="4">
        <v>183</v>
      </c>
      <c r="P3384" s="11" t="s">
        <v>10790</v>
      </c>
      <c r="Q3384" s="11" t="s">
        <v>10787</v>
      </c>
      <c r="S3384" s="4" t="b">
        <f>ISNUMBER(MATCH(Q3384,T:T,0))</f>
        <v>1</v>
      </c>
      <c r="T3384" s="4" t="s">
        <v>12692</v>
      </c>
      <c r="U3384" s="4" t="str">
        <f t="shared" si="149"/>
        <v>骨</v>
      </c>
    </row>
    <row r="3385" spans="1:22">
      <c r="A3385" s="3">
        <v>3377</v>
      </c>
      <c r="B3385" s="3" t="s">
        <v>3616</v>
      </c>
      <c r="C3385" s="3" t="s">
        <v>6072</v>
      </c>
      <c r="D3385" s="3" t="s">
        <v>5990</v>
      </c>
      <c r="E3385" s="3" t="s">
        <v>6212</v>
      </c>
      <c r="F3385" s="3" t="s">
        <v>6869</v>
      </c>
      <c r="G3385" s="3" t="s">
        <v>538</v>
      </c>
      <c r="H3385" s="3" t="s">
        <v>873</v>
      </c>
      <c r="I3385" s="3" t="s">
        <v>3079</v>
      </c>
      <c r="J3385" s="5" t="s">
        <v>9607</v>
      </c>
      <c r="L3385" s="3" t="s">
        <v>541</v>
      </c>
      <c r="M3385" s="3">
        <v>9</v>
      </c>
      <c r="N3385" s="4" t="s">
        <v>9684</v>
      </c>
      <c r="O3385" s="4">
        <v>183</v>
      </c>
      <c r="P3385" s="11" t="s">
        <v>9734</v>
      </c>
      <c r="Q3385" s="11" t="s">
        <v>10789</v>
      </c>
      <c r="R3385" s="4" t="s">
        <v>13181</v>
      </c>
      <c r="S3385" s="4" t="b">
        <f>ISNUMBER(MATCH(Q3385,T:T,0))</f>
        <v>0</v>
      </c>
      <c r="T3385" s="4" t="s">
        <v>12693</v>
      </c>
      <c r="U3385" s="4" t="str">
        <f t="shared" si="149"/>
        <v>沒</v>
      </c>
      <c r="V3385" s="4" t="b">
        <f>ISNUMBER(MATCH(R3385,T:T,0))</f>
        <v>1</v>
      </c>
    </row>
    <row r="3386" spans="1:22" ht="42.75">
      <c r="A3386" s="3">
        <v>3378</v>
      </c>
      <c r="B3386" s="3" t="s">
        <v>3616</v>
      </c>
      <c r="C3386" s="3" t="s">
        <v>6089</v>
      </c>
      <c r="D3386" s="3" t="s">
        <v>5990</v>
      </c>
      <c r="E3386" s="3" t="s">
        <v>6212</v>
      </c>
      <c r="F3386" s="3" t="s">
        <v>6869</v>
      </c>
      <c r="G3386" s="3" t="s">
        <v>538</v>
      </c>
      <c r="H3386" s="3" t="s">
        <v>3626</v>
      </c>
      <c r="I3386" s="3" t="s">
        <v>3079</v>
      </c>
      <c r="J3386" s="5" t="s">
        <v>9608</v>
      </c>
      <c r="K3386" s="3" t="s">
        <v>643</v>
      </c>
      <c r="L3386" s="3" t="s">
        <v>2795</v>
      </c>
      <c r="M3386" s="3">
        <v>17</v>
      </c>
      <c r="N3386" s="4" t="s">
        <v>9684</v>
      </c>
      <c r="O3386" s="4">
        <v>183</v>
      </c>
      <c r="P3386" s="11" t="s">
        <v>9739</v>
      </c>
      <c r="Q3386" s="11" t="s">
        <v>10787</v>
      </c>
      <c r="S3386" s="4" t="b">
        <f>ISNUMBER(MATCH(Q3386,T:T,0))</f>
        <v>1</v>
      </c>
      <c r="T3386" s="4" t="s">
        <v>10788</v>
      </c>
      <c r="U3386" s="4" t="str">
        <f t="shared" si="149"/>
        <v>骨</v>
      </c>
    </row>
    <row r="3387" spans="1:22">
      <c r="A3387" s="3">
        <v>3379</v>
      </c>
      <c r="B3387" s="3" t="s">
        <v>3616</v>
      </c>
      <c r="C3387" s="3" t="s">
        <v>6092</v>
      </c>
      <c r="D3387" s="3" t="s">
        <v>5990</v>
      </c>
      <c r="E3387" s="3" t="s">
        <v>6212</v>
      </c>
      <c r="F3387" s="3" t="s">
        <v>6869</v>
      </c>
      <c r="G3387" s="3" t="s">
        <v>538</v>
      </c>
      <c r="H3387" s="3" t="s">
        <v>3627</v>
      </c>
      <c r="I3387" s="3" t="s">
        <v>3079</v>
      </c>
      <c r="J3387" s="5" t="s">
        <v>9609</v>
      </c>
      <c r="L3387" s="3" t="s">
        <v>5161</v>
      </c>
      <c r="M3387" s="3">
        <v>16</v>
      </c>
      <c r="N3387" s="4" t="s">
        <v>9684</v>
      </c>
      <c r="O3387" s="4">
        <v>183</v>
      </c>
      <c r="P3387" s="11" t="s">
        <v>9740</v>
      </c>
      <c r="Q3387" s="11" t="s">
        <v>10788</v>
      </c>
      <c r="S3387" s="4" t="b">
        <f>ISNUMBER(MATCH(Q3387,T:T,0))</f>
        <v>1</v>
      </c>
      <c r="T3387" s="4" t="s">
        <v>12694</v>
      </c>
      <c r="U3387" s="4" t="str">
        <f t="shared" si="149"/>
        <v>忽</v>
      </c>
    </row>
    <row r="3388" spans="1:22">
      <c r="A3388" s="3">
        <v>3380</v>
      </c>
      <c r="B3388" s="3" t="s">
        <v>3616</v>
      </c>
      <c r="C3388" s="3" t="s">
        <v>6053</v>
      </c>
      <c r="D3388" s="3" t="s">
        <v>5990</v>
      </c>
      <c r="E3388" s="3" t="s">
        <v>6212</v>
      </c>
      <c r="F3388" s="3" t="s">
        <v>6869</v>
      </c>
      <c r="G3388" s="3" t="s">
        <v>538</v>
      </c>
      <c r="H3388" s="3" t="s">
        <v>874</v>
      </c>
      <c r="I3388" s="3" t="s">
        <v>3079</v>
      </c>
      <c r="J3388" s="5" t="s">
        <v>3628</v>
      </c>
      <c r="L3388" s="3" t="s">
        <v>2826</v>
      </c>
      <c r="M3388" s="3">
        <v>5</v>
      </c>
      <c r="N3388" s="4" t="s">
        <v>9684</v>
      </c>
      <c r="O3388" s="4">
        <v>183</v>
      </c>
      <c r="P3388" s="11" t="s">
        <v>9884</v>
      </c>
      <c r="Q3388" s="11" t="s">
        <v>10789</v>
      </c>
      <c r="R3388" s="4" t="s">
        <v>13181</v>
      </c>
      <c r="S3388" s="4" t="b">
        <f>ISNUMBER(MATCH(Q3388,T:T,0))</f>
        <v>0</v>
      </c>
      <c r="T3388" s="4" t="s">
        <v>12695</v>
      </c>
      <c r="U3388" s="4" t="str">
        <f t="shared" si="149"/>
        <v>沒</v>
      </c>
      <c r="V3388" s="4" t="b">
        <f t="shared" ref="V3388:V3389" si="153">ISNUMBER(MATCH(R3388,T:T,0))</f>
        <v>1</v>
      </c>
    </row>
    <row r="3389" spans="1:22" ht="28.5">
      <c r="A3389" s="3">
        <v>3381</v>
      </c>
      <c r="B3389" s="3" t="s">
        <v>3616</v>
      </c>
      <c r="C3389" s="3" t="s">
        <v>6058</v>
      </c>
      <c r="D3389" s="3" t="s">
        <v>5990</v>
      </c>
      <c r="E3389" s="3" t="s">
        <v>6212</v>
      </c>
      <c r="F3389" s="3" t="s">
        <v>6869</v>
      </c>
      <c r="G3389" s="3" t="s">
        <v>538</v>
      </c>
      <c r="H3389" s="3" t="s">
        <v>875</v>
      </c>
      <c r="I3389" s="3" t="s">
        <v>3079</v>
      </c>
      <c r="J3389" s="5" t="s">
        <v>3629</v>
      </c>
      <c r="K3389" s="3" t="s">
        <v>644</v>
      </c>
      <c r="L3389" s="3" t="s">
        <v>5192</v>
      </c>
      <c r="M3389" s="3">
        <v>5</v>
      </c>
      <c r="N3389" s="4" t="s">
        <v>9684</v>
      </c>
      <c r="O3389" s="4">
        <v>183</v>
      </c>
      <c r="P3389" s="11" t="s">
        <v>10175</v>
      </c>
      <c r="Q3389" s="11" t="s">
        <v>10789</v>
      </c>
      <c r="R3389" s="4" t="s">
        <v>13181</v>
      </c>
      <c r="S3389" s="4" t="b">
        <f>ISNUMBER(MATCH(Q3389,T:T,0))</f>
        <v>0</v>
      </c>
      <c r="T3389" s="4" t="s">
        <v>12696</v>
      </c>
      <c r="U3389" s="4" t="str">
        <f t="shared" si="149"/>
        <v>沒</v>
      </c>
      <c r="V3389" s="4" t="b">
        <f t="shared" si="153"/>
        <v>1</v>
      </c>
    </row>
    <row r="3390" spans="1:22">
      <c r="A3390" s="3">
        <v>3382</v>
      </c>
      <c r="B3390" s="3" t="s">
        <v>3616</v>
      </c>
      <c r="C3390" s="3" t="s">
        <v>6038</v>
      </c>
      <c r="D3390" s="3" t="s">
        <v>5990</v>
      </c>
      <c r="E3390" s="3" t="s">
        <v>6212</v>
      </c>
      <c r="F3390" s="3" t="s">
        <v>6869</v>
      </c>
      <c r="G3390" s="3" t="s">
        <v>538</v>
      </c>
      <c r="H3390" s="3" t="s">
        <v>3630</v>
      </c>
      <c r="I3390" s="3" t="s">
        <v>3079</v>
      </c>
      <c r="J3390" s="5" t="s">
        <v>3631</v>
      </c>
      <c r="L3390" s="3" t="s">
        <v>2798</v>
      </c>
      <c r="M3390" s="3">
        <v>15</v>
      </c>
      <c r="N3390" s="4" t="s">
        <v>9684</v>
      </c>
      <c r="O3390" s="4">
        <v>183</v>
      </c>
      <c r="P3390" s="11" t="s">
        <v>9728</v>
      </c>
      <c r="Q3390" s="11" t="s">
        <v>10787</v>
      </c>
      <c r="S3390" s="4" t="b">
        <f>ISNUMBER(MATCH(Q3390,T:T,0))</f>
        <v>1</v>
      </c>
      <c r="T3390" s="4" t="s">
        <v>12697</v>
      </c>
      <c r="U3390" s="4" t="str">
        <f t="shared" si="149"/>
        <v>骨</v>
      </c>
    </row>
    <row r="3391" spans="1:22">
      <c r="A3391" s="3">
        <v>3383</v>
      </c>
      <c r="B3391" s="3" t="s">
        <v>3616</v>
      </c>
      <c r="C3391" s="3" t="s">
        <v>6102</v>
      </c>
      <c r="D3391" s="3" t="s">
        <v>5990</v>
      </c>
      <c r="E3391" s="3" t="s">
        <v>6212</v>
      </c>
      <c r="F3391" s="3" t="s">
        <v>6869</v>
      </c>
      <c r="G3391" s="3" t="s">
        <v>538</v>
      </c>
      <c r="H3391" s="7" t="s">
        <v>876</v>
      </c>
      <c r="I3391" s="3" t="s">
        <v>3079</v>
      </c>
      <c r="J3391" s="5" t="s">
        <v>9610</v>
      </c>
      <c r="L3391" s="3" t="s">
        <v>5206</v>
      </c>
      <c r="M3391" s="3">
        <v>5</v>
      </c>
      <c r="N3391" s="4" t="s">
        <v>9684</v>
      </c>
      <c r="O3391" s="4">
        <v>183</v>
      </c>
      <c r="P3391" s="11" t="s">
        <v>10565</v>
      </c>
      <c r="Q3391" s="11" t="s">
        <v>10787</v>
      </c>
      <c r="S3391" s="4" t="b">
        <f>ISNUMBER(MATCH(Q3391,T:T,0))</f>
        <v>1</v>
      </c>
      <c r="T3391" s="4" t="s">
        <v>12698</v>
      </c>
      <c r="U3391" s="4" t="str">
        <f t="shared" si="149"/>
        <v>骨</v>
      </c>
    </row>
    <row r="3392" spans="1:22">
      <c r="A3392" s="3">
        <v>3384</v>
      </c>
      <c r="B3392" s="3" t="s">
        <v>3616</v>
      </c>
      <c r="C3392" s="3" t="s">
        <v>6017</v>
      </c>
      <c r="D3392" s="3" t="s">
        <v>5990</v>
      </c>
      <c r="E3392" s="3" t="s">
        <v>6212</v>
      </c>
      <c r="F3392" s="3" t="s">
        <v>6869</v>
      </c>
      <c r="G3392" s="3" t="s">
        <v>538</v>
      </c>
      <c r="H3392" s="3" t="s">
        <v>3632</v>
      </c>
      <c r="I3392" s="3" t="s">
        <v>3079</v>
      </c>
      <c r="J3392" s="5" t="s">
        <v>3633</v>
      </c>
      <c r="L3392" s="3" t="s">
        <v>2817</v>
      </c>
      <c r="M3392" s="3">
        <v>7</v>
      </c>
      <c r="N3392" s="4" t="s">
        <v>9684</v>
      </c>
      <c r="O3392" s="4">
        <v>183</v>
      </c>
      <c r="P3392" s="11" t="s">
        <v>9741</v>
      </c>
      <c r="Q3392" s="11" t="s">
        <v>10787</v>
      </c>
      <c r="S3392" s="4" t="b">
        <f>ISNUMBER(MATCH(Q3392,T:T,0))</f>
        <v>1</v>
      </c>
      <c r="T3392" s="4" t="s">
        <v>12699</v>
      </c>
      <c r="U3392" s="4" t="str">
        <f t="shared" si="149"/>
        <v>骨</v>
      </c>
    </row>
    <row r="3393" spans="1:22">
      <c r="A3393" s="3">
        <v>3385</v>
      </c>
      <c r="B3393" s="3" t="s">
        <v>3616</v>
      </c>
      <c r="C3393" s="3" t="s">
        <v>6076</v>
      </c>
      <c r="D3393" s="3" t="s">
        <v>5990</v>
      </c>
      <c r="E3393" s="3" t="s">
        <v>6212</v>
      </c>
      <c r="F3393" s="3" t="s">
        <v>6869</v>
      </c>
      <c r="G3393" s="3" t="s">
        <v>538</v>
      </c>
      <c r="H3393" s="3" t="s">
        <v>877</v>
      </c>
      <c r="I3393" s="3" t="s">
        <v>3079</v>
      </c>
      <c r="J3393" s="5" t="s">
        <v>3634</v>
      </c>
      <c r="L3393" s="3" t="s">
        <v>2832</v>
      </c>
      <c r="M3393" s="3">
        <v>5</v>
      </c>
      <c r="N3393" s="4" t="s">
        <v>9684</v>
      </c>
      <c r="O3393" s="4">
        <v>183</v>
      </c>
      <c r="P3393" s="11" t="s">
        <v>9735</v>
      </c>
      <c r="Q3393" s="11" t="s">
        <v>10789</v>
      </c>
      <c r="R3393" s="4" t="s">
        <v>13181</v>
      </c>
      <c r="S3393" s="4" t="b">
        <f>ISNUMBER(MATCH(Q3393,T:T,0))</f>
        <v>0</v>
      </c>
      <c r="T3393" s="4" t="s">
        <v>12700</v>
      </c>
      <c r="U3393" s="4" t="str">
        <f t="shared" si="149"/>
        <v>沒</v>
      </c>
      <c r="V3393" s="4" t="b">
        <f t="shared" ref="V3393:V3395" si="154">ISNUMBER(MATCH(R3393,T:T,0))</f>
        <v>1</v>
      </c>
    </row>
    <row r="3394" spans="1:22">
      <c r="A3394" s="3">
        <v>3386</v>
      </c>
      <c r="B3394" s="3" t="s">
        <v>3616</v>
      </c>
      <c r="C3394" s="3" t="s">
        <v>6069</v>
      </c>
      <c r="D3394" s="3" t="s">
        <v>5990</v>
      </c>
      <c r="E3394" s="3" t="s">
        <v>6212</v>
      </c>
      <c r="F3394" s="3" t="s">
        <v>6869</v>
      </c>
      <c r="G3394" s="3" t="s">
        <v>538</v>
      </c>
      <c r="H3394" s="3" t="s">
        <v>878</v>
      </c>
      <c r="I3394" s="3" t="s">
        <v>3079</v>
      </c>
      <c r="J3394" s="5" t="s">
        <v>9611</v>
      </c>
      <c r="L3394" s="3" t="s">
        <v>558</v>
      </c>
      <c r="M3394" s="3">
        <v>6</v>
      </c>
      <c r="N3394" s="4" t="s">
        <v>9684</v>
      </c>
      <c r="O3394" s="4">
        <v>183</v>
      </c>
      <c r="P3394" s="11" t="s">
        <v>9880</v>
      </c>
      <c r="Q3394" s="11" t="s">
        <v>10789</v>
      </c>
      <c r="R3394" s="4" t="s">
        <v>13181</v>
      </c>
      <c r="S3394" s="4" t="b">
        <f>ISNUMBER(MATCH(Q3394,T:T,0))</f>
        <v>0</v>
      </c>
      <c r="T3394" s="4" t="s">
        <v>12701</v>
      </c>
      <c r="U3394" s="4" t="str">
        <f t="shared" si="149"/>
        <v>沒</v>
      </c>
      <c r="V3394" s="4" t="b">
        <f t="shared" si="154"/>
        <v>1</v>
      </c>
    </row>
    <row r="3395" spans="1:22">
      <c r="A3395" s="3">
        <v>3387</v>
      </c>
      <c r="B3395" s="3" t="s">
        <v>3635</v>
      </c>
      <c r="C3395" s="3" t="s">
        <v>6067</v>
      </c>
      <c r="D3395" s="3" t="s">
        <v>5990</v>
      </c>
      <c r="E3395" s="3" t="s">
        <v>5991</v>
      </c>
      <c r="F3395" s="3" t="s">
        <v>6914</v>
      </c>
      <c r="G3395" s="3" t="s">
        <v>538</v>
      </c>
      <c r="H3395" s="3" t="s">
        <v>879</v>
      </c>
      <c r="I3395" s="3" t="s">
        <v>3079</v>
      </c>
      <c r="J3395" s="5" t="s">
        <v>3636</v>
      </c>
      <c r="L3395" s="3" t="s">
        <v>4579</v>
      </c>
      <c r="M3395" s="3">
        <v>5</v>
      </c>
      <c r="N3395" s="4" t="s">
        <v>9684</v>
      </c>
      <c r="O3395" s="4">
        <v>183</v>
      </c>
      <c r="P3395" s="11" t="s">
        <v>9771</v>
      </c>
      <c r="Q3395" s="11" t="s">
        <v>10789</v>
      </c>
      <c r="R3395" s="4" t="s">
        <v>13181</v>
      </c>
      <c r="S3395" s="4" t="b">
        <f>ISNUMBER(MATCH(Q3395,T:T,0))</f>
        <v>0</v>
      </c>
      <c r="T3395" s="4" t="s">
        <v>12702</v>
      </c>
      <c r="U3395" s="4" t="str">
        <f t="shared" ref="U3395:U3458" si="155">IF(ISBLANK(R3395),Q3395,R3395)</f>
        <v>沒</v>
      </c>
      <c r="V3395" s="4" t="b">
        <f t="shared" si="154"/>
        <v>1</v>
      </c>
    </row>
    <row r="3396" spans="1:22">
      <c r="A3396" s="3">
        <v>3388</v>
      </c>
      <c r="B3396" s="3" t="s">
        <v>3616</v>
      </c>
      <c r="C3396" s="3" t="s">
        <v>6067</v>
      </c>
      <c r="D3396" s="3" t="s">
        <v>5990</v>
      </c>
      <c r="E3396" s="3" t="s">
        <v>6212</v>
      </c>
      <c r="F3396" s="3" t="s">
        <v>6869</v>
      </c>
      <c r="G3396" s="3" t="s">
        <v>538</v>
      </c>
      <c r="H3396" s="7" t="s">
        <v>880</v>
      </c>
      <c r="I3396" s="3" t="s">
        <v>3079</v>
      </c>
      <c r="J3396" s="5" t="s">
        <v>3637</v>
      </c>
      <c r="L3396" s="3" t="s">
        <v>2796</v>
      </c>
      <c r="M3396" s="3">
        <v>11</v>
      </c>
      <c r="N3396" s="4" t="s">
        <v>9684</v>
      </c>
      <c r="O3396" s="4">
        <v>183</v>
      </c>
      <c r="P3396" s="11" t="s">
        <v>9731</v>
      </c>
      <c r="Q3396" s="11" t="s">
        <v>10787</v>
      </c>
      <c r="S3396" s="4" t="b">
        <f>ISNUMBER(MATCH(Q3396,T:T,0))</f>
        <v>1</v>
      </c>
      <c r="T3396" s="4" t="s">
        <v>12703</v>
      </c>
      <c r="U3396" s="4" t="str">
        <f t="shared" si="155"/>
        <v>骨</v>
      </c>
    </row>
    <row r="3397" spans="1:22">
      <c r="A3397" s="3">
        <v>3389</v>
      </c>
      <c r="B3397" s="3" t="s">
        <v>3616</v>
      </c>
      <c r="C3397" s="3" t="s">
        <v>6083</v>
      </c>
      <c r="D3397" s="3" t="s">
        <v>5990</v>
      </c>
      <c r="E3397" s="3" t="s">
        <v>6212</v>
      </c>
      <c r="F3397" s="3" t="s">
        <v>6869</v>
      </c>
      <c r="G3397" s="3" t="s">
        <v>538</v>
      </c>
      <c r="H3397" s="3" t="s">
        <v>881</v>
      </c>
      <c r="I3397" s="3" t="s">
        <v>3079</v>
      </c>
      <c r="J3397" s="5" t="s">
        <v>9612</v>
      </c>
      <c r="L3397" s="3" t="s">
        <v>2811</v>
      </c>
      <c r="M3397" s="3">
        <v>3</v>
      </c>
      <c r="N3397" s="4" t="s">
        <v>9684</v>
      </c>
      <c r="O3397" s="4">
        <v>183</v>
      </c>
      <c r="P3397" s="11" t="s">
        <v>9922</v>
      </c>
      <c r="Q3397" s="11" t="s">
        <v>10789</v>
      </c>
      <c r="R3397" s="4" t="s">
        <v>13181</v>
      </c>
      <c r="S3397" s="4" t="b">
        <f>ISNUMBER(MATCH(Q3397,T:T,0))</f>
        <v>0</v>
      </c>
      <c r="T3397" s="4" t="s">
        <v>12668</v>
      </c>
      <c r="U3397" s="4" t="str">
        <f t="shared" si="155"/>
        <v>沒</v>
      </c>
      <c r="V3397" s="4" t="b">
        <f>ISNUMBER(MATCH(R3397,T:T,0))</f>
        <v>1</v>
      </c>
    </row>
    <row r="3398" spans="1:22">
      <c r="A3398" s="3">
        <v>4006</v>
      </c>
      <c r="B3398" s="3" t="s">
        <v>9628</v>
      </c>
      <c r="C3398" s="3" t="s">
        <v>6049</v>
      </c>
      <c r="D3398" s="3" t="s">
        <v>5990</v>
      </c>
      <c r="E3398" s="3" t="s">
        <v>6212</v>
      </c>
      <c r="F3398" s="3" t="s">
        <v>6869</v>
      </c>
      <c r="G3398" s="3" t="s">
        <v>538</v>
      </c>
      <c r="I3398" s="3" t="s">
        <v>3079</v>
      </c>
      <c r="J3398" s="5" t="s">
        <v>12987</v>
      </c>
      <c r="K3398" s="3" t="s">
        <v>1320</v>
      </c>
      <c r="M3398" s="3">
        <v>0</v>
      </c>
      <c r="N3398" s="4" t="s">
        <v>9684</v>
      </c>
      <c r="O3398" s="4">
        <v>183</v>
      </c>
      <c r="U3398" s="4">
        <f t="shared" si="155"/>
        <v>0</v>
      </c>
    </row>
    <row r="3399" spans="1:22">
      <c r="A3399" s="3">
        <v>3390</v>
      </c>
      <c r="B3399" s="3" t="s">
        <v>3638</v>
      </c>
      <c r="C3399" s="3" t="s">
        <v>6067</v>
      </c>
      <c r="D3399" s="3" t="s">
        <v>5990</v>
      </c>
      <c r="E3399" s="3" t="s">
        <v>5991</v>
      </c>
      <c r="F3399" s="3" t="s">
        <v>6926</v>
      </c>
      <c r="G3399" s="3" t="s">
        <v>538</v>
      </c>
      <c r="H3399" s="3" t="s">
        <v>3639</v>
      </c>
      <c r="I3399" s="3" t="s">
        <v>6836</v>
      </c>
      <c r="J3399" s="5" t="s">
        <v>3640</v>
      </c>
      <c r="L3399" s="3" t="s">
        <v>4579</v>
      </c>
      <c r="M3399" s="3">
        <v>11</v>
      </c>
      <c r="N3399" s="4" t="s">
        <v>3641</v>
      </c>
      <c r="O3399" s="4">
        <v>184</v>
      </c>
      <c r="P3399" s="11" t="s">
        <v>9870</v>
      </c>
      <c r="Q3399" s="11" t="s">
        <v>10791</v>
      </c>
      <c r="S3399" s="4" t="b">
        <f>ISNUMBER(MATCH(Q3399,T:T,0))</f>
        <v>1</v>
      </c>
      <c r="T3399" s="4" t="s">
        <v>3641</v>
      </c>
      <c r="U3399" s="4" t="str">
        <f t="shared" si="155"/>
        <v>葛</v>
      </c>
    </row>
    <row r="3400" spans="1:22">
      <c r="A3400" s="3">
        <v>3391</v>
      </c>
      <c r="B3400" s="3" t="s">
        <v>3638</v>
      </c>
      <c r="C3400" s="3" t="s">
        <v>6089</v>
      </c>
      <c r="D3400" s="3" t="s">
        <v>5990</v>
      </c>
      <c r="E3400" s="3" t="s">
        <v>5991</v>
      </c>
      <c r="F3400" s="3" t="s">
        <v>6926</v>
      </c>
      <c r="G3400" s="3" t="s">
        <v>538</v>
      </c>
      <c r="H3400" s="3" t="s">
        <v>3642</v>
      </c>
      <c r="I3400" s="3" t="s">
        <v>6836</v>
      </c>
      <c r="J3400" s="5" t="s">
        <v>3643</v>
      </c>
      <c r="L3400" s="3" t="s">
        <v>2869</v>
      </c>
      <c r="M3400" s="3">
        <v>8</v>
      </c>
      <c r="N3400" s="4" t="s">
        <v>3641</v>
      </c>
      <c r="O3400" s="4">
        <v>184</v>
      </c>
      <c r="P3400" s="11" t="s">
        <v>9753</v>
      </c>
      <c r="Q3400" s="11" t="s">
        <v>10791</v>
      </c>
      <c r="S3400" s="4" t="b">
        <f>ISNUMBER(MATCH(Q3400,T:T,0))</f>
        <v>1</v>
      </c>
      <c r="T3400" s="4" t="s">
        <v>12704</v>
      </c>
      <c r="U3400" s="4" t="str">
        <f t="shared" si="155"/>
        <v>葛</v>
      </c>
    </row>
    <row r="3401" spans="1:22">
      <c r="A3401" s="3">
        <v>3392</v>
      </c>
      <c r="B3401" s="3" t="s">
        <v>3638</v>
      </c>
      <c r="C3401" s="3" t="s">
        <v>5989</v>
      </c>
      <c r="D3401" s="3" t="s">
        <v>5990</v>
      </c>
      <c r="E3401" s="3" t="s">
        <v>5991</v>
      </c>
      <c r="F3401" s="3" t="s">
        <v>6926</v>
      </c>
      <c r="G3401" s="3" t="s">
        <v>538</v>
      </c>
      <c r="H3401" s="3" t="s">
        <v>3644</v>
      </c>
      <c r="I3401" s="3" t="s">
        <v>6836</v>
      </c>
      <c r="J3401" s="5" t="s">
        <v>3645</v>
      </c>
      <c r="L3401" s="3" t="s">
        <v>4564</v>
      </c>
      <c r="M3401" s="3">
        <v>10</v>
      </c>
      <c r="N3401" s="4" t="s">
        <v>3641</v>
      </c>
      <c r="O3401" s="4">
        <v>184</v>
      </c>
      <c r="P3401" s="11" t="s">
        <v>9883</v>
      </c>
      <c r="Q3401" s="11" t="s">
        <v>10792</v>
      </c>
      <c r="R3401" s="4" t="s">
        <v>13182</v>
      </c>
      <c r="S3401" s="4" t="b">
        <f>ISNUMBER(MATCH(Q3401,T:T,0))</f>
        <v>0</v>
      </c>
      <c r="T3401" s="4" t="s">
        <v>12705</v>
      </c>
      <c r="U3401" s="4" t="str">
        <f t="shared" si="155"/>
        <v>葛</v>
      </c>
      <c r="V3401" s="4" t="b">
        <f>ISNUMBER(MATCH(R3401,T:T,0))</f>
        <v>1</v>
      </c>
    </row>
    <row r="3402" spans="1:22">
      <c r="A3402" s="3">
        <v>3393</v>
      </c>
      <c r="B3402" s="3" t="s">
        <v>3638</v>
      </c>
      <c r="C3402" s="3" t="s">
        <v>6079</v>
      </c>
      <c r="D3402" s="3" t="s">
        <v>5990</v>
      </c>
      <c r="E3402" s="3" t="s">
        <v>5991</v>
      </c>
      <c r="F3402" s="3" t="s">
        <v>6926</v>
      </c>
      <c r="G3402" s="3" t="s">
        <v>538</v>
      </c>
      <c r="H3402" s="3" t="s">
        <v>3646</v>
      </c>
      <c r="I3402" s="3" t="s">
        <v>6836</v>
      </c>
      <c r="J3402" s="5" t="s">
        <v>9613</v>
      </c>
      <c r="L3402" s="3" t="s">
        <v>4558</v>
      </c>
      <c r="M3402" s="3">
        <v>13</v>
      </c>
      <c r="N3402" s="4" t="s">
        <v>3641</v>
      </c>
      <c r="O3402" s="4">
        <v>184</v>
      </c>
      <c r="P3402" s="11" t="s">
        <v>9736</v>
      </c>
      <c r="Q3402" s="11" t="s">
        <v>10793</v>
      </c>
      <c r="S3402" s="4" t="b">
        <f>ISNUMBER(MATCH(Q3402,T:T,0))</f>
        <v>1</v>
      </c>
      <c r="T3402" s="4" t="s">
        <v>12706</v>
      </c>
      <c r="U3402" s="4" t="str">
        <f t="shared" si="155"/>
        <v>達</v>
      </c>
    </row>
    <row r="3403" spans="1:22">
      <c r="A3403" s="3">
        <v>3394</v>
      </c>
      <c r="B3403" s="3" t="s">
        <v>3638</v>
      </c>
      <c r="C3403" s="3" t="s">
        <v>6072</v>
      </c>
      <c r="D3403" s="3" t="s">
        <v>5990</v>
      </c>
      <c r="E3403" s="3" t="s">
        <v>5991</v>
      </c>
      <c r="F3403" s="3" t="s">
        <v>6926</v>
      </c>
      <c r="G3403" s="3" t="s">
        <v>538</v>
      </c>
      <c r="H3403" s="3" t="s">
        <v>3647</v>
      </c>
      <c r="I3403" s="3" t="s">
        <v>6836</v>
      </c>
      <c r="J3403" s="5" t="s">
        <v>9614</v>
      </c>
      <c r="L3403" s="3" t="s">
        <v>3648</v>
      </c>
      <c r="M3403" s="3">
        <v>11</v>
      </c>
      <c r="N3403" s="4" t="s">
        <v>3641</v>
      </c>
      <c r="O3403" s="4">
        <v>184</v>
      </c>
      <c r="P3403" s="11" t="s">
        <v>9734</v>
      </c>
      <c r="Q3403" s="11" t="s">
        <v>10791</v>
      </c>
      <c r="S3403" s="4" t="b">
        <f>ISNUMBER(MATCH(Q3403,T:T,0))</f>
        <v>1</v>
      </c>
      <c r="T3403" s="4" t="s">
        <v>12707</v>
      </c>
      <c r="U3403" s="4" t="str">
        <f t="shared" si="155"/>
        <v>葛</v>
      </c>
    </row>
    <row r="3404" spans="1:22" ht="39">
      <c r="A3404" s="3">
        <v>3395</v>
      </c>
      <c r="B3404" s="3" t="s">
        <v>3638</v>
      </c>
      <c r="C3404" s="3" t="s">
        <v>6058</v>
      </c>
      <c r="D3404" s="3" t="s">
        <v>5990</v>
      </c>
      <c r="E3404" s="3" t="s">
        <v>5991</v>
      </c>
      <c r="F3404" s="3" t="s">
        <v>6926</v>
      </c>
      <c r="G3404" s="3" t="s">
        <v>538</v>
      </c>
      <c r="H3404" s="3" t="s">
        <v>3649</v>
      </c>
      <c r="I3404" s="3" t="s">
        <v>6836</v>
      </c>
      <c r="J3404" s="5" t="s">
        <v>9615</v>
      </c>
      <c r="L3404" s="3" t="s">
        <v>3650</v>
      </c>
      <c r="M3404" s="3">
        <v>16</v>
      </c>
      <c r="N3404" s="4" t="s">
        <v>3641</v>
      </c>
      <c r="O3404" s="4">
        <v>184</v>
      </c>
      <c r="P3404" s="11" t="s">
        <v>9730</v>
      </c>
      <c r="Q3404" s="11" t="s">
        <v>10793</v>
      </c>
      <c r="S3404" s="4" t="b">
        <f>ISNUMBER(MATCH(Q3404,T:T,0))</f>
        <v>1</v>
      </c>
      <c r="T3404" s="4" t="s">
        <v>12708</v>
      </c>
      <c r="U3404" s="4" t="str">
        <f t="shared" si="155"/>
        <v>達</v>
      </c>
    </row>
    <row r="3405" spans="1:22">
      <c r="A3405" s="3">
        <v>3396</v>
      </c>
      <c r="B3405" s="3" t="s">
        <v>3638</v>
      </c>
      <c r="C3405" s="3" t="s">
        <v>6038</v>
      </c>
      <c r="D3405" s="3" t="s">
        <v>5990</v>
      </c>
      <c r="E3405" s="3" t="s">
        <v>5991</v>
      </c>
      <c r="F3405" s="3" t="s">
        <v>6926</v>
      </c>
      <c r="G3405" s="3" t="s">
        <v>538</v>
      </c>
      <c r="H3405" s="3" t="s">
        <v>3651</v>
      </c>
      <c r="I3405" s="3" t="s">
        <v>6836</v>
      </c>
      <c r="J3405" s="5" t="s">
        <v>3652</v>
      </c>
      <c r="L3405" s="3" t="s">
        <v>2862</v>
      </c>
      <c r="M3405" s="3">
        <v>8</v>
      </c>
      <c r="N3405" s="4" t="s">
        <v>3641</v>
      </c>
      <c r="O3405" s="4">
        <v>184</v>
      </c>
      <c r="P3405" s="11" t="s">
        <v>9728</v>
      </c>
      <c r="Q3405" s="11" t="s">
        <v>3641</v>
      </c>
      <c r="S3405" s="4" t="b">
        <f>ISNUMBER(MATCH(Q3405,T:T,0))</f>
        <v>1</v>
      </c>
      <c r="T3405" s="4" t="s">
        <v>12709</v>
      </c>
      <c r="U3405" s="4" t="str">
        <f t="shared" si="155"/>
        <v>曷</v>
      </c>
    </row>
    <row r="3406" spans="1:22">
      <c r="A3406" s="3">
        <v>3397</v>
      </c>
      <c r="B3406" s="3" t="s">
        <v>3638</v>
      </c>
      <c r="C3406" s="3" t="s">
        <v>5997</v>
      </c>
      <c r="D3406" s="3" t="s">
        <v>5990</v>
      </c>
      <c r="E3406" s="3" t="s">
        <v>5991</v>
      </c>
      <c r="F3406" s="3" t="s">
        <v>6926</v>
      </c>
      <c r="G3406" s="3" t="s">
        <v>538</v>
      </c>
      <c r="H3406" s="3" t="s">
        <v>3653</v>
      </c>
      <c r="I3406" s="3" t="s">
        <v>6836</v>
      </c>
      <c r="J3406" s="5" t="s">
        <v>3654</v>
      </c>
      <c r="L3406" s="3" t="s">
        <v>3655</v>
      </c>
      <c r="M3406" s="3">
        <v>2</v>
      </c>
      <c r="N3406" s="4" t="s">
        <v>3641</v>
      </c>
      <c r="O3406" s="4">
        <v>184</v>
      </c>
      <c r="P3406" s="11" t="s">
        <v>1032</v>
      </c>
      <c r="Q3406" s="11" t="s">
        <v>10792</v>
      </c>
      <c r="R3406" s="4" t="s">
        <v>13182</v>
      </c>
      <c r="S3406" s="4" t="b">
        <f>ISNUMBER(MATCH(Q3406,T:T,0))</f>
        <v>0</v>
      </c>
      <c r="T3406" s="4" t="s">
        <v>10793</v>
      </c>
      <c r="U3406" s="4" t="str">
        <f t="shared" si="155"/>
        <v>葛</v>
      </c>
      <c r="V3406" s="4" t="b">
        <f t="shared" ref="V3406:V3408" si="156">ISNUMBER(MATCH(R3406,T:T,0))</f>
        <v>1</v>
      </c>
    </row>
    <row r="3407" spans="1:22">
      <c r="A3407" s="3">
        <v>3398</v>
      </c>
      <c r="B3407" s="3" t="s">
        <v>3638</v>
      </c>
      <c r="C3407" s="3" t="s">
        <v>6069</v>
      </c>
      <c r="D3407" s="3" t="s">
        <v>5990</v>
      </c>
      <c r="E3407" s="3" t="s">
        <v>5991</v>
      </c>
      <c r="F3407" s="3" t="s">
        <v>6926</v>
      </c>
      <c r="G3407" s="3" t="s">
        <v>538</v>
      </c>
      <c r="H3407" s="3" t="s">
        <v>3656</v>
      </c>
      <c r="I3407" s="3" t="s">
        <v>6836</v>
      </c>
      <c r="J3407" s="5" t="s">
        <v>9616</v>
      </c>
      <c r="L3407" s="3" t="s">
        <v>3657</v>
      </c>
      <c r="M3407" s="3">
        <v>4</v>
      </c>
      <c r="N3407" s="4" t="s">
        <v>3641</v>
      </c>
      <c r="O3407" s="4">
        <v>184</v>
      </c>
      <c r="P3407" s="11" t="s">
        <v>9925</v>
      </c>
      <c r="Q3407" s="11" t="s">
        <v>10792</v>
      </c>
      <c r="R3407" s="4" t="s">
        <v>13182</v>
      </c>
      <c r="S3407" s="4" t="b">
        <f>ISNUMBER(MATCH(Q3407,T:T,0))</f>
        <v>0</v>
      </c>
      <c r="T3407" s="4" t="s">
        <v>12710</v>
      </c>
      <c r="U3407" s="4" t="str">
        <f t="shared" si="155"/>
        <v>葛</v>
      </c>
      <c r="V3407" s="4" t="b">
        <f t="shared" si="156"/>
        <v>1</v>
      </c>
    </row>
    <row r="3408" spans="1:22">
      <c r="A3408" s="3">
        <v>3399</v>
      </c>
      <c r="B3408" s="3" t="s">
        <v>3638</v>
      </c>
      <c r="C3408" s="3" t="s">
        <v>6092</v>
      </c>
      <c r="D3408" s="3" t="s">
        <v>5990</v>
      </c>
      <c r="E3408" s="3" t="s">
        <v>5991</v>
      </c>
      <c r="F3408" s="3" t="s">
        <v>6926</v>
      </c>
      <c r="G3408" s="3" t="s">
        <v>538</v>
      </c>
      <c r="H3408" s="3" t="s">
        <v>3658</v>
      </c>
      <c r="I3408" s="3" t="s">
        <v>6836</v>
      </c>
      <c r="J3408" s="5" t="s">
        <v>9617</v>
      </c>
      <c r="L3408" s="3" t="s">
        <v>2392</v>
      </c>
      <c r="M3408" s="3">
        <v>13</v>
      </c>
      <c r="N3408" s="4" t="s">
        <v>3641</v>
      </c>
      <c r="O3408" s="4">
        <v>184</v>
      </c>
      <c r="P3408" s="11" t="s">
        <v>9740</v>
      </c>
      <c r="Q3408" s="11" t="s">
        <v>10792</v>
      </c>
      <c r="R3408" s="4" t="s">
        <v>13182</v>
      </c>
      <c r="S3408" s="4" t="b">
        <f>ISNUMBER(MATCH(Q3408,T:T,0))</f>
        <v>0</v>
      </c>
      <c r="T3408" s="4" t="s">
        <v>12711</v>
      </c>
      <c r="U3408" s="4" t="str">
        <f t="shared" si="155"/>
        <v>葛</v>
      </c>
      <c r="V3408" s="4" t="b">
        <f t="shared" si="156"/>
        <v>1</v>
      </c>
    </row>
    <row r="3409" spans="1:22">
      <c r="A3409" s="3">
        <v>3400</v>
      </c>
      <c r="B3409" s="3" t="s">
        <v>3638</v>
      </c>
      <c r="C3409" s="3" t="s">
        <v>6025</v>
      </c>
      <c r="D3409" s="3" t="s">
        <v>5990</v>
      </c>
      <c r="E3409" s="3" t="s">
        <v>5991</v>
      </c>
      <c r="F3409" s="3" t="s">
        <v>6926</v>
      </c>
      <c r="G3409" s="3" t="s">
        <v>538</v>
      </c>
      <c r="H3409" s="3" t="s">
        <v>3659</v>
      </c>
      <c r="I3409" s="3" t="s">
        <v>6836</v>
      </c>
      <c r="J3409" s="5" t="s">
        <v>9618</v>
      </c>
      <c r="L3409" s="3" t="s">
        <v>3660</v>
      </c>
      <c r="M3409" s="3">
        <v>10</v>
      </c>
      <c r="N3409" s="4" t="s">
        <v>3641</v>
      </c>
      <c r="O3409" s="4">
        <v>184</v>
      </c>
      <c r="P3409" s="11" t="s">
        <v>9729</v>
      </c>
      <c r="Q3409" s="11" t="s">
        <v>10793</v>
      </c>
      <c r="S3409" s="4" t="b">
        <f>ISNUMBER(MATCH(Q3409,T:T,0))</f>
        <v>1</v>
      </c>
      <c r="T3409" s="4" t="s">
        <v>10791</v>
      </c>
      <c r="U3409" s="4" t="str">
        <f t="shared" si="155"/>
        <v>達</v>
      </c>
    </row>
    <row r="3410" spans="1:22">
      <c r="A3410" s="3">
        <v>3401</v>
      </c>
      <c r="B3410" s="3" t="s">
        <v>3638</v>
      </c>
      <c r="C3410" s="3" t="s">
        <v>6017</v>
      </c>
      <c r="D3410" s="3" t="s">
        <v>5990</v>
      </c>
      <c r="E3410" s="3" t="s">
        <v>5991</v>
      </c>
      <c r="F3410" s="3" t="s">
        <v>6926</v>
      </c>
      <c r="G3410" s="3" t="s">
        <v>538</v>
      </c>
      <c r="H3410" s="3" t="s">
        <v>3661</v>
      </c>
      <c r="I3410" s="3" t="s">
        <v>6836</v>
      </c>
      <c r="J3410" s="5" t="s">
        <v>3662</v>
      </c>
      <c r="L3410" s="3" t="s">
        <v>4561</v>
      </c>
      <c r="M3410" s="3">
        <v>9</v>
      </c>
      <c r="N3410" s="4" t="s">
        <v>3641</v>
      </c>
      <c r="O3410" s="4">
        <v>184</v>
      </c>
      <c r="P3410" s="11" t="s">
        <v>10115</v>
      </c>
      <c r="Q3410" s="11" t="s">
        <v>10792</v>
      </c>
      <c r="R3410" s="4" t="s">
        <v>13182</v>
      </c>
      <c r="S3410" s="4" t="b">
        <f>ISNUMBER(MATCH(Q3410,T:T,0))</f>
        <v>0</v>
      </c>
      <c r="T3410" s="4" t="s">
        <v>12712</v>
      </c>
      <c r="U3410" s="4" t="str">
        <f t="shared" si="155"/>
        <v>葛</v>
      </c>
      <c r="V3410" s="4" t="b">
        <f>ISNUMBER(MATCH(R3410,T:T,0))</f>
        <v>1</v>
      </c>
    </row>
    <row r="3411" spans="1:22">
      <c r="A3411" s="3">
        <v>3402</v>
      </c>
      <c r="B3411" s="3" t="s">
        <v>3638</v>
      </c>
      <c r="C3411" s="3" t="s">
        <v>6076</v>
      </c>
      <c r="D3411" s="3" t="s">
        <v>5990</v>
      </c>
      <c r="E3411" s="3" t="s">
        <v>5991</v>
      </c>
      <c r="F3411" s="3" t="s">
        <v>6926</v>
      </c>
      <c r="G3411" s="3" t="s">
        <v>538</v>
      </c>
      <c r="H3411" s="3" t="s">
        <v>3663</v>
      </c>
      <c r="I3411" s="3" t="s">
        <v>6836</v>
      </c>
      <c r="J3411" s="5" t="s">
        <v>3664</v>
      </c>
      <c r="L3411" s="3" t="s">
        <v>4554</v>
      </c>
      <c r="M3411" s="3">
        <v>3</v>
      </c>
      <c r="N3411" s="4" t="s">
        <v>3641</v>
      </c>
      <c r="O3411" s="4">
        <v>184</v>
      </c>
      <c r="P3411" s="11" t="s">
        <v>9766</v>
      </c>
      <c r="Q3411" s="11" t="s">
        <v>3641</v>
      </c>
      <c r="S3411" s="4" t="b">
        <f>ISNUMBER(MATCH(Q3411,T:T,0))</f>
        <v>1</v>
      </c>
      <c r="T3411" s="4" t="s">
        <v>12713</v>
      </c>
      <c r="U3411" s="4" t="str">
        <f t="shared" si="155"/>
        <v>曷</v>
      </c>
    </row>
    <row r="3412" spans="1:22">
      <c r="A3412" s="3">
        <v>3403</v>
      </c>
      <c r="B3412" s="3" t="s">
        <v>3638</v>
      </c>
      <c r="C3412" s="3" t="s">
        <v>6102</v>
      </c>
      <c r="D3412" s="3" t="s">
        <v>5990</v>
      </c>
      <c r="E3412" s="3" t="s">
        <v>5991</v>
      </c>
      <c r="F3412" s="3" t="s">
        <v>6926</v>
      </c>
      <c r="G3412" s="3" t="s">
        <v>538</v>
      </c>
      <c r="H3412" s="3" t="s">
        <v>3665</v>
      </c>
      <c r="I3412" s="3" t="s">
        <v>6836</v>
      </c>
      <c r="J3412" s="5" t="s">
        <v>3666</v>
      </c>
      <c r="L3412" s="3" t="s">
        <v>2494</v>
      </c>
      <c r="M3412" s="3">
        <v>3</v>
      </c>
      <c r="N3412" s="4" t="s">
        <v>3641</v>
      </c>
      <c r="O3412" s="4">
        <v>184</v>
      </c>
      <c r="P3412" s="11" t="s">
        <v>9744</v>
      </c>
      <c r="Q3412" s="11" t="s">
        <v>3641</v>
      </c>
      <c r="S3412" s="4" t="b">
        <f>ISNUMBER(MATCH(Q3412,T:T,0))</f>
        <v>1</v>
      </c>
      <c r="T3412" s="4" t="s">
        <v>12714</v>
      </c>
      <c r="U3412" s="4" t="str">
        <f t="shared" si="155"/>
        <v>曷</v>
      </c>
    </row>
    <row r="3413" spans="1:22">
      <c r="A3413" s="3">
        <v>3404</v>
      </c>
      <c r="B3413" s="3" t="s">
        <v>3667</v>
      </c>
      <c r="C3413" s="3" t="s">
        <v>6035</v>
      </c>
      <c r="D3413" s="3" t="s">
        <v>5990</v>
      </c>
      <c r="E3413" s="3" t="s">
        <v>6212</v>
      </c>
      <c r="F3413" s="3" t="s">
        <v>8009</v>
      </c>
      <c r="G3413" s="3" t="s">
        <v>538</v>
      </c>
      <c r="H3413" s="3" t="s">
        <v>3668</v>
      </c>
      <c r="I3413" s="3" t="s">
        <v>6836</v>
      </c>
      <c r="J3413" s="5" t="s">
        <v>3669</v>
      </c>
      <c r="L3413" s="3" t="s">
        <v>2415</v>
      </c>
      <c r="M3413" s="3">
        <v>1</v>
      </c>
      <c r="N3413" s="4" t="s">
        <v>9685</v>
      </c>
      <c r="O3413" s="4">
        <v>185</v>
      </c>
      <c r="P3413" s="11" t="s">
        <v>10794</v>
      </c>
      <c r="Q3413" s="11" t="s">
        <v>10792</v>
      </c>
      <c r="S3413" s="4" t="b">
        <f>ISNUMBER(MATCH(Q3413,T:T,0))</f>
        <v>0</v>
      </c>
      <c r="T3413" s="4" t="s">
        <v>3669</v>
      </c>
      <c r="U3413" s="4" t="str">
        <f t="shared" si="155"/>
        <v>割</v>
      </c>
      <c r="V3413" s="4" t="b">
        <f>ISNUMBER(MATCH(R3413,T:T,0))</f>
        <v>0</v>
      </c>
    </row>
    <row r="3414" spans="1:22" ht="39">
      <c r="A3414" s="3">
        <v>3405</v>
      </c>
      <c r="B3414" s="3" t="s">
        <v>3667</v>
      </c>
      <c r="C3414" s="3" t="s">
        <v>6035</v>
      </c>
      <c r="D3414" s="3" t="s">
        <v>5990</v>
      </c>
      <c r="E3414" s="3" t="s">
        <v>6212</v>
      </c>
      <c r="F3414" s="3" t="s">
        <v>8009</v>
      </c>
      <c r="G3414" s="3" t="s">
        <v>538</v>
      </c>
      <c r="H3414" s="3" t="s">
        <v>3670</v>
      </c>
      <c r="I3414" s="3" t="s">
        <v>6836</v>
      </c>
      <c r="J3414" s="5" t="s">
        <v>9619</v>
      </c>
      <c r="K3414" s="3" t="s">
        <v>645</v>
      </c>
      <c r="L3414" s="3" t="s">
        <v>2415</v>
      </c>
      <c r="M3414" s="3">
        <v>27</v>
      </c>
      <c r="N3414" s="4" t="s">
        <v>9685</v>
      </c>
      <c r="O3414" s="4">
        <v>185</v>
      </c>
      <c r="P3414" s="11" t="s">
        <v>9719</v>
      </c>
      <c r="Q3414" s="11" t="s">
        <v>10795</v>
      </c>
      <c r="S3414" s="4" t="b">
        <f>ISNUMBER(MATCH(Q3414,T:T,0))</f>
        <v>1</v>
      </c>
      <c r="T3414" s="4" t="s">
        <v>9685</v>
      </c>
      <c r="U3414" s="4" t="str">
        <f t="shared" si="155"/>
        <v>撥</v>
      </c>
    </row>
    <row r="3415" spans="1:22">
      <c r="A3415" s="3">
        <v>3406</v>
      </c>
      <c r="B3415" s="3" t="s">
        <v>3667</v>
      </c>
      <c r="C3415" s="3" t="s">
        <v>6092</v>
      </c>
      <c r="D3415" s="3" t="s">
        <v>5990</v>
      </c>
      <c r="E3415" s="3" t="s">
        <v>6212</v>
      </c>
      <c r="F3415" s="3" t="s">
        <v>8009</v>
      </c>
      <c r="G3415" s="3" t="s">
        <v>538</v>
      </c>
      <c r="H3415" s="3" t="s">
        <v>3671</v>
      </c>
      <c r="I3415" s="3" t="s">
        <v>6836</v>
      </c>
      <c r="J3415" s="8" t="s">
        <v>3672</v>
      </c>
      <c r="L3415" s="3" t="s">
        <v>2422</v>
      </c>
      <c r="M3415" s="3">
        <v>1</v>
      </c>
      <c r="N3415" s="4" t="s">
        <v>9685</v>
      </c>
      <c r="O3415" s="4">
        <v>185</v>
      </c>
      <c r="P3415" s="11" t="s">
        <v>9740</v>
      </c>
      <c r="Q3415" s="11" t="s">
        <v>10796</v>
      </c>
      <c r="S3415" s="4" t="b">
        <f>ISNUMBER(MATCH(Q3415,T:T,0))</f>
        <v>1</v>
      </c>
      <c r="T3415" s="4" t="s">
        <v>3672</v>
      </c>
      <c r="U3415" s="4" t="str">
        <f t="shared" si="155"/>
        <v>活</v>
      </c>
    </row>
    <row r="3416" spans="1:22">
      <c r="A3416" s="3">
        <v>3407</v>
      </c>
      <c r="B3416" s="3" t="s">
        <v>3667</v>
      </c>
      <c r="C3416" s="3" t="s">
        <v>6069</v>
      </c>
      <c r="D3416" s="3" t="s">
        <v>5990</v>
      </c>
      <c r="E3416" s="3" t="s">
        <v>6212</v>
      </c>
      <c r="F3416" s="3" t="s">
        <v>8009</v>
      </c>
      <c r="G3416" s="3" t="s">
        <v>538</v>
      </c>
      <c r="H3416" s="3" t="s">
        <v>3673</v>
      </c>
      <c r="I3416" s="3" t="s">
        <v>6836</v>
      </c>
      <c r="J3416" s="5" t="s">
        <v>3674</v>
      </c>
      <c r="L3416" s="3" t="s">
        <v>3675</v>
      </c>
      <c r="M3416" s="3">
        <v>1</v>
      </c>
      <c r="N3416" s="4" t="s">
        <v>9685</v>
      </c>
      <c r="O3416" s="4">
        <v>185</v>
      </c>
      <c r="P3416" s="11" t="s">
        <v>1077</v>
      </c>
      <c r="Q3416" s="11" t="s">
        <v>10796</v>
      </c>
      <c r="S3416" s="4" t="b">
        <f>ISNUMBER(MATCH(Q3416,T:T,0))</f>
        <v>1</v>
      </c>
      <c r="T3416" s="4" t="s">
        <v>3674</v>
      </c>
      <c r="U3416" s="4" t="str">
        <f t="shared" si="155"/>
        <v>活</v>
      </c>
    </row>
    <row r="3417" spans="1:22" ht="39">
      <c r="A3417" s="3">
        <v>3408</v>
      </c>
      <c r="B3417" s="3" t="s">
        <v>3667</v>
      </c>
      <c r="C3417" s="3" t="s">
        <v>6049</v>
      </c>
      <c r="D3417" s="3" t="s">
        <v>5990</v>
      </c>
      <c r="E3417" s="3" t="s">
        <v>6212</v>
      </c>
      <c r="F3417" s="3" t="s">
        <v>8009</v>
      </c>
      <c r="G3417" s="3" t="s">
        <v>538</v>
      </c>
      <c r="H3417" s="3" t="s">
        <v>3676</v>
      </c>
      <c r="I3417" s="3" t="s">
        <v>6836</v>
      </c>
      <c r="J3417" s="5" t="s">
        <v>9620</v>
      </c>
      <c r="L3417" s="3" t="s">
        <v>2792</v>
      </c>
      <c r="M3417" s="3">
        <v>16</v>
      </c>
      <c r="N3417" s="4" t="s">
        <v>9685</v>
      </c>
      <c r="O3417" s="4">
        <v>185</v>
      </c>
      <c r="P3417" s="11" t="s">
        <v>9979</v>
      </c>
      <c r="Q3417" s="11" t="s">
        <v>9685</v>
      </c>
      <c r="S3417" s="4" t="b">
        <f>ISNUMBER(MATCH(Q3417,T:T,0))</f>
        <v>1</v>
      </c>
      <c r="T3417" s="4" t="s">
        <v>10795</v>
      </c>
      <c r="U3417" s="4" t="str">
        <f t="shared" si="155"/>
        <v>末</v>
      </c>
    </row>
    <row r="3418" spans="1:22">
      <c r="A3418" s="3">
        <v>3409</v>
      </c>
      <c r="B3418" s="3" t="s">
        <v>3667</v>
      </c>
      <c r="C3418" s="3" t="s">
        <v>6083</v>
      </c>
      <c r="D3418" s="3" t="s">
        <v>5990</v>
      </c>
      <c r="E3418" s="3" t="s">
        <v>6212</v>
      </c>
      <c r="F3418" s="3" t="s">
        <v>8009</v>
      </c>
      <c r="G3418" s="3" t="s">
        <v>538</v>
      </c>
      <c r="H3418" s="3" t="s">
        <v>3677</v>
      </c>
      <c r="I3418" s="3" t="s">
        <v>6836</v>
      </c>
      <c r="J3418" s="5" t="s">
        <v>3678</v>
      </c>
      <c r="K3418" s="3" t="s">
        <v>646</v>
      </c>
      <c r="L3418" s="3" t="s">
        <v>3679</v>
      </c>
      <c r="M3418" s="3">
        <v>6</v>
      </c>
      <c r="N3418" s="4" t="s">
        <v>9685</v>
      </c>
      <c r="O3418" s="4">
        <v>185</v>
      </c>
      <c r="P3418" s="11" t="s">
        <v>9799</v>
      </c>
      <c r="Q3418" s="11" t="s">
        <v>9685</v>
      </c>
      <c r="S3418" s="4" t="b">
        <f>ISNUMBER(MATCH(Q3418,T:T,0))</f>
        <v>1</v>
      </c>
      <c r="T3418" s="4" t="s">
        <v>11734</v>
      </c>
      <c r="U3418" s="4" t="str">
        <f t="shared" si="155"/>
        <v>末</v>
      </c>
    </row>
    <row r="3419" spans="1:22" ht="39">
      <c r="A3419" s="3">
        <v>3410</v>
      </c>
      <c r="B3419" s="3" t="s">
        <v>3667</v>
      </c>
      <c r="C3419" s="3" t="s">
        <v>6025</v>
      </c>
      <c r="D3419" s="3" t="s">
        <v>5990</v>
      </c>
      <c r="E3419" s="3" t="s">
        <v>6212</v>
      </c>
      <c r="F3419" s="3" t="s">
        <v>8009</v>
      </c>
      <c r="G3419" s="3" t="s">
        <v>538</v>
      </c>
      <c r="H3419" s="3" t="s">
        <v>3680</v>
      </c>
      <c r="I3419" s="3" t="s">
        <v>6836</v>
      </c>
      <c r="J3419" s="5" t="s">
        <v>9621</v>
      </c>
      <c r="L3419" s="3" t="s">
        <v>3681</v>
      </c>
      <c r="M3419" s="3">
        <v>21</v>
      </c>
      <c r="N3419" s="4" t="s">
        <v>9685</v>
      </c>
      <c r="O3419" s="4">
        <v>185</v>
      </c>
      <c r="P3419" s="11" t="s">
        <v>9729</v>
      </c>
      <c r="Q3419" s="11" t="s">
        <v>10796</v>
      </c>
      <c r="S3419" s="4" t="b">
        <f>ISNUMBER(MATCH(Q3419,T:T,0))</f>
        <v>1</v>
      </c>
      <c r="T3419" s="4" t="s">
        <v>10798</v>
      </c>
      <c r="U3419" s="4" t="str">
        <f t="shared" si="155"/>
        <v>活</v>
      </c>
    </row>
    <row r="3420" spans="1:22">
      <c r="A3420" s="3">
        <v>3411</v>
      </c>
      <c r="B3420" s="3" t="s">
        <v>3667</v>
      </c>
      <c r="C3420" s="3" t="s">
        <v>6038</v>
      </c>
      <c r="D3420" s="3" t="s">
        <v>5990</v>
      </c>
      <c r="E3420" s="3" t="s">
        <v>6212</v>
      </c>
      <c r="F3420" s="3" t="s">
        <v>8009</v>
      </c>
      <c r="G3420" s="3" t="s">
        <v>538</v>
      </c>
      <c r="H3420" s="3" t="s">
        <v>3682</v>
      </c>
      <c r="I3420" s="3" t="s">
        <v>6836</v>
      </c>
      <c r="J3420" s="5" t="s">
        <v>3683</v>
      </c>
      <c r="L3420" s="3" t="s">
        <v>3684</v>
      </c>
      <c r="M3420" s="3">
        <v>6</v>
      </c>
      <c r="N3420" s="4" t="s">
        <v>9685</v>
      </c>
      <c r="O3420" s="4">
        <v>185</v>
      </c>
      <c r="P3420" s="11" t="s">
        <v>9728</v>
      </c>
      <c r="Q3420" s="11" t="s">
        <v>10797</v>
      </c>
      <c r="R3420" s="4" t="s">
        <v>13183</v>
      </c>
      <c r="S3420" s="4" t="b">
        <f>ISNUMBER(MATCH(Q3420,T:T,0))</f>
        <v>0</v>
      </c>
      <c r="T3420" s="4" t="s">
        <v>12715</v>
      </c>
      <c r="U3420" s="4" t="str">
        <f t="shared" si="155"/>
        <v>括</v>
      </c>
      <c r="V3420" s="4" t="b">
        <f>ISNUMBER(MATCH(R3420,T:T,0))</f>
        <v>1</v>
      </c>
    </row>
    <row r="3421" spans="1:22">
      <c r="A3421" s="3">
        <v>3412</v>
      </c>
      <c r="B3421" s="3" t="s">
        <v>3667</v>
      </c>
      <c r="C3421" s="3" t="s">
        <v>6067</v>
      </c>
      <c r="D3421" s="3" t="s">
        <v>5990</v>
      </c>
      <c r="E3421" s="3" t="s">
        <v>6212</v>
      </c>
      <c r="F3421" s="3" t="s">
        <v>8009</v>
      </c>
      <c r="G3421" s="3" t="s">
        <v>538</v>
      </c>
      <c r="H3421" s="7" t="s">
        <v>882</v>
      </c>
      <c r="I3421" s="3" t="s">
        <v>6836</v>
      </c>
      <c r="J3421" s="5" t="s">
        <v>6513</v>
      </c>
      <c r="L3421" s="3" t="s">
        <v>4617</v>
      </c>
      <c r="M3421" s="3">
        <v>8</v>
      </c>
      <c r="N3421" s="4" t="s">
        <v>9685</v>
      </c>
      <c r="O3421" s="4">
        <v>185</v>
      </c>
      <c r="P3421" s="11" t="s">
        <v>9731</v>
      </c>
      <c r="Q3421" s="11" t="s">
        <v>10798</v>
      </c>
      <c r="S3421" s="4" t="b">
        <f>ISNUMBER(MATCH(Q3421,T:T,0))</f>
        <v>1</v>
      </c>
      <c r="T3421" s="4" t="s">
        <v>10796</v>
      </c>
      <c r="U3421" s="4" t="str">
        <f t="shared" si="155"/>
        <v>括</v>
      </c>
    </row>
    <row r="3422" spans="1:22">
      <c r="A3422" s="3">
        <v>3413</v>
      </c>
      <c r="B3422" s="3" t="s">
        <v>3667</v>
      </c>
      <c r="C3422" s="3" t="s">
        <v>5997</v>
      </c>
      <c r="D3422" s="3" t="s">
        <v>5990</v>
      </c>
      <c r="E3422" s="3" t="s">
        <v>6212</v>
      </c>
      <c r="F3422" s="3" t="s">
        <v>8009</v>
      </c>
      <c r="G3422" s="3" t="s">
        <v>538</v>
      </c>
      <c r="H3422" s="3" t="s">
        <v>3685</v>
      </c>
      <c r="I3422" s="3" t="s">
        <v>6836</v>
      </c>
      <c r="J3422" s="5" t="s">
        <v>6514</v>
      </c>
      <c r="L3422" s="3" t="s">
        <v>3686</v>
      </c>
      <c r="M3422" s="3">
        <v>8</v>
      </c>
      <c r="N3422" s="4" t="s">
        <v>9685</v>
      </c>
      <c r="O3422" s="4">
        <v>185</v>
      </c>
      <c r="P3422" s="11" t="s">
        <v>9706</v>
      </c>
      <c r="Q3422" s="11" t="s">
        <v>10796</v>
      </c>
      <c r="S3422" s="4" t="b">
        <f>ISNUMBER(MATCH(Q3422,T:T,0))</f>
        <v>1</v>
      </c>
      <c r="T3422" s="4" t="s">
        <v>12716</v>
      </c>
      <c r="U3422" s="4" t="str">
        <f t="shared" si="155"/>
        <v>活</v>
      </c>
    </row>
    <row r="3423" spans="1:22">
      <c r="A3423" s="3">
        <v>3414</v>
      </c>
      <c r="B3423" s="3" t="s">
        <v>3667</v>
      </c>
      <c r="C3423" s="3" t="s">
        <v>6089</v>
      </c>
      <c r="D3423" s="3" t="s">
        <v>5990</v>
      </c>
      <c r="E3423" s="3" t="s">
        <v>6212</v>
      </c>
      <c r="F3423" s="3" t="s">
        <v>8009</v>
      </c>
      <c r="G3423" s="3" t="s">
        <v>538</v>
      </c>
      <c r="H3423" s="3" t="s">
        <v>3687</v>
      </c>
      <c r="I3423" s="3" t="s">
        <v>6836</v>
      </c>
      <c r="J3423" s="5" t="s">
        <v>6515</v>
      </c>
      <c r="L3423" s="3" t="s">
        <v>3688</v>
      </c>
      <c r="M3423" s="3">
        <v>8</v>
      </c>
      <c r="N3423" s="4" t="s">
        <v>9685</v>
      </c>
      <c r="O3423" s="4">
        <v>185</v>
      </c>
      <c r="P3423" s="11" t="s">
        <v>9739</v>
      </c>
      <c r="Q3423" s="11" t="s">
        <v>10798</v>
      </c>
      <c r="S3423" s="4" t="b">
        <f>ISNUMBER(MATCH(Q3423,T:T,0))</f>
        <v>1</v>
      </c>
      <c r="T3423" s="4" t="s">
        <v>12717</v>
      </c>
      <c r="U3423" s="4" t="str">
        <f t="shared" si="155"/>
        <v>括</v>
      </c>
    </row>
    <row r="3424" spans="1:22">
      <c r="A3424" s="3">
        <v>3415</v>
      </c>
      <c r="B3424" s="3" t="s">
        <v>3667</v>
      </c>
      <c r="C3424" s="3" t="s">
        <v>6072</v>
      </c>
      <c r="D3424" s="3" t="s">
        <v>5990</v>
      </c>
      <c r="E3424" s="3" t="s">
        <v>6212</v>
      </c>
      <c r="F3424" s="3" t="s">
        <v>8009</v>
      </c>
      <c r="G3424" s="3" t="s">
        <v>538</v>
      </c>
      <c r="H3424" s="3" t="s">
        <v>3689</v>
      </c>
      <c r="I3424" s="3" t="s">
        <v>6836</v>
      </c>
      <c r="J3424" s="5" t="s">
        <v>6516</v>
      </c>
      <c r="L3424" s="3" t="s">
        <v>3690</v>
      </c>
      <c r="M3424" s="3">
        <v>9</v>
      </c>
      <c r="N3424" s="4" t="s">
        <v>9685</v>
      </c>
      <c r="O3424" s="4">
        <v>185</v>
      </c>
      <c r="P3424" s="11" t="s">
        <v>9734</v>
      </c>
      <c r="Q3424" s="11" t="s">
        <v>10798</v>
      </c>
      <c r="S3424" s="4" t="b">
        <f>ISNUMBER(MATCH(Q3424,T:T,0))</f>
        <v>1</v>
      </c>
      <c r="T3424" s="4" t="s">
        <v>12718</v>
      </c>
      <c r="U3424" s="4" t="str">
        <f t="shared" si="155"/>
        <v>括</v>
      </c>
    </row>
    <row r="3425" spans="1:21">
      <c r="A3425" s="3">
        <v>3416</v>
      </c>
      <c r="B3425" s="3" t="s">
        <v>3667</v>
      </c>
      <c r="C3425" s="3" t="s">
        <v>6083</v>
      </c>
      <c r="D3425" s="3" t="s">
        <v>5990</v>
      </c>
      <c r="E3425" s="3" t="s">
        <v>6212</v>
      </c>
      <c r="F3425" s="3" t="s">
        <v>8009</v>
      </c>
      <c r="G3425" s="3" t="s">
        <v>538</v>
      </c>
      <c r="H3425" s="3" t="s">
        <v>3691</v>
      </c>
      <c r="I3425" s="3" t="s">
        <v>6836</v>
      </c>
      <c r="J3425" s="5" t="s">
        <v>3692</v>
      </c>
      <c r="L3425" s="3" t="s">
        <v>3679</v>
      </c>
      <c r="M3425" s="3">
        <v>3</v>
      </c>
      <c r="N3425" s="4" t="s">
        <v>9685</v>
      </c>
      <c r="O3425" s="4">
        <v>185</v>
      </c>
      <c r="P3425" s="11" t="s">
        <v>9737</v>
      </c>
      <c r="Q3425" s="11" t="s">
        <v>10798</v>
      </c>
      <c r="S3425" s="4" t="b">
        <f>ISNUMBER(MATCH(Q3425,T:T,0))</f>
        <v>1</v>
      </c>
      <c r="T3425" s="4" t="s">
        <v>12719</v>
      </c>
      <c r="U3425" s="4" t="str">
        <f t="shared" si="155"/>
        <v>括</v>
      </c>
    </row>
    <row r="3426" spans="1:21">
      <c r="A3426" s="3">
        <v>3417</v>
      </c>
      <c r="B3426" s="3" t="s">
        <v>3667</v>
      </c>
      <c r="C3426" s="3" t="s">
        <v>6053</v>
      </c>
      <c r="D3426" s="3" t="s">
        <v>5990</v>
      </c>
      <c r="E3426" s="3" t="s">
        <v>6212</v>
      </c>
      <c r="F3426" s="3" t="s">
        <v>8009</v>
      </c>
      <c r="G3426" s="3" t="s">
        <v>538</v>
      </c>
      <c r="H3426" s="3" t="s">
        <v>3693</v>
      </c>
      <c r="I3426" s="3" t="s">
        <v>6836</v>
      </c>
      <c r="J3426" s="5" t="s">
        <v>3694</v>
      </c>
      <c r="L3426" s="3" t="s">
        <v>2825</v>
      </c>
      <c r="M3426" s="3">
        <v>13</v>
      </c>
      <c r="N3426" s="4" t="s">
        <v>9685</v>
      </c>
      <c r="O3426" s="4">
        <v>185</v>
      </c>
      <c r="P3426" s="11" t="s">
        <v>9884</v>
      </c>
      <c r="Q3426" s="11" t="s">
        <v>10796</v>
      </c>
      <c r="S3426" s="4" t="b">
        <f>ISNUMBER(MATCH(Q3426,T:T,0))</f>
        <v>1</v>
      </c>
      <c r="T3426" s="4" t="s">
        <v>12720</v>
      </c>
      <c r="U3426" s="4" t="str">
        <f t="shared" si="155"/>
        <v>活</v>
      </c>
    </row>
    <row r="3427" spans="1:21">
      <c r="A3427" s="3">
        <v>3418</v>
      </c>
      <c r="B3427" s="3" t="s">
        <v>3667</v>
      </c>
      <c r="C3427" s="3" t="s">
        <v>6079</v>
      </c>
      <c r="D3427" s="3" t="s">
        <v>5990</v>
      </c>
      <c r="E3427" s="3" t="s">
        <v>6212</v>
      </c>
      <c r="F3427" s="3" t="s">
        <v>8009</v>
      </c>
      <c r="G3427" s="3" t="s">
        <v>538</v>
      </c>
      <c r="H3427" s="3" t="s">
        <v>3695</v>
      </c>
      <c r="I3427" s="3" t="s">
        <v>6836</v>
      </c>
      <c r="J3427" s="5" t="s">
        <v>6517</v>
      </c>
      <c r="L3427" s="3" t="s">
        <v>3696</v>
      </c>
      <c r="M3427" s="3">
        <v>5</v>
      </c>
      <c r="N3427" s="4" t="s">
        <v>9685</v>
      </c>
      <c r="O3427" s="4">
        <v>185</v>
      </c>
      <c r="P3427" s="11" t="s">
        <v>9736</v>
      </c>
      <c r="Q3427" s="11" t="s">
        <v>10798</v>
      </c>
      <c r="S3427" s="4" t="b">
        <f>ISNUMBER(MATCH(Q3427,T:T,0))</f>
        <v>1</v>
      </c>
      <c r="T3427" s="4" t="s">
        <v>12721</v>
      </c>
      <c r="U3427" s="4" t="str">
        <f t="shared" si="155"/>
        <v>括</v>
      </c>
    </row>
    <row r="3428" spans="1:21">
      <c r="A3428" s="3">
        <v>3419</v>
      </c>
      <c r="B3428" s="3" t="s">
        <v>3667</v>
      </c>
      <c r="C3428" s="3" t="s">
        <v>6058</v>
      </c>
      <c r="D3428" s="3" t="s">
        <v>5990</v>
      </c>
      <c r="E3428" s="3" t="s">
        <v>6212</v>
      </c>
      <c r="F3428" s="3" t="s">
        <v>8009</v>
      </c>
      <c r="G3428" s="3" t="s">
        <v>538</v>
      </c>
      <c r="H3428" s="3" t="s">
        <v>3697</v>
      </c>
      <c r="I3428" s="3" t="s">
        <v>6836</v>
      </c>
      <c r="J3428" s="5" t="s">
        <v>3698</v>
      </c>
      <c r="L3428" s="3" t="s">
        <v>2387</v>
      </c>
      <c r="M3428" s="3">
        <v>5</v>
      </c>
      <c r="N3428" s="4" t="s">
        <v>9685</v>
      </c>
      <c r="O3428" s="4">
        <v>185</v>
      </c>
      <c r="P3428" s="11" t="s">
        <v>9886</v>
      </c>
      <c r="Q3428" s="11" t="s">
        <v>10796</v>
      </c>
      <c r="S3428" s="4" t="b">
        <f>ISNUMBER(MATCH(Q3428,T:T,0))</f>
        <v>1</v>
      </c>
      <c r="T3428" s="4" t="s">
        <v>12722</v>
      </c>
      <c r="U3428" s="4" t="str">
        <f t="shared" si="155"/>
        <v>活</v>
      </c>
    </row>
    <row r="3429" spans="1:21">
      <c r="A3429" s="3">
        <v>3420</v>
      </c>
      <c r="B3429" s="3" t="s">
        <v>3667</v>
      </c>
      <c r="C3429" s="3" t="s">
        <v>5989</v>
      </c>
      <c r="D3429" s="3" t="s">
        <v>5990</v>
      </c>
      <c r="E3429" s="3" t="s">
        <v>6212</v>
      </c>
      <c r="F3429" s="3" t="s">
        <v>8009</v>
      </c>
      <c r="G3429" s="3" t="s">
        <v>538</v>
      </c>
      <c r="H3429" s="3" t="s">
        <v>3699</v>
      </c>
      <c r="I3429" s="3" t="s">
        <v>6836</v>
      </c>
      <c r="J3429" s="5" t="s">
        <v>6518</v>
      </c>
      <c r="L3429" s="3" t="s">
        <v>3700</v>
      </c>
      <c r="M3429" s="3">
        <v>8</v>
      </c>
      <c r="N3429" s="4" t="s">
        <v>9685</v>
      </c>
      <c r="O3429" s="4">
        <v>185</v>
      </c>
      <c r="P3429" s="11" t="s">
        <v>9822</v>
      </c>
      <c r="Q3429" s="11" t="s">
        <v>10798</v>
      </c>
      <c r="S3429" s="4" t="b">
        <f>ISNUMBER(MATCH(Q3429,T:T,0))</f>
        <v>1</v>
      </c>
      <c r="T3429" s="4" t="s">
        <v>12723</v>
      </c>
      <c r="U3429" s="4" t="str">
        <f t="shared" si="155"/>
        <v>括</v>
      </c>
    </row>
    <row r="3430" spans="1:21">
      <c r="A3430" s="3">
        <v>3421</v>
      </c>
      <c r="B3430" s="3" t="s">
        <v>3667</v>
      </c>
      <c r="C3430" s="3" t="s">
        <v>6076</v>
      </c>
      <c r="D3430" s="3" t="s">
        <v>5990</v>
      </c>
      <c r="E3430" s="3" t="s">
        <v>6212</v>
      </c>
      <c r="F3430" s="3" t="s">
        <v>8009</v>
      </c>
      <c r="G3430" s="3" t="s">
        <v>538</v>
      </c>
      <c r="H3430" s="3" t="s">
        <v>3701</v>
      </c>
      <c r="I3430" s="3" t="s">
        <v>6836</v>
      </c>
      <c r="J3430" s="5" t="s">
        <v>6519</v>
      </c>
      <c r="L3430" s="3" t="s">
        <v>3702</v>
      </c>
      <c r="M3430" s="3">
        <v>2</v>
      </c>
      <c r="N3430" s="4" t="s">
        <v>9685</v>
      </c>
      <c r="O3430" s="4">
        <v>185</v>
      </c>
      <c r="P3430" s="11" t="s">
        <v>9735</v>
      </c>
      <c r="Q3430" s="11" t="s">
        <v>10798</v>
      </c>
      <c r="S3430" s="4" t="b">
        <f>ISNUMBER(MATCH(Q3430,T:T,0))</f>
        <v>1</v>
      </c>
      <c r="T3430" s="4" t="s">
        <v>12724</v>
      </c>
      <c r="U3430" s="4" t="str">
        <f t="shared" si="155"/>
        <v>括</v>
      </c>
    </row>
    <row r="3431" spans="1:21" ht="39">
      <c r="A3431" s="3">
        <v>3422</v>
      </c>
      <c r="B3431" s="3" t="s">
        <v>3667</v>
      </c>
      <c r="C3431" s="3" t="s">
        <v>6045</v>
      </c>
      <c r="D3431" s="3" t="s">
        <v>5990</v>
      </c>
      <c r="E3431" s="3" t="s">
        <v>6212</v>
      </c>
      <c r="F3431" s="3" t="s">
        <v>8009</v>
      </c>
      <c r="G3431" s="3" t="s">
        <v>538</v>
      </c>
      <c r="H3431" s="3" t="s">
        <v>3703</v>
      </c>
      <c r="I3431" s="3" t="s">
        <v>6836</v>
      </c>
      <c r="J3431" s="5" t="s">
        <v>6520</v>
      </c>
      <c r="L3431" s="3" t="s">
        <v>3432</v>
      </c>
      <c r="M3431" s="3">
        <v>25</v>
      </c>
      <c r="N3431" s="4" t="s">
        <v>9685</v>
      </c>
      <c r="O3431" s="4">
        <v>185</v>
      </c>
      <c r="P3431" s="11" t="s">
        <v>9965</v>
      </c>
      <c r="Q3431" s="11" t="s">
        <v>10795</v>
      </c>
      <c r="S3431" s="4" t="b">
        <f>ISNUMBER(MATCH(Q3431,T:T,0))</f>
        <v>1</v>
      </c>
      <c r="T3431" s="4" t="s">
        <v>10800</v>
      </c>
      <c r="U3431" s="4" t="str">
        <f t="shared" si="155"/>
        <v>撥</v>
      </c>
    </row>
    <row r="3432" spans="1:21">
      <c r="A3432" s="3">
        <v>3423</v>
      </c>
      <c r="B3432" s="3" t="s">
        <v>3704</v>
      </c>
      <c r="C3432" s="3" t="s">
        <v>6067</v>
      </c>
      <c r="D3432" s="3" t="s">
        <v>6157</v>
      </c>
      <c r="E3432" s="3" t="s">
        <v>5991</v>
      </c>
      <c r="F3432" s="3" t="s">
        <v>6836</v>
      </c>
      <c r="G3432" s="3" t="s">
        <v>538</v>
      </c>
      <c r="H3432" s="3" t="s">
        <v>3705</v>
      </c>
      <c r="I3432" s="3" t="s">
        <v>6836</v>
      </c>
      <c r="J3432" s="5" t="s">
        <v>3706</v>
      </c>
      <c r="L3432" s="3" t="s">
        <v>2902</v>
      </c>
      <c r="M3432" s="3">
        <v>4</v>
      </c>
      <c r="N3432" s="4" t="s">
        <v>3707</v>
      </c>
      <c r="O3432" s="4">
        <v>186</v>
      </c>
      <c r="P3432" s="11" t="s">
        <v>9870</v>
      </c>
      <c r="Q3432" s="11" t="s">
        <v>10799</v>
      </c>
      <c r="S3432" s="4" t="b">
        <f>ISNUMBER(MATCH(Q3432,T:T,0))</f>
        <v>1</v>
      </c>
      <c r="T3432" s="4" t="s">
        <v>3707</v>
      </c>
      <c r="U3432" s="4" t="str">
        <f t="shared" si="155"/>
        <v>八</v>
      </c>
    </row>
    <row r="3433" spans="1:21">
      <c r="A3433" s="3">
        <v>3424</v>
      </c>
      <c r="B3433" s="3" t="s">
        <v>3704</v>
      </c>
      <c r="C3433" s="3" t="s">
        <v>6318</v>
      </c>
      <c r="D3433" s="3" t="s">
        <v>6157</v>
      </c>
      <c r="E3433" s="3" t="s">
        <v>5991</v>
      </c>
      <c r="F3433" s="3" t="s">
        <v>6836</v>
      </c>
      <c r="G3433" s="3" t="s">
        <v>538</v>
      </c>
      <c r="H3433" s="3" t="s">
        <v>3708</v>
      </c>
      <c r="I3433" s="3" t="s">
        <v>6836</v>
      </c>
      <c r="J3433" s="5" t="s">
        <v>3709</v>
      </c>
      <c r="L3433" s="3" t="s">
        <v>3710</v>
      </c>
      <c r="M3433" s="3">
        <v>6</v>
      </c>
      <c r="N3433" s="4" t="s">
        <v>3707</v>
      </c>
      <c r="O3433" s="4">
        <v>186</v>
      </c>
      <c r="P3433" s="11" t="s">
        <v>9804</v>
      </c>
      <c r="Q3433" s="11" t="s">
        <v>10799</v>
      </c>
      <c r="S3433" s="4" t="b">
        <f>ISNUMBER(MATCH(Q3433,T:T,0))</f>
        <v>1</v>
      </c>
      <c r="T3433" s="4" t="s">
        <v>12725</v>
      </c>
      <c r="U3433" s="4" t="str">
        <f t="shared" si="155"/>
        <v>八</v>
      </c>
    </row>
    <row r="3434" spans="1:21">
      <c r="A3434" s="3">
        <v>3425</v>
      </c>
      <c r="B3434" s="3" t="s">
        <v>3704</v>
      </c>
      <c r="C3434" s="3" t="s">
        <v>6045</v>
      </c>
      <c r="D3434" s="3" t="s">
        <v>6157</v>
      </c>
      <c r="E3434" s="3" t="s">
        <v>5991</v>
      </c>
      <c r="F3434" s="3" t="s">
        <v>6836</v>
      </c>
      <c r="G3434" s="3" t="s">
        <v>538</v>
      </c>
      <c r="H3434" s="3" t="s">
        <v>3711</v>
      </c>
      <c r="I3434" s="3" t="s">
        <v>6836</v>
      </c>
      <c r="J3434" s="5" t="s">
        <v>3712</v>
      </c>
      <c r="L3434" s="3" t="s">
        <v>3713</v>
      </c>
      <c r="M3434" s="3">
        <v>3</v>
      </c>
      <c r="N3434" s="4" t="s">
        <v>3707</v>
      </c>
      <c r="O3434" s="4">
        <v>186</v>
      </c>
      <c r="P3434" s="11" t="s">
        <v>9965</v>
      </c>
      <c r="Q3434" s="11" t="s">
        <v>10799</v>
      </c>
      <c r="S3434" s="4" t="b">
        <f>ISNUMBER(MATCH(Q3434,T:T,0))</f>
        <v>1</v>
      </c>
      <c r="T3434" s="4" t="s">
        <v>10800</v>
      </c>
      <c r="U3434" s="4" t="str">
        <f t="shared" si="155"/>
        <v>八</v>
      </c>
    </row>
    <row r="3435" spans="1:21">
      <c r="A3435" s="3">
        <v>3426</v>
      </c>
      <c r="B3435" s="3" t="s">
        <v>3704</v>
      </c>
      <c r="C3435" s="3" t="s">
        <v>6038</v>
      </c>
      <c r="D3435" s="3" t="s">
        <v>6157</v>
      </c>
      <c r="E3435" s="3" t="s">
        <v>5991</v>
      </c>
      <c r="F3435" s="3" t="s">
        <v>6836</v>
      </c>
      <c r="G3435" s="3" t="s">
        <v>538</v>
      </c>
      <c r="H3435" s="3" t="s">
        <v>3714</v>
      </c>
      <c r="I3435" s="3" t="s">
        <v>6836</v>
      </c>
      <c r="J3435" s="5" t="s">
        <v>6521</v>
      </c>
      <c r="L3435" s="3" t="s">
        <v>4635</v>
      </c>
      <c r="M3435" s="3">
        <v>12</v>
      </c>
      <c r="N3435" s="4" t="s">
        <v>3707</v>
      </c>
      <c r="O3435" s="4">
        <v>186</v>
      </c>
      <c r="P3435" s="11" t="s">
        <v>10148</v>
      </c>
      <c r="Q3435" s="11" t="s">
        <v>10799</v>
      </c>
      <c r="S3435" s="4" t="b">
        <f>ISNUMBER(MATCH(Q3435,T:T,0))</f>
        <v>1</v>
      </c>
      <c r="T3435" s="4" t="s">
        <v>12726</v>
      </c>
      <c r="U3435" s="4" t="str">
        <f t="shared" si="155"/>
        <v>八</v>
      </c>
    </row>
    <row r="3436" spans="1:21">
      <c r="A3436" s="3">
        <v>3427</v>
      </c>
      <c r="B3436" s="3" t="s">
        <v>3704</v>
      </c>
      <c r="C3436" s="3" t="s">
        <v>6067</v>
      </c>
      <c r="D3436" s="3" t="s">
        <v>6157</v>
      </c>
      <c r="E3436" s="3" t="s">
        <v>6212</v>
      </c>
      <c r="F3436" s="3" t="s">
        <v>6836</v>
      </c>
      <c r="G3436" s="3" t="s">
        <v>538</v>
      </c>
      <c r="H3436" s="7" t="s">
        <v>883</v>
      </c>
      <c r="I3436" s="3" t="s">
        <v>6836</v>
      </c>
      <c r="J3436" s="5" t="s">
        <v>6522</v>
      </c>
      <c r="L3436" s="3" t="s">
        <v>2938</v>
      </c>
      <c r="M3436" s="3">
        <v>8</v>
      </c>
      <c r="N3436" s="4" t="s">
        <v>3707</v>
      </c>
      <c r="O3436" s="4">
        <v>186</v>
      </c>
      <c r="P3436" s="11" t="s">
        <v>9731</v>
      </c>
      <c r="Q3436" s="11" t="s">
        <v>10799</v>
      </c>
      <c r="S3436" s="4" t="b">
        <f>ISNUMBER(MATCH(Q3436,T:T,0))</f>
        <v>1</v>
      </c>
      <c r="T3436" s="4" t="s">
        <v>10801</v>
      </c>
      <c r="U3436" s="4" t="str">
        <f t="shared" si="155"/>
        <v>八</v>
      </c>
    </row>
    <row r="3437" spans="1:21">
      <c r="A3437" s="3">
        <v>3428</v>
      </c>
      <c r="B3437" s="3" t="s">
        <v>3704</v>
      </c>
      <c r="C3437" s="3" t="s">
        <v>6049</v>
      </c>
      <c r="D3437" s="3" t="s">
        <v>6157</v>
      </c>
      <c r="E3437" s="3" t="s">
        <v>5991</v>
      </c>
      <c r="F3437" s="3" t="s">
        <v>6836</v>
      </c>
      <c r="G3437" s="3" t="s">
        <v>538</v>
      </c>
      <c r="H3437" s="3" t="s">
        <v>3715</v>
      </c>
      <c r="I3437" s="3" t="s">
        <v>6836</v>
      </c>
      <c r="J3437" s="5" t="s">
        <v>6523</v>
      </c>
      <c r="L3437" s="3" t="s">
        <v>3716</v>
      </c>
      <c r="M3437" s="3">
        <v>10</v>
      </c>
      <c r="N3437" s="4" t="s">
        <v>3707</v>
      </c>
      <c r="O3437" s="4">
        <v>186</v>
      </c>
      <c r="P3437" s="11" t="s">
        <v>9770</v>
      </c>
      <c r="Q3437" s="11" t="s">
        <v>10800</v>
      </c>
      <c r="S3437" s="4" t="b">
        <f>ISNUMBER(MATCH(Q3437,T:T,0))</f>
        <v>1</v>
      </c>
      <c r="T3437" s="4" t="s">
        <v>10799</v>
      </c>
      <c r="U3437" s="4" t="str">
        <f t="shared" si="155"/>
        <v>拔</v>
      </c>
    </row>
    <row r="3438" spans="1:21">
      <c r="A3438" s="3">
        <v>3429</v>
      </c>
      <c r="B3438" s="3" t="s">
        <v>3704</v>
      </c>
      <c r="C3438" s="3" t="s">
        <v>6000</v>
      </c>
      <c r="D3438" s="3" t="s">
        <v>6157</v>
      </c>
      <c r="E3438" s="3" t="s">
        <v>6212</v>
      </c>
      <c r="F3438" s="3" t="s">
        <v>6836</v>
      </c>
      <c r="G3438" s="3" t="s">
        <v>538</v>
      </c>
      <c r="H3438" s="3" t="s">
        <v>3717</v>
      </c>
      <c r="I3438" s="3" t="s">
        <v>6836</v>
      </c>
      <c r="J3438" s="8" t="s">
        <v>6524</v>
      </c>
      <c r="L3438" s="3" t="s">
        <v>3718</v>
      </c>
      <c r="M3438" s="3">
        <v>5</v>
      </c>
      <c r="N3438" s="4" t="s">
        <v>3707</v>
      </c>
      <c r="O3438" s="4">
        <v>186</v>
      </c>
      <c r="P3438" s="11" t="s">
        <v>9822</v>
      </c>
      <c r="Q3438" s="11" t="s">
        <v>10801</v>
      </c>
      <c r="S3438" s="4" t="b">
        <f>ISNUMBER(MATCH(Q3438,T:T,0))</f>
        <v>1</v>
      </c>
      <c r="T3438" s="4" t="s">
        <v>12727</v>
      </c>
      <c r="U3438" s="4" t="str">
        <f t="shared" si="155"/>
        <v>滑</v>
      </c>
    </row>
    <row r="3439" spans="1:21">
      <c r="A3439" s="3">
        <v>3430</v>
      </c>
      <c r="B3439" s="3" t="s">
        <v>3704</v>
      </c>
      <c r="C3439" s="3" t="s">
        <v>6072</v>
      </c>
      <c r="D3439" s="3" t="s">
        <v>6157</v>
      </c>
      <c r="E3439" s="3" t="s">
        <v>6212</v>
      </c>
      <c r="F3439" s="3" t="s">
        <v>6836</v>
      </c>
      <c r="G3439" s="3" t="s">
        <v>538</v>
      </c>
      <c r="H3439" s="3" t="s">
        <v>3719</v>
      </c>
      <c r="I3439" s="3" t="s">
        <v>6836</v>
      </c>
      <c r="J3439" s="5" t="s">
        <v>6525</v>
      </c>
      <c r="L3439" s="3" t="s">
        <v>3720</v>
      </c>
      <c r="M3439" s="3">
        <v>6</v>
      </c>
      <c r="N3439" s="4" t="s">
        <v>3707</v>
      </c>
      <c r="O3439" s="4">
        <v>186</v>
      </c>
      <c r="P3439" s="11" t="s">
        <v>9734</v>
      </c>
      <c r="Q3439" s="11" t="s">
        <v>10799</v>
      </c>
      <c r="S3439" s="4" t="b">
        <f>ISNUMBER(MATCH(Q3439,T:T,0))</f>
        <v>1</v>
      </c>
      <c r="T3439" s="4" t="s">
        <v>12728</v>
      </c>
      <c r="U3439" s="4" t="str">
        <f t="shared" si="155"/>
        <v>八</v>
      </c>
    </row>
    <row r="3440" spans="1:21">
      <c r="A3440" s="3">
        <v>3431</v>
      </c>
      <c r="B3440" s="3" t="s">
        <v>3704</v>
      </c>
      <c r="C3440" s="3" t="s">
        <v>6137</v>
      </c>
      <c r="D3440" s="3" t="s">
        <v>6157</v>
      </c>
      <c r="E3440" s="3" t="s">
        <v>6212</v>
      </c>
      <c r="F3440" s="3" t="s">
        <v>6836</v>
      </c>
      <c r="G3440" s="3" t="s">
        <v>538</v>
      </c>
      <c r="H3440" s="3" t="s">
        <v>3721</v>
      </c>
      <c r="I3440" s="3" t="s">
        <v>6836</v>
      </c>
      <c r="J3440" s="5" t="s">
        <v>3722</v>
      </c>
      <c r="L3440" s="3" t="s">
        <v>2494</v>
      </c>
      <c r="M3440" s="3">
        <v>4</v>
      </c>
      <c r="N3440" s="4" t="s">
        <v>3707</v>
      </c>
      <c r="O3440" s="4">
        <v>186</v>
      </c>
      <c r="P3440" s="11" t="s">
        <v>9755</v>
      </c>
      <c r="Q3440" s="11" t="s">
        <v>10801</v>
      </c>
      <c r="S3440" s="4" t="b">
        <f>ISNUMBER(MATCH(Q3440,T:T,0))</f>
        <v>1</v>
      </c>
      <c r="T3440" s="4" t="s">
        <v>12729</v>
      </c>
      <c r="U3440" s="4" t="str">
        <f t="shared" si="155"/>
        <v>滑</v>
      </c>
    </row>
    <row r="3441" spans="1:21">
      <c r="A3441" s="3">
        <v>3432</v>
      </c>
      <c r="B3441" s="3" t="s">
        <v>3704</v>
      </c>
      <c r="C3441" s="3" t="s">
        <v>6167</v>
      </c>
      <c r="D3441" s="3" t="s">
        <v>6157</v>
      </c>
      <c r="E3441" s="3" t="s">
        <v>5991</v>
      </c>
      <c r="F3441" s="3" t="s">
        <v>6836</v>
      </c>
      <c r="G3441" s="3" t="s">
        <v>538</v>
      </c>
      <c r="H3441" s="3" t="s">
        <v>3723</v>
      </c>
      <c r="I3441" s="3" t="s">
        <v>6836</v>
      </c>
      <c r="J3441" s="5" t="s">
        <v>6526</v>
      </c>
      <c r="L3441" s="3" t="s">
        <v>4594</v>
      </c>
      <c r="M3441" s="3">
        <v>7</v>
      </c>
      <c r="N3441" s="4" t="s">
        <v>3707</v>
      </c>
      <c r="O3441" s="4">
        <v>186</v>
      </c>
      <c r="P3441" s="11" t="s">
        <v>6167</v>
      </c>
      <c r="Q3441" s="11" t="s">
        <v>10799</v>
      </c>
      <c r="S3441" s="4" t="b">
        <f>ISNUMBER(MATCH(Q3441,T:T,0))</f>
        <v>1</v>
      </c>
      <c r="T3441" s="4" t="s">
        <v>12730</v>
      </c>
      <c r="U3441" s="4" t="str">
        <f t="shared" si="155"/>
        <v>八</v>
      </c>
    </row>
    <row r="3442" spans="1:21">
      <c r="A3442" s="3">
        <v>3433</v>
      </c>
      <c r="B3442" s="3" t="s">
        <v>3704</v>
      </c>
      <c r="C3442" s="3" t="s">
        <v>6025</v>
      </c>
      <c r="D3442" s="3" t="s">
        <v>6157</v>
      </c>
      <c r="E3442" s="3" t="s">
        <v>6212</v>
      </c>
      <c r="F3442" s="3" t="s">
        <v>6836</v>
      </c>
      <c r="G3442" s="3" t="s">
        <v>538</v>
      </c>
      <c r="H3442" s="3" t="s">
        <v>3724</v>
      </c>
      <c r="I3442" s="3" t="s">
        <v>6836</v>
      </c>
      <c r="J3442" s="5" t="s">
        <v>3725</v>
      </c>
      <c r="L3442" s="3" t="s">
        <v>3726</v>
      </c>
      <c r="M3442" s="3">
        <v>3</v>
      </c>
      <c r="N3442" s="4" t="s">
        <v>3707</v>
      </c>
      <c r="O3442" s="4">
        <v>186</v>
      </c>
      <c r="P3442" s="11" t="s">
        <v>9729</v>
      </c>
      <c r="Q3442" s="11" t="s">
        <v>10801</v>
      </c>
      <c r="S3442" s="4" t="b">
        <f>ISNUMBER(MATCH(Q3442,T:T,0))</f>
        <v>1</v>
      </c>
      <c r="T3442" s="4" t="s">
        <v>12731</v>
      </c>
      <c r="U3442" s="4" t="str">
        <f t="shared" si="155"/>
        <v>滑</v>
      </c>
    </row>
    <row r="3443" spans="1:21" ht="39">
      <c r="A3443" s="3">
        <v>3434</v>
      </c>
      <c r="B3443" s="3" t="s">
        <v>3704</v>
      </c>
      <c r="C3443" s="3" t="s">
        <v>6025</v>
      </c>
      <c r="D3443" s="3" t="s">
        <v>6157</v>
      </c>
      <c r="E3443" s="3" t="s">
        <v>5991</v>
      </c>
      <c r="F3443" s="3" t="s">
        <v>6836</v>
      </c>
      <c r="G3443" s="3" t="s">
        <v>538</v>
      </c>
      <c r="H3443" s="3" t="s">
        <v>3727</v>
      </c>
      <c r="I3443" s="3" t="s">
        <v>6836</v>
      </c>
      <c r="J3443" s="5" t="s">
        <v>6527</v>
      </c>
      <c r="L3443" s="3" t="s">
        <v>3728</v>
      </c>
      <c r="M3443" s="3">
        <v>18</v>
      </c>
      <c r="N3443" s="4" t="s">
        <v>3707</v>
      </c>
      <c r="O3443" s="4">
        <v>186</v>
      </c>
      <c r="P3443" s="11" t="s">
        <v>9729</v>
      </c>
      <c r="Q3443" s="11" t="s">
        <v>3707</v>
      </c>
      <c r="S3443" s="4" t="b">
        <f>ISNUMBER(MATCH(Q3443,T:T,0))</f>
        <v>1</v>
      </c>
      <c r="T3443" s="4" t="s">
        <v>12732</v>
      </c>
      <c r="U3443" s="4" t="str">
        <f t="shared" si="155"/>
        <v>黠</v>
      </c>
    </row>
    <row r="3444" spans="1:21">
      <c r="A3444" s="3">
        <v>3435</v>
      </c>
      <c r="B3444" s="3" t="s">
        <v>3704</v>
      </c>
      <c r="C3444" s="3" t="s">
        <v>6072</v>
      </c>
      <c r="D3444" s="3" t="s">
        <v>6157</v>
      </c>
      <c r="E3444" s="3" t="s">
        <v>5991</v>
      </c>
      <c r="F3444" s="3" t="s">
        <v>6836</v>
      </c>
      <c r="G3444" s="3" t="s">
        <v>538</v>
      </c>
      <c r="H3444" s="3" t="s">
        <v>3729</v>
      </c>
      <c r="I3444" s="3" t="s">
        <v>6836</v>
      </c>
      <c r="J3444" s="5" t="s">
        <v>6528</v>
      </c>
      <c r="K3444" s="3" t="s">
        <v>3730</v>
      </c>
      <c r="L3444" s="3" t="s">
        <v>3731</v>
      </c>
      <c r="M3444" s="3">
        <v>10</v>
      </c>
      <c r="N3444" s="4" t="s">
        <v>3707</v>
      </c>
      <c r="O3444" s="4">
        <v>186</v>
      </c>
      <c r="P3444" s="11" t="s">
        <v>9734</v>
      </c>
      <c r="Q3444" s="11" t="s">
        <v>3707</v>
      </c>
      <c r="S3444" s="4" t="b">
        <f>ISNUMBER(MATCH(Q3444,T:T,0))</f>
        <v>1</v>
      </c>
      <c r="T3444" s="4" t="s">
        <v>12733</v>
      </c>
      <c r="U3444" s="4" t="str">
        <f t="shared" si="155"/>
        <v>黠</v>
      </c>
    </row>
    <row r="3445" spans="1:21">
      <c r="A3445" s="3">
        <v>3436</v>
      </c>
      <c r="B3445" s="3" t="s">
        <v>3704</v>
      </c>
      <c r="C3445" s="3" t="s">
        <v>6180</v>
      </c>
      <c r="D3445" s="3" t="s">
        <v>6157</v>
      </c>
      <c r="E3445" s="3" t="s">
        <v>5991</v>
      </c>
      <c r="F3445" s="3" t="s">
        <v>6836</v>
      </c>
      <c r="G3445" s="3" t="s">
        <v>538</v>
      </c>
      <c r="H3445" s="3" t="s">
        <v>3732</v>
      </c>
      <c r="I3445" s="3" t="s">
        <v>6836</v>
      </c>
      <c r="J3445" s="5" t="s">
        <v>6529</v>
      </c>
      <c r="L3445" s="3" t="s">
        <v>928</v>
      </c>
      <c r="M3445" s="3">
        <v>7</v>
      </c>
      <c r="N3445" s="4" t="s">
        <v>3707</v>
      </c>
      <c r="O3445" s="4">
        <v>186</v>
      </c>
      <c r="P3445" s="11" t="s">
        <v>9774</v>
      </c>
      <c r="Q3445" s="11" t="s">
        <v>10799</v>
      </c>
      <c r="S3445" s="4" t="b">
        <f>ISNUMBER(MATCH(Q3445,T:T,0))</f>
        <v>1</v>
      </c>
      <c r="T3445" s="4" t="s">
        <v>12734</v>
      </c>
      <c r="U3445" s="4" t="str">
        <f t="shared" si="155"/>
        <v>八</v>
      </c>
    </row>
    <row r="3446" spans="1:21">
      <c r="A3446" s="3">
        <v>3437</v>
      </c>
      <c r="B3446" s="3" t="s">
        <v>3704</v>
      </c>
      <c r="C3446" s="3" t="s">
        <v>6035</v>
      </c>
      <c r="D3446" s="3" t="s">
        <v>6157</v>
      </c>
      <c r="E3446" s="3" t="s">
        <v>5991</v>
      </c>
      <c r="F3446" s="3" t="s">
        <v>6836</v>
      </c>
      <c r="G3446" s="3" t="s">
        <v>538</v>
      </c>
      <c r="H3446" s="3" t="s">
        <v>3733</v>
      </c>
      <c r="I3446" s="3" t="s">
        <v>6836</v>
      </c>
      <c r="J3446" s="5" t="s">
        <v>6530</v>
      </c>
      <c r="L3446" s="3" t="s">
        <v>3734</v>
      </c>
      <c r="M3446" s="3">
        <v>7</v>
      </c>
      <c r="N3446" s="4" t="s">
        <v>3707</v>
      </c>
      <c r="O3446" s="4">
        <v>186</v>
      </c>
      <c r="P3446" s="11" t="s">
        <v>9719</v>
      </c>
      <c r="Q3446" s="11" t="s">
        <v>10799</v>
      </c>
      <c r="S3446" s="4" t="b">
        <f>ISNUMBER(MATCH(Q3446,T:T,0))</f>
        <v>1</v>
      </c>
      <c r="T3446" s="4" t="s">
        <v>12735</v>
      </c>
      <c r="U3446" s="4" t="str">
        <f t="shared" si="155"/>
        <v>八</v>
      </c>
    </row>
    <row r="3447" spans="1:21">
      <c r="A3447" s="3">
        <v>3438</v>
      </c>
      <c r="B3447" s="3" t="s">
        <v>3704</v>
      </c>
      <c r="C3447" s="3" t="s">
        <v>6089</v>
      </c>
      <c r="D3447" s="3" t="s">
        <v>6157</v>
      </c>
      <c r="E3447" s="3" t="s">
        <v>5991</v>
      </c>
      <c r="F3447" s="3" t="s">
        <v>6836</v>
      </c>
      <c r="G3447" s="3" t="s">
        <v>538</v>
      </c>
      <c r="H3447" s="3" t="s">
        <v>3735</v>
      </c>
      <c r="I3447" s="3" t="s">
        <v>6836</v>
      </c>
      <c r="J3447" s="8" t="s">
        <v>6531</v>
      </c>
      <c r="L3447" s="3" t="s">
        <v>3736</v>
      </c>
      <c r="M3447" s="3">
        <v>2</v>
      </c>
      <c r="N3447" s="4" t="s">
        <v>3707</v>
      </c>
      <c r="O3447" s="4">
        <v>186</v>
      </c>
      <c r="P3447" s="11" t="s">
        <v>9739</v>
      </c>
      <c r="Q3447" s="11" t="s">
        <v>10799</v>
      </c>
      <c r="S3447" s="4" t="b">
        <f>ISNUMBER(MATCH(Q3447,T:T,0))</f>
        <v>1</v>
      </c>
      <c r="T3447" s="4" t="s">
        <v>12736</v>
      </c>
      <c r="U3447" s="4" t="str">
        <f t="shared" si="155"/>
        <v>八</v>
      </c>
    </row>
    <row r="3448" spans="1:21">
      <c r="A3448" s="3">
        <v>3439</v>
      </c>
      <c r="B3448" s="3" t="s">
        <v>3704</v>
      </c>
      <c r="C3448" s="3" t="s">
        <v>6137</v>
      </c>
      <c r="D3448" s="3" t="s">
        <v>6157</v>
      </c>
      <c r="E3448" s="3" t="s">
        <v>5991</v>
      </c>
      <c r="F3448" s="3" t="s">
        <v>6836</v>
      </c>
      <c r="G3448" s="3" t="s">
        <v>538</v>
      </c>
      <c r="H3448" s="3" t="s">
        <v>3737</v>
      </c>
      <c r="I3448" s="3" t="s">
        <v>6836</v>
      </c>
      <c r="J3448" s="8" t="s">
        <v>6532</v>
      </c>
      <c r="L3448" s="3" t="s">
        <v>2494</v>
      </c>
      <c r="M3448" s="3">
        <v>3</v>
      </c>
      <c r="N3448" s="4" t="s">
        <v>3707</v>
      </c>
      <c r="O3448" s="4">
        <v>186</v>
      </c>
      <c r="P3448" s="11" t="s">
        <v>9755</v>
      </c>
      <c r="Q3448" s="11" t="s">
        <v>3707</v>
      </c>
      <c r="S3448" s="4" t="b">
        <f>ISNUMBER(MATCH(Q3448,T:T,0))</f>
        <v>1</v>
      </c>
      <c r="T3448" s="4" t="s">
        <v>12737</v>
      </c>
      <c r="U3448" s="4" t="str">
        <f t="shared" si="155"/>
        <v>黠</v>
      </c>
    </row>
    <row r="3449" spans="1:21">
      <c r="A3449" s="3">
        <v>3440</v>
      </c>
      <c r="B3449" s="3" t="s">
        <v>3704</v>
      </c>
      <c r="C3449" s="3" t="s">
        <v>6092</v>
      </c>
      <c r="D3449" s="3" t="s">
        <v>6157</v>
      </c>
      <c r="E3449" s="3" t="s">
        <v>6212</v>
      </c>
      <c r="F3449" s="3" t="s">
        <v>6836</v>
      </c>
      <c r="G3449" s="3" t="s">
        <v>538</v>
      </c>
      <c r="H3449" s="3" t="s">
        <v>3738</v>
      </c>
      <c r="I3449" s="3" t="s">
        <v>6836</v>
      </c>
      <c r="J3449" s="5" t="s">
        <v>6533</v>
      </c>
      <c r="L3449" s="3" t="s">
        <v>2504</v>
      </c>
      <c r="M3449" s="3">
        <v>3</v>
      </c>
      <c r="N3449" s="4" t="s">
        <v>3707</v>
      </c>
      <c r="O3449" s="4">
        <v>186</v>
      </c>
      <c r="P3449" s="11" t="s">
        <v>9740</v>
      </c>
      <c r="Q3449" s="11" t="s">
        <v>10801</v>
      </c>
      <c r="S3449" s="4" t="b">
        <f>ISNUMBER(MATCH(Q3449,T:T,0))</f>
        <v>1</v>
      </c>
      <c r="T3449" s="4" t="s">
        <v>12738</v>
      </c>
      <c r="U3449" s="4" t="str">
        <f t="shared" si="155"/>
        <v>滑</v>
      </c>
    </row>
    <row r="3450" spans="1:21">
      <c r="A3450" s="3">
        <v>3441</v>
      </c>
      <c r="B3450" s="3" t="s">
        <v>3704</v>
      </c>
      <c r="C3450" s="3" t="s">
        <v>6038</v>
      </c>
      <c r="D3450" s="3" t="s">
        <v>6157</v>
      </c>
      <c r="E3450" s="3" t="s">
        <v>6212</v>
      </c>
      <c r="F3450" s="3" t="s">
        <v>6836</v>
      </c>
      <c r="G3450" s="3" t="s">
        <v>538</v>
      </c>
      <c r="H3450" s="3" t="s">
        <v>3739</v>
      </c>
      <c r="I3450" s="3" t="s">
        <v>6836</v>
      </c>
      <c r="J3450" s="5" t="s">
        <v>3740</v>
      </c>
      <c r="L3450" s="3" t="s">
        <v>4590</v>
      </c>
      <c r="M3450" s="3">
        <v>1</v>
      </c>
      <c r="N3450" s="4" t="s">
        <v>3707</v>
      </c>
      <c r="O3450" s="4">
        <v>186</v>
      </c>
      <c r="P3450" s="11" t="s">
        <v>9915</v>
      </c>
      <c r="Q3450" s="11" t="s">
        <v>10801</v>
      </c>
      <c r="S3450" s="4" t="b">
        <f>ISNUMBER(MATCH(Q3450,T:T,0))</f>
        <v>1</v>
      </c>
      <c r="T3450" s="4" t="s">
        <v>3740</v>
      </c>
      <c r="U3450" s="4" t="str">
        <f t="shared" si="155"/>
        <v>滑</v>
      </c>
    </row>
    <row r="3451" spans="1:21">
      <c r="A3451" s="3">
        <v>3442</v>
      </c>
      <c r="B3451" s="3" t="s">
        <v>3704</v>
      </c>
      <c r="C3451" s="3" t="s">
        <v>6053</v>
      </c>
      <c r="D3451" s="3" t="s">
        <v>6157</v>
      </c>
      <c r="E3451" s="3" t="s">
        <v>5991</v>
      </c>
      <c r="F3451" s="3" t="s">
        <v>6836</v>
      </c>
      <c r="G3451" s="3" t="s">
        <v>538</v>
      </c>
      <c r="H3451" s="3" t="s">
        <v>3741</v>
      </c>
      <c r="I3451" s="3" t="s">
        <v>6836</v>
      </c>
      <c r="J3451" s="5" t="s">
        <v>6534</v>
      </c>
      <c r="L3451" s="3" t="s">
        <v>3742</v>
      </c>
      <c r="M3451" s="3">
        <v>4</v>
      </c>
      <c r="N3451" s="4" t="s">
        <v>3707</v>
      </c>
      <c r="O3451" s="4">
        <v>186</v>
      </c>
      <c r="P3451" s="11" t="s">
        <v>9884</v>
      </c>
      <c r="Q3451" s="11" t="s">
        <v>10799</v>
      </c>
      <c r="S3451" s="4" t="b">
        <f>ISNUMBER(MATCH(Q3451,T:T,0))</f>
        <v>1</v>
      </c>
      <c r="T3451" s="4" t="s">
        <v>12739</v>
      </c>
      <c r="U3451" s="4" t="str">
        <f t="shared" si="155"/>
        <v>八</v>
      </c>
    </row>
    <row r="3452" spans="1:21">
      <c r="A3452" s="3">
        <v>3443</v>
      </c>
      <c r="B3452" s="3" t="s">
        <v>3704</v>
      </c>
      <c r="C3452" s="3" t="s">
        <v>6318</v>
      </c>
      <c r="D3452" s="3" t="s">
        <v>6157</v>
      </c>
      <c r="E3452" s="3" t="s">
        <v>6212</v>
      </c>
      <c r="F3452" s="3" t="s">
        <v>6836</v>
      </c>
      <c r="G3452" s="3" t="s">
        <v>538</v>
      </c>
      <c r="H3452" s="3" t="s">
        <v>3743</v>
      </c>
      <c r="I3452" s="3" t="s">
        <v>6836</v>
      </c>
      <c r="J3452" s="5" t="s">
        <v>3520</v>
      </c>
      <c r="L3452" s="3" t="s">
        <v>3718</v>
      </c>
      <c r="M3452" s="3">
        <v>1</v>
      </c>
      <c r="N3452" s="4" t="s">
        <v>3707</v>
      </c>
      <c r="O3452" s="4">
        <v>186</v>
      </c>
      <c r="P3452" s="11" t="s">
        <v>10802</v>
      </c>
      <c r="Q3452" s="11" t="s">
        <v>10801</v>
      </c>
      <c r="S3452" s="4" t="b">
        <f>ISNUMBER(MATCH(Q3452,T:T,0))</f>
        <v>1</v>
      </c>
      <c r="T3452" s="4" t="s">
        <v>3520</v>
      </c>
      <c r="U3452" s="4" t="str">
        <f t="shared" si="155"/>
        <v>滑</v>
      </c>
    </row>
    <row r="3453" spans="1:21">
      <c r="A3453" s="3">
        <v>3444</v>
      </c>
      <c r="B3453" s="3" t="s">
        <v>884</v>
      </c>
      <c r="C3453" s="3" t="s">
        <v>6067</v>
      </c>
      <c r="D3453" s="3" t="s">
        <v>6157</v>
      </c>
      <c r="E3453" s="3" t="s">
        <v>5991</v>
      </c>
      <c r="F3453" s="3" t="s">
        <v>8055</v>
      </c>
      <c r="G3453" s="3" t="s">
        <v>538</v>
      </c>
      <c r="H3453" s="3" t="s">
        <v>3744</v>
      </c>
      <c r="I3453" s="3" t="s">
        <v>6836</v>
      </c>
      <c r="J3453" s="8" t="s">
        <v>6535</v>
      </c>
      <c r="L3453" s="3" t="s">
        <v>2902</v>
      </c>
      <c r="M3453" s="3">
        <v>15</v>
      </c>
      <c r="N3453" s="4" t="s">
        <v>9686</v>
      </c>
      <c r="O3453" s="4">
        <v>187</v>
      </c>
      <c r="P3453" s="11" t="s">
        <v>9870</v>
      </c>
      <c r="Q3453" s="11" t="s">
        <v>10803</v>
      </c>
      <c r="S3453" s="4" t="b">
        <f>ISNUMBER(MATCH(Q3453,T:T,0))</f>
        <v>1</v>
      </c>
      <c r="T3453" s="4" t="s">
        <v>9686</v>
      </c>
      <c r="U3453" s="4" t="str">
        <f t="shared" si="155"/>
        <v>瞎</v>
      </c>
    </row>
    <row r="3454" spans="1:21">
      <c r="A3454" s="3">
        <v>3445</v>
      </c>
      <c r="B3454" s="3" t="s">
        <v>884</v>
      </c>
      <c r="C3454" s="3" t="s">
        <v>6072</v>
      </c>
      <c r="D3454" s="3" t="s">
        <v>6157</v>
      </c>
      <c r="E3454" s="3" t="s">
        <v>5991</v>
      </c>
      <c r="F3454" s="3" t="s">
        <v>8055</v>
      </c>
      <c r="G3454" s="3" t="s">
        <v>538</v>
      </c>
      <c r="H3454" s="3" t="s">
        <v>885</v>
      </c>
      <c r="I3454" s="3" t="s">
        <v>6836</v>
      </c>
      <c r="J3454" s="5" t="s">
        <v>6536</v>
      </c>
      <c r="L3454" s="3" t="s">
        <v>3731</v>
      </c>
      <c r="M3454" s="3">
        <v>5</v>
      </c>
      <c r="N3454" s="4" t="s">
        <v>9686</v>
      </c>
      <c r="O3454" s="4">
        <v>187</v>
      </c>
      <c r="P3454" s="11" t="s">
        <v>9907</v>
      </c>
      <c r="Q3454" s="11" t="s">
        <v>9686</v>
      </c>
      <c r="S3454" s="4" t="b">
        <f>ISNUMBER(MATCH(Q3454,T:T,0))</f>
        <v>1</v>
      </c>
      <c r="T3454" s="4" t="s">
        <v>12740</v>
      </c>
      <c r="U3454" s="4" t="str">
        <f t="shared" si="155"/>
        <v>鎋</v>
      </c>
    </row>
    <row r="3455" spans="1:21">
      <c r="A3455" s="3">
        <v>3446</v>
      </c>
      <c r="B3455" s="3" t="s">
        <v>884</v>
      </c>
      <c r="C3455" s="3" t="s">
        <v>6092</v>
      </c>
      <c r="D3455" s="3" t="s">
        <v>6157</v>
      </c>
      <c r="E3455" s="3" t="s">
        <v>5991</v>
      </c>
      <c r="F3455" s="3" t="s">
        <v>8055</v>
      </c>
      <c r="G3455" s="3" t="s">
        <v>538</v>
      </c>
      <c r="H3455" s="3" t="s">
        <v>886</v>
      </c>
      <c r="I3455" s="3" t="s">
        <v>6836</v>
      </c>
      <c r="J3455" s="5" t="s">
        <v>3745</v>
      </c>
      <c r="L3455" s="3" t="s">
        <v>5402</v>
      </c>
      <c r="M3455" s="3">
        <v>4</v>
      </c>
      <c r="N3455" s="4" t="s">
        <v>9686</v>
      </c>
      <c r="O3455" s="4">
        <v>187</v>
      </c>
      <c r="P3455" s="11" t="s">
        <v>9740</v>
      </c>
      <c r="Q3455" s="11" t="s">
        <v>9686</v>
      </c>
      <c r="S3455" s="4" t="b">
        <f>ISNUMBER(MATCH(Q3455,T:T,0))</f>
        <v>1</v>
      </c>
      <c r="T3455" s="4" t="s">
        <v>12741</v>
      </c>
      <c r="U3455" s="4" t="str">
        <f t="shared" si="155"/>
        <v>鎋</v>
      </c>
    </row>
    <row r="3456" spans="1:21">
      <c r="A3456" s="3">
        <v>3447</v>
      </c>
      <c r="B3456" s="3" t="s">
        <v>884</v>
      </c>
      <c r="C3456" s="3" t="s">
        <v>6167</v>
      </c>
      <c r="D3456" s="3" t="s">
        <v>6157</v>
      </c>
      <c r="E3456" s="3" t="s">
        <v>5991</v>
      </c>
      <c r="F3456" s="3" t="s">
        <v>8055</v>
      </c>
      <c r="G3456" s="3" t="s">
        <v>538</v>
      </c>
      <c r="H3456" s="3" t="s">
        <v>887</v>
      </c>
      <c r="I3456" s="3" t="s">
        <v>6836</v>
      </c>
      <c r="J3456" s="8" t="s">
        <v>6537</v>
      </c>
      <c r="L3456" s="3" t="s">
        <v>4553</v>
      </c>
      <c r="M3456" s="3">
        <v>2</v>
      </c>
      <c r="N3456" s="4" t="s">
        <v>9686</v>
      </c>
      <c r="O3456" s="4">
        <v>187</v>
      </c>
      <c r="P3456" s="11" t="s">
        <v>6167</v>
      </c>
      <c r="Q3456" s="11" t="s">
        <v>9686</v>
      </c>
      <c r="S3456" s="4" t="b">
        <f>ISNUMBER(MATCH(Q3456,T:T,0))</f>
        <v>1</v>
      </c>
      <c r="T3456" s="4" t="s">
        <v>12742</v>
      </c>
      <c r="U3456" s="4" t="str">
        <f t="shared" si="155"/>
        <v>鎋</v>
      </c>
    </row>
    <row r="3457" spans="1:21">
      <c r="A3457" s="3">
        <v>3448</v>
      </c>
      <c r="B3457" s="3" t="s">
        <v>884</v>
      </c>
      <c r="C3457" s="3" t="s">
        <v>6038</v>
      </c>
      <c r="D3457" s="3" t="s">
        <v>6157</v>
      </c>
      <c r="E3457" s="3" t="s">
        <v>5991</v>
      </c>
      <c r="F3457" s="3" t="s">
        <v>8055</v>
      </c>
      <c r="G3457" s="3" t="s">
        <v>538</v>
      </c>
      <c r="H3457" s="3" t="s">
        <v>888</v>
      </c>
      <c r="I3457" s="3" t="s">
        <v>6836</v>
      </c>
      <c r="J3457" s="5" t="s">
        <v>3746</v>
      </c>
      <c r="L3457" s="3" t="s">
        <v>4635</v>
      </c>
      <c r="M3457" s="3">
        <v>4</v>
      </c>
      <c r="N3457" s="4" t="s">
        <v>9686</v>
      </c>
      <c r="O3457" s="4">
        <v>187</v>
      </c>
      <c r="P3457" s="11" t="s">
        <v>10356</v>
      </c>
      <c r="Q3457" s="11" t="s">
        <v>9686</v>
      </c>
      <c r="S3457" s="4" t="b">
        <f>ISNUMBER(MATCH(Q3457,T:T,0))</f>
        <v>1</v>
      </c>
      <c r="T3457" s="4" t="s">
        <v>12743</v>
      </c>
      <c r="U3457" s="4" t="str">
        <f t="shared" si="155"/>
        <v>鎋</v>
      </c>
    </row>
    <row r="3458" spans="1:21">
      <c r="A3458" s="3">
        <v>3449</v>
      </c>
      <c r="B3458" s="3" t="s">
        <v>884</v>
      </c>
      <c r="C3458" s="3" t="s">
        <v>6089</v>
      </c>
      <c r="D3458" s="3" t="s">
        <v>6157</v>
      </c>
      <c r="E3458" s="3" t="s">
        <v>5991</v>
      </c>
      <c r="F3458" s="3" t="s">
        <v>8055</v>
      </c>
      <c r="G3458" s="3" t="s">
        <v>538</v>
      </c>
      <c r="H3458" s="3" t="s">
        <v>889</v>
      </c>
      <c r="I3458" s="3" t="s">
        <v>6836</v>
      </c>
      <c r="J3458" s="5" t="s">
        <v>3747</v>
      </c>
      <c r="L3458" s="3" t="s">
        <v>3736</v>
      </c>
      <c r="M3458" s="3">
        <v>4</v>
      </c>
      <c r="N3458" s="4" t="s">
        <v>9686</v>
      </c>
      <c r="O3458" s="4">
        <v>187</v>
      </c>
      <c r="P3458" s="11" t="s">
        <v>9753</v>
      </c>
      <c r="Q3458" s="11" t="s">
        <v>9686</v>
      </c>
      <c r="S3458" s="4" t="b">
        <f>ISNUMBER(MATCH(Q3458,T:T,0))</f>
        <v>1</v>
      </c>
      <c r="T3458" s="4" t="s">
        <v>10803</v>
      </c>
      <c r="U3458" s="4" t="str">
        <f t="shared" si="155"/>
        <v>鎋</v>
      </c>
    </row>
    <row r="3459" spans="1:21">
      <c r="A3459" s="3">
        <v>3450</v>
      </c>
      <c r="B3459" s="3" t="s">
        <v>884</v>
      </c>
      <c r="C3459" s="3" t="s">
        <v>6011</v>
      </c>
      <c r="D3459" s="3" t="s">
        <v>6157</v>
      </c>
      <c r="E3459" s="3" t="s">
        <v>5991</v>
      </c>
      <c r="F3459" s="3" t="s">
        <v>8055</v>
      </c>
      <c r="G3459" s="3" t="s">
        <v>538</v>
      </c>
      <c r="H3459" s="3" t="s">
        <v>890</v>
      </c>
      <c r="I3459" s="3" t="s">
        <v>6836</v>
      </c>
      <c r="J3459" s="5" t="s">
        <v>3748</v>
      </c>
      <c r="L3459" s="3" t="s">
        <v>4553</v>
      </c>
      <c r="M3459" s="3">
        <v>1</v>
      </c>
      <c r="N3459" s="4" t="s">
        <v>9686</v>
      </c>
      <c r="O3459" s="4">
        <v>187</v>
      </c>
      <c r="P3459" s="11" t="s">
        <v>9736</v>
      </c>
      <c r="Q3459" s="11" t="s">
        <v>9686</v>
      </c>
      <c r="S3459" s="4" t="b">
        <f>ISNUMBER(MATCH(Q3459,T:T,0))</f>
        <v>1</v>
      </c>
      <c r="T3459" s="4" t="s">
        <v>3748</v>
      </c>
      <c r="U3459" s="4" t="str">
        <f t="shared" ref="U3459:U3522" si="157">IF(ISBLANK(R3459),Q3459,R3459)</f>
        <v>鎋</v>
      </c>
    </row>
    <row r="3460" spans="1:21">
      <c r="A3460" s="3">
        <v>3451</v>
      </c>
      <c r="B3460" s="3" t="s">
        <v>884</v>
      </c>
      <c r="C3460" s="3" t="s">
        <v>6025</v>
      </c>
      <c r="D3460" s="3" t="s">
        <v>6157</v>
      </c>
      <c r="E3460" s="3" t="s">
        <v>6212</v>
      </c>
      <c r="F3460" s="3" t="s">
        <v>8055</v>
      </c>
      <c r="G3460" s="3" t="s">
        <v>538</v>
      </c>
      <c r="H3460" s="3" t="s">
        <v>3749</v>
      </c>
      <c r="I3460" s="3" t="s">
        <v>6836</v>
      </c>
      <c r="J3460" s="5" t="s">
        <v>3750</v>
      </c>
      <c r="L3460" s="3" t="s">
        <v>3726</v>
      </c>
      <c r="M3460" s="3">
        <v>5</v>
      </c>
      <c r="N3460" s="4" t="s">
        <v>9686</v>
      </c>
      <c r="O3460" s="4">
        <v>187</v>
      </c>
      <c r="P3460" s="11" t="s">
        <v>9729</v>
      </c>
      <c r="Q3460" s="11" t="s">
        <v>10804</v>
      </c>
      <c r="S3460" s="4" t="b">
        <f>ISNUMBER(MATCH(Q3460,T:T,0))</f>
        <v>1</v>
      </c>
      <c r="T3460" s="4" t="s">
        <v>10805</v>
      </c>
      <c r="U3460" s="4" t="str">
        <f t="shared" si="157"/>
        <v>䫄</v>
      </c>
    </row>
    <row r="3461" spans="1:21">
      <c r="A3461" s="3">
        <v>3452</v>
      </c>
      <c r="B3461" s="3" t="s">
        <v>884</v>
      </c>
      <c r="C3461" s="3" t="s">
        <v>6067</v>
      </c>
      <c r="D3461" s="3" t="s">
        <v>6157</v>
      </c>
      <c r="E3461" s="3" t="s">
        <v>6212</v>
      </c>
      <c r="F3461" s="3" t="s">
        <v>8055</v>
      </c>
      <c r="G3461" s="3" t="s">
        <v>538</v>
      </c>
      <c r="H3461" s="3" t="s">
        <v>3751</v>
      </c>
      <c r="I3461" s="3" t="s">
        <v>6836</v>
      </c>
      <c r="J3461" s="8" t="s">
        <v>6538</v>
      </c>
      <c r="L3461" s="3" t="s">
        <v>2938</v>
      </c>
      <c r="M3461" s="3">
        <v>7</v>
      </c>
      <c r="N3461" s="4" t="s">
        <v>9686</v>
      </c>
      <c r="O3461" s="4">
        <v>187</v>
      </c>
      <c r="P3461" s="11" t="s">
        <v>9771</v>
      </c>
      <c r="Q3461" s="11" t="s">
        <v>10805</v>
      </c>
      <c r="S3461" s="4" t="b">
        <f>ISNUMBER(MATCH(Q3461,T:T,0))</f>
        <v>1</v>
      </c>
      <c r="T3461" s="4" t="s">
        <v>12744</v>
      </c>
      <c r="U3461" s="4" t="str">
        <f t="shared" si="157"/>
        <v>刮</v>
      </c>
    </row>
    <row r="3462" spans="1:21">
      <c r="A3462" s="3">
        <v>3453</v>
      </c>
      <c r="B3462" s="3" t="s">
        <v>884</v>
      </c>
      <c r="C3462" s="3" t="s">
        <v>6011</v>
      </c>
      <c r="D3462" s="3" t="s">
        <v>6157</v>
      </c>
      <c r="E3462" s="3" t="s">
        <v>6212</v>
      </c>
      <c r="F3462" s="3" t="s">
        <v>8055</v>
      </c>
      <c r="G3462" s="3" t="s">
        <v>538</v>
      </c>
      <c r="H3462" s="3" t="s">
        <v>3752</v>
      </c>
      <c r="I3462" s="3" t="s">
        <v>6836</v>
      </c>
      <c r="J3462" s="5" t="s">
        <v>3753</v>
      </c>
      <c r="K3462" s="3" t="s">
        <v>647</v>
      </c>
      <c r="L3462" s="3" t="s">
        <v>4594</v>
      </c>
      <c r="M3462" s="3">
        <v>2</v>
      </c>
      <c r="N3462" s="4" t="s">
        <v>9686</v>
      </c>
      <c r="O3462" s="4">
        <v>187</v>
      </c>
      <c r="P3462" s="11" t="s">
        <v>9757</v>
      </c>
      <c r="Q3462" s="11" t="s">
        <v>10805</v>
      </c>
      <c r="S3462" s="4" t="b">
        <f>ISNUMBER(MATCH(Q3462,T:T,0))</f>
        <v>1</v>
      </c>
      <c r="T3462" s="4" t="s">
        <v>10804</v>
      </c>
      <c r="U3462" s="4" t="str">
        <f t="shared" si="157"/>
        <v>刮</v>
      </c>
    </row>
    <row r="3463" spans="1:21">
      <c r="A3463" s="3">
        <v>3454</v>
      </c>
      <c r="B3463" s="3" t="s">
        <v>884</v>
      </c>
      <c r="C3463" s="3" t="s">
        <v>6000</v>
      </c>
      <c r="D3463" s="3" t="s">
        <v>6157</v>
      </c>
      <c r="E3463" s="3" t="s">
        <v>6212</v>
      </c>
      <c r="F3463" s="3" t="s">
        <v>8055</v>
      </c>
      <c r="G3463" s="3" t="s">
        <v>538</v>
      </c>
      <c r="H3463" s="3" t="s">
        <v>3754</v>
      </c>
      <c r="I3463" s="3" t="s">
        <v>6836</v>
      </c>
      <c r="J3463" s="5" t="s">
        <v>6539</v>
      </c>
      <c r="L3463" s="3" t="s">
        <v>3718</v>
      </c>
      <c r="M3463" s="3">
        <v>4</v>
      </c>
      <c r="N3463" s="4" t="s">
        <v>9686</v>
      </c>
      <c r="O3463" s="4">
        <v>187</v>
      </c>
      <c r="P3463" s="11" t="s">
        <v>9822</v>
      </c>
      <c r="Q3463" s="11" t="s">
        <v>10805</v>
      </c>
      <c r="S3463" s="4" t="b">
        <f>ISNUMBER(MATCH(Q3463,T:T,0))</f>
        <v>1</v>
      </c>
      <c r="T3463" s="4" t="s">
        <v>12745</v>
      </c>
      <c r="U3463" s="4" t="str">
        <f t="shared" si="157"/>
        <v>刮</v>
      </c>
    </row>
    <row r="3464" spans="1:21">
      <c r="A3464" s="3">
        <v>3455</v>
      </c>
      <c r="B3464" s="3" t="s">
        <v>884</v>
      </c>
      <c r="C3464" s="3" t="s">
        <v>6180</v>
      </c>
      <c r="D3464" s="3" t="s">
        <v>6157</v>
      </c>
      <c r="E3464" s="3" t="s">
        <v>6212</v>
      </c>
      <c r="F3464" s="3" t="s">
        <v>8055</v>
      </c>
      <c r="G3464" s="3" t="s">
        <v>538</v>
      </c>
      <c r="H3464" s="3" t="s">
        <v>3755</v>
      </c>
      <c r="I3464" s="3" t="s">
        <v>6836</v>
      </c>
      <c r="J3464" s="5" t="s">
        <v>3756</v>
      </c>
      <c r="L3464" s="3" t="s">
        <v>3757</v>
      </c>
      <c r="M3464" s="3">
        <v>1</v>
      </c>
      <c r="N3464" s="4" t="s">
        <v>9686</v>
      </c>
      <c r="O3464" s="4">
        <v>187</v>
      </c>
      <c r="P3464" s="11" t="s">
        <v>9984</v>
      </c>
      <c r="Q3464" s="11" t="s">
        <v>10805</v>
      </c>
      <c r="S3464" s="4" t="b">
        <f>ISNUMBER(MATCH(Q3464,T:T,0))</f>
        <v>1</v>
      </c>
      <c r="T3464" s="4" t="s">
        <v>3756</v>
      </c>
      <c r="U3464" s="4" t="str">
        <f t="shared" si="157"/>
        <v>刮</v>
      </c>
    </row>
    <row r="3465" spans="1:21">
      <c r="A3465" s="3">
        <v>3456</v>
      </c>
      <c r="B3465" s="3" t="s">
        <v>884</v>
      </c>
      <c r="C3465" s="3" t="s">
        <v>6092</v>
      </c>
      <c r="D3465" s="3" t="s">
        <v>6157</v>
      </c>
      <c r="E3465" s="3" t="s">
        <v>6212</v>
      </c>
      <c r="F3465" s="3" t="s">
        <v>8055</v>
      </c>
      <c r="G3465" s="3" t="s">
        <v>538</v>
      </c>
      <c r="H3465" s="3" t="s">
        <v>3758</v>
      </c>
      <c r="I3465" s="3" t="s">
        <v>6836</v>
      </c>
      <c r="J3465" s="5" t="s">
        <v>3759</v>
      </c>
      <c r="L3465" s="3" t="s">
        <v>2504</v>
      </c>
      <c r="M3465" s="3">
        <v>4</v>
      </c>
      <c r="N3465" s="4" t="s">
        <v>9686</v>
      </c>
      <c r="O3465" s="4">
        <v>187</v>
      </c>
      <c r="P3465" s="11" t="s">
        <v>9740</v>
      </c>
      <c r="Q3465" s="11" t="s">
        <v>10805</v>
      </c>
      <c r="S3465" s="4" t="b">
        <f>ISNUMBER(MATCH(Q3465,T:T,0))</f>
        <v>1</v>
      </c>
      <c r="T3465" s="4" t="s">
        <v>12746</v>
      </c>
      <c r="U3465" s="4" t="str">
        <f t="shared" si="157"/>
        <v>刮</v>
      </c>
    </row>
    <row r="3466" spans="1:21">
      <c r="A3466" s="3">
        <v>3457</v>
      </c>
      <c r="B3466" s="3" t="s">
        <v>884</v>
      </c>
      <c r="C3466" s="3" t="s">
        <v>6167</v>
      </c>
      <c r="D3466" s="3" t="s">
        <v>6157</v>
      </c>
      <c r="E3466" s="3" t="s">
        <v>6212</v>
      </c>
      <c r="F3466" s="3" t="s">
        <v>8055</v>
      </c>
      <c r="G3466" s="3" t="s">
        <v>538</v>
      </c>
      <c r="H3466" s="3" t="s">
        <v>3760</v>
      </c>
      <c r="I3466" s="3" t="s">
        <v>6836</v>
      </c>
      <c r="J3466" s="5" t="s">
        <v>3761</v>
      </c>
      <c r="L3466" s="3" t="s">
        <v>4594</v>
      </c>
      <c r="M3466" s="3">
        <v>2</v>
      </c>
      <c r="N3466" s="4" t="s">
        <v>9686</v>
      </c>
      <c r="O3466" s="4">
        <v>187</v>
      </c>
      <c r="P3466" s="11" t="s">
        <v>6167</v>
      </c>
      <c r="Q3466" s="11" t="s">
        <v>10805</v>
      </c>
      <c r="S3466" s="4" t="b">
        <f>ISNUMBER(MATCH(Q3466,T:T,0))</f>
        <v>1</v>
      </c>
      <c r="T3466" s="4" t="s">
        <v>12747</v>
      </c>
      <c r="U3466" s="4" t="str">
        <f t="shared" si="157"/>
        <v>刮</v>
      </c>
    </row>
    <row r="3467" spans="1:21">
      <c r="A3467" s="3">
        <v>3458</v>
      </c>
      <c r="B3467" s="3" t="s">
        <v>884</v>
      </c>
      <c r="C3467" s="3" t="s">
        <v>6035</v>
      </c>
      <c r="D3467" s="3" t="s">
        <v>6157</v>
      </c>
      <c r="E3467" s="3" t="s">
        <v>5991</v>
      </c>
      <c r="F3467" s="3" t="s">
        <v>8055</v>
      </c>
      <c r="G3467" s="3" t="s">
        <v>538</v>
      </c>
      <c r="H3467" s="3" t="s">
        <v>891</v>
      </c>
      <c r="I3467" s="3" t="s">
        <v>6836</v>
      </c>
      <c r="J3467" s="5" t="s">
        <v>6540</v>
      </c>
      <c r="L3467" s="3" t="s">
        <v>2442</v>
      </c>
      <c r="M3467" s="3">
        <v>4</v>
      </c>
      <c r="N3467" s="4" t="s">
        <v>9686</v>
      </c>
      <c r="O3467" s="4">
        <v>187</v>
      </c>
      <c r="P3467" s="11" t="s">
        <v>9719</v>
      </c>
      <c r="Q3467" s="11" t="s">
        <v>9686</v>
      </c>
      <c r="S3467" s="4" t="b">
        <f>ISNUMBER(MATCH(Q3467,T:T,0))</f>
        <v>1</v>
      </c>
      <c r="T3467" s="4" t="s">
        <v>12748</v>
      </c>
      <c r="U3467" s="4" t="str">
        <f t="shared" si="157"/>
        <v>鎋</v>
      </c>
    </row>
    <row r="3468" spans="1:21">
      <c r="A3468" s="3">
        <v>3459</v>
      </c>
      <c r="B3468" s="3" t="s">
        <v>884</v>
      </c>
      <c r="C3468" s="3" t="s">
        <v>6137</v>
      </c>
      <c r="D3468" s="3" t="s">
        <v>6157</v>
      </c>
      <c r="E3468" s="3" t="s">
        <v>6212</v>
      </c>
      <c r="F3468" s="3" t="s">
        <v>8055</v>
      </c>
      <c r="G3468" s="3" t="s">
        <v>538</v>
      </c>
      <c r="H3468" s="3" t="s">
        <v>3762</v>
      </c>
      <c r="I3468" s="3" t="s">
        <v>6836</v>
      </c>
      <c r="J3468" s="5" t="s">
        <v>6541</v>
      </c>
      <c r="L3468" s="3" t="s">
        <v>2494</v>
      </c>
      <c r="M3468" s="3">
        <v>3</v>
      </c>
      <c r="N3468" s="4" t="s">
        <v>9686</v>
      </c>
      <c r="O3468" s="4">
        <v>187</v>
      </c>
      <c r="P3468" s="11" t="s">
        <v>9755</v>
      </c>
      <c r="Q3468" s="11" t="s">
        <v>10805</v>
      </c>
      <c r="S3468" s="4" t="b">
        <f>ISNUMBER(MATCH(Q3468,T:T,0))</f>
        <v>1</v>
      </c>
      <c r="T3468" s="4" t="s">
        <v>412</v>
      </c>
      <c r="U3468" s="4" t="str">
        <f t="shared" si="157"/>
        <v>刮</v>
      </c>
    </row>
    <row r="3469" spans="1:21">
      <c r="A3469" s="3">
        <v>3460</v>
      </c>
      <c r="B3469" s="3" t="s">
        <v>884</v>
      </c>
      <c r="C3469" s="3" t="s">
        <v>6049</v>
      </c>
      <c r="D3469" s="3" t="s">
        <v>6157</v>
      </c>
      <c r="E3469" s="3" t="s">
        <v>5991</v>
      </c>
      <c r="F3469" s="3" t="s">
        <v>8055</v>
      </c>
      <c r="G3469" s="3" t="s">
        <v>538</v>
      </c>
      <c r="H3469" s="3" t="s">
        <v>892</v>
      </c>
      <c r="I3469" s="3" t="s">
        <v>6836</v>
      </c>
      <c r="J3469" s="5" t="s">
        <v>3763</v>
      </c>
      <c r="L3469" s="3" t="s">
        <v>3716</v>
      </c>
      <c r="M3469" s="3">
        <v>2</v>
      </c>
      <c r="N3469" s="4" t="s">
        <v>9686</v>
      </c>
      <c r="O3469" s="4">
        <v>187</v>
      </c>
      <c r="P3469" s="11" t="s">
        <v>10806</v>
      </c>
      <c r="Q3469" s="11" t="s">
        <v>9686</v>
      </c>
      <c r="S3469" s="4" t="b">
        <f>ISNUMBER(MATCH(Q3469,T:T,0))</f>
        <v>1</v>
      </c>
      <c r="T3469" s="4" t="s">
        <v>12749</v>
      </c>
      <c r="U3469" s="4" t="str">
        <f t="shared" si="157"/>
        <v>鎋</v>
      </c>
    </row>
    <row r="3470" spans="1:21">
      <c r="A3470" s="3">
        <v>3461</v>
      </c>
      <c r="B3470" s="3" t="s">
        <v>884</v>
      </c>
      <c r="C3470" s="3" t="s">
        <v>6025</v>
      </c>
      <c r="D3470" s="3" t="s">
        <v>6157</v>
      </c>
      <c r="E3470" s="3" t="s">
        <v>5991</v>
      </c>
      <c r="F3470" s="3" t="s">
        <v>8055</v>
      </c>
      <c r="G3470" s="3" t="s">
        <v>538</v>
      </c>
      <c r="H3470" s="3" t="s">
        <v>893</v>
      </c>
      <c r="I3470" s="3" t="s">
        <v>6836</v>
      </c>
      <c r="J3470" s="5" t="s">
        <v>3764</v>
      </c>
      <c r="L3470" s="3" t="s">
        <v>3728</v>
      </c>
      <c r="M3470" s="3">
        <v>4</v>
      </c>
      <c r="N3470" s="4" t="s">
        <v>9686</v>
      </c>
      <c r="O3470" s="4">
        <v>187</v>
      </c>
      <c r="P3470" s="11" t="s">
        <v>9729</v>
      </c>
      <c r="Q3470" s="11" t="s">
        <v>9686</v>
      </c>
      <c r="S3470" s="4" t="b">
        <f>ISNUMBER(MATCH(Q3470,T:T,0))</f>
        <v>1</v>
      </c>
      <c r="T3470" s="4" t="s">
        <v>12750</v>
      </c>
      <c r="U3470" s="4" t="str">
        <f t="shared" si="157"/>
        <v>鎋</v>
      </c>
    </row>
    <row r="3471" spans="1:21">
      <c r="A3471" s="3">
        <v>3462</v>
      </c>
      <c r="B3471" s="3" t="s">
        <v>884</v>
      </c>
      <c r="C3471" s="3" t="s">
        <v>6015</v>
      </c>
      <c r="D3471" s="3" t="s">
        <v>6157</v>
      </c>
      <c r="E3471" s="3" t="s">
        <v>5991</v>
      </c>
      <c r="F3471" s="3" t="s">
        <v>8055</v>
      </c>
      <c r="G3471" s="3" t="s">
        <v>538</v>
      </c>
      <c r="H3471" s="7" t="s">
        <v>3765</v>
      </c>
      <c r="I3471" s="3" t="s">
        <v>6836</v>
      </c>
      <c r="J3471" s="5" t="s">
        <v>6542</v>
      </c>
      <c r="L3471" s="3" t="s">
        <v>3766</v>
      </c>
      <c r="M3471" s="3">
        <v>3</v>
      </c>
      <c r="N3471" s="4" t="s">
        <v>9686</v>
      </c>
      <c r="O3471" s="4">
        <v>187</v>
      </c>
      <c r="P3471" s="11" t="s">
        <v>10807</v>
      </c>
      <c r="Q3471" s="11" t="s">
        <v>9686</v>
      </c>
      <c r="S3471" s="4" t="b">
        <f>ISNUMBER(MATCH(Q3471,T:T,0))</f>
        <v>1</v>
      </c>
      <c r="T3471" s="4" t="s">
        <v>12751</v>
      </c>
      <c r="U3471" s="4" t="str">
        <f t="shared" si="157"/>
        <v>鎋</v>
      </c>
    </row>
    <row r="3472" spans="1:21">
      <c r="A3472" s="3">
        <v>3463</v>
      </c>
      <c r="B3472" s="3" t="s">
        <v>884</v>
      </c>
      <c r="C3472" s="3" t="s">
        <v>6000</v>
      </c>
      <c r="D3472" s="3" t="s">
        <v>6157</v>
      </c>
      <c r="E3472" s="3" t="s">
        <v>5991</v>
      </c>
      <c r="F3472" s="3" t="s">
        <v>8055</v>
      </c>
      <c r="G3472" s="3" t="s">
        <v>538</v>
      </c>
      <c r="H3472" s="3" t="s">
        <v>894</v>
      </c>
      <c r="I3472" s="3" t="s">
        <v>6836</v>
      </c>
      <c r="J3472" s="5" t="s">
        <v>3767</v>
      </c>
      <c r="L3472" s="3" t="s">
        <v>3710</v>
      </c>
      <c r="M3472" s="3">
        <v>4</v>
      </c>
      <c r="N3472" s="4" t="s">
        <v>9686</v>
      </c>
      <c r="O3472" s="4">
        <v>187</v>
      </c>
      <c r="P3472" s="11" t="s">
        <v>9707</v>
      </c>
      <c r="Q3472" s="11" t="s">
        <v>9686</v>
      </c>
      <c r="S3472" s="4" t="b">
        <f>ISNUMBER(MATCH(Q3472,T:T,0))</f>
        <v>1</v>
      </c>
      <c r="T3472" s="4" t="s">
        <v>12752</v>
      </c>
      <c r="U3472" s="4" t="str">
        <f t="shared" si="157"/>
        <v>鎋</v>
      </c>
    </row>
    <row r="3473" spans="1:22">
      <c r="A3473" s="3">
        <v>3464</v>
      </c>
      <c r="B3473" s="3" t="s">
        <v>884</v>
      </c>
      <c r="C3473" s="3" t="s">
        <v>6021</v>
      </c>
      <c r="D3473" s="3" t="s">
        <v>6157</v>
      </c>
      <c r="E3473" s="3" t="s">
        <v>5991</v>
      </c>
      <c r="F3473" s="3" t="s">
        <v>8055</v>
      </c>
      <c r="G3473" s="3" t="s">
        <v>538</v>
      </c>
      <c r="H3473" s="3" t="s">
        <v>3768</v>
      </c>
      <c r="I3473" s="3" t="s">
        <v>6836</v>
      </c>
      <c r="J3473" s="5" t="s">
        <v>3769</v>
      </c>
      <c r="K3473" s="3" t="s">
        <v>3770</v>
      </c>
      <c r="M3473" s="3">
        <v>1</v>
      </c>
      <c r="N3473" s="4" t="s">
        <v>9686</v>
      </c>
      <c r="O3473" s="4">
        <v>187</v>
      </c>
      <c r="P3473" s="11" t="s">
        <v>9761</v>
      </c>
      <c r="Q3473" s="11" t="s">
        <v>10808</v>
      </c>
      <c r="R3473" s="4" t="s">
        <v>13184</v>
      </c>
      <c r="S3473" s="4" t="b">
        <f>ISNUMBER(MATCH(Q3473,T:T,0))</f>
        <v>0</v>
      </c>
      <c r="T3473" s="4" t="s">
        <v>3769</v>
      </c>
      <c r="U3473" s="4" t="str">
        <f t="shared" si="157"/>
        <v>鎋</v>
      </c>
      <c r="V3473" s="4" t="b">
        <f>ISNUMBER(MATCH(R3473,T:T,0))</f>
        <v>1</v>
      </c>
    </row>
    <row r="3474" spans="1:22">
      <c r="A3474" s="3">
        <v>3465</v>
      </c>
      <c r="B3474" s="3" t="s">
        <v>3771</v>
      </c>
      <c r="C3474" s="3" t="s">
        <v>6017</v>
      </c>
      <c r="D3474" s="3" t="s">
        <v>2843</v>
      </c>
      <c r="E3474" s="3" t="s">
        <v>5991</v>
      </c>
      <c r="F3474" s="3" t="s">
        <v>8121</v>
      </c>
      <c r="G3474" s="3" t="s">
        <v>538</v>
      </c>
      <c r="H3474" s="3" t="s">
        <v>3772</v>
      </c>
      <c r="I3474" s="3" t="s">
        <v>6836</v>
      </c>
      <c r="J3474" s="5" t="s">
        <v>6543</v>
      </c>
      <c r="K3474" s="3" t="s">
        <v>3773</v>
      </c>
      <c r="L3474" s="3" t="s">
        <v>6296</v>
      </c>
      <c r="M3474" s="3">
        <v>11</v>
      </c>
      <c r="N3474" s="4" t="s">
        <v>3774</v>
      </c>
      <c r="O3474" s="4">
        <v>188</v>
      </c>
      <c r="P3474" s="11" t="s">
        <v>8121</v>
      </c>
      <c r="Q3474" s="11" t="s">
        <v>10809</v>
      </c>
      <c r="S3474" s="4" t="b">
        <f>ISNUMBER(MATCH(Q3474,T:T,0))</f>
        <v>1</v>
      </c>
      <c r="T3474" s="4" t="s">
        <v>3774</v>
      </c>
      <c r="U3474" s="4" t="str">
        <f t="shared" si="157"/>
        <v>結</v>
      </c>
    </row>
    <row r="3475" spans="1:22">
      <c r="A3475" s="3">
        <v>3466</v>
      </c>
      <c r="B3475" s="3" t="s">
        <v>3771</v>
      </c>
      <c r="C3475" s="3" t="s">
        <v>6076</v>
      </c>
      <c r="D3475" s="3" t="s">
        <v>2843</v>
      </c>
      <c r="E3475" s="3" t="s">
        <v>5991</v>
      </c>
      <c r="F3475" s="3" t="s">
        <v>8121</v>
      </c>
      <c r="G3475" s="3" t="s">
        <v>538</v>
      </c>
      <c r="H3475" s="3" t="s">
        <v>3775</v>
      </c>
      <c r="I3475" s="3" t="s">
        <v>6836</v>
      </c>
      <c r="J3475" s="5" t="s">
        <v>6544</v>
      </c>
      <c r="L3475" s="3" t="s">
        <v>6287</v>
      </c>
      <c r="M3475" s="3">
        <v>8</v>
      </c>
      <c r="N3475" s="4" t="s">
        <v>3774</v>
      </c>
      <c r="O3475" s="4">
        <v>188</v>
      </c>
      <c r="P3475" s="11" t="s">
        <v>10150</v>
      </c>
      <c r="Q3475" s="11" t="s">
        <v>10809</v>
      </c>
      <c r="S3475" s="4" t="b">
        <f>ISNUMBER(MATCH(Q3475,T:T,0))</f>
        <v>1</v>
      </c>
      <c r="T3475" s="4" t="s">
        <v>12753</v>
      </c>
      <c r="U3475" s="4" t="str">
        <f t="shared" si="157"/>
        <v>結</v>
      </c>
    </row>
    <row r="3476" spans="1:22">
      <c r="A3476" s="3">
        <v>3467</v>
      </c>
      <c r="B3476" s="3" t="s">
        <v>3771</v>
      </c>
      <c r="C3476" s="3" t="s">
        <v>6025</v>
      </c>
      <c r="D3476" s="3" t="s">
        <v>2843</v>
      </c>
      <c r="E3476" s="3" t="s">
        <v>5991</v>
      </c>
      <c r="F3476" s="3" t="s">
        <v>8121</v>
      </c>
      <c r="G3476" s="3" t="s">
        <v>538</v>
      </c>
      <c r="H3476" s="3" t="s">
        <v>3776</v>
      </c>
      <c r="I3476" s="3" t="s">
        <v>6836</v>
      </c>
      <c r="J3476" s="5" t="s">
        <v>6545</v>
      </c>
      <c r="L3476" s="3" t="s">
        <v>3608</v>
      </c>
      <c r="M3476" s="3">
        <v>15</v>
      </c>
      <c r="N3476" s="4" t="s">
        <v>3774</v>
      </c>
      <c r="O3476" s="4">
        <v>188</v>
      </c>
      <c r="P3476" s="11" t="s">
        <v>9729</v>
      </c>
      <c r="Q3476" s="11" t="s">
        <v>3774</v>
      </c>
      <c r="S3476" s="4" t="b">
        <f>ISNUMBER(MATCH(Q3476,T:T,0))</f>
        <v>1</v>
      </c>
      <c r="T3476" s="4" t="s">
        <v>10809</v>
      </c>
      <c r="U3476" s="4" t="str">
        <f t="shared" si="157"/>
        <v>屑</v>
      </c>
    </row>
    <row r="3477" spans="1:22" ht="42.75">
      <c r="A3477" s="3">
        <v>3468</v>
      </c>
      <c r="B3477" s="3" t="s">
        <v>3771</v>
      </c>
      <c r="C3477" s="3" t="s">
        <v>6083</v>
      </c>
      <c r="D3477" s="3" t="s">
        <v>2843</v>
      </c>
      <c r="E3477" s="3" t="s">
        <v>5991</v>
      </c>
      <c r="F3477" s="3" t="s">
        <v>8121</v>
      </c>
      <c r="G3477" s="3" t="s">
        <v>538</v>
      </c>
      <c r="H3477" s="3" t="s">
        <v>3777</v>
      </c>
      <c r="I3477" s="3" t="s">
        <v>6836</v>
      </c>
      <c r="J3477" s="5" t="s">
        <v>6546</v>
      </c>
      <c r="K3477" s="3" t="s">
        <v>648</v>
      </c>
      <c r="L3477" s="3" t="s">
        <v>3608</v>
      </c>
      <c r="M3477" s="3">
        <v>13</v>
      </c>
      <c r="N3477" s="4" t="s">
        <v>3774</v>
      </c>
      <c r="O3477" s="4">
        <v>188</v>
      </c>
      <c r="P3477" s="11" t="s">
        <v>9737</v>
      </c>
      <c r="Q3477" s="11" t="s">
        <v>10809</v>
      </c>
      <c r="S3477" s="4" t="b">
        <f>ISNUMBER(MATCH(Q3477,T:T,0))</f>
        <v>1</v>
      </c>
      <c r="T3477" s="4" t="s">
        <v>12754</v>
      </c>
      <c r="U3477" s="4" t="str">
        <f t="shared" si="157"/>
        <v>結</v>
      </c>
    </row>
    <row r="3478" spans="1:22">
      <c r="A3478" s="3">
        <v>3469</v>
      </c>
      <c r="B3478" s="3" t="s">
        <v>3771</v>
      </c>
      <c r="C3478" s="3" t="s">
        <v>6089</v>
      </c>
      <c r="D3478" s="3" t="s">
        <v>2843</v>
      </c>
      <c r="E3478" s="3" t="s">
        <v>6212</v>
      </c>
      <c r="F3478" s="3" t="s">
        <v>8121</v>
      </c>
      <c r="G3478" s="3" t="s">
        <v>538</v>
      </c>
      <c r="H3478" s="3" t="s">
        <v>3778</v>
      </c>
      <c r="I3478" s="3" t="s">
        <v>6836</v>
      </c>
      <c r="J3478" s="5" t="s">
        <v>6547</v>
      </c>
      <c r="L3478" s="3" t="s">
        <v>3448</v>
      </c>
      <c r="M3478" s="3">
        <v>12</v>
      </c>
      <c r="N3478" s="4" t="s">
        <v>3774</v>
      </c>
      <c r="O3478" s="4">
        <v>188</v>
      </c>
      <c r="P3478" s="11" t="s">
        <v>9739</v>
      </c>
      <c r="Q3478" s="11" t="s">
        <v>10810</v>
      </c>
      <c r="S3478" s="4" t="b">
        <f>ISNUMBER(MATCH(Q3478,T:T,0))</f>
        <v>1</v>
      </c>
      <c r="T3478" s="4" t="s">
        <v>12755</v>
      </c>
      <c r="U3478" s="4" t="str">
        <f t="shared" si="157"/>
        <v>決</v>
      </c>
    </row>
    <row r="3479" spans="1:22">
      <c r="A3479" s="3">
        <v>3470</v>
      </c>
      <c r="B3479" s="3" t="s">
        <v>3771</v>
      </c>
      <c r="C3479" s="3" t="s">
        <v>6038</v>
      </c>
      <c r="D3479" s="3" t="s">
        <v>2843</v>
      </c>
      <c r="E3479" s="3" t="s">
        <v>6212</v>
      </c>
      <c r="F3479" s="3" t="s">
        <v>8121</v>
      </c>
      <c r="G3479" s="3" t="s">
        <v>538</v>
      </c>
      <c r="H3479" s="3" t="s">
        <v>3779</v>
      </c>
      <c r="I3479" s="3" t="s">
        <v>6836</v>
      </c>
      <c r="J3479" s="5" t="s">
        <v>3780</v>
      </c>
      <c r="L3479" s="3" t="s">
        <v>2895</v>
      </c>
      <c r="M3479" s="3">
        <v>4</v>
      </c>
      <c r="N3479" s="4" t="s">
        <v>3774</v>
      </c>
      <c r="O3479" s="4">
        <v>188</v>
      </c>
      <c r="P3479" s="11" t="s">
        <v>9728</v>
      </c>
      <c r="Q3479" s="11" t="s">
        <v>10811</v>
      </c>
      <c r="S3479" s="4" t="b">
        <f>ISNUMBER(MATCH(Q3479,T:T,0))</f>
        <v>1</v>
      </c>
      <c r="T3479" s="4" t="s">
        <v>12756</v>
      </c>
      <c r="U3479" s="4" t="str">
        <f t="shared" si="157"/>
        <v>穴</v>
      </c>
    </row>
    <row r="3480" spans="1:22" ht="39">
      <c r="A3480" s="3">
        <v>3471</v>
      </c>
      <c r="B3480" s="3" t="s">
        <v>3771</v>
      </c>
      <c r="C3480" s="3" t="s">
        <v>6025</v>
      </c>
      <c r="D3480" s="3" t="s">
        <v>2843</v>
      </c>
      <c r="E3480" s="3" t="s">
        <v>6212</v>
      </c>
      <c r="F3480" s="3" t="s">
        <v>8121</v>
      </c>
      <c r="G3480" s="3" t="s">
        <v>538</v>
      </c>
      <c r="H3480" s="3" t="s">
        <v>3781</v>
      </c>
      <c r="I3480" s="3" t="s">
        <v>6836</v>
      </c>
      <c r="J3480" s="5" t="s">
        <v>6548</v>
      </c>
      <c r="K3480" s="3" t="s">
        <v>3782</v>
      </c>
      <c r="L3480" s="3" t="s">
        <v>3417</v>
      </c>
      <c r="M3480" s="3">
        <v>26</v>
      </c>
      <c r="N3480" s="4" t="s">
        <v>3774</v>
      </c>
      <c r="O3480" s="4">
        <v>188</v>
      </c>
      <c r="P3480" s="11" t="s">
        <v>9729</v>
      </c>
      <c r="Q3480" s="11" t="s">
        <v>10811</v>
      </c>
      <c r="S3480" s="4" t="b">
        <f>ISNUMBER(MATCH(Q3480,T:T,0))</f>
        <v>1</v>
      </c>
      <c r="T3480" s="4" t="s">
        <v>10810</v>
      </c>
      <c r="U3480" s="4" t="str">
        <f t="shared" si="157"/>
        <v>穴</v>
      </c>
    </row>
    <row r="3481" spans="1:22">
      <c r="A3481" s="3">
        <v>3472</v>
      </c>
      <c r="B3481" s="3" t="s">
        <v>3771</v>
      </c>
      <c r="C3481" s="3" t="s">
        <v>6067</v>
      </c>
      <c r="D3481" s="3" t="s">
        <v>2843</v>
      </c>
      <c r="E3481" s="3" t="s">
        <v>6212</v>
      </c>
      <c r="F3481" s="3" t="s">
        <v>8121</v>
      </c>
      <c r="G3481" s="3" t="s">
        <v>538</v>
      </c>
      <c r="H3481" s="3" t="s">
        <v>3783</v>
      </c>
      <c r="I3481" s="3" t="s">
        <v>6836</v>
      </c>
      <c r="J3481" s="5" t="s">
        <v>6549</v>
      </c>
      <c r="L3481" s="3" t="s">
        <v>3446</v>
      </c>
      <c r="M3481" s="3">
        <v>4</v>
      </c>
      <c r="N3481" s="4" t="s">
        <v>3774</v>
      </c>
      <c r="O3481" s="4">
        <v>188</v>
      </c>
      <c r="P3481" s="11" t="s">
        <v>9870</v>
      </c>
      <c r="Q3481" s="11" t="s">
        <v>10810</v>
      </c>
      <c r="S3481" s="4" t="b">
        <f>ISNUMBER(MATCH(Q3481,T:T,0))</f>
        <v>1</v>
      </c>
      <c r="T3481" s="4" t="s">
        <v>10811</v>
      </c>
      <c r="U3481" s="4" t="str">
        <f t="shared" si="157"/>
        <v>決</v>
      </c>
    </row>
    <row r="3482" spans="1:22">
      <c r="A3482" s="3">
        <v>3473</v>
      </c>
      <c r="B3482" s="3" t="s">
        <v>3771</v>
      </c>
      <c r="C3482" s="3" t="s">
        <v>6072</v>
      </c>
      <c r="D3482" s="3" t="s">
        <v>2843</v>
      </c>
      <c r="E3482" s="3" t="s">
        <v>6212</v>
      </c>
      <c r="F3482" s="3" t="s">
        <v>8121</v>
      </c>
      <c r="G3482" s="3" t="s">
        <v>538</v>
      </c>
      <c r="H3482" s="3" t="s">
        <v>3784</v>
      </c>
      <c r="I3482" s="3" t="s">
        <v>6836</v>
      </c>
      <c r="J3482" s="5" t="s">
        <v>6550</v>
      </c>
      <c r="L3482" s="3" t="s">
        <v>3438</v>
      </c>
      <c r="M3482" s="3">
        <v>6</v>
      </c>
      <c r="N3482" s="4" t="s">
        <v>3774</v>
      </c>
      <c r="O3482" s="4">
        <v>188</v>
      </c>
      <c r="P3482" s="11" t="s">
        <v>9754</v>
      </c>
      <c r="Q3482" s="11" t="s">
        <v>10810</v>
      </c>
      <c r="S3482" s="4" t="b">
        <f>ISNUMBER(MATCH(Q3482,T:T,0))</f>
        <v>1</v>
      </c>
      <c r="T3482" s="4" t="s">
        <v>12757</v>
      </c>
      <c r="U3482" s="4" t="str">
        <f t="shared" si="157"/>
        <v>決</v>
      </c>
    </row>
    <row r="3483" spans="1:22" ht="39">
      <c r="A3483" s="3">
        <v>3474</v>
      </c>
      <c r="B3483" s="3" t="s">
        <v>3771</v>
      </c>
      <c r="C3483" s="3" t="s">
        <v>5997</v>
      </c>
      <c r="D3483" s="3" t="s">
        <v>2843</v>
      </c>
      <c r="E3483" s="3" t="s">
        <v>5991</v>
      </c>
      <c r="F3483" s="3" t="s">
        <v>8121</v>
      </c>
      <c r="G3483" s="3" t="s">
        <v>538</v>
      </c>
      <c r="H3483" s="3" t="s">
        <v>3785</v>
      </c>
      <c r="I3483" s="3" t="s">
        <v>6836</v>
      </c>
      <c r="J3483" s="5" t="s">
        <v>6551</v>
      </c>
      <c r="L3483" s="3" t="s">
        <v>3786</v>
      </c>
      <c r="M3483" s="3">
        <v>35</v>
      </c>
      <c r="N3483" s="4" t="s">
        <v>3774</v>
      </c>
      <c r="O3483" s="4">
        <v>188</v>
      </c>
      <c r="P3483" s="11" t="s">
        <v>9706</v>
      </c>
      <c r="Q3483" s="11" t="s">
        <v>10809</v>
      </c>
      <c r="S3483" s="4" t="b">
        <f>ISNUMBER(MATCH(Q3483,T:T,0))</f>
        <v>1</v>
      </c>
      <c r="T3483" s="4" t="s">
        <v>12758</v>
      </c>
      <c r="U3483" s="4" t="str">
        <f t="shared" si="157"/>
        <v>結</v>
      </c>
    </row>
    <row r="3484" spans="1:22">
      <c r="A3484" s="3">
        <v>3475</v>
      </c>
      <c r="B3484" s="3" t="s">
        <v>3771</v>
      </c>
      <c r="C3484" s="3" t="s">
        <v>6079</v>
      </c>
      <c r="D3484" s="3" t="s">
        <v>2843</v>
      </c>
      <c r="E3484" s="3" t="s">
        <v>5991</v>
      </c>
      <c r="F3484" s="3" t="s">
        <v>8121</v>
      </c>
      <c r="G3484" s="3" t="s">
        <v>538</v>
      </c>
      <c r="H3484" s="3" t="s">
        <v>3787</v>
      </c>
      <c r="I3484" s="3" t="s">
        <v>6836</v>
      </c>
      <c r="J3484" s="5" t="s">
        <v>6552</v>
      </c>
      <c r="L3484" s="3" t="s">
        <v>3788</v>
      </c>
      <c r="M3484" s="3">
        <v>8</v>
      </c>
      <c r="N3484" s="4" t="s">
        <v>3774</v>
      </c>
      <c r="O3484" s="4">
        <v>188</v>
      </c>
      <c r="P3484" s="11" t="s">
        <v>9736</v>
      </c>
      <c r="Q3484" s="11" t="s">
        <v>10809</v>
      </c>
      <c r="S3484" s="4" t="b">
        <f>ISNUMBER(MATCH(Q3484,T:T,0))</f>
        <v>1</v>
      </c>
      <c r="T3484" s="4" t="s">
        <v>12759</v>
      </c>
      <c r="U3484" s="4" t="str">
        <f t="shared" si="157"/>
        <v>結</v>
      </c>
    </row>
    <row r="3485" spans="1:22" ht="39">
      <c r="A3485" s="3">
        <v>3476</v>
      </c>
      <c r="B3485" s="3" t="s">
        <v>3771</v>
      </c>
      <c r="C3485" s="3" t="s">
        <v>6067</v>
      </c>
      <c r="D3485" s="3" t="s">
        <v>2843</v>
      </c>
      <c r="E3485" s="3" t="s">
        <v>5991</v>
      </c>
      <c r="F3485" s="3" t="s">
        <v>8121</v>
      </c>
      <c r="G3485" s="3" t="s">
        <v>538</v>
      </c>
      <c r="H3485" s="3" t="s">
        <v>3789</v>
      </c>
      <c r="I3485" s="3" t="s">
        <v>6836</v>
      </c>
      <c r="J3485" s="5" t="s">
        <v>6553</v>
      </c>
      <c r="K3485" s="3" t="s">
        <v>649</v>
      </c>
      <c r="L3485" s="3" t="s">
        <v>2947</v>
      </c>
      <c r="M3485" s="3">
        <v>21</v>
      </c>
      <c r="N3485" s="4" t="s">
        <v>3774</v>
      </c>
      <c r="O3485" s="4">
        <v>188</v>
      </c>
      <c r="P3485" s="11" t="s">
        <v>9870</v>
      </c>
      <c r="Q3485" s="11" t="s">
        <v>10809</v>
      </c>
      <c r="S3485" s="4" t="b">
        <f>ISNUMBER(MATCH(Q3485,T:T,0))</f>
        <v>1</v>
      </c>
      <c r="T3485" s="4" t="s">
        <v>12760</v>
      </c>
      <c r="U3485" s="4" t="str">
        <f t="shared" si="157"/>
        <v>結</v>
      </c>
    </row>
    <row r="3486" spans="1:22" ht="28.5">
      <c r="A3486" s="3">
        <v>3477</v>
      </c>
      <c r="B3486" s="3" t="s">
        <v>3771</v>
      </c>
      <c r="C3486" s="3" t="s">
        <v>6102</v>
      </c>
      <c r="D3486" s="3" t="s">
        <v>2843</v>
      </c>
      <c r="E3486" s="3" t="s">
        <v>5991</v>
      </c>
      <c r="F3486" s="3" t="s">
        <v>8121</v>
      </c>
      <c r="G3486" s="3" t="s">
        <v>538</v>
      </c>
      <c r="H3486" s="3" t="s">
        <v>3790</v>
      </c>
      <c r="I3486" s="3" t="s">
        <v>6836</v>
      </c>
      <c r="J3486" s="5" t="s">
        <v>6554</v>
      </c>
      <c r="K3486" s="7" t="s">
        <v>650</v>
      </c>
      <c r="L3486" s="3" t="s">
        <v>3791</v>
      </c>
      <c r="M3486" s="3">
        <v>12</v>
      </c>
      <c r="N3486" s="4" t="s">
        <v>3774</v>
      </c>
      <c r="O3486" s="4">
        <v>188</v>
      </c>
      <c r="P3486" s="11" t="s">
        <v>9744</v>
      </c>
      <c r="Q3486" s="11" t="s">
        <v>10809</v>
      </c>
      <c r="S3486" s="4" t="b">
        <f>ISNUMBER(MATCH(Q3486,T:T,0))</f>
        <v>1</v>
      </c>
      <c r="T3486" s="4" t="s">
        <v>12761</v>
      </c>
      <c r="U3486" s="4" t="str">
        <f t="shared" si="157"/>
        <v>結</v>
      </c>
    </row>
    <row r="3487" spans="1:22">
      <c r="A3487" s="3">
        <v>3478</v>
      </c>
      <c r="B3487" s="3" t="s">
        <v>3771</v>
      </c>
      <c r="C3487" s="3" t="s">
        <v>6069</v>
      </c>
      <c r="D3487" s="3" t="s">
        <v>2843</v>
      </c>
      <c r="E3487" s="3" t="s">
        <v>5991</v>
      </c>
      <c r="F3487" s="3" t="s">
        <v>8121</v>
      </c>
      <c r="G3487" s="3" t="s">
        <v>538</v>
      </c>
      <c r="H3487" s="3" t="s">
        <v>3792</v>
      </c>
      <c r="I3487" s="3" t="s">
        <v>6836</v>
      </c>
      <c r="J3487" s="5" t="s">
        <v>6555</v>
      </c>
      <c r="L3487" s="3" t="s">
        <v>3611</v>
      </c>
      <c r="M3487" s="3">
        <v>7</v>
      </c>
      <c r="N3487" s="4" t="s">
        <v>3774</v>
      </c>
      <c r="O3487" s="4">
        <v>188</v>
      </c>
      <c r="P3487" s="11" t="s">
        <v>9880</v>
      </c>
      <c r="Q3487" s="11" t="s">
        <v>10809</v>
      </c>
      <c r="S3487" s="4" t="b">
        <f>ISNUMBER(MATCH(Q3487,T:T,0))</f>
        <v>1</v>
      </c>
      <c r="T3487" s="4" t="s">
        <v>12762</v>
      </c>
      <c r="U3487" s="4" t="str">
        <f t="shared" si="157"/>
        <v>結</v>
      </c>
    </row>
    <row r="3488" spans="1:22">
      <c r="A3488" s="3">
        <v>3479</v>
      </c>
      <c r="B3488" s="3" t="s">
        <v>3771</v>
      </c>
      <c r="C3488" s="3" t="s">
        <v>6092</v>
      </c>
      <c r="D3488" s="3" t="s">
        <v>2843</v>
      </c>
      <c r="E3488" s="3" t="s">
        <v>5991</v>
      </c>
      <c r="F3488" s="3" t="s">
        <v>8121</v>
      </c>
      <c r="G3488" s="3" t="s">
        <v>538</v>
      </c>
      <c r="H3488" s="3" t="s">
        <v>3793</v>
      </c>
      <c r="I3488" s="3" t="s">
        <v>6836</v>
      </c>
      <c r="J3488" s="5" t="s">
        <v>3794</v>
      </c>
      <c r="L3488" s="3" t="s">
        <v>5432</v>
      </c>
      <c r="M3488" s="3">
        <v>13</v>
      </c>
      <c r="N3488" s="4" t="s">
        <v>3774</v>
      </c>
      <c r="O3488" s="4">
        <v>188</v>
      </c>
      <c r="P3488" s="11" t="s">
        <v>9740</v>
      </c>
      <c r="Q3488" s="11" t="s">
        <v>10809</v>
      </c>
      <c r="S3488" s="4" t="b">
        <f>ISNUMBER(MATCH(Q3488,T:T,0))</f>
        <v>1</v>
      </c>
      <c r="T3488" s="4" t="s">
        <v>12763</v>
      </c>
      <c r="U3488" s="4" t="str">
        <f t="shared" si="157"/>
        <v>結</v>
      </c>
    </row>
    <row r="3489" spans="1:22" ht="39">
      <c r="A3489" s="3">
        <v>3480</v>
      </c>
      <c r="B3489" s="3" t="s">
        <v>3771</v>
      </c>
      <c r="C3489" s="3" t="s">
        <v>6035</v>
      </c>
      <c r="D3489" s="3" t="s">
        <v>2843</v>
      </c>
      <c r="E3489" s="3" t="s">
        <v>5991</v>
      </c>
      <c r="F3489" s="3" t="s">
        <v>8121</v>
      </c>
      <c r="G3489" s="3" t="s">
        <v>538</v>
      </c>
      <c r="H3489" s="3" t="s">
        <v>3795</v>
      </c>
      <c r="I3489" s="3" t="s">
        <v>6836</v>
      </c>
      <c r="J3489" s="5" t="s">
        <v>6556</v>
      </c>
      <c r="K3489" s="3" t="s">
        <v>651</v>
      </c>
      <c r="L3489" s="3" t="s">
        <v>3796</v>
      </c>
      <c r="M3489" s="3">
        <v>23</v>
      </c>
      <c r="N3489" s="4" t="s">
        <v>3774</v>
      </c>
      <c r="O3489" s="4">
        <v>188</v>
      </c>
      <c r="P3489" s="11" t="s">
        <v>9719</v>
      </c>
      <c r="Q3489" s="11" t="s">
        <v>10809</v>
      </c>
      <c r="S3489" s="4" t="b">
        <f>ISNUMBER(MATCH(Q3489,T:T,0))</f>
        <v>1</v>
      </c>
      <c r="T3489" s="4" t="s">
        <v>10812</v>
      </c>
      <c r="U3489" s="4" t="str">
        <f t="shared" si="157"/>
        <v>結</v>
      </c>
    </row>
    <row r="3490" spans="1:22">
      <c r="A3490" s="3">
        <v>3481</v>
      </c>
      <c r="B3490" s="3" t="s">
        <v>3771</v>
      </c>
      <c r="C3490" s="3" t="s">
        <v>6049</v>
      </c>
      <c r="D3490" s="3" t="s">
        <v>2843</v>
      </c>
      <c r="E3490" s="3" t="s">
        <v>5991</v>
      </c>
      <c r="F3490" s="3" t="s">
        <v>8121</v>
      </c>
      <c r="G3490" s="3" t="s">
        <v>538</v>
      </c>
      <c r="H3490" s="3" t="s">
        <v>3797</v>
      </c>
      <c r="I3490" s="3" t="s">
        <v>6836</v>
      </c>
      <c r="J3490" s="5" t="s">
        <v>3798</v>
      </c>
      <c r="L3490" s="3" t="s">
        <v>6255</v>
      </c>
      <c r="M3490" s="3">
        <v>9</v>
      </c>
      <c r="N3490" s="4" t="s">
        <v>3774</v>
      </c>
      <c r="O3490" s="4">
        <v>188</v>
      </c>
      <c r="P3490" s="11" t="s">
        <v>9723</v>
      </c>
      <c r="Q3490" s="11" t="s">
        <v>10809</v>
      </c>
      <c r="S3490" s="4" t="b">
        <f>ISNUMBER(MATCH(Q3490,T:T,0))</f>
        <v>1</v>
      </c>
      <c r="T3490" s="4" t="s">
        <v>12157</v>
      </c>
      <c r="U3490" s="4" t="str">
        <f t="shared" si="157"/>
        <v>結</v>
      </c>
    </row>
    <row r="3491" spans="1:22">
      <c r="A3491" s="3">
        <v>3482</v>
      </c>
      <c r="B3491" s="3" t="s">
        <v>3771</v>
      </c>
      <c r="C3491" s="3" t="s">
        <v>6072</v>
      </c>
      <c r="D3491" s="3" t="s">
        <v>2843</v>
      </c>
      <c r="E3491" s="3" t="s">
        <v>5991</v>
      </c>
      <c r="F3491" s="3" t="s">
        <v>8121</v>
      </c>
      <c r="G3491" s="3" t="s">
        <v>538</v>
      </c>
      <c r="H3491" s="3" t="s">
        <v>3799</v>
      </c>
      <c r="I3491" s="3" t="s">
        <v>6836</v>
      </c>
      <c r="J3491" s="5" t="s">
        <v>3800</v>
      </c>
      <c r="L3491" s="3" t="s">
        <v>6215</v>
      </c>
      <c r="M3491" s="3">
        <v>6</v>
      </c>
      <c r="N3491" s="4" t="s">
        <v>3774</v>
      </c>
      <c r="O3491" s="4">
        <v>188</v>
      </c>
      <c r="P3491" s="11" t="s">
        <v>9734</v>
      </c>
      <c r="Q3491" s="11" t="s">
        <v>10809</v>
      </c>
      <c r="S3491" s="4" t="b">
        <f>ISNUMBER(MATCH(Q3491,T:T,0))</f>
        <v>1</v>
      </c>
      <c r="T3491" s="4" t="s">
        <v>12764</v>
      </c>
      <c r="U3491" s="4" t="str">
        <f t="shared" si="157"/>
        <v>結</v>
      </c>
    </row>
    <row r="3492" spans="1:22">
      <c r="A3492" s="3">
        <v>3483</v>
      </c>
      <c r="B3492" s="3" t="s">
        <v>3771</v>
      </c>
      <c r="C3492" s="3" t="s">
        <v>6038</v>
      </c>
      <c r="D3492" s="3" t="s">
        <v>2843</v>
      </c>
      <c r="E3492" s="3" t="s">
        <v>5991</v>
      </c>
      <c r="F3492" s="3" t="s">
        <v>8121</v>
      </c>
      <c r="G3492" s="3" t="s">
        <v>538</v>
      </c>
      <c r="H3492" s="3" t="s">
        <v>3801</v>
      </c>
      <c r="I3492" s="3" t="s">
        <v>6836</v>
      </c>
      <c r="J3492" s="5" t="s">
        <v>3802</v>
      </c>
      <c r="L3492" s="3" t="s">
        <v>6287</v>
      </c>
      <c r="M3492" s="3">
        <v>9</v>
      </c>
      <c r="N3492" s="4" t="s">
        <v>3774</v>
      </c>
      <c r="O3492" s="4">
        <v>188</v>
      </c>
      <c r="P3492" s="11" t="s">
        <v>9728</v>
      </c>
      <c r="Q3492" s="11" t="s">
        <v>10809</v>
      </c>
      <c r="S3492" s="4" t="b">
        <f>ISNUMBER(MATCH(Q3492,T:T,0))</f>
        <v>1</v>
      </c>
      <c r="T3492" s="4" t="s">
        <v>12765</v>
      </c>
      <c r="U3492" s="4" t="str">
        <f t="shared" si="157"/>
        <v>結</v>
      </c>
    </row>
    <row r="3493" spans="1:22">
      <c r="A3493" s="3">
        <v>3484</v>
      </c>
      <c r="B3493" s="3" t="s">
        <v>3771</v>
      </c>
      <c r="C3493" s="3" t="s">
        <v>6089</v>
      </c>
      <c r="D3493" s="3" t="s">
        <v>2843</v>
      </c>
      <c r="E3493" s="3" t="s">
        <v>5991</v>
      </c>
      <c r="F3493" s="3" t="s">
        <v>8121</v>
      </c>
      <c r="G3493" s="3" t="s">
        <v>538</v>
      </c>
      <c r="H3493" s="3" t="s">
        <v>3803</v>
      </c>
      <c r="I3493" s="3" t="s">
        <v>6836</v>
      </c>
      <c r="J3493" s="5" t="s">
        <v>3804</v>
      </c>
      <c r="L3493" s="3" t="s">
        <v>6296</v>
      </c>
      <c r="M3493" s="3">
        <v>6</v>
      </c>
      <c r="N3493" s="4" t="s">
        <v>3774</v>
      </c>
      <c r="O3493" s="4">
        <v>188</v>
      </c>
      <c r="P3493" s="11" t="s">
        <v>10055</v>
      </c>
      <c r="Q3493" s="11" t="s">
        <v>10809</v>
      </c>
      <c r="S3493" s="4" t="b">
        <f>ISNUMBER(MATCH(Q3493,T:T,0))</f>
        <v>1</v>
      </c>
      <c r="T3493" s="4" t="s">
        <v>12766</v>
      </c>
      <c r="U3493" s="4" t="str">
        <f t="shared" si="157"/>
        <v>結</v>
      </c>
    </row>
    <row r="3494" spans="1:22">
      <c r="A3494" s="3">
        <v>3485</v>
      </c>
      <c r="B3494" s="3" t="s">
        <v>3771</v>
      </c>
      <c r="C3494" s="3" t="s">
        <v>6053</v>
      </c>
      <c r="D3494" s="3" t="s">
        <v>2843</v>
      </c>
      <c r="E3494" s="3" t="s">
        <v>5991</v>
      </c>
      <c r="F3494" s="3" t="s">
        <v>8121</v>
      </c>
      <c r="G3494" s="3" t="s">
        <v>538</v>
      </c>
      <c r="H3494" s="3" t="s">
        <v>3805</v>
      </c>
      <c r="I3494" s="3" t="s">
        <v>6836</v>
      </c>
      <c r="J3494" s="8" t="s">
        <v>6557</v>
      </c>
      <c r="L3494" s="3" t="s">
        <v>6235</v>
      </c>
      <c r="M3494" s="3">
        <v>10</v>
      </c>
      <c r="N3494" s="4" t="s">
        <v>3774</v>
      </c>
      <c r="O3494" s="4">
        <v>188</v>
      </c>
      <c r="P3494" s="11" t="s">
        <v>9884</v>
      </c>
      <c r="Q3494" s="11" t="s">
        <v>10812</v>
      </c>
      <c r="S3494" s="4" t="b">
        <f>ISNUMBER(MATCH(Q3494,T:T,0))</f>
        <v>1</v>
      </c>
      <c r="T3494" s="4" t="s">
        <v>12767</v>
      </c>
      <c r="U3494" s="4" t="str">
        <f t="shared" si="157"/>
        <v>蔑</v>
      </c>
    </row>
    <row r="3495" spans="1:22">
      <c r="A3495" s="3">
        <v>3486</v>
      </c>
      <c r="B3495" s="3" t="s">
        <v>3771</v>
      </c>
      <c r="C3495" s="3" t="s">
        <v>6045</v>
      </c>
      <c r="D3495" s="3" t="s">
        <v>2843</v>
      </c>
      <c r="E3495" s="3" t="s">
        <v>5991</v>
      </c>
      <c r="F3495" s="3" t="s">
        <v>8121</v>
      </c>
      <c r="G3495" s="3" t="s">
        <v>538</v>
      </c>
      <c r="H3495" s="3" t="s">
        <v>3806</v>
      </c>
      <c r="I3495" s="3" t="s">
        <v>6836</v>
      </c>
      <c r="J3495" s="5" t="s">
        <v>3807</v>
      </c>
      <c r="L3495" s="3" t="s">
        <v>3808</v>
      </c>
      <c r="M3495" s="3">
        <v>14</v>
      </c>
      <c r="N3495" s="4" t="s">
        <v>3774</v>
      </c>
      <c r="O3495" s="4">
        <v>188</v>
      </c>
      <c r="P3495" s="11" t="s">
        <v>9965</v>
      </c>
      <c r="Q3495" s="11" t="s">
        <v>10809</v>
      </c>
      <c r="S3495" s="4" t="b">
        <f>ISNUMBER(MATCH(Q3495,T:T,0))</f>
        <v>1</v>
      </c>
      <c r="T3495" s="4" t="s">
        <v>12768</v>
      </c>
      <c r="U3495" s="4" t="str">
        <f t="shared" si="157"/>
        <v>結</v>
      </c>
    </row>
    <row r="3496" spans="1:22">
      <c r="A3496" s="3">
        <v>3487</v>
      </c>
      <c r="B3496" s="3" t="s">
        <v>3771</v>
      </c>
      <c r="C3496" s="3" t="s">
        <v>5989</v>
      </c>
      <c r="D3496" s="3" t="s">
        <v>2843</v>
      </c>
      <c r="E3496" s="3" t="s">
        <v>5991</v>
      </c>
      <c r="F3496" s="3" t="s">
        <v>8121</v>
      </c>
      <c r="G3496" s="3" t="s">
        <v>538</v>
      </c>
      <c r="H3496" s="3" t="s">
        <v>3809</v>
      </c>
      <c r="I3496" s="3" t="s">
        <v>6836</v>
      </c>
      <c r="J3496" s="5" t="s">
        <v>3810</v>
      </c>
      <c r="L3496" s="3" t="s">
        <v>3811</v>
      </c>
      <c r="M3496" s="3">
        <v>7</v>
      </c>
      <c r="N3496" s="4" t="s">
        <v>3774</v>
      </c>
      <c r="O3496" s="4">
        <v>188</v>
      </c>
      <c r="P3496" s="11" t="s">
        <v>9822</v>
      </c>
      <c r="Q3496" s="11" t="s">
        <v>10809</v>
      </c>
      <c r="S3496" s="4" t="b">
        <f>ISNUMBER(MATCH(Q3496,T:T,0))</f>
        <v>1</v>
      </c>
      <c r="T3496" s="4" t="s">
        <v>12657</v>
      </c>
      <c r="U3496" s="4" t="str">
        <f t="shared" si="157"/>
        <v>結</v>
      </c>
    </row>
    <row r="3497" spans="1:22">
      <c r="A3497" s="3">
        <v>3488</v>
      </c>
      <c r="B3497" s="3" t="s">
        <v>3771</v>
      </c>
      <c r="C3497" s="3" t="s">
        <v>6058</v>
      </c>
      <c r="D3497" s="3" t="s">
        <v>2843</v>
      </c>
      <c r="E3497" s="3" t="s">
        <v>5991</v>
      </c>
      <c r="F3497" s="3" t="s">
        <v>8121</v>
      </c>
      <c r="G3497" s="3" t="s">
        <v>538</v>
      </c>
      <c r="H3497" s="3" t="s">
        <v>3812</v>
      </c>
      <c r="I3497" s="3" t="s">
        <v>6836</v>
      </c>
      <c r="J3497" s="5" t="s">
        <v>6558</v>
      </c>
      <c r="L3497" s="3" t="s">
        <v>3813</v>
      </c>
      <c r="M3497" s="3">
        <v>7</v>
      </c>
      <c r="N3497" s="4" t="s">
        <v>3774</v>
      </c>
      <c r="O3497" s="4">
        <v>188</v>
      </c>
      <c r="P3497" s="11" t="s">
        <v>10619</v>
      </c>
      <c r="Q3497" s="11" t="s">
        <v>10809</v>
      </c>
      <c r="S3497" s="4" t="b">
        <f>ISNUMBER(MATCH(Q3497,T:T,0))</f>
        <v>1</v>
      </c>
      <c r="T3497" s="4" t="s">
        <v>12769</v>
      </c>
      <c r="U3497" s="4" t="str">
        <f t="shared" si="157"/>
        <v>結</v>
      </c>
    </row>
    <row r="3498" spans="1:22" ht="39">
      <c r="A3498" s="3">
        <v>3489</v>
      </c>
      <c r="B3498" s="3" t="s">
        <v>3814</v>
      </c>
      <c r="C3498" s="3" t="s">
        <v>6017</v>
      </c>
      <c r="D3498" s="3" t="s">
        <v>6001</v>
      </c>
      <c r="E3498" s="3" t="s">
        <v>5991</v>
      </c>
      <c r="F3498" s="3" t="s">
        <v>8163</v>
      </c>
      <c r="G3498" s="3" t="s">
        <v>538</v>
      </c>
      <c r="H3498" s="3" t="s">
        <v>3815</v>
      </c>
      <c r="I3498" s="3" t="s">
        <v>6836</v>
      </c>
      <c r="J3498" s="5" t="s">
        <v>6559</v>
      </c>
      <c r="L3498" s="3" t="s">
        <v>6296</v>
      </c>
      <c r="M3498" s="3">
        <v>19</v>
      </c>
      <c r="N3498" s="4" t="s">
        <v>9687</v>
      </c>
      <c r="O3498" s="4">
        <v>189</v>
      </c>
      <c r="P3498" s="11" t="s">
        <v>9746</v>
      </c>
      <c r="Q3498" s="11" t="s">
        <v>10813</v>
      </c>
      <c r="S3498" s="4" t="b">
        <f>ISNUMBER(MATCH(Q3498,T:T,0))</f>
        <v>1</v>
      </c>
      <c r="T3498" s="4" t="s">
        <v>9687</v>
      </c>
      <c r="U3498" s="4" t="str">
        <f t="shared" si="157"/>
        <v>列</v>
      </c>
    </row>
    <row r="3499" spans="1:22" ht="39">
      <c r="A3499" s="3">
        <v>3490</v>
      </c>
      <c r="B3499" s="3" t="s">
        <v>3814</v>
      </c>
      <c r="C3499" s="3" t="s">
        <v>6058</v>
      </c>
      <c r="D3499" s="3" t="s">
        <v>6001</v>
      </c>
      <c r="E3499" s="3" t="s">
        <v>5991</v>
      </c>
      <c r="F3499" s="3" t="s">
        <v>8163</v>
      </c>
      <c r="G3499" s="3" t="s">
        <v>538</v>
      </c>
      <c r="H3499" s="3" t="s">
        <v>895</v>
      </c>
      <c r="I3499" s="3" t="s">
        <v>6836</v>
      </c>
      <c r="J3499" s="5" t="s">
        <v>6560</v>
      </c>
      <c r="L3499" s="3" t="s">
        <v>3813</v>
      </c>
      <c r="M3499" s="3">
        <v>20</v>
      </c>
      <c r="N3499" s="4" t="s">
        <v>9687</v>
      </c>
      <c r="O3499" s="4">
        <v>189</v>
      </c>
      <c r="P3499" s="11" t="s">
        <v>10084</v>
      </c>
      <c r="Q3499" s="11" t="s">
        <v>10814</v>
      </c>
      <c r="R3499" s="4" t="s">
        <v>13185</v>
      </c>
      <c r="S3499" s="4" t="b">
        <f>ISNUMBER(MATCH(Q3499,T:T,0))</f>
        <v>0</v>
      </c>
      <c r="T3499" s="4" t="s">
        <v>10813</v>
      </c>
      <c r="U3499" s="4" t="str">
        <f t="shared" si="157"/>
        <v>薛</v>
      </c>
      <c r="V3499" s="4" t="b">
        <f>ISNUMBER(MATCH(R3499,T:T,0))</f>
        <v>1</v>
      </c>
    </row>
    <row r="3500" spans="1:22">
      <c r="A3500" s="3">
        <v>3491</v>
      </c>
      <c r="B3500" s="3" t="s">
        <v>3814</v>
      </c>
      <c r="C3500" s="3" t="s">
        <v>6000</v>
      </c>
      <c r="D3500" s="3" t="s">
        <v>6001</v>
      </c>
      <c r="E3500" s="3" t="s">
        <v>5991</v>
      </c>
      <c r="F3500" s="3" t="s">
        <v>8177</v>
      </c>
      <c r="G3500" s="3" t="s">
        <v>538</v>
      </c>
      <c r="H3500" s="3" t="s">
        <v>3816</v>
      </c>
      <c r="I3500" s="3" t="s">
        <v>6836</v>
      </c>
      <c r="J3500" s="5" t="s">
        <v>6561</v>
      </c>
      <c r="L3500" s="3" t="s">
        <v>3551</v>
      </c>
      <c r="M3500" s="3">
        <v>5</v>
      </c>
      <c r="N3500" s="4" t="s">
        <v>9687</v>
      </c>
      <c r="O3500" s="4">
        <v>189</v>
      </c>
      <c r="P3500" s="11" t="s">
        <v>9707</v>
      </c>
      <c r="Q3500" s="11" t="s">
        <v>10813</v>
      </c>
      <c r="S3500" s="4" t="b">
        <f>ISNUMBER(MATCH(Q3500,T:T,0))</f>
        <v>1</v>
      </c>
      <c r="T3500" s="4" t="s">
        <v>12770</v>
      </c>
      <c r="U3500" s="4" t="str">
        <f t="shared" si="157"/>
        <v>列</v>
      </c>
    </row>
    <row r="3501" spans="1:22">
      <c r="A3501" s="3">
        <v>3492</v>
      </c>
      <c r="B3501" s="3" t="s">
        <v>3814</v>
      </c>
      <c r="C3501" s="3" t="s">
        <v>6041</v>
      </c>
      <c r="D3501" s="3" t="s">
        <v>6001</v>
      </c>
      <c r="E3501" s="3" t="s">
        <v>5991</v>
      </c>
      <c r="F3501" s="3" t="s">
        <v>8177</v>
      </c>
      <c r="G3501" s="3" t="s">
        <v>538</v>
      </c>
      <c r="H3501" s="3" t="s">
        <v>3817</v>
      </c>
      <c r="I3501" s="3" t="s">
        <v>6836</v>
      </c>
      <c r="J3501" s="5" t="s">
        <v>6562</v>
      </c>
      <c r="L3501" s="3" t="s">
        <v>3611</v>
      </c>
      <c r="M3501" s="3">
        <v>14</v>
      </c>
      <c r="N3501" s="4" t="s">
        <v>9687</v>
      </c>
      <c r="O3501" s="4">
        <v>189</v>
      </c>
      <c r="P3501" s="11" t="s">
        <v>9721</v>
      </c>
      <c r="Q3501" s="11" t="s">
        <v>10813</v>
      </c>
      <c r="S3501" s="4" t="b">
        <f>ISNUMBER(MATCH(Q3501,T:T,0))</f>
        <v>1</v>
      </c>
      <c r="T3501" s="4" t="s">
        <v>12771</v>
      </c>
      <c r="U3501" s="4" t="str">
        <f t="shared" si="157"/>
        <v>列</v>
      </c>
    </row>
    <row r="3502" spans="1:22">
      <c r="A3502" s="3">
        <v>3493</v>
      </c>
      <c r="B3502" s="3" t="s">
        <v>3814</v>
      </c>
      <c r="C3502" s="3" t="s">
        <v>6021</v>
      </c>
      <c r="D3502" s="3" t="s">
        <v>6001</v>
      </c>
      <c r="E3502" s="3" t="s">
        <v>5991</v>
      </c>
      <c r="F3502" s="3" t="s">
        <v>8163</v>
      </c>
      <c r="G3502" s="3" t="s">
        <v>538</v>
      </c>
      <c r="H3502" s="3" t="s">
        <v>3818</v>
      </c>
      <c r="I3502" s="3" t="s">
        <v>6836</v>
      </c>
      <c r="J3502" s="5" t="s">
        <v>3819</v>
      </c>
      <c r="L3502" s="3" t="s">
        <v>3820</v>
      </c>
      <c r="M3502" s="3">
        <v>2</v>
      </c>
      <c r="N3502" s="4" t="s">
        <v>9687</v>
      </c>
      <c r="O3502" s="4">
        <v>189</v>
      </c>
      <c r="P3502" s="11" t="s">
        <v>9715</v>
      </c>
      <c r="Q3502" s="11" t="s">
        <v>10813</v>
      </c>
      <c r="S3502" s="4" t="b">
        <f>ISNUMBER(MATCH(Q3502,T:T,0))</f>
        <v>1</v>
      </c>
      <c r="T3502" s="4" t="s">
        <v>10815</v>
      </c>
      <c r="U3502" s="4" t="str">
        <f t="shared" si="157"/>
        <v>列</v>
      </c>
    </row>
    <row r="3503" spans="1:22">
      <c r="A3503" s="3">
        <v>3494</v>
      </c>
      <c r="B3503" s="3" t="s">
        <v>3814</v>
      </c>
      <c r="C3503" s="3" t="s">
        <v>6009</v>
      </c>
      <c r="D3503" s="3" t="s">
        <v>6001</v>
      </c>
      <c r="E3503" s="3" t="s">
        <v>5991</v>
      </c>
      <c r="F3503" s="3" t="s">
        <v>8163</v>
      </c>
      <c r="G3503" s="3" t="s">
        <v>538</v>
      </c>
      <c r="H3503" s="3" t="s">
        <v>3821</v>
      </c>
      <c r="I3503" s="3" t="s">
        <v>6836</v>
      </c>
      <c r="J3503" s="5" t="s">
        <v>6563</v>
      </c>
      <c r="L3503" s="3" t="s">
        <v>3551</v>
      </c>
      <c r="M3503" s="3">
        <v>9</v>
      </c>
      <c r="N3503" s="4" t="s">
        <v>9687</v>
      </c>
      <c r="O3503" s="4">
        <v>189</v>
      </c>
      <c r="P3503" s="11" t="s">
        <v>9633</v>
      </c>
      <c r="Q3503" s="11" t="s">
        <v>10815</v>
      </c>
      <c r="S3503" s="4" t="b">
        <f>ISNUMBER(MATCH(Q3503,T:T,0))</f>
        <v>1</v>
      </c>
      <c r="T3503" s="4" t="s">
        <v>12772</v>
      </c>
      <c r="U3503" s="4" t="str">
        <f t="shared" si="157"/>
        <v>熱</v>
      </c>
    </row>
    <row r="3504" spans="1:22">
      <c r="A3504" s="3">
        <v>3495</v>
      </c>
      <c r="B3504" s="3" t="s">
        <v>3814</v>
      </c>
      <c r="C3504" s="3" t="s">
        <v>3093</v>
      </c>
      <c r="D3504" s="3" t="s">
        <v>6001</v>
      </c>
      <c r="E3504" s="3" t="s">
        <v>5991</v>
      </c>
      <c r="F3504" s="3" t="s">
        <v>8163</v>
      </c>
      <c r="G3504" s="3" t="s">
        <v>538</v>
      </c>
      <c r="H3504" s="3" t="s">
        <v>3822</v>
      </c>
      <c r="I3504" s="3" t="s">
        <v>6836</v>
      </c>
      <c r="J3504" s="5" t="s">
        <v>6564</v>
      </c>
      <c r="L3504" s="3" t="s">
        <v>3823</v>
      </c>
      <c r="M3504" s="3">
        <v>4</v>
      </c>
      <c r="N3504" s="4" t="s">
        <v>9687</v>
      </c>
      <c r="O3504" s="4">
        <v>189</v>
      </c>
      <c r="P3504" s="11" t="s">
        <v>9929</v>
      </c>
      <c r="Q3504" s="11" t="s">
        <v>10813</v>
      </c>
      <c r="S3504" s="4" t="b">
        <f>ISNUMBER(MATCH(Q3504,T:T,0))</f>
        <v>1</v>
      </c>
      <c r="T3504" s="4" t="s">
        <v>12773</v>
      </c>
      <c r="U3504" s="4" t="str">
        <f t="shared" si="157"/>
        <v>列</v>
      </c>
    </row>
    <row r="3505" spans="1:22">
      <c r="A3505" s="3">
        <v>3496</v>
      </c>
      <c r="B3505" s="3" t="s">
        <v>3814</v>
      </c>
      <c r="C3505" s="3" t="s">
        <v>6148</v>
      </c>
      <c r="D3505" s="3" t="s">
        <v>6001</v>
      </c>
      <c r="E3505" s="3" t="s">
        <v>5991</v>
      </c>
      <c r="F3505" s="3" t="s">
        <v>8163</v>
      </c>
      <c r="G3505" s="3" t="s">
        <v>538</v>
      </c>
      <c r="H3505" s="3" t="s">
        <v>3824</v>
      </c>
      <c r="I3505" s="3" t="s">
        <v>6836</v>
      </c>
      <c r="J3505" s="5" t="s">
        <v>3825</v>
      </c>
      <c r="L3505" s="3" t="s">
        <v>3823</v>
      </c>
      <c r="M3505" s="3">
        <v>1</v>
      </c>
      <c r="N3505" s="4" t="s">
        <v>9687</v>
      </c>
      <c r="O3505" s="4">
        <v>189</v>
      </c>
      <c r="P3505" s="11" t="s">
        <v>6148</v>
      </c>
      <c r="Q3505" s="11" t="s">
        <v>10813</v>
      </c>
      <c r="S3505" s="4" t="b">
        <f>ISNUMBER(MATCH(Q3505,T:T,0))</f>
        <v>1</v>
      </c>
      <c r="T3505" s="4" t="s">
        <v>3825</v>
      </c>
      <c r="U3505" s="4" t="str">
        <f t="shared" si="157"/>
        <v>列</v>
      </c>
    </row>
    <row r="3506" spans="1:22">
      <c r="A3506" s="3">
        <v>3497</v>
      </c>
      <c r="B3506" s="3" t="s">
        <v>3814</v>
      </c>
      <c r="C3506" s="3" t="s">
        <v>6092</v>
      </c>
      <c r="D3506" s="3" t="s">
        <v>6001</v>
      </c>
      <c r="E3506" s="3" t="s">
        <v>5991</v>
      </c>
      <c r="F3506" s="3" t="s">
        <v>8177</v>
      </c>
      <c r="G3506" s="3" t="s">
        <v>538</v>
      </c>
      <c r="H3506" s="3" t="s">
        <v>3826</v>
      </c>
      <c r="I3506" s="3" t="s">
        <v>6836</v>
      </c>
      <c r="J3506" s="8" t="s">
        <v>6565</v>
      </c>
      <c r="L3506" s="3" t="s">
        <v>5432</v>
      </c>
      <c r="M3506" s="3">
        <v>12</v>
      </c>
      <c r="N3506" s="4" t="s">
        <v>9687</v>
      </c>
      <c r="O3506" s="4">
        <v>189</v>
      </c>
      <c r="P3506" s="11" t="s">
        <v>6462</v>
      </c>
      <c r="Q3506" s="11" t="s">
        <v>10813</v>
      </c>
      <c r="S3506" s="4" t="b">
        <f>ISNUMBER(MATCH(Q3506,T:T,0))</f>
        <v>1</v>
      </c>
      <c r="T3506" s="4" t="s">
        <v>12774</v>
      </c>
      <c r="U3506" s="4" t="str">
        <f t="shared" si="157"/>
        <v>列</v>
      </c>
    </row>
    <row r="3507" spans="1:22">
      <c r="A3507" s="3">
        <v>3498</v>
      </c>
      <c r="B3507" s="3" t="s">
        <v>3814</v>
      </c>
      <c r="C3507" s="3" t="s">
        <v>6035</v>
      </c>
      <c r="D3507" s="3" t="s">
        <v>6001</v>
      </c>
      <c r="E3507" s="3" t="s">
        <v>5991</v>
      </c>
      <c r="F3507" s="3" t="s">
        <v>8163</v>
      </c>
      <c r="G3507" s="3" t="s">
        <v>538</v>
      </c>
      <c r="H3507" s="3" t="s">
        <v>3827</v>
      </c>
      <c r="I3507" s="3" t="s">
        <v>6836</v>
      </c>
      <c r="J3507" s="5" t="s">
        <v>3828</v>
      </c>
      <c r="L3507" s="3" t="s">
        <v>3796</v>
      </c>
      <c r="M3507" s="3">
        <v>2</v>
      </c>
      <c r="N3507" s="4" t="s">
        <v>9687</v>
      </c>
      <c r="O3507" s="4">
        <v>189</v>
      </c>
      <c r="P3507" s="11" t="s">
        <v>10151</v>
      </c>
      <c r="Q3507" s="11" t="s">
        <v>10813</v>
      </c>
      <c r="S3507" s="4" t="b">
        <f>ISNUMBER(MATCH(Q3507,T:T,0))</f>
        <v>1</v>
      </c>
      <c r="T3507" s="4" t="s">
        <v>10821</v>
      </c>
      <c r="U3507" s="4" t="str">
        <f t="shared" si="157"/>
        <v>列</v>
      </c>
    </row>
    <row r="3508" spans="1:22">
      <c r="A3508" s="3">
        <v>3499</v>
      </c>
      <c r="B3508" s="3" t="s">
        <v>3814</v>
      </c>
      <c r="C3508" s="3" t="s">
        <v>6038</v>
      </c>
      <c r="D3508" s="3" t="s">
        <v>6001</v>
      </c>
      <c r="E3508" s="3" t="s">
        <v>5991</v>
      </c>
      <c r="F3508" s="3" t="s">
        <v>8177</v>
      </c>
      <c r="G3508" s="3" t="s">
        <v>538</v>
      </c>
      <c r="H3508" s="3" t="s">
        <v>3829</v>
      </c>
      <c r="I3508" s="3" t="s">
        <v>6836</v>
      </c>
      <c r="J3508" s="5" t="s">
        <v>3830</v>
      </c>
      <c r="L3508" s="3" t="s">
        <v>6287</v>
      </c>
      <c r="M3508" s="3">
        <v>5</v>
      </c>
      <c r="N3508" s="4" t="s">
        <v>9687</v>
      </c>
      <c r="O3508" s="4">
        <v>189</v>
      </c>
      <c r="P3508" s="11" t="s">
        <v>9825</v>
      </c>
      <c r="Q3508" s="11" t="s">
        <v>10816</v>
      </c>
      <c r="R3508" s="4" t="s">
        <v>13186</v>
      </c>
      <c r="S3508" s="4" t="b">
        <f>ISNUMBER(MATCH(Q3508,T:T,0))</f>
        <v>0</v>
      </c>
      <c r="T3508" s="4" t="s">
        <v>12775</v>
      </c>
      <c r="U3508" s="4" t="str">
        <f t="shared" si="157"/>
        <v>傑</v>
      </c>
      <c r="V3508" s="4" t="b">
        <f>ISNUMBER(MATCH(R3508,T:T,0))</f>
        <v>1</v>
      </c>
    </row>
    <row r="3509" spans="1:22">
      <c r="A3509" s="3">
        <v>3500</v>
      </c>
      <c r="B3509" s="3" t="s">
        <v>3814</v>
      </c>
      <c r="C3509" s="3" t="s">
        <v>6049</v>
      </c>
      <c r="D3509" s="3" t="s">
        <v>6001</v>
      </c>
      <c r="E3509" s="3" t="s">
        <v>5991</v>
      </c>
      <c r="F3509" s="3" t="s">
        <v>8163</v>
      </c>
      <c r="G3509" s="3" t="s">
        <v>538</v>
      </c>
      <c r="H3509" s="3" t="s">
        <v>3831</v>
      </c>
      <c r="I3509" s="3" t="s">
        <v>6836</v>
      </c>
      <c r="J3509" s="5" t="s">
        <v>6566</v>
      </c>
      <c r="L3509" s="3" t="s">
        <v>6255</v>
      </c>
      <c r="M3509" s="3">
        <v>7</v>
      </c>
      <c r="N3509" s="4" t="s">
        <v>9687</v>
      </c>
      <c r="O3509" s="4">
        <v>189</v>
      </c>
      <c r="P3509" s="11" t="s">
        <v>10108</v>
      </c>
      <c r="Q3509" s="11" t="s">
        <v>10813</v>
      </c>
      <c r="S3509" s="4" t="b">
        <f>ISNUMBER(MATCH(Q3509,T:T,0))</f>
        <v>1</v>
      </c>
      <c r="T3509" s="4" t="s">
        <v>12776</v>
      </c>
      <c r="U3509" s="4" t="str">
        <f t="shared" si="157"/>
        <v>列</v>
      </c>
    </row>
    <row r="3510" spans="1:22">
      <c r="A3510" s="3">
        <v>3501</v>
      </c>
      <c r="B3510" s="3" t="s">
        <v>3814</v>
      </c>
      <c r="C3510" s="3" t="s">
        <v>6069</v>
      </c>
      <c r="D3510" s="3" t="s">
        <v>6001</v>
      </c>
      <c r="E3510" s="3" t="s">
        <v>6212</v>
      </c>
      <c r="F3510" s="3" t="s">
        <v>8163</v>
      </c>
      <c r="G3510" s="3" t="s">
        <v>538</v>
      </c>
      <c r="H3510" s="3" t="s">
        <v>3832</v>
      </c>
      <c r="I3510" s="3" t="s">
        <v>6836</v>
      </c>
      <c r="J3510" s="5" t="s">
        <v>3833</v>
      </c>
      <c r="L3510" s="3" t="s">
        <v>3594</v>
      </c>
      <c r="M3510" s="3">
        <v>1</v>
      </c>
      <c r="N3510" s="4" t="s">
        <v>9687</v>
      </c>
      <c r="O3510" s="4">
        <v>189</v>
      </c>
      <c r="P3510" s="11" t="s">
        <v>10103</v>
      </c>
      <c r="Q3510" s="11" t="s">
        <v>10817</v>
      </c>
      <c r="S3510" s="4" t="b">
        <f>ISNUMBER(MATCH(Q3510,T:T,0))</f>
        <v>1</v>
      </c>
      <c r="T3510" s="4" t="s">
        <v>3833</v>
      </c>
      <c r="U3510" s="4" t="str">
        <f t="shared" si="157"/>
        <v>雪</v>
      </c>
    </row>
    <row r="3511" spans="1:22">
      <c r="A3511" s="3">
        <v>3502</v>
      </c>
      <c r="B3511" s="3" t="s">
        <v>3814</v>
      </c>
      <c r="C3511" s="3" t="s">
        <v>6083</v>
      </c>
      <c r="D3511" s="3" t="s">
        <v>6001</v>
      </c>
      <c r="E3511" s="3" t="s">
        <v>6212</v>
      </c>
      <c r="F3511" s="3" t="s">
        <v>8163</v>
      </c>
      <c r="G3511" s="3" t="s">
        <v>538</v>
      </c>
      <c r="H3511" s="3" t="s">
        <v>3834</v>
      </c>
      <c r="I3511" s="3" t="s">
        <v>6836</v>
      </c>
      <c r="J3511" s="5" t="s">
        <v>3835</v>
      </c>
      <c r="L3511" s="3" t="s">
        <v>3417</v>
      </c>
      <c r="M3511" s="3">
        <v>3</v>
      </c>
      <c r="N3511" s="4" t="s">
        <v>9687</v>
      </c>
      <c r="O3511" s="4">
        <v>189</v>
      </c>
      <c r="P3511" s="11" t="s">
        <v>9737</v>
      </c>
      <c r="Q3511" s="11" t="s">
        <v>9805</v>
      </c>
      <c r="S3511" s="4" t="b">
        <f>ISNUMBER(MATCH(Q3511,T:T,0))</f>
        <v>1</v>
      </c>
      <c r="T3511" s="4" t="s">
        <v>12181</v>
      </c>
      <c r="U3511" s="4" t="str">
        <f t="shared" si="157"/>
        <v>悅</v>
      </c>
    </row>
    <row r="3512" spans="1:22">
      <c r="A3512" s="3">
        <v>3503</v>
      </c>
      <c r="B3512" s="3" t="s">
        <v>3814</v>
      </c>
      <c r="C3512" s="3" t="s">
        <v>6017</v>
      </c>
      <c r="D3512" s="3" t="s">
        <v>6001</v>
      </c>
      <c r="E3512" s="3" t="s">
        <v>6212</v>
      </c>
      <c r="F3512" s="3" t="s">
        <v>8163</v>
      </c>
      <c r="G3512" s="3" t="s">
        <v>538</v>
      </c>
      <c r="H3512" s="3" t="s">
        <v>3836</v>
      </c>
      <c r="I3512" s="3" t="s">
        <v>6836</v>
      </c>
      <c r="J3512" s="5" t="s">
        <v>3837</v>
      </c>
      <c r="L3512" s="3" t="s">
        <v>3448</v>
      </c>
      <c r="M3512" s="3">
        <v>4</v>
      </c>
      <c r="N3512" s="4" t="s">
        <v>9687</v>
      </c>
      <c r="O3512" s="4">
        <v>189</v>
      </c>
      <c r="P3512" s="11" t="s">
        <v>2555</v>
      </c>
      <c r="Q3512" s="11" t="s">
        <v>3833</v>
      </c>
      <c r="S3512" s="4" t="b">
        <f>ISNUMBER(MATCH(Q3512,T:T,0))</f>
        <v>1</v>
      </c>
      <c r="T3512" s="4" t="s">
        <v>10817</v>
      </c>
      <c r="U3512" s="4" t="str">
        <f t="shared" si="157"/>
        <v>絕</v>
      </c>
    </row>
    <row r="3513" spans="1:22">
      <c r="A3513" s="3">
        <v>3504</v>
      </c>
      <c r="B3513" s="3" t="s">
        <v>3814</v>
      </c>
      <c r="C3513" s="3" t="s">
        <v>6011</v>
      </c>
      <c r="D3513" s="3" t="s">
        <v>6001</v>
      </c>
      <c r="E3513" s="3" t="s">
        <v>6212</v>
      </c>
      <c r="F3513" s="3" t="s">
        <v>8177</v>
      </c>
      <c r="G3513" s="3" t="s">
        <v>538</v>
      </c>
      <c r="H3513" s="3" t="s">
        <v>3838</v>
      </c>
      <c r="I3513" s="3" t="s">
        <v>6836</v>
      </c>
      <c r="J3513" s="5" t="s">
        <v>3839</v>
      </c>
      <c r="L3513" s="3" t="s">
        <v>3441</v>
      </c>
      <c r="M3513" s="3">
        <v>1</v>
      </c>
      <c r="N3513" s="4" t="s">
        <v>9687</v>
      </c>
      <c r="O3513" s="4">
        <v>189</v>
      </c>
      <c r="P3513" s="11" t="s">
        <v>9757</v>
      </c>
      <c r="Q3513" s="11" t="s">
        <v>9805</v>
      </c>
      <c r="S3513" s="4" t="b">
        <f>ISNUMBER(MATCH(Q3513,T:T,0))</f>
        <v>1</v>
      </c>
      <c r="T3513" s="4" t="s">
        <v>3839</v>
      </c>
      <c r="U3513" s="4" t="str">
        <f t="shared" si="157"/>
        <v>悅</v>
      </c>
    </row>
    <row r="3514" spans="1:22">
      <c r="A3514" s="3">
        <v>3505</v>
      </c>
      <c r="B3514" s="3" t="s">
        <v>3814</v>
      </c>
      <c r="C3514" s="3" t="s">
        <v>6028</v>
      </c>
      <c r="D3514" s="3" t="s">
        <v>6001</v>
      </c>
      <c r="E3514" s="3" t="s">
        <v>6212</v>
      </c>
      <c r="F3514" s="3" t="s">
        <v>8163</v>
      </c>
      <c r="G3514" s="3" t="s">
        <v>538</v>
      </c>
      <c r="H3514" s="3" t="s">
        <v>3840</v>
      </c>
      <c r="I3514" s="3" t="s">
        <v>6836</v>
      </c>
      <c r="J3514" s="5" t="s">
        <v>6567</v>
      </c>
      <c r="L3514" s="3" t="s">
        <v>3420</v>
      </c>
      <c r="M3514" s="3">
        <v>7</v>
      </c>
      <c r="N3514" s="4" t="s">
        <v>9687</v>
      </c>
      <c r="O3514" s="4">
        <v>189</v>
      </c>
      <c r="P3514" s="11" t="s">
        <v>9779</v>
      </c>
      <c r="Q3514" s="11" t="s">
        <v>10817</v>
      </c>
      <c r="S3514" s="4" t="b">
        <f>ISNUMBER(MATCH(Q3514,T:T,0))</f>
        <v>1</v>
      </c>
      <c r="T3514" s="4" t="s">
        <v>9805</v>
      </c>
      <c r="U3514" s="4" t="str">
        <f t="shared" si="157"/>
        <v>雪</v>
      </c>
    </row>
    <row r="3515" spans="1:22">
      <c r="A3515" s="3">
        <v>3506</v>
      </c>
      <c r="B3515" s="3" t="s">
        <v>3814</v>
      </c>
      <c r="C3515" s="3" t="s">
        <v>6038</v>
      </c>
      <c r="D3515" s="3" t="s">
        <v>6001</v>
      </c>
      <c r="E3515" s="3" t="s">
        <v>6212</v>
      </c>
      <c r="F3515" s="3" t="s">
        <v>8163</v>
      </c>
      <c r="G3515" s="3" t="s">
        <v>538</v>
      </c>
      <c r="H3515" s="3" t="s">
        <v>3841</v>
      </c>
      <c r="I3515" s="3" t="s">
        <v>6836</v>
      </c>
      <c r="J3515" s="5" t="s">
        <v>3842</v>
      </c>
      <c r="L3515" s="3" t="s">
        <v>2895</v>
      </c>
      <c r="M3515" s="3">
        <v>2</v>
      </c>
      <c r="N3515" s="4" t="s">
        <v>9687</v>
      </c>
      <c r="O3515" s="4">
        <v>189</v>
      </c>
      <c r="P3515" s="11" t="s">
        <v>10105</v>
      </c>
      <c r="Q3515" s="11" t="s">
        <v>10817</v>
      </c>
      <c r="S3515" s="4" t="b">
        <f>ISNUMBER(MATCH(Q3515,T:T,0))</f>
        <v>1</v>
      </c>
      <c r="T3515" s="4" t="s">
        <v>12777</v>
      </c>
      <c r="U3515" s="4" t="str">
        <f t="shared" si="157"/>
        <v>雪</v>
      </c>
    </row>
    <row r="3516" spans="1:22">
      <c r="A3516" s="3">
        <v>3507</v>
      </c>
      <c r="B3516" s="3" t="s">
        <v>3814</v>
      </c>
      <c r="C3516" s="3" t="s">
        <v>6072</v>
      </c>
      <c r="D3516" s="3" t="s">
        <v>6001</v>
      </c>
      <c r="E3516" s="3" t="s">
        <v>6212</v>
      </c>
      <c r="F3516" s="3" t="s">
        <v>8177</v>
      </c>
      <c r="G3516" s="3" t="s">
        <v>538</v>
      </c>
      <c r="H3516" s="3" t="s">
        <v>3843</v>
      </c>
      <c r="I3516" s="3" t="s">
        <v>6836</v>
      </c>
      <c r="J3516" s="5" t="s">
        <v>3844</v>
      </c>
      <c r="L3516" s="3" t="s">
        <v>3438</v>
      </c>
      <c r="M3516" s="3">
        <v>1</v>
      </c>
      <c r="N3516" s="4" t="s">
        <v>9687</v>
      </c>
      <c r="O3516" s="4">
        <v>189</v>
      </c>
      <c r="P3516" s="11" t="s">
        <v>9907</v>
      </c>
      <c r="Q3516" s="11" t="s">
        <v>10818</v>
      </c>
      <c r="S3516" s="4" t="b">
        <f>ISNUMBER(MATCH(Q3516,T:T,0))</f>
        <v>1</v>
      </c>
      <c r="T3516" s="4" t="s">
        <v>3844</v>
      </c>
      <c r="U3516" s="4" t="str">
        <f t="shared" si="157"/>
        <v>劣</v>
      </c>
    </row>
    <row r="3517" spans="1:22">
      <c r="A3517" s="3">
        <v>3508</v>
      </c>
      <c r="B3517" s="3" t="s">
        <v>3814</v>
      </c>
      <c r="C3517" s="3" t="s">
        <v>6021</v>
      </c>
      <c r="D3517" s="3" t="s">
        <v>6001</v>
      </c>
      <c r="E3517" s="3" t="s">
        <v>6212</v>
      </c>
      <c r="F3517" s="3" t="s">
        <v>8163</v>
      </c>
      <c r="G3517" s="3" t="s">
        <v>538</v>
      </c>
      <c r="H3517" s="3" t="s">
        <v>3845</v>
      </c>
      <c r="I3517" s="3" t="s">
        <v>6836</v>
      </c>
      <c r="J3517" s="5" t="s">
        <v>6568</v>
      </c>
      <c r="L3517" s="3" t="s">
        <v>3846</v>
      </c>
      <c r="M3517" s="3">
        <v>5</v>
      </c>
      <c r="N3517" s="4" t="s">
        <v>9687</v>
      </c>
      <c r="O3517" s="4">
        <v>189</v>
      </c>
      <c r="P3517" s="11" t="s">
        <v>9715</v>
      </c>
      <c r="Q3517" s="11" t="s">
        <v>10818</v>
      </c>
      <c r="S3517" s="4" t="b">
        <f>ISNUMBER(MATCH(Q3517,T:T,0))</f>
        <v>1</v>
      </c>
      <c r="T3517" s="4" t="s">
        <v>10819</v>
      </c>
      <c r="U3517" s="4" t="str">
        <f t="shared" si="157"/>
        <v>劣</v>
      </c>
    </row>
    <row r="3518" spans="1:22">
      <c r="A3518" s="3">
        <v>3509</v>
      </c>
      <c r="B3518" s="3" t="s">
        <v>3814</v>
      </c>
      <c r="C3518" s="3" t="s">
        <v>6120</v>
      </c>
      <c r="D3518" s="3" t="s">
        <v>6001</v>
      </c>
      <c r="E3518" s="3" t="s">
        <v>6212</v>
      </c>
      <c r="F3518" s="3" t="s">
        <v>8163</v>
      </c>
      <c r="G3518" s="3" t="s">
        <v>538</v>
      </c>
      <c r="H3518" s="3" t="s">
        <v>3847</v>
      </c>
      <c r="I3518" s="3" t="s">
        <v>6836</v>
      </c>
      <c r="J3518" s="5" t="s">
        <v>1441</v>
      </c>
      <c r="L3518" s="3" t="s">
        <v>3427</v>
      </c>
      <c r="M3518" s="3">
        <v>1</v>
      </c>
      <c r="N3518" s="4" t="s">
        <v>9687</v>
      </c>
      <c r="O3518" s="4">
        <v>189</v>
      </c>
      <c r="P3518" s="11" t="s">
        <v>9931</v>
      </c>
      <c r="Q3518" s="11" t="s">
        <v>10819</v>
      </c>
      <c r="S3518" s="4" t="b">
        <f>ISNUMBER(MATCH(Q3518,T:T,0))</f>
        <v>1</v>
      </c>
      <c r="T3518" s="4" t="s">
        <v>1441</v>
      </c>
      <c r="U3518" s="4" t="str">
        <f t="shared" si="157"/>
        <v>爇</v>
      </c>
    </row>
    <row r="3519" spans="1:22">
      <c r="A3519" s="3">
        <v>3510</v>
      </c>
      <c r="B3519" s="3" t="s">
        <v>3814</v>
      </c>
      <c r="C3519" s="3" t="s">
        <v>6009</v>
      </c>
      <c r="D3519" s="3" t="s">
        <v>6001</v>
      </c>
      <c r="E3519" s="3" t="s">
        <v>6212</v>
      </c>
      <c r="F3519" s="3" t="s">
        <v>8163</v>
      </c>
      <c r="G3519" s="3" t="s">
        <v>538</v>
      </c>
      <c r="H3519" s="3" t="s">
        <v>1442</v>
      </c>
      <c r="I3519" s="3" t="s">
        <v>6836</v>
      </c>
      <c r="J3519" s="5" t="s">
        <v>6569</v>
      </c>
      <c r="L3519" s="3" t="s">
        <v>3425</v>
      </c>
      <c r="M3519" s="3">
        <v>11</v>
      </c>
      <c r="N3519" s="4" t="s">
        <v>9687</v>
      </c>
      <c r="O3519" s="4">
        <v>189</v>
      </c>
      <c r="P3519" s="11" t="s">
        <v>1726</v>
      </c>
      <c r="Q3519" s="11" t="s">
        <v>9805</v>
      </c>
      <c r="S3519" s="4" t="b">
        <f>ISNUMBER(MATCH(Q3519,T:T,0))</f>
        <v>1</v>
      </c>
      <c r="T3519" s="4" t="s">
        <v>12778</v>
      </c>
      <c r="U3519" s="4" t="str">
        <f t="shared" si="157"/>
        <v>悅</v>
      </c>
    </row>
    <row r="3520" spans="1:22">
      <c r="A3520" s="3">
        <v>3511</v>
      </c>
      <c r="B3520" s="3" t="s">
        <v>3814</v>
      </c>
      <c r="C3520" s="3" t="s">
        <v>6055</v>
      </c>
      <c r="D3520" s="3" t="s">
        <v>6001</v>
      </c>
      <c r="E3520" s="3" t="s">
        <v>6212</v>
      </c>
      <c r="F3520" s="3" t="s">
        <v>8163</v>
      </c>
      <c r="G3520" s="3" t="s">
        <v>538</v>
      </c>
      <c r="H3520" s="3" t="s">
        <v>1443</v>
      </c>
      <c r="I3520" s="3" t="s">
        <v>6836</v>
      </c>
      <c r="J3520" s="5" t="s">
        <v>1444</v>
      </c>
      <c r="L3520" s="3" t="s">
        <v>3441</v>
      </c>
      <c r="M3520" s="3">
        <v>2</v>
      </c>
      <c r="N3520" s="4" t="s">
        <v>9687</v>
      </c>
      <c r="O3520" s="4">
        <v>189</v>
      </c>
      <c r="P3520" s="11" t="s">
        <v>6055</v>
      </c>
      <c r="Q3520" s="11" t="s">
        <v>9805</v>
      </c>
      <c r="S3520" s="4" t="b">
        <f>ISNUMBER(MATCH(Q3520,T:T,0))</f>
        <v>1</v>
      </c>
      <c r="T3520" s="4" t="s">
        <v>12779</v>
      </c>
      <c r="U3520" s="4" t="str">
        <f t="shared" si="157"/>
        <v>悅</v>
      </c>
    </row>
    <row r="3521" spans="1:21">
      <c r="A3521" s="3">
        <v>3512</v>
      </c>
      <c r="B3521" s="3" t="s">
        <v>3814</v>
      </c>
      <c r="C3521" s="3" t="s">
        <v>6000</v>
      </c>
      <c r="D3521" s="3" t="s">
        <v>6001</v>
      </c>
      <c r="E3521" s="3" t="s">
        <v>6212</v>
      </c>
      <c r="F3521" s="3" t="s">
        <v>8177</v>
      </c>
      <c r="G3521" s="3" t="s">
        <v>538</v>
      </c>
      <c r="H3521" s="3" t="s">
        <v>1445</v>
      </c>
      <c r="I3521" s="3" t="s">
        <v>6836</v>
      </c>
      <c r="J3521" s="5" t="s">
        <v>6570</v>
      </c>
      <c r="L3521" s="3" t="s">
        <v>3425</v>
      </c>
      <c r="M3521" s="3">
        <v>15</v>
      </c>
      <c r="N3521" s="4" t="s">
        <v>9687</v>
      </c>
      <c r="O3521" s="4">
        <v>189</v>
      </c>
      <c r="P3521" s="11" t="s">
        <v>9707</v>
      </c>
      <c r="Q3521" s="11" t="s">
        <v>10818</v>
      </c>
      <c r="S3521" s="4" t="b">
        <f>ISNUMBER(MATCH(Q3521,T:T,0))</f>
        <v>1</v>
      </c>
      <c r="T3521" s="4" t="s">
        <v>10820</v>
      </c>
      <c r="U3521" s="4" t="str">
        <f t="shared" si="157"/>
        <v>劣</v>
      </c>
    </row>
    <row r="3522" spans="1:21">
      <c r="A3522" s="3">
        <v>3513</v>
      </c>
      <c r="B3522" s="3" t="s">
        <v>3814</v>
      </c>
      <c r="C3522" s="3" t="s">
        <v>6058</v>
      </c>
      <c r="D3522" s="3" t="s">
        <v>6001</v>
      </c>
      <c r="E3522" s="3" t="s">
        <v>6212</v>
      </c>
      <c r="F3522" s="3" t="s">
        <v>8163</v>
      </c>
      <c r="G3522" s="3" t="s">
        <v>538</v>
      </c>
      <c r="H3522" s="3" t="s">
        <v>1446</v>
      </c>
      <c r="I3522" s="3" t="s">
        <v>6836</v>
      </c>
      <c r="J3522" s="5" t="s">
        <v>6571</v>
      </c>
      <c r="L3522" s="3" t="s">
        <v>1447</v>
      </c>
      <c r="M3522" s="3">
        <v>13</v>
      </c>
      <c r="N3522" s="4" t="s">
        <v>9687</v>
      </c>
      <c r="O3522" s="4">
        <v>189</v>
      </c>
      <c r="P3522" s="11" t="s">
        <v>9727</v>
      </c>
      <c r="Q3522" s="11" t="s">
        <v>10820</v>
      </c>
      <c r="S3522" s="4" t="b">
        <f>ISNUMBER(MATCH(Q3522,T:T,0))</f>
        <v>1</v>
      </c>
      <c r="T3522" s="4" t="s">
        <v>10818</v>
      </c>
      <c r="U3522" s="4" t="str">
        <f t="shared" si="157"/>
        <v>輟</v>
      </c>
    </row>
    <row r="3523" spans="1:21">
      <c r="A3523" s="3">
        <v>3514</v>
      </c>
      <c r="B3523" s="3" t="s">
        <v>3814</v>
      </c>
      <c r="C3523" s="3" t="s">
        <v>6053</v>
      </c>
      <c r="D3523" s="3" t="s">
        <v>6001</v>
      </c>
      <c r="E3523" s="3" t="s">
        <v>5991</v>
      </c>
      <c r="F3523" s="3" t="s">
        <v>8163</v>
      </c>
      <c r="G3523" s="3" t="s">
        <v>538</v>
      </c>
      <c r="H3523" s="3" t="s">
        <v>1448</v>
      </c>
      <c r="I3523" s="3" t="s">
        <v>6836</v>
      </c>
      <c r="J3523" s="5" t="s">
        <v>1449</v>
      </c>
      <c r="L3523" s="3" t="s">
        <v>6235</v>
      </c>
      <c r="M3523" s="3">
        <v>4</v>
      </c>
      <c r="N3523" s="4" t="s">
        <v>9687</v>
      </c>
      <c r="O3523" s="4">
        <v>189</v>
      </c>
      <c r="P3523" s="11" t="s">
        <v>9841</v>
      </c>
      <c r="Q3523" s="11" t="s">
        <v>10821</v>
      </c>
      <c r="S3523" s="4" t="b">
        <f>ISNUMBER(MATCH(Q3523,T:T,0))</f>
        <v>1</v>
      </c>
      <c r="T3523" s="4" t="s">
        <v>12780</v>
      </c>
      <c r="U3523" s="4" t="str">
        <f t="shared" ref="U3523:U3586" si="158">IF(ISBLANK(R3523),Q3523,R3523)</f>
        <v>滅</v>
      </c>
    </row>
    <row r="3524" spans="1:21">
      <c r="A3524" s="3">
        <v>3515</v>
      </c>
      <c r="B3524" s="3" t="s">
        <v>3814</v>
      </c>
      <c r="C3524" s="3" t="s">
        <v>6045</v>
      </c>
      <c r="D3524" s="3" t="s">
        <v>6001</v>
      </c>
      <c r="E3524" s="3" t="s">
        <v>5991</v>
      </c>
      <c r="F3524" s="3" t="s">
        <v>8177</v>
      </c>
      <c r="G3524" s="3" t="s">
        <v>538</v>
      </c>
      <c r="H3524" s="3" t="s">
        <v>1450</v>
      </c>
      <c r="I3524" s="3" t="s">
        <v>6836</v>
      </c>
      <c r="J3524" s="8" t="s">
        <v>6572</v>
      </c>
      <c r="L3524" s="3" t="s">
        <v>3808</v>
      </c>
      <c r="M3524" s="3">
        <v>2</v>
      </c>
      <c r="N3524" s="4" t="s">
        <v>9687</v>
      </c>
      <c r="O3524" s="4">
        <v>189</v>
      </c>
      <c r="P3524" s="11" t="s">
        <v>10154</v>
      </c>
      <c r="Q3524" s="11" t="s">
        <v>10813</v>
      </c>
      <c r="S3524" s="4" t="b">
        <f>ISNUMBER(MATCH(Q3524,T:T,0))</f>
        <v>1</v>
      </c>
      <c r="T3524" s="4" t="s">
        <v>10822</v>
      </c>
      <c r="U3524" s="4" t="str">
        <f t="shared" si="158"/>
        <v>列</v>
      </c>
    </row>
    <row r="3525" spans="1:21">
      <c r="A3525" s="3">
        <v>3516</v>
      </c>
      <c r="B3525" s="3" t="s">
        <v>3814</v>
      </c>
      <c r="C3525" s="3" t="s">
        <v>6005</v>
      </c>
      <c r="D3525" s="3" t="s">
        <v>6001</v>
      </c>
      <c r="E3525" s="3" t="s">
        <v>5991</v>
      </c>
      <c r="F3525" s="3" t="s">
        <v>8177</v>
      </c>
      <c r="G3525" s="3" t="s">
        <v>538</v>
      </c>
      <c r="H3525" s="3" t="s">
        <v>1451</v>
      </c>
      <c r="I3525" s="3" t="s">
        <v>6836</v>
      </c>
      <c r="J3525" s="5" t="s">
        <v>1452</v>
      </c>
      <c r="L3525" s="3" t="s">
        <v>3510</v>
      </c>
      <c r="M3525" s="3">
        <v>5</v>
      </c>
      <c r="N3525" s="4" t="s">
        <v>9687</v>
      </c>
      <c r="O3525" s="4">
        <v>189</v>
      </c>
      <c r="P3525" s="11" t="s">
        <v>9709</v>
      </c>
      <c r="Q3525" s="11" t="s">
        <v>10813</v>
      </c>
      <c r="S3525" s="4" t="b">
        <f>ISNUMBER(MATCH(Q3525,T:T,0))</f>
        <v>1</v>
      </c>
      <c r="T3525" s="4" t="s">
        <v>12781</v>
      </c>
      <c r="U3525" s="4" t="str">
        <f t="shared" si="158"/>
        <v>列</v>
      </c>
    </row>
    <row r="3526" spans="1:21">
      <c r="A3526" s="3">
        <v>3517</v>
      </c>
      <c r="B3526" s="3" t="s">
        <v>3814</v>
      </c>
      <c r="C3526" s="3" t="s">
        <v>6049</v>
      </c>
      <c r="D3526" s="3" t="s">
        <v>6001</v>
      </c>
      <c r="E3526" s="3" t="s">
        <v>5991</v>
      </c>
      <c r="F3526" s="3" t="s">
        <v>8177</v>
      </c>
      <c r="G3526" s="3" t="s">
        <v>538</v>
      </c>
      <c r="H3526" s="3" t="s">
        <v>896</v>
      </c>
      <c r="I3526" s="3" t="s">
        <v>6836</v>
      </c>
      <c r="J3526" s="5" t="s">
        <v>6573</v>
      </c>
      <c r="L3526" s="3" t="s">
        <v>6255</v>
      </c>
      <c r="M3526" s="3">
        <v>5</v>
      </c>
      <c r="N3526" s="4" t="s">
        <v>9687</v>
      </c>
      <c r="O3526" s="4">
        <v>189</v>
      </c>
      <c r="P3526" s="11" t="s">
        <v>9723</v>
      </c>
      <c r="Q3526" s="11" t="s">
        <v>10822</v>
      </c>
      <c r="S3526" s="4" t="b">
        <f>ISNUMBER(MATCH(Q3526,T:T,0))</f>
        <v>1</v>
      </c>
      <c r="T3526" s="4" t="s">
        <v>12782</v>
      </c>
      <c r="U3526" s="4" t="str">
        <f t="shared" si="158"/>
        <v>别</v>
      </c>
    </row>
    <row r="3527" spans="1:21">
      <c r="A3527" s="3">
        <v>3518</v>
      </c>
      <c r="B3527" s="3" t="s">
        <v>3814</v>
      </c>
      <c r="C3527" s="3" t="s">
        <v>6180</v>
      </c>
      <c r="D3527" s="3" t="s">
        <v>6001</v>
      </c>
      <c r="E3527" s="3" t="s">
        <v>6212</v>
      </c>
      <c r="F3527" s="3" t="s">
        <v>8177</v>
      </c>
      <c r="G3527" s="3" t="s">
        <v>538</v>
      </c>
      <c r="H3527" s="3" t="s">
        <v>1453</v>
      </c>
      <c r="I3527" s="3" t="s">
        <v>6836</v>
      </c>
      <c r="J3527" s="5" t="s">
        <v>1454</v>
      </c>
      <c r="L3527" s="3" t="s">
        <v>3427</v>
      </c>
      <c r="M3527" s="3">
        <v>4</v>
      </c>
      <c r="N3527" s="4" t="s">
        <v>9687</v>
      </c>
      <c r="O3527" s="4">
        <v>189</v>
      </c>
      <c r="P3527" s="11" t="s">
        <v>9774</v>
      </c>
      <c r="Q3527" s="11" t="s">
        <v>10818</v>
      </c>
      <c r="S3527" s="4" t="b">
        <f>ISNUMBER(MATCH(Q3527,T:T,0))</f>
        <v>1</v>
      </c>
      <c r="T3527" s="4" t="s">
        <v>12783</v>
      </c>
      <c r="U3527" s="4" t="str">
        <f t="shared" si="158"/>
        <v>劣</v>
      </c>
    </row>
    <row r="3528" spans="1:21">
      <c r="A3528" s="3">
        <v>3519</v>
      </c>
      <c r="B3528" s="3" t="s">
        <v>3814</v>
      </c>
      <c r="C3528" s="3" t="s">
        <v>6025</v>
      </c>
      <c r="D3528" s="3" t="s">
        <v>6001</v>
      </c>
      <c r="E3528" s="3" t="s">
        <v>5991</v>
      </c>
      <c r="F3528" s="3" t="s">
        <v>8177</v>
      </c>
      <c r="G3528" s="3" t="s">
        <v>538</v>
      </c>
      <c r="H3528" s="3" t="s">
        <v>1455</v>
      </c>
      <c r="I3528" s="3" t="s">
        <v>6836</v>
      </c>
      <c r="J3528" s="5" t="s">
        <v>1456</v>
      </c>
      <c r="L3528" s="3" t="s">
        <v>3417</v>
      </c>
      <c r="M3528" s="3">
        <v>6</v>
      </c>
      <c r="N3528" s="4" t="s">
        <v>9687</v>
      </c>
      <c r="O3528" s="4">
        <v>189</v>
      </c>
      <c r="P3528" s="11" t="s">
        <v>9717</v>
      </c>
      <c r="Q3528" s="11" t="s">
        <v>10813</v>
      </c>
      <c r="S3528" s="4" t="b">
        <f>ISNUMBER(MATCH(Q3528,T:T,0))</f>
        <v>1</v>
      </c>
      <c r="T3528" s="4" t="s">
        <v>12784</v>
      </c>
      <c r="U3528" s="4" t="str">
        <f t="shared" si="158"/>
        <v>列</v>
      </c>
    </row>
    <row r="3529" spans="1:21">
      <c r="A3529" s="3">
        <v>3520</v>
      </c>
      <c r="B3529" s="3" t="s">
        <v>3814</v>
      </c>
      <c r="C3529" s="3" t="s">
        <v>6120</v>
      </c>
      <c r="D3529" s="3" t="s">
        <v>6001</v>
      </c>
      <c r="E3529" s="3" t="s">
        <v>5991</v>
      </c>
      <c r="F3529" s="3" t="s">
        <v>8163</v>
      </c>
      <c r="G3529" s="3" t="s">
        <v>538</v>
      </c>
      <c r="H3529" s="3" t="s">
        <v>1457</v>
      </c>
      <c r="I3529" s="3" t="s">
        <v>6836</v>
      </c>
      <c r="J3529" s="5" t="s">
        <v>1458</v>
      </c>
      <c r="L3529" s="3" t="s">
        <v>3554</v>
      </c>
      <c r="M3529" s="3">
        <v>2</v>
      </c>
      <c r="N3529" s="4" t="s">
        <v>9687</v>
      </c>
      <c r="O3529" s="4">
        <v>189</v>
      </c>
      <c r="P3529" s="11" t="s">
        <v>10124</v>
      </c>
      <c r="Q3529" s="11" t="s">
        <v>10813</v>
      </c>
      <c r="S3529" s="4" t="b">
        <f>ISNUMBER(MATCH(Q3529,T:T,0))</f>
        <v>1</v>
      </c>
      <c r="T3529" s="4" t="s">
        <v>12785</v>
      </c>
      <c r="U3529" s="4" t="str">
        <f t="shared" si="158"/>
        <v>列</v>
      </c>
    </row>
    <row r="3530" spans="1:21">
      <c r="A3530" s="3">
        <v>3521</v>
      </c>
      <c r="B3530" s="3" t="s">
        <v>3814</v>
      </c>
      <c r="C3530" s="3" t="s">
        <v>6137</v>
      </c>
      <c r="D3530" s="3" t="s">
        <v>6001</v>
      </c>
      <c r="E3530" s="3" t="s">
        <v>6212</v>
      </c>
      <c r="F3530" s="3" t="s">
        <v>8177</v>
      </c>
      <c r="G3530" s="3" t="s">
        <v>538</v>
      </c>
      <c r="H3530" s="3" t="s">
        <v>1459</v>
      </c>
      <c r="I3530" s="3" t="s">
        <v>6836</v>
      </c>
      <c r="J3530" s="8" t="s">
        <v>1460</v>
      </c>
      <c r="L3530" s="3" t="s">
        <v>1461</v>
      </c>
      <c r="M3530" s="3">
        <v>1</v>
      </c>
      <c r="N3530" s="4" t="s">
        <v>9687</v>
      </c>
      <c r="O3530" s="4">
        <v>189</v>
      </c>
      <c r="P3530" s="11" t="s">
        <v>9755</v>
      </c>
      <c r="Q3530" s="11" t="s">
        <v>10818</v>
      </c>
      <c r="S3530" s="4" t="b">
        <f>ISNUMBER(MATCH(Q3530,T:T,0))</f>
        <v>1</v>
      </c>
      <c r="T3530" s="4" t="s">
        <v>1460</v>
      </c>
      <c r="U3530" s="4" t="str">
        <f t="shared" si="158"/>
        <v>劣</v>
      </c>
    </row>
    <row r="3531" spans="1:21">
      <c r="A3531" s="3">
        <v>3522</v>
      </c>
      <c r="B3531" s="3" t="s">
        <v>3814</v>
      </c>
      <c r="C3531" s="3" t="s">
        <v>6089</v>
      </c>
      <c r="D3531" s="3" t="s">
        <v>6001</v>
      </c>
      <c r="E3531" s="3" t="s">
        <v>6212</v>
      </c>
      <c r="F3531" s="3" t="s">
        <v>8177</v>
      </c>
      <c r="G3531" s="3" t="s">
        <v>538</v>
      </c>
      <c r="H3531" s="3" t="s">
        <v>1462</v>
      </c>
      <c r="I3531" s="3" t="s">
        <v>6836</v>
      </c>
      <c r="J3531" s="5" t="s">
        <v>6574</v>
      </c>
      <c r="L3531" s="3" t="s">
        <v>3448</v>
      </c>
      <c r="M3531" s="3">
        <v>6</v>
      </c>
      <c r="N3531" s="4" t="s">
        <v>9687</v>
      </c>
      <c r="O3531" s="4">
        <v>189</v>
      </c>
      <c r="P3531" s="11" t="s">
        <v>9753</v>
      </c>
      <c r="Q3531" s="11" t="s">
        <v>10818</v>
      </c>
      <c r="S3531" s="4" t="b">
        <f>ISNUMBER(MATCH(Q3531,T:T,0))</f>
        <v>1</v>
      </c>
      <c r="T3531" s="4" t="s">
        <v>12786</v>
      </c>
      <c r="U3531" s="4" t="str">
        <f t="shared" si="158"/>
        <v>劣</v>
      </c>
    </row>
    <row r="3532" spans="1:21">
      <c r="A3532" s="3">
        <v>3523</v>
      </c>
      <c r="B3532" s="3" t="s">
        <v>3814</v>
      </c>
      <c r="C3532" s="3" t="s">
        <v>6072</v>
      </c>
      <c r="D3532" s="3" t="s">
        <v>6001</v>
      </c>
      <c r="E3532" s="3" t="s">
        <v>6212</v>
      </c>
      <c r="F3532" s="3" t="s">
        <v>8163</v>
      </c>
      <c r="G3532" s="3" t="s">
        <v>538</v>
      </c>
      <c r="H3532" s="3" t="s">
        <v>1463</v>
      </c>
      <c r="I3532" s="3" t="s">
        <v>6836</v>
      </c>
      <c r="J3532" s="8" t="s">
        <v>1464</v>
      </c>
      <c r="L3532" s="3" t="s">
        <v>3438</v>
      </c>
      <c r="M3532" s="3">
        <v>1</v>
      </c>
      <c r="N3532" s="4" t="s">
        <v>9687</v>
      </c>
      <c r="O3532" s="4">
        <v>189</v>
      </c>
      <c r="P3532" s="11" t="s">
        <v>9754</v>
      </c>
      <c r="Q3532" s="11" t="s">
        <v>9805</v>
      </c>
      <c r="S3532" s="4" t="b">
        <f>ISNUMBER(MATCH(Q3532,T:T,0))</f>
        <v>1</v>
      </c>
      <c r="T3532" s="4" t="s">
        <v>1464</v>
      </c>
      <c r="U3532" s="4" t="str">
        <f t="shared" si="158"/>
        <v>悅</v>
      </c>
    </row>
    <row r="3533" spans="1:21">
      <c r="A3533" s="3">
        <v>3524</v>
      </c>
      <c r="B3533" s="3" t="s">
        <v>3814</v>
      </c>
      <c r="C3533" s="3" t="s">
        <v>6025</v>
      </c>
      <c r="D3533" s="3" t="s">
        <v>6001</v>
      </c>
      <c r="E3533" s="3" t="s">
        <v>6212</v>
      </c>
      <c r="F3533" s="3" t="s">
        <v>8177</v>
      </c>
      <c r="G3533" s="3" t="s">
        <v>538</v>
      </c>
      <c r="H3533" s="3" t="s">
        <v>1465</v>
      </c>
      <c r="I3533" s="3" t="s">
        <v>6836</v>
      </c>
      <c r="J3533" s="5" t="s">
        <v>1466</v>
      </c>
      <c r="L3533" s="3" t="s">
        <v>3417</v>
      </c>
      <c r="M3533" s="3">
        <v>5</v>
      </c>
      <c r="N3533" s="4" t="s">
        <v>9687</v>
      </c>
      <c r="O3533" s="4">
        <v>189</v>
      </c>
      <c r="P3533" s="11" t="s">
        <v>10234</v>
      </c>
      <c r="Q3533" s="11" t="s">
        <v>10818</v>
      </c>
      <c r="S3533" s="4" t="b">
        <f>ISNUMBER(MATCH(Q3533,T:T,0))</f>
        <v>1</v>
      </c>
      <c r="T3533" s="4" t="s">
        <v>12787</v>
      </c>
      <c r="U3533" s="4" t="str">
        <f t="shared" si="158"/>
        <v>劣</v>
      </c>
    </row>
    <row r="3534" spans="1:21">
      <c r="A3534" s="3">
        <v>3525</v>
      </c>
      <c r="B3534" s="3" t="s">
        <v>3814</v>
      </c>
      <c r="C3534" s="3" t="s">
        <v>6318</v>
      </c>
      <c r="D3534" s="3" t="s">
        <v>6001</v>
      </c>
      <c r="E3534" s="3" t="s">
        <v>6212</v>
      </c>
      <c r="F3534" s="3" t="s">
        <v>8177</v>
      </c>
      <c r="G3534" s="3" t="s">
        <v>538</v>
      </c>
      <c r="H3534" s="3" t="s">
        <v>1467</v>
      </c>
      <c r="I3534" s="3" t="s">
        <v>6836</v>
      </c>
      <c r="J3534" s="5" t="s">
        <v>1468</v>
      </c>
      <c r="L3534" s="3" t="s">
        <v>3425</v>
      </c>
      <c r="M3534" s="3">
        <v>2</v>
      </c>
      <c r="N3534" s="4" t="s">
        <v>9687</v>
      </c>
      <c r="O3534" s="4">
        <v>189</v>
      </c>
      <c r="P3534" s="11" t="s">
        <v>9804</v>
      </c>
      <c r="Q3534" s="11" t="s">
        <v>10818</v>
      </c>
      <c r="S3534" s="4" t="b">
        <f>ISNUMBER(MATCH(Q3534,T:T,0))</f>
        <v>1</v>
      </c>
      <c r="T3534" s="4" t="s">
        <v>3520</v>
      </c>
      <c r="U3534" s="4" t="str">
        <f t="shared" si="158"/>
        <v>劣</v>
      </c>
    </row>
    <row r="3535" spans="1:21">
      <c r="A3535" s="3">
        <v>3526</v>
      </c>
      <c r="B3535" s="3" t="s">
        <v>3814</v>
      </c>
      <c r="C3535" s="3" t="s">
        <v>6076</v>
      </c>
      <c r="D3535" s="3" t="s">
        <v>6001</v>
      </c>
      <c r="E3535" s="3" t="s">
        <v>6212</v>
      </c>
      <c r="F3535" s="3" t="s">
        <v>8163</v>
      </c>
      <c r="G3535" s="3" t="s">
        <v>538</v>
      </c>
      <c r="H3535" s="3" t="s">
        <v>1469</v>
      </c>
      <c r="I3535" s="3" t="s">
        <v>6836</v>
      </c>
      <c r="J3535" s="5" t="s">
        <v>6575</v>
      </c>
      <c r="L3535" s="3" t="s">
        <v>2895</v>
      </c>
      <c r="M3535" s="3">
        <v>4</v>
      </c>
      <c r="N3535" s="4" t="s">
        <v>9687</v>
      </c>
      <c r="O3535" s="4">
        <v>189</v>
      </c>
      <c r="P3535" s="11" t="s">
        <v>9766</v>
      </c>
      <c r="Q3535" s="11" t="s">
        <v>3833</v>
      </c>
      <c r="S3535" s="4" t="b">
        <f>ISNUMBER(MATCH(Q3535,T:T,0))</f>
        <v>1</v>
      </c>
      <c r="T3535" s="4" t="s">
        <v>12788</v>
      </c>
      <c r="U3535" s="4" t="str">
        <f t="shared" si="158"/>
        <v>絕</v>
      </c>
    </row>
    <row r="3536" spans="1:21" ht="28.5">
      <c r="A3536" s="3">
        <v>3527</v>
      </c>
      <c r="B3536" s="3" t="s">
        <v>3814</v>
      </c>
      <c r="C3536" s="3" t="s">
        <v>6083</v>
      </c>
      <c r="D3536" s="3" t="s">
        <v>6001</v>
      </c>
      <c r="E3536" s="3" t="s">
        <v>6212</v>
      </c>
      <c r="F3536" s="3" t="s">
        <v>8163</v>
      </c>
      <c r="G3536" s="3" t="s">
        <v>538</v>
      </c>
      <c r="H3536" s="3" t="s">
        <v>1470</v>
      </c>
      <c r="I3536" s="3" t="s">
        <v>6836</v>
      </c>
      <c r="J3536" s="5" t="s">
        <v>1471</v>
      </c>
      <c r="K3536" s="3" t="s">
        <v>1472</v>
      </c>
      <c r="L3536" s="3" t="s">
        <v>3417</v>
      </c>
      <c r="M3536" s="3">
        <v>8</v>
      </c>
      <c r="N3536" s="4" t="s">
        <v>9687</v>
      </c>
      <c r="O3536" s="4">
        <v>189</v>
      </c>
      <c r="P3536" s="11" t="s">
        <v>9799</v>
      </c>
      <c r="Q3536" s="11" t="s">
        <v>10818</v>
      </c>
      <c r="S3536" s="4" t="b">
        <f>ISNUMBER(MATCH(Q3536,T:T,0))</f>
        <v>1</v>
      </c>
      <c r="T3536" s="4" t="s">
        <v>12789</v>
      </c>
      <c r="U3536" s="4" t="str">
        <f t="shared" si="158"/>
        <v>劣</v>
      </c>
    </row>
    <row r="3537" spans="1:22">
      <c r="A3537" s="3">
        <v>3528</v>
      </c>
      <c r="B3537" s="3" t="s">
        <v>3814</v>
      </c>
      <c r="C3537" s="3" t="s">
        <v>6180</v>
      </c>
      <c r="D3537" s="3" t="s">
        <v>6001</v>
      </c>
      <c r="E3537" s="3" t="s">
        <v>5991</v>
      </c>
      <c r="F3537" s="3" t="s">
        <v>8177</v>
      </c>
      <c r="G3537" s="3" t="s">
        <v>538</v>
      </c>
      <c r="H3537" s="3" t="s">
        <v>1473</v>
      </c>
      <c r="I3537" s="3" t="s">
        <v>6836</v>
      </c>
      <c r="J3537" s="5" t="s">
        <v>1474</v>
      </c>
      <c r="L3537" s="3" t="s">
        <v>3554</v>
      </c>
      <c r="M3537" s="3">
        <v>1</v>
      </c>
      <c r="N3537" s="4" t="s">
        <v>9687</v>
      </c>
      <c r="O3537" s="4">
        <v>189</v>
      </c>
      <c r="P3537" s="11" t="s">
        <v>6836</v>
      </c>
      <c r="Q3537" s="11" t="s">
        <v>10813</v>
      </c>
      <c r="S3537" s="4" t="b">
        <f>ISNUMBER(MATCH(Q3537,T:T,0))</f>
        <v>1</v>
      </c>
      <c r="T3537" s="4" t="s">
        <v>1474</v>
      </c>
      <c r="U3537" s="4" t="str">
        <f t="shared" si="158"/>
        <v>列</v>
      </c>
    </row>
    <row r="3538" spans="1:22">
      <c r="A3538" s="3">
        <v>3529</v>
      </c>
      <c r="B3538" s="3" t="s">
        <v>3814</v>
      </c>
      <c r="C3538" s="3" t="s">
        <v>6072</v>
      </c>
      <c r="D3538" s="3" t="s">
        <v>6001</v>
      </c>
      <c r="E3538" s="3" t="s">
        <v>5991</v>
      </c>
      <c r="F3538" s="3" t="s">
        <v>8177</v>
      </c>
      <c r="G3538" s="3" t="s">
        <v>538</v>
      </c>
      <c r="H3538" s="3" t="s">
        <v>1475</v>
      </c>
      <c r="I3538" s="3" t="s">
        <v>6836</v>
      </c>
      <c r="J3538" s="5" t="s">
        <v>1476</v>
      </c>
      <c r="L3538" s="3" t="s">
        <v>6215</v>
      </c>
      <c r="M3538" s="3">
        <v>2</v>
      </c>
      <c r="N3538" s="4" t="s">
        <v>9687</v>
      </c>
      <c r="O3538" s="4">
        <v>189</v>
      </c>
      <c r="P3538" s="11" t="s">
        <v>9754</v>
      </c>
      <c r="Q3538" s="11" t="s">
        <v>10813</v>
      </c>
      <c r="S3538" s="4" t="b">
        <f>ISNUMBER(MATCH(Q3538,T:T,0))</f>
        <v>1</v>
      </c>
      <c r="T3538" s="4" t="s">
        <v>12790</v>
      </c>
      <c r="U3538" s="4" t="str">
        <f t="shared" si="158"/>
        <v>列</v>
      </c>
    </row>
    <row r="3539" spans="1:22">
      <c r="A3539" s="3">
        <v>3530</v>
      </c>
      <c r="B3539" s="3" t="s">
        <v>3814</v>
      </c>
      <c r="C3539" s="3" t="s">
        <v>6011</v>
      </c>
      <c r="D3539" s="3" t="s">
        <v>6001</v>
      </c>
      <c r="E3539" s="3" t="s">
        <v>5991</v>
      </c>
      <c r="F3539" s="3" t="s">
        <v>8177</v>
      </c>
      <c r="G3539" s="3" t="s">
        <v>538</v>
      </c>
      <c r="H3539" s="3" t="s">
        <v>1477</v>
      </c>
      <c r="I3539" s="3" t="s">
        <v>6836</v>
      </c>
      <c r="J3539" s="5" t="s">
        <v>6576</v>
      </c>
      <c r="L3539" s="3" t="s">
        <v>2852</v>
      </c>
      <c r="M3539" s="3">
        <v>7</v>
      </c>
      <c r="N3539" s="4" t="s">
        <v>9687</v>
      </c>
      <c r="O3539" s="4">
        <v>189</v>
      </c>
      <c r="P3539" s="11" t="s">
        <v>9757</v>
      </c>
      <c r="Q3539" s="11" t="s">
        <v>10813</v>
      </c>
      <c r="S3539" s="4" t="b">
        <f>ISNUMBER(MATCH(Q3539,T:T,0))</f>
        <v>1</v>
      </c>
      <c r="T3539" s="4" t="s">
        <v>12791</v>
      </c>
      <c r="U3539" s="4" t="str">
        <f t="shared" si="158"/>
        <v>列</v>
      </c>
    </row>
    <row r="3540" spans="1:22">
      <c r="A3540" s="3">
        <v>3531</v>
      </c>
      <c r="B3540" s="3" t="s">
        <v>3814</v>
      </c>
      <c r="C3540" s="3" t="s">
        <v>6089</v>
      </c>
      <c r="D3540" s="3" t="s">
        <v>6001</v>
      </c>
      <c r="E3540" s="3" t="s">
        <v>5991</v>
      </c>
      <c r="F3540" s="3" t="s">
        <v>8177</v>
      </c>
      <c r="G3540" s="3" t="s">
        <v>538</v>
      </c>
      <c r="H3540" s="3" t="s">
        <v>897</v>
      </c>
      <c r="I3540" s="3" t="s">
        <v>6836</v>
      </c>
      <c r="J3540" s="8" t="s">
        <v>6577</v>
      </c>
      <c r="L3540" s="3" t="s">
        <v>3448</v>
      </c>
      <c r="M3540" s="3">
        <v>2</v>
      </c>
      <c r="N3540" s="4" t="s">
        <v>9687</v>
      </c>
      <c r="O3540" s="4">
        <v>189</v>
      </c>
      <c r="P3540" s="11" t="s">
        <v>9753</v>
      </c>
      <c r="Q3540" s="11" t="s">
        <v>10822</v>
      </c>
      <c r="S3540" s="4" t="b">
        <f>ISNUMBER(MATCH(Q3540,T:T,0))</f>
        <v>1</v>
      </c>
      <c r="T3540" s="4" t="s">
        <v>12792</v>
      </c>
      <c r="U3540" s="4" t="str">
        <f t="shared" si="158"/>
        <v>别</v>
      </c>
    </row>
    <row r="3541" spans="1:22">
      <c r="A3541" s="3">
        <v>3532</v>
      </c>
      <c r="B3541" s="3" t="s">
        <v>3814</v>
      </c>
      <c r="C3541" s="3" t="s">
        <v>6055</v>
      </c>
      <c r="D3541" s="3" t="s">
        <v>6001</v>
      </c>
      <c r="E3541" s="3" t="s">
        <v>6212</v>
      </c>
      <c r="F3541" s="3" t="s">
        <v>8163</v>
      </c>
      <c r="G3541" s="3" t="s">
        <v>538</v>
      </c>
      <c r="H3541" s="3" t="s">
        <v>1478</v>
      </c>
      <c r="I3541" s="3" t="s">
        <v>6836</v>
      </c>
      <c r="J3541" s="5" t="s">
        <v>5304</v>
      </c>
      <c r="L3541" s="3" t="s">
        <v>3441</v>
      </c>
      <c r="M3541" s="3">
        <v>1</v>
      </c>
      <c r="N3541" s="4" t="s">
        <v>9687</v>
      </c>
      <c r="O3541" s="4">
        <v>189</v>
      </c>
      <c r="P3541" s="11" t="s">
        <v>10823</v>
      </c>
      <c r="Q3541" s="11" t="s">
        <v>10817</v>
      </c>
      <c r="S3541" s="4" t="b">
        <f>ISNUMBER(MATCH(Q3541,T:T,0))</f>
        <v>1</v>
      </c>
      <c r="T3541" s="4" t="s">
        <v>5304</v>
      </c>
      <c r="U3541" s="4" t="str">
        <f t="shared" si="158"/>
        <v>雪</v>
      </c>
    </row>
    <row r="3542" spans="1:22">
      <c r="A3542" s="3">
        <v>3533</v>
      </c>
      <c r="B3542" s="3" t="s">
        <v>3814</v>
      </c>
      <c r="C3542" s="3" t="s">
        <v>6167</v>
      </c>
      <c r="D3542" s="3" t="s">
        <v>6001</v>
      </c>
      <c r="E3542" s="3" t="s">
        <v>5991</v>
      </c>
      <c r="F3542" s="3" t="s">
        <v>8177</v>
      </c>
      <c r="G3542" s="3" t="s">
        <v>538</v>
      </c>
      <c r="H3542" s="7" t="s">
        <v>898</v>
      </c>
      <c r="I3542" s="3" t="s">
        <v>6836</v>
      </c>
      <c r="J3542" s="5" t="s">
        <v>1479</v>
      </c>
      <c r="L3542" s="3" t="s">
        <v>2852</v>
      </c>
      <c r="M3542" s="3">
        <v>1</v>
      </c>
      <c r="N3542" s="4" t="s">
        <v>9687</v>
      </c>
      <c r="O3542" s="4">
        <v>189</v>
      </c>
      <c r="P3542" s="11" t="s">
        <v>10824</v>
      </c>
      <c r="Q3542" s="11" t="s">
        <v>10813</v>
      </c>
      <c r="S3542" s="4" t="b">
        <f>ISNUMBER(MATCH(Q3542,T:T,0))</f>
        <v>1</v>
      </c>
      <c r="T3542" s="4" t="s">
        <v>1479</v>
      </c>
      <c r="U3542" s="4" t="str">
        <f t="shared" si="158"/>
        <v>列</v>
      </c>
    </row>
    <row r="3543" spans="1:22">
      <c r="A3543" s="3">
        <v>3534</v>
      </c>
      <c r="B3543" s="3" t="s">
        <v>3814</v>
      </c>
      <c r="C3543" s="3" t="s">
        <v>6123</v>
      </c>
      <c r="D3543" s="3" t="s">
        <v>6001</v>
      </c>
      <c r="E3543" s="3" t="s">
        <v>6212</v>
      </c>
      <c r="F3543" s="3" t="s">
        <v>8163</v>
      </c>
      <c r="G3543" s="3" t="s">
        <v>538</v>
      </c>
      <c r="H3543" s="3" t="s">
        <v>1480</v>
      </c>
      <c r="I3543" s="3" t="s">
        <v>6836</v>
      </c>
      <c r="J3543" s="5" t="s">
        <v>1481</v>
      </c>
      <c r="L3543" s="3" t="s">
        <v>3446</v>
      </c>
      <c r="M3543" s="3">
        <v>2</v>
      </c>
      <c r="N3543" s="4" t="s">
        <v>9687</v>
      </c>
      <c r="O3543" s="4">
        <v>189</v>
      </c>
      <c r="P3543" s="11" t="s">
        <v>10825</v>
      </c>
      <c r="Q3543" s="11" t="s">
        <v>3833</v>
      </c>
      <c r="S3543" s="4" t="b">
        <f>ISNUMBER(MATCH(Q3543,T:T,0))</f>
        <v>1</v>
      </c>
      <c r="T3543" s="4" t="s">
        <v>12793</v>
      </c>
      <c r="U3543" s="4" t="str">
        <f t="shared" si="158"/>
        <v>絕</v>
      </c>
    </row>
    <row r="3544" spans="1:22">
      <c r="A3544" s="3">
        <v>3535</v>
      </c>
      <c r="B3544" s="3" t="s">
        <v>3814</v>
      </c>
      <c r="C3544" s="3" t="s">
        <v>6055</v>
      </c>
      <c r="D3544" s="3" t="s">
        <v>6001</v>
      </c>
      <c r="E3544" s="3" t="s">
        <v>5991</v>
      </c>
      <c r="F3544" s="3" t="s">
        <v>8163</v>
      </c>
      <c r="G3544" s="3" t="s">
        <v>538</v>
      </c>
      <c r="H3544" s="3" t="s">
        <v>1482</v>
      </c>
      <c r="I3544" s="3" t="s">
        <v>6836</v>
      </c>
      <c r="J3544" s="5" t="s">
        <v>1483</v>
      </c>
      <c r="L3544" s="3" t="s">
        <v>2852</v>
      </c>
      <c r="M3544" s="3">
        <v>2</v>
      </c>
      <c r="N3544" s="4" t="s">
        <v>9687</v>
      </c>
      <c r="O3544" s="4">
        <v>189</v>
      </c>
      <c r="P3544" s="11" t="s">
        <v>6055</v>
      </c>
      <c r="Q3544" s="11" t="s">
        <v>10813</v>
      </c>
      <c r="S3544" s="4" t="b">
        <f>ISNUMBER(MATCH(Q3544,T:T,0))</f>
        <v>1</v>
      </c>
      <c r="T3544" s="4" t="s">
        <v>12172</v>
      </c>
      <c r="U3544" s="4" t="str">
        <f t="shared" si="158"/>
        <v>列</v>
      </c>
    </row>
    <row r="3545" spans="1:22">
      <c r="A3545" s="3">
        <v>3536</v>
      </c>
      <c r="B3545" s="3" t="s">
        <v>3814</v>
      </c>
      <c r="C3545" s="3" t="s">
        <v>6028</v>
      </c>
      <c r="D3545" s="3" t="s">
        <v>6001</v>
      </c>
      <c r="E3545" s="3" t="s">
        <v>5991</v>
      </c>
      <c r="F3545" s="3" t="s">
        <v>8163</v>
      </c>
      <c r="G3545" s="3" t="s">
        <v>538</v>
      </c>
      <c r="H3545" s="3" t="s">
        <v>1484</v>
      </c>
      <c r="I3545" s="3" t="s">
        <v>6836</v>
      </c>
      <c r="J3545" s="5" t="s">
        <v>1485</v>
      </c>
      <c r="L3545" s="3" t="s">
        <v>5432</v>
      </c>
      <c r="M3545" s="3">
        <v>1</v>
      </c>
      <c r="N3545" s="4" t="s">
        <v>9687</v>
      </c>
      <c r="O3545" s="4">
        <v>189</v>
      </c>
      <c r="P3545" s="11" t="s">
        <v>9863</v>
      </c>
      <c r="Q3545" s="11" t="s">
        <v>10813</v>
      </c>
      <c r="S3545" s="4" t="b">
        <f>ISNUMBER(MATCH(Q3545,T:T,0))</f>
        <v>1</v>
      </c>
      <c r="T3545" s="4" t="s">
        <v>12794</v>
      </c>
      <c r="U3545" s="4" t="str">
        <f t="shared" si="158"/>
        <v>列</v>
      </c>
    </row>
    <row r="3546" spans="1:22">
      <c r="A3546" s="3">
        <v>3537</v>
      </c>
      <c r="B3546" s="3" t="s">
        <v>3814</v>
      </c>
      <c r="C3546" s="3" t="s">
        <v>6015</v>
      </c>
      <c r="D3546" s="3" t="s">
        <v>6001</v>
      </c>
      <c r="E3546" s="3" t="s">
        <v>5991</v>
      </c>
      <c r="F3546" s="3" t="s">
        <v>8177</v>
      </c>
      <c r="G3546" s="3" t="s">
        <v>538</v>
      </c>
      <c r="H3546" s="3" t="s">
        <v>1486</v>
      </c>
      <c r="I3546" s="3" t="s">
        <v>6836</v>
      </c>
      <c r="J3546" s="5" t="s">
        <v>1487</v>
      </c>
      <c r="L3546" s="3" t="s">
        <v>3510</v>
      </c>
      <c r="M3546" s="3">
        <v>1</v>
      </c>
      <c r="N3546" s="4" t="s">
        <v>9687</v>
      </c>
      <c r="O3546" s="4">
        <v>189</v>
      </c>
      <c r="P3546" s="11" t="s">
        <v>9777</v>
      </c>
      <c r="Q3546" s="11" t="s">
        <v>10813</v>
      </c>
      <c r="S3546" s="4" t="b">
        <f>ISNUMBER(MATCH(Q3546,T:T,0))</f>
        <v>1</v>
      </c>
      <c r="T3546" s="4" t="s">
        <v>1487</v>
      </c>
      <c r="U3546" s="4" t="str">
        <f t="shared" si="158"/>
        <v>列</v>
      </c>
    </row>
    <row r="3547" spans="1:22" ht="39">
      <c r="A3547" s="3">
        <v>3538</v>
      </c>
      <c r="B3547" s="3" t="s">
        <v>1488</v>
      </c>
      <c r="C3547" s="3" t="s">
        <v>6028</v>
      </c>
      <c r="D3547" s="3" t="s">
        <v>6001</v>
      </c>
      <c r="E3547" s="3" t="s">
        <v>5991</v>
      </c>
      <c r="F3547" s="3" t="s">
        <v>972</v>
      </c>
      <c r="G3547" s="3" t="s">
        <v>538</v>
      </c>
      <c r="H3547" s="3" t="s">
        <v>1489</v>
      </c>
      <c r="I3547" s="3" t="s">
        <v>974</v>
      </c>
      <c r="J3547" s="5" t="s">
        <v>6578</v>
      </c>
      <c r="L3547" s="3" t="s">
        <v>3420</v>
      </c>
      <c r="M3547" s="3">
        <v>31</v>
      </c>
      <c r="N3547" s="4" t="s">
        <v>1490</v>
      </c>
      <c r="O3547" s="4">
        <v>190</v>
      </c>
      <c r="P3547" s="11" t="s">
        <v>6028</v>
      </c>
      <c r="Q3547" s="11" t="s">
        <v>10826</v>
      </c>
      <c r="S3547" s="4" t="b">
        <f>ISNUMBER(MATCH(Q3547,T:T,0))</f>
        <v>1</v>
      </c>
      <c r="T3547" s="4" t="s">
        <v>1490</v>
      </c>
      <c r="U3547" s="4" t="str">
        <f t="shared" si="158"/>
        <v>灼</v>
      </c>
    </row>
    <row r="3548" spans="1:22">
      <c r="A3548" s="3">
        <v>3539</v>
      </c>
      <c r="B3548" s="3" t="s">
        <v>1488</v>
      </c>
      <c r="C3548" s="3" t="s">
        <v>6058</v>
      </c>
      <c r="D3548" s="3" t="s">
        <v>6001</v>
      </c>
      <c r="E3548" s="3" t="s">
        <v>5991</v>
      </c>
      <c r="F3548" s="3" t="s">
        <v>972</v>
      </c>
      <c r="G3548" s="3" t="s">
        <v>538</v>
      </c>
      <c r="H3548" s="3" t="s">
        <v>1491</v>
      </c>
      <c r="I3548" s="3" t="s">
        <v>974</v>
      </c>
      <c r="J3548" s="5" t="s">
        <v>6579</v>
      </c>
      <c r="L3548" s="3" t="s">
        <v>1447</v>
      </c>
      <c r="M3548" s="3">
        <v>9</v>
      </c>
      <c r="N3548" s="4" t="s">
        <v>1490</v>
      </c>
      <c r="O3548" s="4">
        <v>190</v>
      </c>
      <c r="P3548" s="11" t="s">
        <v>9796</v>
      </c>
      <c r="Q3548" s="11" t="s">
        <v>10826</v>
      </c>
      <c r="S3548" s="4" t="b">
        <f>ISNUMBER(MATCH(Q3548,T:T,0))</f>
        <v>1</v>
      </c>
      <c r="T3548" s="4" t="s">
        <v>10830</v>
      </c>
      <c r="U3548" s="4" t="str">
        <f t="shared" si="158"/>
        <v>灼</v>
      </c>
    </row>
    <row r="3549" spans="1:22">
      <c r="A3549" s="3">
        <v>3540</v>
      </c>
      <c r="B3549" s="3" t="s">
        <v>1488</v>
      </c>
      <c r="C3549" s="3" t="s">
        <v>6025</v>
      </c>
      <c r="D3549" s="3" t="s">
        <v>6001</v>
      </c>
      <c r="E3549" s="3" t="s">
        <v>5991</v>
      </c>
      <c r="F3549" s="3" t="s">
        <v>972</v>
      </c>
      <c r="G3549" s="3" t="s">
        <v>538</v>
      </c>
      <c r="H3549" s="3" t="s">
        <v>1492</v>
      </c>
      <c r="I3549" s="3" t="s">
        <v>974</v>
      </c>
      <c r="J3549" s="5" t="s">
        <v>6580</v>
      </c>
      <c r="L3549" s="3" t="s">
        <v>3417</v>
      </c>
      <c r="M3549" s="3">
        <v>5</v>
      </c>
      <c r="N3549" s="4" t="s">
        <v>1490</v>
      </c>
      <c r="O3549" s="4">
        <v>190</v>
      </c>
      <c r="P3549" s="11" t="s">
        <v>9717</v>
      </c>
      <c r="Q3549" s="11" t="s">
        <v>10827</v>
      </c>
      <c r="R3549" s="4" t="s">
        <v>13187</v>
      </c>
      <c r="S3549" s="4" t="b">
        <f>ISNUMBER(MATCH(Q3549,T:T,0))</f>
        <v>0</v>
      </c>
      <c r="T3549" s="4" t="s">
        <v>12795</v>
      </c>
      <c r="U3549" s="4" t="str">
        <f t="shared" si="158"/>
        <v>灼妁</v>
      </c>
      <c r="V3549" s="4" t="b">
        <f>ISNUMBER(MATCH(R3549,T:T,0))</f>
        <v>0</v>
      </c>
    </row>
    <row r="3550" spans="1:22">
      <c r="A3550" s="3">
        <v>3541</v>
      </c>
      <c r="B3550" s="3" t="s">
        <v>1488</v>
      </c>
      <c r="C3550" s="3" t="s">
        <v>6009</v>
      </c>
      <c r="D3550" s="3" t="s">
        <v>6001</v>
      </c>
      <c r="E3550" s="3" t="s">
        <v>5991</v>
      </c>
      <c r="F3550" s="3" t="s">
        <v>972</v>
      </c>
      <c r="G3550" s="3" t="s">
        <v>538</v>
      </c>
      <c r="H3550" s="3" t="s">
        <v>1493</v>
      </c>
      <c r="I3550" s="3" t="s">
        <v>974</v>
      </c>
      <c r="J3550" s="5" t="s">
        <v>6581</v>
      </c>
      <c r="L3550" s="3" t="s">
        <v>3425</v>
      </c>
      <c r="M3550" s="3">
        <v>16</v>
      </c>
      <c r="N3550" s="4" t="s">
        <v>1490</v>
      </c>
      <c r="O3550" s="4">
        <v>190</v>
      </c>
      <c r="P3550" s="11" t="s">
        <v>6396</v>
      </c>
      <c r="Q3550" s="11" t="s">
        <v>10828</v>
      </c>
      <c r="S3550" s="4" t="b">
        <f>ISNUMBER(MATCH(Q3550,T:T,0))</f>
        <v>1</v>
      </c>
      <c r="T3550" s="4" t="s">
        <v>10826</v>
      </c>
      <c r="U3550" s="4" t="str">
        <f t="shared" si="158"/>
        <v>若</v>
      </c>
    </row>
    <row r="3551" spans="1:22">
      <c r="A3551" s="3">
        <v>3542</v>
      </c>
      <c r="B3551" s="3" t="s">
        <v>1488</v>
      </c>
      <c r="C3551" s="3" t="s">
        <v>6120</v>
      </c>
      <c r="D3551" s="3" t="s">
        <v>6001</v>
      </c>
      <c r="E3551" s="3" t="s">
        <v>5991</v>
      </c>
      <c r="F3551" s="3" t="s">
        <v>972</v>
      </c>
      <c r="G3551" s="3" t="s">
        <v>538</v>
      </c>
      <c r="H3551" s="3" t="s">
        <v>1494</v>
      </c>
      <c r="I3551" s="3" t="s">
        <v>974</v>
      </c>
      <c r="J3551" s="5" t="s">
        <v>1495</v>
      </c>
      <c r="L3551" s="3" t="s">
        <v>3427</v>
      </c>
      <c r="M3551" s="3">
        <v>7</v>
      </c>
      <c r="N3551" s="4" t="s">
        <v>1490</v>
      </c>
      <c r="O3551" s="4">
        <v>190</v>
      </c>
      <c r="P3551" s="11" t="s">
        <v>6120</v>
      </c>
      <c r="Q3551" s="11" t="s">
        <v>1490</v>
      </c>
      <c r="S3551" s="4" t="b">
        <f>ISNUMBER(MATCH(Q3551,T:T,0))</f>
        <v>1</v>
      </c>
      <c r="T3551" s="4" t="s">
        <v>12796</v>
      </c>
      <c r="U3551" s="4" t="str">
        <f t="shared" si="158"/>
        <v>藥</v>
      </c>
    </row>
    <row r="3552" spans="1:22">
      <c r="A3552" s="3">
        <v>3543</v>
      </c>
      <c r="B3552" s="3" t="s">
        <v>1488</v>
      </c>
      <c r="C3552" s="3" t="s">
        <v>6021</v>
      </c>
      <c r="D3552" s="3" t="s">
        <v>6001</v>
      </c>
      <c r="E3552" s="3" t="s">
        <v>5991</v>
      </c>
      <c r="F3552" s="3" t="s">
        <v>972</v>
      </c>
      <c r="G3552" s="3" t="s">
        <v>538</v>
      </c>
      <c r="H3552" s="3" t="s">
        <v>1496</v>
      </c>
      <c r="I3552" s="3" t="s">
        <v>974</v>
      </c>
      <c r="J3552" s="5" t="s">
        <v>6582</v>
      </c>
      <c r="L3552" s="3" t="s">
        <v>3846</v>
      </c>
      <c r="M3552" s="3">
        <v>11</v>
      </c>
      <c r="N3552" s="4" t="s">
        <v>1490</v>
      </c>
      <c r="O3552" s="4">
        <v>190</v>
      </c>
      <c r="P3552" s="11" t="s">
        <v>9761</v>
      </c>
      <c r="Q3552" s="11" t="s">
        <v>10826</v>
      </c>
      <c r="S3552" s="4" t="b">
        <f>ISNUMBER(MATCH(Q3552,T:T,0))</f>
        <v>1</v>
      </c>
      <c r="T3552" s="4" t="s">
        <v>10828</v>
      </c>
      <c r="U3552" s="4" t="str">
        <f t="shared" si="158"/>
        <v>灼</v>
      </c>
    </row>
    <row r="3553" spans="1:22">
      <c r="A3553" s="3">
        <v>3544</v>
      </c>
      <c r="B3553" s="3" t="s">
        <v>1488</v>
      </c>
      <c r="C3553" s="3" t="s">
        <v>6055</v>
      </c>
      <c r="D3553" s="3" t="s">
        <v>6001</v>
      </c>
      <c r="E3553" s="3" t="s">
        <v>5991</v>
      </c>
      <c r="F3553" s="3" t="s">
        <v>972</v>
      </c>
      <c r="G3553" s="3" t="s">
        <v>538</v>
      </c>
      <c r="H3553" s="3" t="s">
        <v>1497</v>
      </c>
      <c r="I3553" s="3" t="s">
        <v>974</v>
      </c>
      <c r="J3553" s="5" t="s">
        <v>6583</v>
      </c>
      <c r="L3553" s="3" t="s">
        <v>3441</v>
      </c>
      <c r="M3553" s="3">
        <v>4</v>
      </c>
      <c r="N3553" s="4" t="s">
        <v>1490</v>
      </c>
      <c r="O3553" s="4">
        <v>190</v>
      </c>
      <c r="P3553" s="11" t="s">
        <v>6055</v>
      </c>
      <c r="Q3553" s="11" t="s">
        <v>10829</v>
      </c>
      <c r="S3553" s="4" t="b">
        <f>ISNUMBER(MATCH(Q3553,T:T,0))</f>
        <v>1</v>
      </c>
      <c r="T3553" s="4" t="s">
        <v>12797</v>
      </c>
      <c r="U3553" s="4" t="str">
        <f t="shared" si="158"/>
        <v>約</v>
      </c>
    </row>
    <row r="3554" spans="1:22">
      <c r="A3554" s="3">
        <v>3545</v>
      </c>
      <c r="B3554" s="3" t="s">
        <v>1488</v>
      </c>
      <c r="C3554" s="3" t="s">
        <v>6072</v>
      </c>
      <c r="D3554" s="3" t="s">
        <v>6001</v>
      </c>
      <c r="E3554" s="3" t="s">
        <v>5991</v>
      </c>
      <c r="F3554" s="3" t="s">
        <v>972</v>
      </c>
      <c r="G3554" s="3" t="s">
        <v>538</v>
      </c>
      <c r="H3554" s="3" t="s">
        <v>1498</v>
      </c>
      <c r="I3554" s="3" t="s">
        <v>974</v>
      </c>
      <c r="J3554" s="5" t="s">
        <v>1499</v>
      </c>
      <c r="L3554" s="3" t="s">
        <v>3438</v>
      </c>
      <c r="M3554" s="3">
        <v>2</v>
      </c>
      <c r="N3554" s="4" t="s">
        <v>1490</v>
      </c>
      <c r="O3554" s="4">
        <v>190</v>
      </c>
      <c r="P3554" s="11" t="s">
        <v>9754</v>
      </c>
      <c r="Q3554" s="11" t="s">
        <v>10830</v>
      </c>
      <c r="S3554" s="4" t="b">
        <f>ISNUMBER(MATCH(Q3554,T:T,0))</f>
        <v>1</v>
      </c>
      <c r="T3554" s="4" t="s">
        <v>10829</v>
      </c>
      <c r="U3554" s="4" t="str">
        <f t="shared" si="158"/>
        <v>略</v>
      </c>
    </row>
    <row r="3555" spans="1:22">
      <c r="A3555" s="3">
        <v>3546</v>
      </c>
      <c r="B3555" s="3" t="s">
        <v>1488</v>
      </c>
      <c r="C3555" s="3" t="s">
        <v>6038</v>
      </c>
      <c r="D3555" s="3" t="s">
        <v>6001</v>
      </c>
      <c r="E3555" s="3" t="s">
        <v>5991</v>
      </c>
      <c r="F3555" s="3" t="s">
        <v>972</v>
      </c>
      <c r="G3555" s="3" t="s">
        <v>538</v>
      </c>
      <c r="H3555" s="3" t="s">
        <v>1500</v>
      </c>
      <c r="I3555" s="3" t="s">
        <v>974</v>
      </c>
      <c r="J3555" s="5" t="s">
        <v>6584</v>
      </c>
      <c r="L3555" s="3" t="s">
        <v>2895</v>
      </c>
      <c r="M3555" s="3">
        <v>4</v>
      </c>
      <c r="N3555" s="4" t="s">
        <v>1490</v>
      </c>
      <c r="O3555" s="4">
        <v>190</v>
      </c>
      <c r="P3555" s="11" t="s">
        <v>4210</v>
      </c>
      <c r="Q3555" s="11" t="s">
        <v>10829</v>
      </c>
      <c r="S3555" s="4" t="b">
        <f>ISNUMBER(MATCH(Q3555,T:T,0))</f>
        <v>1</v>
      </c>
      <c r="T3555" s="4" t="s">
        <v>12798</v>
      </c>
      <c r="U3555" s="4" t="str">
        <f t="shared" si="158"/>
        <v>約</v>
      </c>
    </row>
    <row r="3556" spans="1:22">
      <c r="A3556" s="3">
        <v>3547</v>
      </c>
      <c r="B3556" s="3" t="s">
        <v>1488</v>
      </c>
      <c r="C3556" s="3" t="s">
        <v>6092</v>
      </c>
      <c r="D3556" s="3" t="s">
        <v>6001</v>
      </c>
      <c r="E3556" s="3" t="s">
        <v>5991</v>
      </c>
      <c r="F3556" s="3" t="s">
        <v>972</v>
      </c>
      <c r="G3556" s="3" t="s">
        <v>538</v>
      </c>
      <c r="H3556" s="3" t="s">
        <v>1501</v>
      </c>
      <c r="I3556" s="3" t="s">
        <v>974</v>
      </c>
      <c r="J3556" s="5" t="s">
        <v>1502</v>
      </c>
      <c r="L3556" s="3" t="s">
        <v>3420</v>
      </c>
      <c r="M3556" s="3">
        <v>3</v>
      </c>
      <c r="N3556" s="4" t="s">
        <v>1490</v>
      </c>
      <c r="O3556" s="4">
        <v>190</v>
      </c>
      <c r="P3556" s="11" t="s">
        <v>6462</v>
      </c>
      <c r="Q3556" s="11" t="s">
        <v>10829</v>
      </c>
      <c r="S3556" s="4" t="b">
        <f>ISNUMBER(MATCH(Q3556,T:T,0))</f>
        <v>1</v>
      </c>
      <c r="T3556" s="4" t="s">
        <v>10833</v>
      </c>
      <c r="U3556" s="4" t="str">
        <f t="shared" si="158"/>
        <v>約</v>
      </c>
    </row>
    <row r="3557" spans="1:22">
      <c r="A3557" s="3">
        <v>3548</v>
      </c>
      <c r="B3557" s="3" t="s">
        <v>1488</v>
      </c>
      <c r="C3557" s="3" t="s">
        <v>6148</v>
      </c>
      <c r="D3557" s="3" t="s">
        <v>6001</v>
      </c>
      <c r="E3557" s="3" t="s">
        <v>5991</v>
      </c>
      <c r="F3557" s="3" t="s">
        <v>972</v>
      </c>
      <c r="G3557" s="3" t="s">
        <v>538</v>
      </c>
      <c r="H3557" s="3" t="s">
        <v>1503</v>
      </c>
      <c r="I3557" s="3" t="s">
        <v>974</v>
      </c>
      <c r="J3557" s="5" t="s">
        <v>6585</v>
      </c>
      <c r="L3557" s="3" t="s">
        <v>1504</v>
      </c>
      <c r="M3557" s="3">
        <v>6</v>
      </c>
      <c r="N3557" s="4" t="s">
        <v>1490</v>
      </c>
      <c r="O3557" s="4">
        <v>190</v>
      </c>
      <c r="P3557" s="11" t="s">
        <v>9829</v>
      </c>
      <c r="Q3557" s="11" t="s">
        <v>10828</v>
      </c>
      <c r="S3557" s="4" t="b">
        <f>ISNUMBER(MATCH(Q3557,T:T,0))</f>
        <v>1</v>
      </c>
      <c r="T3557" s="4" t="s">
        <v>12799</v>
      </c>
      <c r="U3557" s="4" t="str">
        <f t="shared" si="158"/>
        <v>若</v>
      </c>
    </row>
    <row r="3558" spans="1:22">
      <c r="A3558" s="3">
        <v>3549</v>
      </c>
      <c r="B3558" s="3" t="s">
        <v>1488</v>
      </c>
      <c r="C3558" s="3" t="s">
        <v>6011</v>
      </c>
      <c r="D3558" s="3" t="s">
        <v>6001</v>
      </c>
      <c r="E3558" s="3" t="s">
        <v>5991</v>
      </c>
      <c r="F3558" s="3" t="s">
        <v>972</v>
      </c>
      <c r="G3558" s="3" t="s">
        <v>538</v>
      </c>
      <c r="H3558" s="3" t="s">
        <v>1505</v>
      </c>
      <c r="I3558" s="3" t="s">
        <v>974</v>
      </c>
      <c r="J3558" s="5" t="s">
        <v>6586</v>
      </c>
      <c r="L3558" s="3" t="s">
        <v>3441</v>
      </c>
      <c r="M3558" s="3">
        <v>6</v>
      </c>
      <c r="N3558" s="4" t="s">
        <v>1490</v>
      </c>
      <c r="O3558" s="4">
        <v>190</v>
      </c>
      <c r="P3558" s="11" t="s">
        <v>9757</v>
      </c>
      <c r="Q3558" s="11" t="s">
        <v>10830</v>
      </c>
      <c r="S3558" s="4" t="b">
        <f>ISNUMBER(MATCH(Q3558,T:T,0))</f>
        <v>1</v>
      </c>
      <c r="T3558" s="4" t="s">
        <v>12800</v>
      </c>
      <c r="U3558" s="4" t="str">
        <f t="shared" si="158"/>
        <v>略</v>
      </c>
    </row>
    <row r="3559" spans="1:22">
      <c r="A3559" s="3">
        <v>3550</v>
      </c>
      <c r="B3559" s="3" t="s">
        <v>1488</v>
      </c>
      <c r="C3559" s="3" t="s">
        <v>6017</v>
      </c>
      <c r="D3559" s="3" t="s">
        <v>6001</v>
      </c>
      <c r="E3559" s="3" t="s">
        <v>5991</v>
      </c>
      <c r="F3559" s="3" t="s">
        <v>972</v>
      </c>
      <c r="G3559" s="3" t="s">
        <v>538</v>
      </c>
      <c r="H3559" s="3" t="s">
        <v>1506</v>
      </c>
      <c r="I3559" s="3" t="s">
        <v>974</v>
      </c>
      <c r="J3559" s="5" t="s">
        <v>1507</v>
      </c>
      <c r="L3559" s="3" t="s">
        <v>3448</v>
      </c>
      <c r="M3559" s="3">
        <v>1</v>
      </c>
      <c r="N3559" s="4" t="s">
        <v>1490</v>
      </c>
      <c r="O3559" s="4">
        <v>190</v>
      </c>
      <c r="P3559" s="11" t="s">
        <v>9714</v>
      </c>
      <c r="Q3559" s="11" t="s">
        <v>10829</v>
      </c>
      <c r="S3559" s="4" t="b">
        <f>ISNUMBER(MATCH(Q3559,T:T,0))</f>
        <v>1</v>
      </c>
      <c r="T3559" s="4" t="s">
        <v>1507</v>
      </c>
      <c r="U3559" s="4" t="str">
        <f t="shared" si="158"/>
        <v>約</v>
      </c>
    </row>
    <row r="3560" spans="1:22">
      <c r="A3560" s="3">
        <v>3551</v>
      </c>
      <c r="B3560" s="3" t="s">
        <v>1488</v>
      </c>
      <c r="C3560" s="3" t="s">
        <v>6318</v>
      </c>
      <c r="D3560" s="3" t="s">
        <v>6001</v>
      </c>
      <c r="E3560" s="3" t="s">
        <v>5991</v>
      </c>
      <c r="F3560" s="3" t="s">
        <v>972</v>
      </c>
      <c r="G3560" s="3" t="s">
        <v>538</v>
      </c>
      <c r="H3560" s="3" t="s">
        <v>1508</v>
      </c>
      <c r="I3560" s="3" t="s">
        <v>974</v>
      </c>
      <c r="J3560" s="5" t="s">
        <v>1509</v>
      </c>
      <c r="L3560" s="3" t="s">
        <v>3425</v>
      </c>
      <c r="M3560" s="3">
        <v>1</v>
      </c>
      <c r="N3560" s="4" t="s">
        <v>1490</v>
      </c>
      <c r="O3560" s="4">
        <v>190</v>
      </c>
      <c r="P3560" s="11" t="s">
        <v>9804</v>
      </c>
      <c r="Q3560" s="11" t="s">
        <v>10830</v>
      </c>
      <c r="S3560" s="4" t="b">
        <f>ISNUMBER(MATCH(Q3560,T:T,0))</f>
        <v>1</v>
      </c>
      <c r="T3560" s="4" t="s">
        <v>1509</v>
      </c>
      <c r="U3560" s="4" t="str">
        <f t="shared" si="158"/>
        <v>略</v>
      </c>
    </row>
    <row r="3561" spans="1:22" ht="28.5">
      <c r="A3561" s="3">
        <v>3552</v>
      </c>
      <c r="B3561" s="3" t="s">
        <v>1488</v>
      </c>
      <c r="C3561" s="3" t="s">
        <v>6083</v>
      </c>
      <c r="D3561" s="3" t="s">
        <v>6001</v>
      </c>
      <c r="E3561" s="3" t="s">
        <v>5991</v>
      </c>
      <c r="F3561" s="3" t="s">
        <v>972</v>
      </c>
      <c r="G3561" s="3" t="s">
        <v>538</v>
      </c>
      <c r="H3561" s="3" t="s">
        <v>1510</v>
      </c>
      <c r="I3561" s="3" t="s">
        <v>974</v>
      </c>
      <c r="J3561" s="5" t="s">
        <v>1511</v>
      </c>
      <c r="K3561" s="3" t="s">
        <v>652</v>
      </c>
      <c r="L3561" s="3" t="s">
        <v>3417</v>
      </c>
      <c r="M3561" s="3">
        <v>7</v>
      </c>
      <c r="N3561" s="4" t="s">
        <v>1490</v>
      </c>
      <c r="O3561" s="4">
        <v>190</v>
      </c>
      <c r="P3561" s="11" t="s">
        <v>9760</v>
      </c>
      <c r="Q3561" s="11" t="s">
        <v>10830</v>
      </c>
      <c r="S3561" s="4" t="b">
        <f>ISNUMBER(MATCH(Q3561,T:T,0))</f>
        <v>1</v>
      </c>
      <c r="T3561" s="4" t="s">
        <v>10831</v>
      </c>
      <c r="U3561" s="4" t="str">
        <f t="shared" si="158"/>
        <v>略</v>
      </c>
    </row>
    <row r="3562" spans="1:22">
      <c r="A3562" s="3">
        <v>3553</v>
      </c>
      <c r="B3562" s="3" t="s">
        <v>1488</v>
      </c>
      <c r="C3562" s="3" t="s">
        <v>6069</v>
      </c>
      <c r="D3562" s="3" t="s">
        <v>6001</v>
      </c>
      <c r="E3562" s="3" t="s">
        <v>5991</v>
      </c>
      <c r="F3562" s="3" t="s">
        <v>972</v>
      </c>
      <c r="G3562" s="3" t="s">
        <v>538</v>
      </c>
      <c r="H3562" s="3" t="s">
        <v>1512</v>
      </c>
      <c r="I3562" s="3" t="s">
        <v>974</v>
      </c>
      <c r="J3562" s="5" t="s">
        <v>1513</v>
      </c>
      <c r="L3562" s="3" t="s">
        <v>3594</v>
      </c>
      <c r="M3562" s="3">
        <v>3</v>
      </c>
      <c r="N3562" s="4" t="s">
        <v>1490</v>
      </c>
      <c r="O3562" s="4">
        <v>190</v>
      </c>
      <c r="P3562" s="11" t="s">
        <v>5919</v>
      </c>
      <c r="Q3562" s="11" t="s">
        <v>10831</v>
      </c>
      <c r="S3562" s="4" t="b">
        <f>ISNUMBER(MATCH(Q3562,T:T,0))</f>
        <v>1</v>
      </c>
      <c r="T3562" s="4" t="s">
        <v>12801</v>
      </c>
      <c r="U3562" s="4" t="str">
        <f t="shared" si="158"/>
        <v>爵</v>
      </c>
    </row>
    <row r="3563" spans="1:22">
      <c r="A3563" s="3">
        <v>3554</v>
      </c>
      <c r="B3563" s="3" t="s">
        <v>1488</v>
      </c>
      <c r="C3563" s="3" t="s">
        <v>6076</v>
      </c>
      <c r="D3563" s="3" t="s">
        <v>6001</v>
      </c>
      <c r="E3563" s="3" t="s">
        <v>5991</v>
      </c>
      <c r="F3563" s="3" t="s">
        <v>972</v>
      </c>
      <c r="G3563" s="3" t="s">
        <v>538</v>
      </c>
      <c r="H3563" s="3" t="s">
        <v>1514</v>
      </c>
      <c r="I3563" s="3" t="s">
        <v>974</v>
      </c>
      <c r="J3563" s="5" t="s">
        <v>6587</v>
      </c>
      <c r="L3563" s="3" t="s">
        <v>2895</v>
      </c>
      <c r="M3563" s="3">
        <v>10</v>
      </c>
      <c r="N3563" s="4" t="s">
        <v>1490</v>
      </c>
      <c r="O3563" s="4">
        <v>190</v>
      </c>
      <c r="P3563" s="11" t="s">
        <v>9766</v>
      </c>
      <c r="Q3563" s="11" t="s">
        <v>10832</v>
      </c>
      <c r="R3563" s="4" t="s">
        <v>13188</v>
      </c>
      <c r="S3563" s="4" t="b">
        <f>ISNUMBER(MATCH(Q3563,T:T,0))</f>
        <v>0</v>
      </c>
      <c r="T3563" s="4" t="s">
        <v>12802</v>
      </c>
      <c r="U3563" s="4" t="str">
        <f t="shared" si="158"/>
        <v>爵</v>
      </c>
      <c r="V3563" s="4" t="b">
        <f>ISNUMBER(MATCH(R3563,T:T,0))</f>
        <v>1</v>
      </c>
    </row>
    <row r="3564" spans="1:22">
      <c r="A3564" s="3">
        <v>3555</v>
      </c>
      <c r="B3564" s="3" t="s">
        <v>1488</v>
      </c>
      <c r="C3564" s="3" t="s">
        <v>6041</v>
      </c>
      <c r="D3564" s="3" t="s">
        <v>6001</v>
      </c>
      <c r="E3564" s="3" t="s">
        <v>5991</v>
      </c>
      <c r="F3564" s="3" t="s">
        <v>972</v>
      </c>
      <c r="G3564" s="3" t="s">
        <v>538</v>
      </c>
      <c r="H3564" s="3" t="s">
        <v>1515</v>
      </c>
      <c r="I3564" s="3" t="s">
        <v>974</v>
      </c>
      <c r="J3564" s="5" t="s">
        <v>1516</v>
      </c>
      <c r="L3564" s="3" t="s">
        <v>3594</v>
      </c>
      <c r="M3564" s="3">
        <v>9</v>
      </c>
      <c r="N3564" s="4" t="s">
        <v>1490</v>
      </c>
      <c r="O3564" s="4">
        <v>190</v>
      </c>
      <c r="P3564" s="11" t="s">
        <v>9830</v>
      </c>
      <c r="Q3564" s="11" t="s">
        <v>10833</v>
      </c>
      <c r="S3564" s="4" t="b">
        <f>ISNUMBER(MATCH(Q3564,T:T,0))</f>
        <v>1</v>
      </c>
      <c r="T3564" s="4" t="s">
        <v>12803</v>
      </c>
      <c r="U3564" s="4" t="str">
        <f t="shared" si="158"/>
        <v>虐</v>
      </c>
    </row>
    <row r="3565" spans="1:22">
      <c r="A3565" s="3">
        <v>3556</v>
      </c>
      <c r="B3565" s="3" t="s">
        <v>1488</v>
      </c>
      <c r="C3565" s="3" t="s">
        <v>6072</v>
      </c>
      <c r="D3565" s="3" t="s">
        <v>6001</v>
      </c>
      <c r="E3565" s="3" t="s">
        <v>6212</v>
      </c>
      <c r="F3565" s="3" t="s">
        <v>972</v>
      </c>
      <c r="G3565" s="3" t="s">
        <v>538</v>
      </c>
      <c r="H3565" s="3" t="s">
        <v>1517</v>
      </c>
      <c r="I3565" s="3" t="s">
        <v>974</v>
      </c>
      <c r="J3565" s="8" t="s">
        <v>6588</v>
      </c>
      <c r="L3565" s="3" t="s">
        <v>3438</v>
      </c>
      <c r="M3565" s="3">
        <v>4</v>
      </c>
      <c r="N3565" s="4" t="s">
        <v>1490</v>
      </c>
      <c r="O3565" s="4">
        <v>190</v>
      </c>
      <c r="P3565" s="11" t="s">
        <v>10834</v>
      </c>
      <c r="Q3565" s="11" t="s">
        <v>2428</v>
      </c>
      <c r="S3565" s="4" t="b">
        <f>ISNUMBER(MATCH(Q3565,T:T,0))</f>
        <v>1</v>
      </c>
      <c r="T3565" s="4" t="s">
        <v>12804</v>
      </c>
      <c r="U3565" s="4" t="str">
        <f t="shared" si="158"/>
        <v>縛</v>
      </c>
    </row>
    <row r="3566" spans="1:22">
      <c r="A3566" s="3">
        <v>3557</v>
      </c>
      <c r="B3566" s="3" t="s">
        <v>1488</v>
      </c>
      <c r="C3566" s="3" t="s">
        <v>6045</v>
      </c>
      <c r="D3566" s="3" t="s">
        <v>6001</v>
      </c>
      <c r="E3566" s="3" t="s">
        <v>6212</v>
      </c>
      <c r="F3566" s="3" t="s">
        <v>972</v>
      </c>
      <c r="G3566" s="3" t="s">
        <v>538</v>
      </c>
      <c r="H3566" s="3" t="s">
        <v>1518</v>
      </c>
      <c r="I3566" s="3" t="s">
        <v>974</v>
      </c>
      <c r="J3566" s="5" t="s">
        <v>2428</v>
      </c>
      <c r="L3566" s="3" t="s">
        <v>1519</v>
      </c>
      <c r="M3566" s="3">
        <v>1</v>
      </c>
      <c r="N3566" s="4" t="s">
        <v>1490</v>
      </c>
      <c r="O3566" s="4">
        <v>190</v>
      </c>
      <c r="P3566" s="11" t="s">
        <v>9759</v>
      </c>
      <c r="Q3566" s="11" t="s">
        <v>10835</v>
      </c>
      <c r="R3566" s="4" t="s">
        <v>13189</v>
      </c>
      <c r="S3566" s="4" t="b">
        <f>ISNUMBER(MATCH(Q3566,T:T,0))</f>
        <v>0</v>
      </c>
      <c r="T3566" s="4" t="s">
        <v>2428</v>
      </c>
      <c r="U3566" s="4" t="str">
        <f t="shared" si="158"/>
        <v>玃</v>
      </c>
      <c r="V3566" s="4" t="b">
        <f>ISNUMBER(MATCH(R3566,T:T,0))</f>
        <v>1</v>
      </c>
    </row>
    <row r="3567" spans="1:22">
      <c r="A3567" s="3">
        <v>3558</v>
      </c>
      <c r="B3567" s="3" t="s">
        <v>1488</v>
      </c>
      <c r="C3567" s="3" t="s">
        <v>6089</v>
      </c>
      <c r="D3567" s="3" t="s">
        <v>6001</v>
      </c>
      <c r="E3567" s="3" t="s">
        <v>6212</v>
      </c>
      <c r="F3567" s="3" t="s">
        <v>972</v>
      </c>
      <c r="G3567" s="3" t="s">
        <v>538</v>
      </c>
      <c r="H3567" s="3" t="s">
        <v>1520</v>
      </c>
      <c r="I3567" s="3" t="s">
        <v>974</v>
      </c>
      <c r="J3567" s="5" t="s">
        <v>6589</v>
      </c>
      <c r="L3567" s="3" t="s">
        <v>3448</v>
      </c>
      <c r="M3567" s="3">
        <v>4</v>
      </c>
      <c r="N3567" s="4" t="s">
        <v>1490</v>
      </c>
      <c r="O3567" s="4">
        <v>190</v>
      </c>
      <c r="P3567" s="11" t="s">
        <v>9753</v>
      </c>
      <c r="Q3567" s="11" t="s">
        <v>2428</v>
      </c>
      <c r="S3567" s="4" t="b">
        <f>ISNUMBER(MATCH(Q3567,T:T,0))</f>
        <v>1</v>
      </c>
      <c r="T3567" s="4" t="s">
        <v>12805</v>
      </c>
      <c r="U3567" s="4" t="str">
        <f t="shared" si="158"/>
        <v>縛</v>
      </c>
    </row>
    <row r="3568" spans="1:22">
      <c r="A3568" s="3">
        <v>3559</v>
      </c>
      <c r="B3568" s="3" t="s">
        <v>1488</v>
      </c>
      <c r="C3568" s="3" t="s">
        <v>6032</v>
      </c>
      <c r="D3568" s="3" t="s">
        <v>6001</v>
      </c>
      <c r="E3568" s="3" t="s">
        <v>6212</v>
      </c>
      <c r="F3568" s="3" t="s">
        <v>972</v>
      </c>
      <c r="G3568" s="3" t="s">
        <v>538</v>
      </c>
      <c r="H3568" s="3" t="s">
        <v>1521</v>
      </c>
      <c r="I3568" s="3" t="s">
        <v>974</v>
      </c>
      <c r="J3568" s="8" t="s">
        <v>6590</v>
      </c>
      <c r="L3568" s="3" t="s">
        <v>3420</v>
      </c>
      <c r="M3568" s="3">
        <v>5</v>
      </c>
      <c r="N3568" s="4" t="s">
        <v>1490</v>
      </c>
      <c r="O3568" s="4">
        <v>190</v>
      </c>
      <c r="P3568" s="11" t="s">
        <v>9949</v>
      </c>
      <c r="Q3568" s="11" t="s">
        <v>2428</v>
      </c>
      <c r="S3568" s="4" t="b">
        <f>ISNUMBER(MATCH(Q3568,T:T,0))</f>
        <v>1</v>
      </c>
      <c r="T3568" s="4" t="s">
        <v>10836</v>
      </c>
      <c r="U3568" s="4" t="str">
        <f t="shared" si="158"/>
        <v>縛</v>
      </c>
    </row>
    <row r="3569" spans="1:21">
      <c r="A3569" s="3">
        <v>3560</v>
      </c>
      <c r="B3569" s="3" t="s">
        <v>1488</v>
      </c>
      <c r="C3569" s="3" t="s">
        <v>6025</v>
      </c>
      <c r="D3569" s="3" t="s">
        <v>6001</v>
      </c>
      <c r="E3569" s="3" t="s">
        <v>6212</v>
      </c>
      <c r="F3569" s="3" t="s">
        <v>972</v>
      </c>
      <c r="G3569" s="3" t="s">
        <v>538</v>
      </c>
      <c r="H3569" s="3" t="s">
        <v>1522</v>
      </c>
      <c r="I3569" s="3" t="s">
        <v>974</v>
      </c>
      <c r="J3569" s="5" t="s">
        <v>1523</v>
      </c>
      <c r="L3569" s="3" t="s">
        <v>3417</v>
      </c>
      <c r="M3569" s="3">
        <v>11</v>
      </c>
      <c r="N3569" s="4" t="s">
        <v>1490</v>
      </c>
      <c r="O3569" s="4">
        <v>190</v>
      </c>
      <c r="P3569" s="11" t="s">
        <v>9717</v>
      </c>
      <c r="Q3569" s="11" t="s">
        <v>2428</v>
      </c>
      <c r="S3569" s="4" t="b">
        <f>ISNUMBER(MATCH(Q3569,T:T,0))</f>
        <v>1</v>
      </c>
      <c r="T3569" s="4" t="s">
        <v>12806</v>
      </c>
      <c r="U3569" s="4" t="str">
        <f t="shared" si="158"/>
        <v>縛</v>
      </c>
    </row>
    <row r="3570" spans="1:21">
      <c r="A3570" s="3">
        <v>3561</v>
      </c>
      <c r="B3570" s="3" t="s">
        <v>1488</v>
      </c>
      <c r="C3570" s="3" t="s">
        <v>6000</v>
      </c>
      <c r="D3570" s="3" t="s">
        <v>6001</v>
      </c>
      <c r="E3570" s="3" t="s">
        <v>5991</v>
      </c>
      <c r="F3570" s="3" t="s">
        <v>972</v>
      </c>
      <c r="G3570" s="3" t="s">
        <v>538</v>
      </c>
      <c r="H3570" s="3" t="s">
        <v>1524</v>
      </c>
      <c r="I3570" s="3" t="s">
        <v>974</v>
      </c>
      <c r="J3570" s="5" t="s">
        <v>6591</v>
      </c>
      <c r="L3570" s="3" t="s">
        <v>3425</v>
      </c>
      <c r="M3570" s="3">
        <v>7</v>
      </c>
      <c r="N3570" s="4" t="s">
        <v>1490</v>
      </c>
      <c r="O3570" s="4">
        <v>190</v>
      </c>
      <c r="P3570" s="11" t="s">
        <v>10007</v>
      </c>
      <c r="Q3570" s="11" t="s">
        <v>10830</v>
      </c>
      <c r="S3570" s="4" t="b">
        <f>ISNUMBER(MATCH(Q3570,T:T,0))</f>
        <v>1</v>
      </c>
      <c r="T3570" s="4" t="s">
        <v>12807</v>
      </c>
      <c r="U3570" s="4" t="str">
        <f t="shared" si="158"/>
        <v>略</v>
      </c>
    </row>
    <row r="3571" spans="1:21">
      <c r="A3571" s="3">
        <v>3562</v>
      </c>
      <c r="B3571" s="3" t="s">
        <v>1488</v>
      </c>
      <c r="C3571" s="3" t="s">
        <v>6005</v>
      </c>
      <c r="D3571" s="3" t="s">
        <v>6001</v>
      </c>
      <c r="E3571" s="3" t="s">
        <v>5991</v>
      </c>
      <c r="F3571" s="3" t="s">
        <v>972</v>
      </c>
      <c r="G3571" s="3" t="s">
        <v>538</v>
      </c>
      <c r="H3571" s="3" t="s">
        <v>1525</v>
      </c>
      <c r="I3571" s="3" t="s">
        <v>974</v>
      </c>
      <c r="J3571" s="5" t="s">
        <v>1526</v>
      </c>
      <c r="L3571" s="3" t="s">
        <v>3422</v>
      </c>
      <c r="M3571" s="3">
        <v>1</v>
      </c>
      <c r="N3571" s="4" t="s">
        <v>1490</v>
      </c>
      <c r="O3571" s="4">
        <v>190</v>
      </c>
      <c r="P3571" s="11" t="s">
        <v>9709</v>
      </c>
      <c r="Q3571" s="11" t="s">
        <v>10830</v>
      </c>
      <c r="S3571" s="4" t="b">
        <f>ISNUMBER(MATCH(Q3571,T:T,0))</f>
        <v>1</v>
      </c>
      <c r="T3571" s="4" t="s">
        <v>1526</v>
      </c>
      <c r="U3571" s="4" t="str">
        <f t="shared" si="158"/>
        <v>略</v>
      </c>
    </row>
    <row r="3572" spans="1:21">
      <c r="A3572" s="3">
        <v>3563</v>
      </c>
      <c r="B3572" s="3" t="s">
        <v>1488</v>
      </c>
      <c r="C3572" s="3" t="s">
        <v>6038</v>
      </c>
      <c r="D3572" s="3" t="s">
        <v>6001</v>
      </c>
      <c r="E3572" s="3" t="s">
        <v>6212</v>
      </c>
      <c r="F3572" s="3" t="s">
        <v>972</v>
      </c>
      <c r="G3572" s="3" t="s">
        <v>538</v>
      </c>
      <c r="H3572" s="3" t="s">
        <v>1527</v>
      </c>
      <c r="I3572" s="3" t="s">
        <v>974</v>
      </c>
      <c r="J3572" s="5" t="s">
        <v>1528</v>
      </c>
      <c r="L3572" s="3" t="s">
        <v>2895</v>
      </c>
      <c r="M3572" s="3">
        <v>2</v>
      </c>
      <c r="N3572" s="4" t="s">
        <v>1490</v>
      </c>
      <c r="O3572" s="4">
        <v>190</v>
      </c>
      <c r="P3572" s="11" t="s">
        <v>9825</v>
      </c>
      <c r="Q3572" s="11" t="s">
        <v>2428</v>
      </c>
      <c r="S3572" s="4" t="b">
        <f>ISNUMBER(MATCH(Q3572,T:T,0))</f>
        <v>1</v>
      </c>
      <c r="T3572" s="4" t="s">
        <v>12808</v>
      </c>
      <c r="U3572" s="4" t="str">
        <f t="shared" si="158"/>
        <v>縛</v>
      </c>
    </row>
    <row r="3573" spans="1:21">
      <c r="A3573" s="3">
        <v>3564</v>
      </c>
      <c r="B3573" s="3" t="s">
        <v>1488</v>
      </c>
      <c r="C3573" s="3" t="s">
        <v>6041</v>
      </c>
      <c r="D3573" s="3" t="s">
        <v>6001</v>
      </c>
      <c r="E3573" s="3" t="s">
        <v>6212</v>
      </c>
      <c r="F3573" s="3" t="s">
        <v>972</v>
      </c>
      <c r="G3573" s="3" t="s">
        <v>538</v>
      </c>
      <c r="H3573" s="3" t="s">
        <v>899</v>
      </c>
      <c r="I3573" s="3" t="s">
        <v>974</v>
      </c>
      <c r="J3573" s="5" t="s">
        <v>1529</v>
      </c>
      <c r="L3573" s="3" t="s">
        <v>3594</v>
      </c>
      <c r="M3573" s="3">
        <v>5</v>
      </c>
      <c r="N3573" s="4" t="s">
        <v>1490</v>
      </c>
      <c r="O3573" s="4">
        <v>190</v>
      </c>
      <c r="P3573" s="11" t="s">
        <v>10514</v>
      </c>
      <c r="Q3573" s="11" t="s">
        <v>10836</v>
      </c>
      <c r="S3573" s="4" t="b">
        <f>ISNUMBER(MATCH(Q3573,T:T,0))</f>
        <v>1</v>
      </c>
      <c r="T3573" s="4" t="s">
        <v>12809</v>
      </c>
      <c r="U3573" s="4" t="str">
        <f t="shared" si="158"/>
        <v>籰</v>
      </c>
    </row>
    <row r="3574" spans="1:21">
      <c r="A3574" s="3">
        <v>3565</v>
      </c>
      <c r="B3574" s="3" t="s">
        <v>1488</v>
      </c>
      <c r="C3574" s="3" t="s">
        <v>6137</v>
      </c>
      <c r="D3574" s="3" t="s">
        <v>6001</v>
      </c>
      <c r="E3574" s="3" t="s">
        <v>5991</v>
      </c>
      <c r="F3574" s="3" t="s">
        <v>972</v>
      </c>
      <c r="G3574" s="3" t="s">
        <v>538</v>
      </c>
      <c r="H3574" s="3" t="s">
        <v>1530</v>
      </c>
      <c r="I3574" s="3" t="s">
        <v>974</v>
      </c>
      <c r="J3574" s="5" t="s">
        <v>1531</v>
      </c>
      <c r="L3574" s="3" t="s">
        <v>1461</v>
      </c>
      <c r="M3574" s="3">
        <v>3</v>
      </c>
      <c r="N3574" s="4" t="s">
        <v>1490</v>
      </c>
      <c r="O3574" s="4">
        <v>190</v>
      </c>
      <c r="P3574" s="11" t="s">
        <v>9755</v>
      </c>
      <c r="Q3574" s="11" t="s">
        <v>10830</v>
      </c>
      <c r="S3574" s="4" t="b">
        <f>ISNUMBER(MATCH(Q3574,T:T,0))</f>
        <v>1</v>
      </c>
      <c r="T3574" s="4" t="s">
        <v>12810</v>
      </c>
      <c r="U3574" s="4" t="str">
        <f t="shared" si="158"/>
        <v>略</v>
      </c>
    </row>
    <row r="3575" spans="1:21">
      <c r="A3575" s="3">
        <v>3566</v>
      </c>
      <c r="B3575" s="3" t="s">
        <v>1488</v>
      </c>
      <c r="C3575" s="3" t="s">
        <v>6053</v>
      </c>
      <c r="D3575" s="3" t="s">
        <v>6001</v>
      </c>
      <c r="E3575" s="3" t="s">
        <v>6212</v>
      </c>
      <c r="F3575" s="3" t="s">
        <v>972</v>
      </c>
      <c r="G3575" s="3" t="s">
        <v>538</v>
      </c>
      <c r="H3575" s="3" t="s">
        <v>1532</v>
      </c>
      <c r="I3575" s="3" t="s">
        <v>974</v>
      </c>
      <c r="J3575" s="5" t="s">
        <v>1533</v>
      </c>
      <c r="L3575" s="3" t="s">
        <v>1534</v>
      </c>
      <c r="M3575" s="3">
        <v>1</v>
      </c>
      <c r="N3575" s="4" t="s">
        <v>1490</v>
      </c>
      <c r="O3575" s="4">
        <v>190</v>
      </c>
      <c r="P3575" s="11" t="s">
        <v>9955</v>
      </c>
      <c r="Q3575" s="11" t="s">
        <v>2428</v>
      </c>
      <c r="S3575" s="4" t="b">
        <f>ISNUMBER(MATCH(Q3575,T:T,0))</f>
        <v>1</v>
      </c>
      <c r="T3575" s="4" t="s">
        <v>1533</v>
      </c>
      <c r="U3575" s="4" t="str">
        <f t="shared" si="158"/>
        <v>縛</v>
      </c>
    </row>
    <row r="3576" spans="1:21">
      <c r="A3576" s="3">
        <v>3567</v>
      </c>
      <c r="B3576" s="3" t="s">
        <v>1488</v>
      </c>
      <c r="C3576" s="3" t="s">
        <v>6089</v>
      </c>
      <c r="D3576" s="3" t="s">
        <v>6001</v>
      </c>
      <c r="E3576" s="3" t="s">
        <v>5991</v>
      </c>
      <c r="F3576" s="3" t="s">
        <v>972</v>
      </c>
      <c r="G3576" s="3" t="s">
        <v>538</v>
      </c>
      <c r="H3576" s="7" t="s">
        <v>900</v>
      </c>
      <c r="I3576" s="3" t="s">
        <v>974</v>
      </c>
      <c r="J3576" s="5" t="s">
        <v>1535</v>
      </c>
      <c r="L3576" s="3" t="s">
        <v>3448</v>
      </c>
      <c r="M3576" s="3">
        <v>1</v>
      </c>
      <c r="N3576" s="4" t="s">
        <v>1490</v>
      </c>
      <c r="O3576" s="4">
        <v>190</v>
      </c>
      <c r="P3576" s="11" t="s">
        <v>9958</v>
      </c>
      <c r="Q3576" s="11" t="s">
        <v>10829</v>
      </c>
      <c r="S3576" s="4" t="b">
        <f>ISNUMBER(MATCH(Q3576,T:T,0))</f>
        <v>1</v>
      </c>
      <c r="T3576" s="4" t="s">
        <v>1535</v>
      </c>
      <c r="U3576" s="4" t="str">
        <f t="shared" si="158"/>
        <v>約</v>
      </c>
    </row>
    <row r="3577" spans="1:21">
      <c r="A3577" s="3">
        <v>3568</v>
      </c>
      <c r="B3577" s="3" t="s">
        <v>1536</v>
      </c>
      <c r="C3577" s="3" t="s">
        <v>5997</v>
      </c>
      <c r="D3577" s="3" t="s">
        <v>5990</v>
      </c>
      <c r="E3577" s="3" t="s">
        <v>5991</v>
      </c>
      <c r="F3577" s="3" t="s">
        <v>1032</v>
      </c>
      <c r="G3577" s="3" t="s">
        <v>538</v>
      </c>
      <c r="H3577" s="3" t="s">
        <v>1537</v>
      </c>
      <c r="I3577" s="3" t="s">
        <v>974</v>
      </c>
      <c r="J3577" s="5" t="s">
        <v>6592</v>
      </c>
      <c r="L3577" s="3" t="s">
        <v>3686</v>
      </c>
      <c r="M3577" s="3">
        <v>15</v>
      </c>
      <c r="N3577" s="4" t="s">
        <v>9688</v>
      </c>
      <c r="O3577" s="4">
        <v>191</v>
      </c>
      <c r="P3577" s="11" t="s">
        <v>9706</v>
      </c>
      <c r="Q3577" s="11" t="s">
        <v>9877</v>
      </c>
      <c r="S3577" s="4" t="b">
        <f>ISNUMBER(MATCH(Q3577,T:T,0))</f>
        <v>1</v>
      </c>
      <c r="T3577" s="4" t="s">
        <v>9688</v>
      </c>
      <c r="U3577" s="4" t="str">
        <f t="shared" si="158"/>
        <v>落</v>
      </c>
    </row>
    <row r="3578" spans="1:21">
      <c r="A3578" s="3">
        <v>3569</v>
      </c>
      <c r="B3578" s="3" t="s">
        <v>1536</v>
      </c>
      <c r="C3578" s="3" t="s">
        <v>6035</v>
      </c>
      <c r="D3578" s="3" t="s">
        <v>5990</v>
      </c>
      <c r="E3578" s="3" t="s">
        <v>5991</v>
      </c>
      <c r="F3578" s="3" t="s">
        <v>1032</v>
      </c>
      <c r="G3578" s="3" t="s">
        <v>538</v>
      </c>
      <c r="H3578" s="3" t="s">
        <v>1538</v>
      </c>
      <c r="I3578" s="3" t="s">
        <v>974</v>
      </c>
      <c r="J3578" s="5" t="s">
        <v>1539</v>
      </c>
      <c r="L3578" s="3" t="s">
        <v>2415</v>
      </c>
      <c r="M3578" s="3">
        <v>16</v>
      </c>
      <c r="N3578" s="4" t="s">
        <v>9688</v>
      </c>
      <c r="O3578" s="4">
        <v>191</v>
      </c>
      <c r="P3578" s="11" t="s">
        <v>10837</v>
      </c>
      <c r="Q3578" s="11" t="s">
        <v>10384</v>
      </c>
      <c r="S3578" s="4" t="b">
        <f>ISNUMBER(MATCH(Q3578,T:T,0))</f>
        <v>1</v>
      </c>
      <c r="T3578" s="4" t="s">
        <v>9719</v>
      </c>
      <c r="U3578" s="4" t="str">
        <f t="shared" si="158"/>
        <v>各</v>
      </c>
    </row>
    <row r="3579" spans="1:21" ht="39">
      <c r="A3579" s="3">
        <v>3570</v>
      </c>
      <c r="B3579" s="3" t="s">
        <v>1536</v>
      </c>
      <c r="C3579" s="3" t="s">
        <v>6058</v>
      </c>
      <c r="D3579" s="3" t="s">
        <v>5990</v>
      </c>
      <c r="E3579" s="3" t="s">
        <v>5991</v>
      </c>
      <c r="F3579" s="3" t="s">
        <v>1032</v>
      </c>
      <c r="G3579" s="3" t="s">
        <v>538</v>
      </c>
      <c r="H3579" s="3" t="s">
        <v>1540</v>
      </c>
      <c r="I3579" s="3" t="s">
        <v>974</v>
      </c>
      <c r="J3579" s="5" t="s">
        <v>6593</v>
      </c>
      <c r="L3579" s="3" t="s">
        <v>2387</v>
      </c>
      <c r="M3579" s="3">
        <v>34</v>
      </c>
      <c r="N3579" s="4" t="s">
        <v>9688</v>
      </c>
      <c r="O3579" s="4">
        <v>191</v>
      </c>
      <c r="P3579" s="11" t="s">
        <v>9730</v>
      </c>
      <c r="Q3579" s="11" t="s">
        <v>10384</v>
      </c>
      <c r="S3579" s="4" t="b">
        <f>ISNUMBER(MATCH(Q3579,T:T,0))</f>
        <v>1</v>
      </c>
      <c r="T3579" s="4" t="s">
        <v>9877</v>
      </c>
      <c r="U3579" s="4" t="str">
        <f t="shared" si="158"/>
        <v>各</v>
      </c>
    </row>
    <row r="3580" spans="1:21" ht="39">
      <c r="A3580" s="3">
        <v>3571</v>
      </c>
      <c r="B3580" s="3" t="s">
        <v>1536</v>
      </c>
      <c r="C3580" s="3" t="s">
        <v>6079</v>
      </c>
      <c r="D3580" s="3" t="s">
        <v>5990</v>
      </c>
      <c r="E3580" s="3" t="s">
        <v>5991</v>
      </c>
      <c r="F3580" s="3" t="s">
        <v>1032</v>
      </c>
      <c r="G3580" s="3" t="s">
        <v>538</v>
      </c>
      <c r="H3580" s="3" t="s">
        <v>1541</v>
      </c>
      <c r="I3580" s="3" t="s">
        <v>974</v>
      </c>
      <c r="J3580" s="5" t="s">
        <v>6594</v>
      </c>
      <c r="L3580" s="3" t="s">
        <v>3696</v>
      </c>
      <c r="M3580" s="3">
        <v>18</v>
      </c>
      <c r="N3580" s="4" t="s">
        <v>9688</v>
      </c>
      <c r="O3580" s="4">
        <v>191</v>
      </c>
      <c r="P3580" s="11" t="s">
        <v>9736</v>
      </c>
      <c r="Q3580" s="11" t="s">
        <v>10384</v>
      </c>
      <c r="S3580" s="4" t="b">
        <f>ISNUMBER(MATCH(Q3580,T:T,0))</f>
        <v>1</v>
      </c>
      <c r="T3580" s="4" t="s">
        <v>10054</v>
      </c>
      <c r="U3580" s="4" t="str">
        <f t="shared" si="158"/>
        <v>各</v>
      </c>
    </row>
    <row r="3581" spans="1:21">
      <c r="A3581" s="3">
        <v>3572</v>
      </c>
      <c r="B3581" s="3" t="s">
        <v>1536</v>
      </c>
      <c r="C3581" s="3" t="s">
        <v>6083</v>
      </c>
      <c r="D3581" s="3" t="s">
        <v>5990</v>
      </c>
      <c r="E3581" s="3" t="s">
        <v>5991</v>
      </c>
      <c r="F3581" s="3" t="s">
        <v>1032</v>
      </c>
      <c r="G3581" s="3" t="s">
        <v>538</v>
      </c>
      <c r="H3581" s="3" t="s">
        <v>1542</v>
      </c>
      <c r="I3581" s="3" t="s">
        <v>974</v>
      </c>
      <c r="J3581" s="5" t="s">
        <v>6595</v>
      </c>
      <c r="L3581" s="3" t="s">
        <v>3679</v>
      </c>
      <c r="M3581" s="3">
        <v>6</v>
      </c>
      <c r="N3581" s="4" t="s">
        <v>9688</v>
      </c>
      <c r="O3581" s="4">
        <v>191</v>
      </c>
      <c r="P3581" s="11" t="s">
        <v>9875</v>
      </c>
      <c r="Q3581" s="11" t="s">
        <v>9877</v>
      </c>
      <c r="S3581" s="4" t="b">
        <f>ISNUMBER(MATCH(Q3581,T:T,0))</f>
        <v>1</v>
      </c>
      <c r="T3581" s="4" t="s">
        <v>9745</v>
      </c>
      <c r="U3581" s="4" t="str">
        <f t="shared" si="158"/>
        <v>落</v>
      </c>
    </row>
    <row r="3582" spans="1:21">
      <c r="A3582" s="3">
        <v>3573</v>
      </c>
      <c r="B3582" s="3" t="s">
        <v>1536</v>
      </c>
      <c r="C3582" s="3" t="s">
        <v>6076</v>
      </c>
      <c r="D3582" s="3" t="s">
        <v>5990</v>
      </c>
      <c r="E3582" s="3" t="s">
        <v>5991</v>
      </c>
      <c r="F3582" s="3" t="s">
        <v>1032</v>
      </c>
      <c r="G3582" s="3" t="s">
        <v>538</v>
      </c>
      <c r="H3582" s="3" t="s">
        <v>1543</v>
      </c>
      <c r="I3582" s="3" t="s">
        <v>974</v>
      </c>
      <c r="J3582" s="5" t="s">
        <v>6596</v>
      </c>
      <c r="L3582" s="3" t="s">
        <v>3702</v>
      </c>
      <c r="M3582" s="3">
        <v>7</v>
      </c>
      <c r="N3582" s="4" t="s">
        <v>9688</v>
      </c>
      <c r="O3582" s="4">
        <v>191</v>
      </c>
      <c r="P3582" s="11" t="s">
        <v>9735</v>
      </c>
      <c r="Q3582" s="11" t="s">
        <v>10384</v>
      </c>
      <c r="S3582" s="4" t="b">
        <f>ISNUMBER(MATCH(Q3582,T:T,0))</f>
        <v>1</v>
      </c>
      <c r="T3582" s="4" t="s">
        <v>12145</v>
      </c>
      <c r="U3582" s="4" t="str">
        <f t="shared" si="158"/>
        <v>各</v>
      </c>
    </row>
    <row r="3583" spans="1:21">
      <c r="A3583" s="3">
        <v>3574</v>
      </c>
      <c r="B3583" s="3" t="s">
        <v>1536</v>
      </c>
      <c r="C3583" s="3" t="s">
        <v>6025</v>
      </c>
      <c r="D3583" s="3" t="s">
        <v>5990</v>
      </c>
      <c r="E3583" s="3" t="s">
        <v>5991</v>
      </c>
      <c r="F3583" s="3" t="s">
        <v>1032</v>
      </c>
      <c r="G3583" s="3" t="s">
        <v>538</v>
      </c>
      <c r="H3583" s="3" t="s">
        <v>1544</v>
      </c>
      <c r="I3583" s="3" t="s">
        <v>974</v>
      </c>
      <c r="J3583" s="5" t="s">
        <v>1545</v>
      </c>
      <c r="L3583" s="3" t="s">
        <v>3660</v>
      </c>
      <c r="M3583" s="3">
        <v>5</v>
      </c>
      <c r="N3583" s="4" t="s">
        <v>9688</v>
      </c>
      <c r="O3583" s="4">
        <v>191</v>
      </c>
      <c r="P3583" s="11" t="s">
        <v>9729</v>
      </c>
      <c r="Q3583" s="11" t="s">
        <v>9877</v>
      </c>
      <c r="S3583" s="4" t="b">
        <f>ISNUMBER(MATCH(Q3583,T:T,0))</f>
        <v>1</v>
      </c>
      <c r="T3583" s="4" t="s">
        <v>10384</v>
      </c>
      <c r="U3583" s="4" t="str">
        <f t="shared" si="158"/>
        <v>落</v>
      </c>
    </row>
    <row r="3584" spans="1:21">
      <c r="A3584" s="3">
        <v>3575</v>
      </c>
      <c r="B3584" s="3" t="s">
        <v>1536</v>
      </c>
      <c r="C3584" s="3" t="s">
        <v>6038</v>
      </c>
      <c r="D3584" s="3" t="s">
        <v>5990</v>
      </c>
      <c r="E3584" s="3" t="s">
        <v>5991</v>
      </c>
      <c r="F3584" s="3" t="s">
        <v>1032</v>
      </c>
      <c r="G3584" s="3" t="s">
        <v>538</v>
      </c>
      <c r="H3584" s="3" t="s">
        <v>1546</v>
      </c>
      <c r="I3584" s="3" t="s">
        <v>974</v>
      </c>
      <c r="J3584" s="5" t="s">
        <v>6597</v>
      </c>
      <c r="L3584" s="3" t="s">
        <v>2862</v>
      </c>
      <c r="M3584" s="3">
        <v>3</v>
      </c>
      <c r="N3584" s="4" t="s">
        <v>9688</v>
      </c>
      <c r="O3584" s="4">
        <v>191</v>
      </c>
      <c r="P3584" s="11" t="s">
        <v>9728</v>
      </c>
      <c r="Q3584" s="11" t="s">
        <v>10384</v>
      </c>
      <c r="S3584" s="4" t="b">
        <f>ISNUMBER(MATCH(Q3584,T:T,0))</f>
        <v>1</v>
      </c>
      <c r="T3584" s="4" t="s">
        <v>10148</v>
      </c>
      <c r="U3584" s="4" t="str">
        <f t="shared" si="158"/>
        <v>各</v>
      </c>
    </row>
    <row r="3585" spans="1:21" ht="39">
      <c r="A3585" s="3">
        <v>3576</v>
      </c>
      <c r="B3585" s="3" t="s">
        <v>1536</v>
      </c>
      <c r="C3585" s="3" t="s">
        <v>6092</v>
      </c>
      <c r="D3585" s="3" t="s">
        <v>5990</v>
      </c>
      <c r="E3585" s="3" t="s">
        <v>5991</v>
      </c>
      <c r="F3585" s="3" t="s">
        <v>1032</v>
      </c>
      <c r="G3585" s="3" t="s">
        <v>538</v>
      </c>
      <c r="H3585" s="3" t="s">
        <v>1547</v>
      </c>
      <c r="I3585" s="3" t="s">
        <v>974</v>
      </c>
      <c r="J3585" s="5" t="s">
        <v>6598</v>
      </c>
      <c r="L3585" s="3" t="s">
        <v>2392</v>
      </c>
      <c r="M3585" s="3">
        <v>25</v>
      </c>
      <c r="N3585" s="4" t="s">
        <v>9688</v>
      </c>
      <c r="O3585" s="4">
        <v>191</v>
      </c>
      <c r="P3585" s="11" t="s">
        <v>9740</v>
      </c>
      <c r="Q3585" s="11" t="s">
        <v>10384</v>
      </c>
      <c r="S3585" s="4" t="b">
        <f>ISNUMBER(MATCH(Q3585,T:T,0))</f>
        <v>1</v>
      </c>
      <c r="T3585" s="4" t="s">
        <v>12811</v>
      </c>
      <c r="U3585" s="4" t="str">
        <f t="shared" si="158"/>
        <v>各</v>
      </c>
    </row>
    <row r="3586" spans="1:21">
      <c r="A3586" s="3">
        <v>3577</v>
      </c>
      <c r="B3586" s="3" t="s">
        <v>1536</v>
      </c>
      <c r="C3586" s="3" t="s">
        <v>6053</v>
      </c>
      <c r="D3586" s="3" t="s">
        <v>5990</v>
      </c>
      <c r="E3586" s="3" t="s">
        <v>6212</v>
      </c>
      <c r="F3586" s="3" t="s">
        <v>1032</v>
      </c>
      <c r="G3586" s="3" t="s">
        <v>538</v>
      </c>
      <c r="H3586" s="3" t="s">
        <v>1548</v>
      </c>
      <c r="I3586" s="3" t="s">
        <v>974</v>
      </c>
      <c r="J3586" s="5" t="s">
        <v>6599</v>
      </c>
      <c r="K3586" s="3" t="s">
        <v>1549</v>
      </c>
      <c r="L3586" s="3" t="s">
        <v>2825</v>
      </c>
      <c r="M3586" s="3">
        <v>15</v>
      </c>
      <c r="N3586" s="4" t="s">
        <v>9688</v>
      </c>
      <c r="O3586" s="4">
        <v>191</v>
      </c>
      <c r="P3586" s="11" t="s">
        <v>9772</v>
      </c>
      <c r="Q3586" s="11" t="s">
        <v>10384</v>
      </c>
      <c r="S3586" s="4" t="b">
        <f>ISNUMBER(MATCH(Q3586,T:T,0))</f>
        <v>1</v>
      </c>
      <c r="T3586" s="4" t="s">
        <v>12812</v>
      </c>
      <c r="U3586" s="4" t="str">
        <f t="shared" si="158"/>
        <v>各</v>
      </c>
    </row>
    <row r="3587" spans="1:21">
      <c r="A3587" s="3">
        <v>3578</v>
      </c>
      <c r="B3587" s="3" t="s">
        <v>1536</v>
      </c>
      <c r="C3587" s="3" t="s">
        <v>6072</v>
      </c>
      <c r="D3587" s="3" t="s">
        <v>5990</v>
      </c>
      <c r="E3587" s="3" t="s">
        <v>5991</v>
      </c>
      <c r="F3587" s="3" t="s">
        <v>1032</v>
      </c>
      <c r="G3587" s="3" t="s">
        <v>538</v>
      </c>
      <c r="H3587" s="3" t="s">
        <v>1550</v>
      </c>
      <c r="I3587" s="3" t="s">
        <v>974</v>
      </c>
      <c r="J3587" s="5" t="s">
        <v>1551</v>
      </c>
      <c r="L3587" s="3" t="s">
        <v>3648</v>
      </c>
      <c r="M3587" s="3">
        <v>4</v>
      </c>
      <c r="N3587" s="4" t="s">
        <v>9688</v>
      </c>
      <c r="O3587" s="4">
        <v>191</v>
      </c>
      <c r="P3587" s="11" t="s">
        <v>9734</v>
      </c>
      <c r="Q3587" s="11" t="s">
        <v>10384</v>
      </c>
      <c r="S3587" s="4" t="b">
        <f>ISNUMBER(MATCH(Q3587,T:T,0))</f>
        <v>1</v>
      </c>
      <c r="T3587" s="4" t="s">
        <v>12813</v>
      </c>
      <c r="U3587" s="4" t="str">
        <f t="shared" ref="U3587:U3650" si="159">IF(ISBLANK(R3587),Q3587,R3587)</f>
        <v>各</v>
      </c>
    </row>
    <row r="3588" spans="1:21">
      <c r="A3588" s="3">
        <v>3579</v>
      </c>
      <c r="B3588" s="3" t="s">
        <v>1536</v>
      </c>
      <c r="C3588" s="3" t="s">
        <v>6045</v>
      </c>
      <c r="D3588" s="3" t="s">
        <v>5990</v>
      </c>
      <c r="E3588" s="3" t="s">
        <v>6212</v>
      </c>
      <c r="F3588" s="3" t="s">
        <v>1032</v>
      </c>
      <c r="G3588" s="3" t="s">
        <v>538</v>
      </c>
      <c r="H3588" s="3" t="s">
        <v>1552</v>
      </c>
      <c r="I3588" s="3" t="s">
        <v>974</v>
      </c>
      <c r="J3588" s="5" t="s">
        <v>6600</v>
      </c>
      <c r="K3588" s="3" t="s">
        <v>1549</v>
      </c>
      <c r="L3588" s="3" t="s">
        <v>3432</v>
      </c>
      <c r="M3588" s="3">
        <v>11</v>
      </c>
      <c r="N3588" s="4" t="s">
        <v>9688</v>
      </c>
      <c r="O3588" s="4">
        <v>191</v>
      </c>
      <c r="P3588" s="11" t="s">
        <v>10259</v>
      </c>
      <c r="Q3588" s="11" t="s">
        <v>10384</v>
      </c>
      <c r="S3588" s="4" t="b">
        <f>ISNUMBER(MATCH(Q3588,T:T,0))</f>
        <v>1</v>
      </c>
      <c r="T3588" s="4" t="s">
        <v>9738</v>
      </c>
      <c r="U3588" s="4" t="str">
        <f t="shared" si="159"/>
        <v>各</v>
      </c>
    </row>
    <row r="3589" spans="1:21">
      <c r="A3589" s="3">
        <v>3580</v>
      </c>
      <c r="B3589" s="3" t="s">
        <v>1536</v>
      </c>
      <c r="C3589" s="3" t="s">
        <v>6089</v>
      </c>
      <c r="D3589" s="3" t="s">
        <v>5990</v>
      </c>
      <c r="E3589" s="3" t="s">
        <v>5991</v>
      </c>
      <c r="F3589" s="3" t="s">
        <v>1032</v>
      </c>
      <c r="G3589" s="3" t="s">
        <v>538</v>
      </c>
      <c r="H3589" s="3" t="s">
        <v>1553</v>
      </c>
      <c r="I3589" s="3" t="s">
        <v>974</v>
      </c>
      <c r="J3589" s="5" t="s">
        <v>6601</v>
      </c>
      <c r="L3589" s="3" t="s">
        <v>2869</v>
      </c>
      <c r="M3589" s="3">
        <v>11</v>
      </c>
      <c r="N3589" s="4" t="s">
        <v>9688</v>
      </c>
      <c r="O3589" s="4">
        <v>191</v>
      </c>
      <c r="P3589" s="11" t="s">
        <v>10838</v>
      </c>
      <c r="Q3589" s="11" t="s">
        <v>10384</v>
      </c>
      <c r="S3589" s="4" t="b">
        <f>ISNUMBER(MATCH(Q3589,T:T,0))</f>
        <v>1</v>
      </c>
      <c r="T3589" s="4" t="s">
        <v>12814</v>
      </c>
      <c r="U3589" s="4" t="str">
        <f t="shared" si="159"/>
        <v>各</v>
      </c>
    </row>
    <row r="3590" spans="1:21">
      <c r="A3590" s="3">
        <v>3581</v>
      </c>
      <c r="B3590" s="3" t="s">
        <v>1536</v>
      </c>
      <c r="C3590" s="3" t="s">
        <v>6017</v>
      </c>
      <c r="D3590" s="3" t="s">
        <v>5990</v>
      </c>
      <c r="E3590" s="3" t="s">
        <v>5991</v>
      </c>
      <c r="F3590" s="3" t="s">
        <v>1032</v>
      </c>
      <c r="G3590" s="3" t="s">
        <v>538</v>
      </c>
      <c r="H3590" s="3" t="s">
        <v>1554</v>
      </c>
      <c r="I3590" s="3" t="s">
        <v>974</v>
      </c>
      <c r="J3590" s="5" t="s">
        <v>1555</v>
      </c>
      <c r="L3590" s="3" t="s">
        <v>1556</v>
      </c>
      <c r="M3590" s="3">
        <v>6</v>
      </c>
      <c r="N3590" s="4" t="s">
        <v>9688</v>
      </c>
      <c r="O3590" s="4">
        <v>191</v>
      </c>
      <c r="P3590" s="11" t="s">
        <v>9741</v>
      </c>
      <c r="Q3590" s="11" t="s">
        <v>10384</v>
      </c>
      <c r="S3590" s="4" t="b">
        <f>ISNUMBER(MATCH(Q3590,T:T,0))</f>
        <v>1</v>
      </c>
      <c r="T3590" s="4" t="s">
        <v>12815</v>
      </c>
      <c r="U3590" s="4" t="str">
        <f t="shared" si="159"/>
        <v>各</v>
      </c>
    </row>
    <row r="3591" spans="1:21">
      <c r="A3591" s="3">
        <v>3582</v>
      </c>
      <c r="B3591" s="3" t="s">
        <v>1536</v>
      </c>
      <c r="C3591" s="3" t="s">
        <v>6067</v>
      </c>
      <c r="D3591" s="3" t="s">
        <v>5990</v>
      </c>
      <c r="E3591" s="3" t="s">
        <v>5991</v>
      </c>
      <c r="F3591" s="3" t="s">
        <v>1032</v>
      </c>
      <c r="G3591" s="3" t="s">
        <v>538</v>
      </c>
      <c r="H3591" s="3" t="s">
        <v>1557</v>
      </c>
      <c r="I3591" s="3" t="s">
        <v>974</v>
      </c>
      <c r="J3591" s="5" t="s">
        <v>6602</v>
      </c>
      <c r="L3591" s="3" t="s">
        <v>4579</v>
      </c>
      <c r="M3591" s="3">
        <v>11</v>
      </c>
      <c r="N3591" s="4" t="s">
        <v>9688</v>
      </c>
      <c r="O3591" s="4">
        <v>191</v>
      </c>
      <c r="P3591" s="11" t="s">
        <v>9771</v>
      </c>
      <c r="Q3591" s="11" t="s">
        <v>10384</v>
      </c>
      <c r="S3591" s="4" t="b">
        <f>ISNUMBER(MATCH(Q3591,T:T,0))</f>
        <v>1</v>
      </c>
      <c r="T3591" s="4" t="s">
        <v>12816</v>
      </c>
      <c r="U3591" s="4" t="str">
        <f t="shared" si="159"/>
        <v>各</v>
      </c>
    </row>
    <row r="3592" spans="1:21" ht="39">
      <c r="A3592" s="3">
        <v>3583</v>
      </c>
      <c r="B3592" s="3" t="s">
        <v>1536</v>
      </c>
      <c r="C3592" s="3" t="s">
        <v>6069</v>
      </c>
      <c r="D3592" s="3" t="s">
        <v>5990</v>
      </c>
      <c r="E3592" s="3" t="s">
        <v>5991</v>
      </c>
      <c r="F3592" s="3" t="s">
        <v>1032</v>
      </c>
      <c r="G3592" s="3" t="s">
        <v>538</v>
      </c>
      <c r="H3592" s="3" t="s">
        <v>1558</v>
      </c>
      <c r="I3592" s="3" t="s">
        <v>974</v>
      </c>
      <c r="J3592" s="5" t="s">
        <v>6603</v>
      </c>
      <c r="L3592" s="3" t="s">
        <v>3675</v>
      </c>
      <c r="M3592" s="3">
        <v>20</v>
      </c>
      <c r="N3592" s="4" t="s">
        <v>9688</v>
      </c>
      <c r="O3592" s="4">
        <v>191</v>
      </c>
      <c r="P3592" s="11" t="s">
        <v>5919</v>
      </c>
      <c r="Q3592" s="11" t="s">
        <v>10384</v>
      </c>
      <c r="S3592" s="4" t="b">
        <f>ISNUMBER(MATCH(Q3592,T:T,0))</f>
        <v>1</v>
      </c>
      <c r="T3592" s="4" t="s">
        <v>9880</v>
      </c>
      <c r="U3592" s="4" t="str">
        <f t="shared" si="159"/>
        <v>各</v>
      </c>
    </row>
    <row r="3593" spans="1:21" ht="39">
      <c r="A3593" s="3">
        <v>3584</v>
      </c>
      <c r="B3593" s="3" t="s">
        <v>1536</v>
      </c>
      <c r="C3593" s="3" t="s">
        <v>6049</v>
      </c>
      <c r="D3593" s="3" t="s">
        <v>5990</v>
      </c>
      <c r="E3593" s="3" t="s">
        <v>6212</v>
      </c>
      <c r="F3593" s="3" t="s">
        <v>1032</v>
      </c>
      <c r="G3593" s="3" t="s">
        <v>538</v>
      </c>
      <c r="H3593" s="3" t="s">
        <v>1559</v>
      </c>
      <c r="I3593" s="3" t="s">
        <v>974</v>
      </c>
      <c r="J3593" s="5" t="s">
        <v>6604</v>
      </c>
      <c r="K3593" s="3" t="s">
        <v>1549</v>
      </c>
      <c r="L3593" s="3" t="s">
        <v>2792</v>
      </c>
      <c r="M3593" s="3">
        <v>20</v>
      </c>
      <c r="N3593" s="4" t="s">
        <v>9688</v>
      </c>
      <c r="O3593" s="4">
        <v>191</v>
      </c>
      <c r="P3593" s="11" t="s">
        <v>10253</v>
      </c>
      <c r="Q3593" s="11" t="s">
        <v>10384</v>
      </c>
      <c r="S3593" s="4" t="b">
        <f>ISNUMBER(MATCH(Q3593,T:T,0))</f>
        <v>1</v>
      </c>
      <c r="T3593" s="4" t="s">
        <v>9770</v>
      </c>
      <c r="U3593" s="4" t="str">
        <f t="shared" si="159"/>
        <v>各</v>
      </c>
    </row>
    <row r="3594" spans="1:21">
      <c r="A3594" s="3">
        <v>3585</v>
      </c>
      <c r="B3594" s="3" t="s">
        <v>1536</v>
      </c>
      <c r="C3594" s="3" t="s">
        <v>6102</v>
      </c>
      <c r="D3594" s="3" t="s">
        <v>5990</v>
      </c>
      <c r="E3594" s="3" t="s">
        <v>5991</v>
      </c>
      <c r="F3594" s="3" t="s">
        <v>1032</v>
      </c>
      <c r="G3594" s="3" t="s">
        <v>538</v>
      </c>
      <c r="H3594" s="3" t="s">
        <v>1560</v>
      </c>
      <c r="I3594" s="3" t="s">
        <v>974</v>
      </c>
      <c r="J3594" s="5" t="s">
        <v>1561</v>
      </c>
      <c r="L3594" s="3" t="s">
        <v>2396</v>
      </c>
      <c r="M3594" s="3">
        <v>1</v>
      </c>
      <c r="N3594" s="4" t="s">
        <v>9688</v>
      </c>
      <c r="O3594" s="4">
        <v>191</v>
      </c>
      <c r="P3594" s="11" t="s">
        <v>9744</v>
      </c>
      <c r="Q3594" s="11" t="s">
        <v>10384</v>
      </c>
      <c r="S3594" s="4" t="b">
        <f>ISNUMBER(MATCH(Q3594,T:T,0))</f>
        <v>1</v>
      </c>
      <c r="T3594" s="4" t="s">
        <v>1561</v>
      </c>
      <c r="U3594" s="4" t="str">
        <f t="shared" si="159"/>
        <v>各</v>
      </c>
    </row>
    <row r="3595" spans="1:21">
      <c r="A3595" s="3">
        <v>3586</v>
      </c>
      <c r="B3595" s="3" t="s">
        <v>1536</v>
      </c>
      <c r="C3595" s="3" t="s">
        <v>6089</v>
      </c>
      <c r="D3595" s="3" t="s">
        <v>5990</v>
      </c>
      <c r="E3595" s="3" t="s">
        <v>6212</v>
      </c>
      <c r="F3595" s="3" t="s">
        <v>1032</v>
      </c>
      <c r="G3595" s="3" t="s">
        <v>538</v>
      </c>
      <c r="H3595" s="7" t="s">
        <v>901</v>
      </c>
      <c r="I3595" s="3" t="s">
        <v>974</v>
      </c>
      <c r="J3595" s="5" t="s">
        <v>6605</v>
      </c>
      <c r="L3595" s="3" t="s">
        <v>3688</v>
      </c>
      <c r="M3595" s="3">
        <v>12</v>
      </c>
      <c r="N3595" s="4" t="s">
        <v>9688</v>
      </c>
      <c r="O3595" s="4">
        <v>191</v>
      </c>
      <c r="P3595" s="11" t="s">
        <v>9958</v>
      </c>
      <c r="Q3595" s="11" t="s">
        <v>10839</v>
      </c>
      <c r="S3595" s="4" t="b">
        <f>ISNUMBER(MATCH(Q3595,T:T,0))</f>
        <v>1</v>
      </c>
      <c r="T3595" s="4" t="s">
        <v>12817</v>
      </c>
      <c r="U3595" s="4" t="str">
        <f t="shared" si="159"/>
        <v>郭</v>
      </c>
    </row>
    <row r="3596" spans="1:21">
      <c r="A3596" s="3">
        <v>3587</v>
      </c>
      <c r="B3596" s="3" t="s">
        <v>1536</v>
      </c>
      <c r="C3596" s="3" t="s">
        <v>6025</v>
      </c>
      <c r="D3596" s="3" t="s">
        <v>5990</v>
      </c>
      <c r="E3596" s="3" t="s">
        <v>6212</v>
      </c>
      <c r="F3596" s="3" t="s">
        <v>1032</v>
      </c>
      <c r="G3596" s="3" t="s">
        <v>538</v>
      </c>
      <c r="H3596" s="3" t="s">
        <v>1562</v>
      </c>
      <c r="I3596" s="3" t="s">
        <v>974</v>
      </c>
      <c r="J3596" s="5" t="s">
        <v>6606</v>
      </c>
      <c r="L3596" s="3" t="s">
        <v>3681</v>
      </c>
      <c r="M3596" s="3">
        <v>10</v>
      </c>
      <c r="N3596" s="4" t="s">
        <v>9688</v>
      </c>
      <c r="O3596" s="4">
        <v>191</v>
      </c>
      <c r="P3596" s="11" t="s">
        <v>9729</v>
      </c>
      <c r="Q3596" s="11" t="s">
        <v>9770</v>
      </c>
      <c r="S3596" s="4" t="b">
        <f>ISNUMBER(MATCH(Q3596,T:T,0))</f>
        <v>1</v>
      </c>
      <c r="T3596" s="4" t="s">
        <v>10839</v>
      </c>
      <c r="U3596" s="4" t="str">
        <f t="shared" si="159"/>
        <v>博</v>
      </c>
    </row>
    <row r="3597" spans="1:21">
      <c r="A3597" s="3">
        <v>3588</v>
      </c>
      <c r="B3597" s="3" t="s">
        <v>1536</v>
      </c>
      <c r="C3597" s="3" t="s">
        <v>6072</v>
      </c>
      <c r="D3597" s="3" t="s">
        <v>5990</v>
      </c>
      <c r="E3597" s="3" t="s">
        <v>6212</v>
      </c>
      <c r="F3597" s="3" t="s">
        <v>1032</v>
      </c>
      <c r="G3597" s="3" t="s">
        <v>538</v>
      </c>
      <c r="H3597" s="3" t="s">
        <v>1563</v>
      </c>
      <c r="I3597" s="3" t="s">
        <v>974</v>
      </c>
      <c r="J3597" s="5" t="s">
        <v>6607</v>
      </c>
      <c r="L3597" s="3" t="s">
        <v>3690</v>
      </c>
      <c r="M3597" s="3">
        <v>6</v>
      </c>
      <c r="N3597" s="4" t="s">
        <v>9688</v>
      </c>
      <c r="O3597" s="4">
        <v>191</v>
      </c>
      <c r="P3597" s="11" t="s">
        <v>9734</v>
      </c>
      <c r="Q3597" s="11" t="s">
        <v>10839</v>
      </c>
      <c r="S3597" s="4" t="b">
        <f>ISNUMBER(MATCH(Q3597,T:T,0))</f>
        <v>1</v>
      </c>
      <c r="T3597" s="4" t="s">
        <v>12818</v>
      </c>
      <c r="U3597" s="4" t="str">
        <f t="shared" si="159"/>
        <v>郭</v>
      </c>
    </row>
    <row r="3598" spans="1:21">
      <c r="A3598" s="3">
        <v>3589</v>
      </c>
      <c r="B3598" s="3" t="s">
        <v>1536</v>
      </c>
      <c r="C3598" s="3" t="s">
        <v>6067</v>
      </c>
      <c r="D3598" s="3" t="s">
        <v>5990</v>
      </c>
      <c r="E3598" s="3" t="s">
        <v>6212</v>
      </c>
      <c r="F3598" s="3" t="s">
        <v>1032</v>
      </c>
      <c r="G3598" s="3" t="s">
        <v>538</v>
      </c>
      <c r="H3598" s="3" t="s">
        <v>1564</v>
      </c>
      <c r="I3598" s="3" t="s">
        <v>974</v>
      </c>
      <c r="J3598" s="5" t="s">
        <v>1565</v>
      </c>
      <c r="L3598" s="3" t="s">
        <v>4617</v>
      </c>
      <c r="M3598" s="3">
        <v>10</v>
      </c>
      <c r="N3598" s="4" t="s">
        <v>9688</v>
      </c>
      <c r="O3598" s="4">
        <v>191</v>
      </c>
      <c r="P3598" s="11" t="s">
        <v>9870</v>
      </c>
      <c r="Q3598" s="11" t="s">
        <v>10839</v>
      </c>
      <c r="S3598" s="4" t="b">
        <f>ISNUMBER(MATCH(Q3598,T:T,0))</f>
        <v>1</v>
      </c>
      <c r="T3598" s="4" t="s">
        <v>10840</v>
      </c>
      <c r="U3598" s="4" t="str">
        <f t="shared" si="159"/>
        <v>郭</v>
      </c>
    </row>
    <row r="3599" spans="1:21">
      <c r="A3599" s="3">
        <v>3590</v>
      </c>
      <c r="B3599" s="3" t="s">
        <v>1536</v>
      </c>
      <c r="C3599" s="3" t="s">
        <v>6038</v>
      </c>
      <c r="D3599" s="3" t="s">
        <v>5990</v>
      </c>
      <c r="E3599" s="3" t="s">
        <v>6212</v>
      </c>
      <c r="F3599" s="3" t="s">
        <v>1032</v>
      </c>
      <c r="G3599" s="3" t="s">
        <v>538</v>
      </c>
      <c r="H3599" s="3" t="s">
        <v>1566</v>
      </c>
      <c r="I3599" s="3" t="s">
        <v>974</v>
      </c>
      <c r="J3599" s="5" t="s">
        <v>6608</v>
      </c>
      <c r="L3599" s="3" t="s">
        <v>3684</v>
      </c>
      <c r="M3599" s="3">
        <v>6</v>
      </c>
      <c r="N3599" s="4" t="s">
        <v>9688</v>
      </c>
      <c r="O3599" s="4">
        <v>191</v>
      </c>
      <c r="P3599" s="11" t="s">
        <v>9728</v>
      </c>
      <c r="Q3599" s="11" t="s">
        <v>10839</v>
      </c>
      <c r="S3599" s="4" t="b">
        <f>ISNUMBER(MATCH(Q3599,T:T,0))</f>
        <v>1</v>
      </c>
      <c r="T3599" s="4" t="s">
        <v>12819</v>
      </c>
      <c r="U3599" s="4" t="str">
        <f t="shared" si="159"/>
        <v>郭</v>
      </c>
    </row>
    <row r="3600" spans="1:21">
      <c r="A3600" s="3">
        <v>3591</v>
      </c>
      <c r="B3600" s="3" t="s">
        <v>1536</v>
      </c>
      <c r="C3600" s="3" t="s">
        <v>6092</v>
      </c>
      <c r="D3600" s="3" t="s">
        <v>5990</v>
      </c>
      <c r="E3600" s="3" t="s">
        <v>6212</v>
      </c>
      <c r="F3600" s="3" t="s">
        <v>1032</v>
      </c>
      <c r="G3600" s="3" t="s">
        <v>538</v>
      </c>
      <c r="H3600" s="3" t="s">
        <v>1567</v>
      </c>
      <c r="I3600" s="3" t="s">
        <v>974</v>
      </c>
      <c r="J3600" s="5" t="s">
        <v>1568</v>
      </c>
      <c r="L3600" s="3" t="s">
        <v>2422</v>
      </c>
      <c r="M3600" s="3">
        <v>1</v>
      </c>
      <c r="N3600" s="4" t="s">
        <v>9688</v>
      </c>
      <c r="O3600" s="4">
        <v>191</v>
      </c>
      <c r="P3600" s="11" t="s">
        <v>9740</v>
      </c>
      <c r="Q3600" s="11" t="s">
        <v>10839</v>
      </c>
      <c r="S3600" s="4" t="b">
        <f>ISNUMBER(MATCH(Q3600,T:T,0))</f>
        <v>1</v>
      </c>
      <c r="T3600" s="4" t="s">
        <v>1568</v>
      </c>
      <c r="U3600" s="4" t="str">
        <f t="shared" si="159"/>
        <v>郭</v>
      </c>
    </row>
    <row r="3601" spans="1:21">
      <c r="A3601" s="3">
        <v>3592</v>
      </c>
      <c r="B3601" s="3" t="s">
        <v>1536</v>
      </c>
      <c r="C3601" s="3" t="s">
        <v>6058</v>
      </c>
      <c r="D3601" s="3" t="s">
        <v>5990</v>
      </c>
      <c r="E3601" s="3" t="s">
        <v>6212</v>
      </c>
      <c r="F3601" s="3" t="s">
        <v>1032</v>
      </c>
      <c r="G3601" s="3" t="s">
        <v>538</v>
      </c>
      <c r="H3601" s="3" t="s">
        <v>1569</v>
      </c>
      <c r="I3601" s="3" t="s">
        <v>974</v>
      </c>
      <c r="J3601" s="8" t="s">
        <v>1570</v>
      </c>
      <c r="L3601" s="3" t="s">
        <v>2387</v>
      </c>
      <c r="M3601" s="3">
        <v>1</v>
      </c>
      <c r="N3601" s="4" t="s">
        <v>9688</v>
      </c>
      <c r="O3601" s="4">
        <v>191</v>
      </c>
      <c r="P3601" s="11" t="s">
        <v>9730</v>
      </c>
      <c r="Q3601" s="11" t="s">
        <v>10840</v>
      </c>
      <c r="S3601" s="4" t="b">
        <f>ISNUMBER(MATCH(Q3601,T:T,0))</f>
        <v>1</v>
      </c>
      <c r="T3601" s="4" t="s">
        <v>1570</v>
      </c>
      <c r="U3601" s="4" t="str">
        <f t="shared" si="159"/>
        <v>穫</v>
      </c>
    </row>
    <row r="3602" spans="1:21">
      <c r="A3602" s="3">
        <v>3593</v>
      </c>
      <c r="B3602" s="3" t="s">
        <v>1536</v>
      </c>
      <c r="C3602" s="3" t="s">
        <v>6083</v>
      </c>
      <c r="D3602" s="3" t="s">
        <v>5990</v>
      </c>
      <c r="E3602" s="3" t="s">
        <v>6212</v>
      </c>
      <c r="F3602" s="3" t="s">
        <v>1032</v>
      </c>
      <c r="G3602" s="3" t="s">
        <v>538</v>
      </c>
      <c r="H3602" s="3" t="s">
        <v>1571</v>
      </c>
      <c r="I3602" s="3" t="s">
        <v>974</v>
      </c>
      <c r="J3602" s="5" t="s">
        <v>1572</v>
      </c>
      <c r="L3602" s="3" t="s">
        <v>3679</v>
      </c>
      <c r="M3602" s="3">
        <v>1</v>
      </c>
      <c r="N3602" s="4" t="s">
        <v>9688</v>
      </c>
      <c r="O3602" s="4">
        <v>191</v>
      </c>
      <c r="P3602" s="11" t="s">
        <v>9895</v>
      </c>
      <c r="Q3602" s="11" t="s">
        <v>10839</v>
      </c>
      <c r="S3602" s="4" t="b">
        <f>ISNUMBER(MATCH(Q3602,T:T,0))</f>
        <v>1</v>
      </c>
      <c r="T3602" s="4" t="s">
        <v>1572</v>
      </c>
      <c r="U3602" s="4" t="str">
        <f t="shared" si="159"/>
        <v>郭</v>
      </c>
    </row>
    <row r="3603" spans="1:21">
      <c r="A3603" s="3">
        <v>3594</v>
      </c>
      <c r="B3603" s="3" t="s">
        <v>1573</v>
      </c>
      <c r="C3603" s="3" t="s">
        <v>6035</v>
      </c>
      <c r="D3603" s="3" t="s">
        <v>6157</v>
      </c>
      <c r="E3603" s="3" t="s">
        <v>5991</v>
      </c>
      <c r="F3603" s="3" t="s">
        <v>1084</v>
      </c>
      <c r="G3603" s="3" t="s">
        <v>538</v>
      </c>
      <c r="H3603" s="3" t="s">
        <v>1574</v>
      </c>
      <c r="I3603" s="3" t="s">
        <v>1086</v>
      </c>
      <c r="J3603" s="5" t="s">
        <v>6609</v>
      </c>
      <c r="L3603" s="3" t="s">
        <v>2415</v>
      </c>
      <c r="M3603" s="3">
        <v>18</v>
      </c>
      <c r="N3603" s="4" t="s">
        <v>1575</v>
      </c>
      <c r="O3603" s="4">
        <v>192</v>
      </c>
      <c r="P3603" s="11" t="s">
        <v>9719</v>
      </c>
      <c r="Q3603" s="11" t="s">
        <v>10180</v>
      </c>
      <c r="S3603" s="4" t="b">
        <f>ISNUMBER(MATCH(Q3603,T:T,0))</f>
        <v>1</v>
      </c>
      <c r="T3603" s="4" t="s">
        <v>1575</v>
      </c>
      <c r="U3603" s="4" t="str">
        <f t="shared" si="159"/>
        <v>白</v>
      </c>
    </row>
    <row r="3604" spans="1:21">
      <c r="A3604" s="3">
        <v>3595</v>
      </c>
      <c r="B3604" s="3" t="s">
        <v>1573</v>
      </c>
      <c r="C3604" s="3" t="s">
        <v>6000</v>
      </c>
      <c r="D3604" s="3" t="s">
        <v>6157</v>
      </c>
      <c r="E3604" s="3" t="s">
        <v>5991</v>
      </c>
      <c r="F3604" s="3" t="s">
        <v>1084</v>
      </c>
      <c r="G3604" s="3" t="s">
        <v>538</v>
      </c>
      <c r="H3604" s="3" t="s">
        <v>1576</v>
      </c>
      <c r="I3604" s="3" t="s">
        <v>1086</v>
      </c>
      <c r="J3604" s="5" t="s">
        <v>6610</v>
      </c>
      <c r="L3604" s="3" t="s">
        <v>3551</v>
      </c>
      <c r="M3604" s="3">
        <v>11</v>
      </c>
      <c r="N3604" s="4" t="s">
        <v>1575</v>
      </c>
      <c r="O3604" s="4">
        <v>192</v>
      </c>
      <c r="P3604" s="11" t="s">
        <v>9707</v>
      </c>
      <c r="Q3604" s="11" t="s">
        <v>10742</v>
      </c>
      <c r="S3604" s="4" t="b">
        <f>ISNUMBER(MATCH(Q3604,T:T,0))</f>
        <v>1</v>
      </c>
      <c r="T3604" s="4" t="s">
        <v>12820</v>
      </c>
      <c r="U3604" s="4" t="str">
        <f t="shared" si="159"/>
        <v>格</v>
      </c>
    </row>
    <row r="3605" spans="1:21">
      <c r="A3605" s="3">
        <v>3596</v>
      </c>
      <c r="B3605" s="3" t="s">
        <v>1573</v>
      </c>
      <c r="C3605" s="3" t="s">
        <v>6045</v>
      </c>
      <c r="D3605" s="3" t="s">
        <v>6157</v>
      </c>
      <c r="E3605" s="3" t="s">
        <v>5991</v>
      </c>
      <c r="F3605" s="3" t="s">
        <v>1084</v>
      </c>
      <c r="G3605" s="3" t="s">
        <v>538</v>
      </c>
      <c r="H3605" s="3" t="s">
        <v>1577</v>
      </c>
      <c r="I3605" s="3" t="s">
        <v>1086</v>
      </c>
      <c r="J3605" s="5" t="s">
        <v>6611</v>
      </c>
      <c r="L3605" s="3" t="s">
        <v>3432</v>
      </c>
      <c r="M3605" s="3">
        <v>5</v>
      </c>
      <c r="N3605" s="4" t="s">
        <v>1575</v>
      </c>
      <c r="O3605" s="4">
        <v>192</v>
      </c>
      <c r="P3605" s="11" t="s">
        <v>10259</v>
      </c>
      <c r="Q3605" s="11" t="s">
        <v>1575</v>
      </c>
      <c r="S3605" s="4" t="b">
        <f>ISNUMBER(MATCH(Q3605,T:T,0))</f>
        <v>1</v>
      </c>
      <c r="T3605" s="4" t="s">
        <v>10180</v>
      </c>
      <c r="U3605" s="4" t="str">
        <f t="shared" si="159"/>
        <v>陌</v>
      </c>
    </row>
    <row r="3606" spans="1:21">
      <c r="A3606" s="3">
        <v>3597</v>
      </c>
      <c r="B3606" s="3" t="s">
        <v>1573</v>
      </c>
      <c r="C3606" s="3" t="s">
        <v>6049</v>
      </c>
      <c r="D3606" s="3" t="s">
        <v>6157</v>
      </c>
      <c r="E3606" s="3" t="s">
        <v>5991</v>
      </c>
      <c r="F3606" s="3" t="s">
        <v>1084</v>
      </c>
      <c r="G3606" s="3" t="s">
        <v>538</v>
      </c>
      <c r="H3606" s="3" t="s">
        <v>1578</v>
      </c>
      <c r="I3606" s="3" t="s">
        <v>1086</v>
      </c>
      <c r="J3606" s="5" t="s">
        <v>6612</v>
      </c>
      <c r="L3606" s="3" t="s">
        <v>2792</v>
      </c>
      <c r="M3606" s="3">
        <v>8</v>
      </c>
      <c r="N3606" s="4" t="s">
        <v>1575</v>
      </c>
      <c r="O3606" s="4">
        <v>192</v>
      </c>
      <c r="P3606" s="11" t="s">
        <v>9770</v>
      </c>
      <c r="Q3606" s="11" t="s">
        <v>1575</v>
      </c>
      <c r="S3606" s="4" t="b">
        <f>ISNUMBER(MATCH(Q3606,T:T,0))</f>
        <v>1</v>
      </c>
      <c r="T3606" s="4" t="s">
        <v>10079</v>
      </c>
      <c r="U3606" s="4" t="str">
        <f t="shared" si="159"/>
        <v>陌</v>
      </c>
    </row>
    <row r="3607" spans="1:21">
      <c r="A3607" s="3">
        <v>3598</v>
      </c>
      <c r="B3607" s="3" t="s">
        <v>1573</v>
      </c>
      <c r="C3607" s="3" t="s">
        <v>6041</v>
      </c>
      <c r="D3607" s="3" t="s">
        <v>6001</v>
      </c>
      <c r="E3607" s="3" t="s">
        <v>5991</v>
      </c>
      <c r="F3607" s="3" t="s">
        <v>1084</v>
      </c>
      <c r="G3607" s="3" t="s">
        <v>538</v>
      </c>
      <c r="H3607" s="3" t="s">
        <v>1579</v>
      </c>
      <c r="I3607" s="3" t="s">
        <v>1086</v>
      </c>
      <c r="J3607" s="5" t="s">
        <v>1580</v>
      </c>
      <c r="K3607" s="3" t="s">
        <v>653</v>
      </c>
      <c r="L3607" s="3" t="s">
        <v>3485</v>
      </c>
      <c r="M3607" s="3">
        <v>6</v>
      </c>
      <c r="N3607" s="4" t="s">
        <v>1575</v>
      </c>
      <c r="O3607" s="4">
        <v>192</v>
      </c>
      <c r="P3607" s="11" t="s">
        <v>9790</v>
      </c>
      <c r="Q3607" s="11" t="s">
        <v>10841</v>
      </c>
      <c r="S3607" s="4" t="b">
        <f>ISNUMBER(MATCH(Q3607,T:T,0))</f>
        <v>1</v>
      </c>
      <c r="T3607" s="4" t="s">
        <v>10842</v>
      </c>
      <c r="U3607" s="4" t="str">
        <f t="shared" si="159"/>
        <v>逆</v>
      </c>
    </row>
    <row r="3608" spans="1:21">
      <c r="A3608" s="3">
        <v>3599</v>
      </c>
      <c r="B3608" s="3" t="s">
        <v>1573</v>
      </c>
      <c r="C3608" s="3" t="s">
        <v>6025</v>
      </c>
      <c r="D3608" s="3" t="s">
        <v>6001</v>
      </c>
      <c r="E3608" s="3" t="s">
        <v>5991</v>
      </c>
      <c r="F3608" s="3" t="s">
        <v>1084</v>
      </c>
      <c r="G3608" s="3" t="s">
        <v>538</v>
      </c>
      <c r="H3608" s="3" t="s">
        <v>1581</v>
      </c>
      <c r="I3608" s="3" t="s">
        <v>1086</v>
      </c>
      <c r="J3608" s="5" t="s">
        <v>1582</v>
      </c>
      <c r="L3608" s="3" t="s">
        <v>6331</v>
      </c>
      <c r="M3608" s="3">
        <v>8</v>
      </c>
      <c r="N3608" s="4" t="s">
        <v>1575</v>
      </c>
      <c r="O3608" s="4">
        <v>192</v>
      </c>
      <c r="P3608" s="11" t="s">
        <v>10222</v>
      </c>
      <c r="Q3608" s="11" t="s">
        <v>10842</v>
      </c>
      <c r="S3608" s="4" t="b">
        <f>ISNUMBER(MATCH(Q3608,T:T,0))</f>
        <v>1</v>
      </c>
      <c r="T3608" s="4" t="s">
        <v>10843</v>
      </c>
      <c r="U3608" s="4" t="str">
        <f t="shared" si="159"/>
        <v>劇</v>
      </c>
    </row>
    <row r="3609" spans="1:21">
      <c r="A3609" s="3">
        <v>3600</v>
      </c>
      <c r="B3609" s="3" t="s">
        <v>1573</v>
      </c>
      <c r="C3609" s="3" t="s">
        <v>6180</v>
      </c>
      <c r="D3609" s="3" t="s">
        <v>6001</v>
      </c>
      <c r="E3609" s="3" t="s">
        <v>5991</v>
      </c>
      <c r="F3609" s="3" t="s">
        <v>1084</v>
      </c>
      <c r="G3609" s="3" t="s">
        <v>538</v>
      </c>
      <c r="H3609" s="3" t="s">
        <v>1583</v>
      </c>
      <c r="I3609" s="3" t="s">
        <v>1086</v>
      </c>
      <c r="J3609" s="5" t="s">
        <v>1584</v>
      </c>
      <c r="L3609" s="3" t="s">
        <v>3491</v>
      </c>
      <c r="M3609" s="3">
        <v>6</v>
      </c>
      <c r="N3609" s="4" t="s">
        <v>1575</v>
      </c>
      <c r="O3609" s="4">
        <v>192</v>
      </c>
      <c r="P3609" s="11" t="s">
        <v>6836</v>
      </c>
      <c r="Q3609" s="11" t="s">
        <v>10843</v>
      </c>
      <c r="S3609" s="4" t="b">
        <f>ISNUMBER(MATCH(Q3609,T:T,0))</f>
        <v>1</v>
      </c>
      <c r="T3609" s="4" t="s">
        <v>12821</v>
      </c>
      <c r="U3609" s="4" t="str">
        <f t="shared" si="159"/>
        <v>戟</v>
      </c>
    </row>
    <row r="3610" spans="1:21">
      <c r="A3610" s="3">
        <v>3601</v>
      </c>
      <c r="B3610" s="3" t="s">
        <v>1573</v>
      </c>
      <c r="C3610" s="3" t="s">
        <v>6167</v>
      </c>
      <c r="D3610" s="3" t="s">
        <v>6001</v>
      </c>
      <c r="E3610" s="3" t="s">
        <v>5991</v>
      </c>
      <c r="F3610" s="3" t="s">
        <v>1084</v>
      </c>
      <c r="G3610" s="3" t="s">
        <v>538</v>
      </c>
      <c r="H3610" s="3" t="s">
        <v>1585</v>
      </c>
      <c r="I3610" s="3" t="s">
        <v>1086</v>
      </c>
      <c r="J3610" s="5" t="s">
        <v>1586</v>
      </c>
      <c r="L3610" s="3" t="s">
        <v>3480</v>
      </c>
      <c r="M3610" s="3">
        <v>3</v>
      </c>
      <c r="N3610" s="4" t="s">
        <v>1575</v>
      </c>
      <c r="O3610" s="4">
        <v>192</v>
      </c>
      <c r="P3610" s="11" t="s">
        <v>9855</v>
      </c>
      <c r="Q3610" s="11" t="s">
        <v>10843</v>
      </c>
      <c r="S3610" s="4" t="b">
        <f>ISNUMBER(MATCH(Q3610,T:T,0))</f>
        <v>1</v>
      </c>
      <c r="T3610" s="4" t="s">
        <v>12822</v>
      </c>
      <c r="U3610" s="4" t="str">
        <f t="shared" si="159"/>
        <v>戟</v>
      </c>
    </row>
    <row r="3611" spans="1:21">
      <c r="A3611" s="3">
        <v>3602</v>
      </c>
      <c r="B3611" s="3" t="s">
        <v>1573</v>
      </c>
      <c r="C3611" s="3" t="s">
        <v>6067</v>
      </c>
      <c r="D3611" s="3" t="s">
        <v>6157</v>
      </c>
      <c r="E3611" s="3" t="s">
        <v>6212</v>
      </c>
      <c r="F3611" s="3" t="s">
        <v>1084</v>
      </c>
      <c r="G3611" s="3" t="s">
        <v>538</v>
      </c>
      <c r="H3611" s="3" t="s">
        <v>1587</v>
      </c>
      <c r="I3611" s="3" t="s">
        <v>1086</v>
      </c>
      <c r="J3611" s="5" t="s">
        <v>1588</v>
      </c>
      <c r="L3611" s="3" t="s">
        <v>4617</v>
      </c>
      <c r="M3611" s="3">
        <v>2</v>
      </c>
      <c r="N3611" s="4" t="s">
        <v>1575</v>
      </c>
      <c r="O3611" s="4">
        <v>192</v>
      </c>
      <c r="P3611" s="11" t="s">
        <v>9870</v>
      </c>
      <c r="Q3611" s="11" t="s">
        <v>10079</v>
      </c>
      <c r="S3611" s="4" t="b">
        <f>ISNUMBER(MATCH(Q3611,T:T,0))</f>
        <v>1</v>
      </c>
      <c r="T3611" s="4" t="s">
        <v>12823</v>
      </c>
      <c r="U3611" s="4" t="str">
        <f t="shared" si="159"/>
        <v>伯</v>
      </c>
    </row>
    <row r="3612" spans="1:21">
      <c r="A3612" s="3">
        <v>3603</v>
      </c>
      <c r="B3612" s="3" t="s">
        <v>1573</v>
      </c>
      <c r="C3612" s="3" t="s">
        <v>6318</v>
      </c>
      <c r="D3612" s="3" t="s">
        <v>6157</v>
      </c>
      <c r="E3612" s="3" t="s">
        <v>5991</v>
      </c>
      <c r="F3612" s="3" t="s">
        <v>1084</v>
      </c>
      <c r="G3612" s="3" t="s">
        <v>538</v>
      </c>
      <c r="H3612" s="3" t="s">
        <v>1589</v>
      </c>
      <c r="I3612" s="3" t="s">
        <v>1086</v>
      </c>
      <c r="J3612" s="5" t="s">
        <v>6613</v>
      </c>
      <c r="L3612" s="3" t="s">
        <v>3710</v>
      </c>
      <c r="M3612" s="3">
        <v>8</v>
      </c>
      <c r="N3612" s="4" t="s">
        <v>1575</v>
      </c>
      <c r="O3612" s="4">
        <v>192</v>
      </c>
      <c r="P3612" s="11" t="s">
        <v>9804</v>
      </c>
      <c r="Q3612" s="11" t="s">
        <v>10079</v>
      </c>
      <c r="S3612" s="4" t="b">
        <f>ISNUMBER(MATCH(Q3612,T:T,0))</f>
        <v>1</v>
      </c>
      <c r="T3612" s="4" t="s">
        <v>12824</v>
      </c>
      <c r="U3612" s="4" t="str">
        <f t="shared" si="159"/>
        <v>伯</v>
      </c>
    </row>
    <row r="3613" spans="1:21">
      <c r="A3613" s="3">
        <v>3604</v>
      </c>
      <c r="B3613" s="3" t="s">
        <v>1573</v>
      </c>
      <c r="C3613" s="3" t="s">
        <v>6015</v>
      </c>
      <c r="D3613" s="3" t="s">
        <v>6157</v>
      </c>
      <c r="E3613" s="3" t="s">
        <v>5991</v>
      </c>
      <c r="F3613" s="3" t="s">
        <v>1084</v>
      </c>
      <c r="G3613" s="3" t="s">
        <v>538</v>
      </c>
      <c r="H3613" s="3" t="s">
        <v>1590</v>
      </c>
      <c r="I3613" s="3" t="s">
        <v>1086</v>
      </c>
      <c r="J3613" s="8" t="s">
        <v>6614</v>
      </c>
      <c r="L3613" s="3" t="s">
        <v>3510</v>
      </c>
      <c r="M3613" s="3">
        <v>5</v>
      </c>
      <c r="N3613" s="4" t="s">
        <v>1575</v>
      </c>
      <c r="O3613" s="4">
        <v>192</v>
      </c>
      <c r="P3613" s="11" t="s">
        <v>9713</v>
      </c>
      <c r="Q3613" s="11" t="s">
        <v>1575</v>
      </c>
      <c r="S3613" s="4" t="b">
        <f>ISNUMBER(MATCH(Q3613,T:T,0))</f>
        <v>1</v>
      </c>
      <c r="T3613" s="4" t="s">
        <v>12825</v>
      </c>
      <c r="U3613" s="4" t="str">
        <f t="shared" si="159"/>
        <v>陌</v>
      </c>
    </row>
    <row r="3614" spans="1:21">
      <c r="A3614" s="3">
        <v>3605</v>
      </c>
      <c r="B3614" s="3" t="s">
        <v>1573</v>
      </c>
      <c r="C3614" s="3" t="s">
        <v>6038</v>
      </c>
      <c r="D3614" s="3" t="s">
        <v>6001</v>
      </c>
      <c r="E3614" s="3" t="s">
        <v>5991</v>
      </c>
      <c r="F3614" s="3" t="s">
        <v>1084</v>
      </c>
      <c r="G3614" s="3" t="s">
        <v>538</v>
      </c>
      <c r="H3614" s="3" t="s">
        <v>1591</v>
      </c>
      <c r="I3614" s="3" t="s">
        <v>1086</v>
      </c>
      <c r="J3614" s="5" t="s">
        <v>1592</v>
      </c>
      <c r="K3614" s="3" t="s">
        <v>654</v>
      </c>
      <c r="L3614" s="3" t="s">
        <v>6418</v>
      </c>
      <c r="M3614" s="3">
        <v>7</v>
      </c>
      <c r="N3614" s="4" t="s">
        <v>1575</v>
      </c>
      <c r="O3614" s="4">
        <v>192</v>
      </c>
      <c r="P3614" s="11" t="s">
        <v>10127</v>
      </c>
      <c r="Q3614" s="11" t="s">
        <v>10843</v>
      </c>
      <c r="S3614" s="4" t="b">
        <f>ISNUMBER(MATCH(Q3614,T:T,0))</f>
        <v>1</v>
      </c>
      <c r="T3614" s="4" t="s">
        <v>12826</v>
      </c>
      <c r="U3614" s="4" t="str">
        <f t="shared" si="159"/>
        <v>戟</v>
      </c>
    </row>
    <row r="3615" spans="1:21">
      <c r="A3615" s="3">
        <v>3606</v>
      </c>
      <c r="B3615" s="3" t="s">
        <v>1573</v>
      </c>
      <c r="C3615" s="3" t="s">
        <v>6092</v>
      </c>
      <c r="D3615" s="3" t="s">
        <v>6157</v>
      </c>
      <c r="E3615" s="3" t="s">
        <v>5991</v>
      </c>
      <c r="F3615" s="3" t="s">
        <v>1084</v>
      </c>
      <c r="G3615" s="3" t="s">
        <v>538</v>
      </c>
      <c r="H3615" s="3" t="s">
        <v>1593</v>
      </c>
      <c r="I3615" s="3" t="s">
        <v>1086</v>
      </c>
      <c r="J3615" s="5" t="s">
        <v>6615</v>
      </c>
      <c r="L3615" s="3" t="s">
        <v>2392</v>
      </c>
      <c r="M3615" s="3">
        <v>6</v>
      </c>
      <c r="N3615" s="4" t="s">
        <v>1575</v>
      </c>
      <c r="O3615" s="4">
        <v>192</v>
      </c>
      <c r="P3615" s="11" t="s">
        <v>9740</v>
      </c>
      <c r="Q3615" s="11" t="s">
        <v>1575</v>
      </c>
      <c r="S3615" s="4" t="b">
        <f>ISNUMBER(MATCH(Q3615,T:T,0))</f>
        <v>1</v>
      </c>
      <c r="T3615" s="4" t="s">
        <v>12827</v>
      </c>
      <c r="U3615" s="4" t="str">
        <f t="shared" si="159"/>
        <v>陌</v>
      </c>
    </row>
    <row r="3616" spans="1:21">
      <c r="A3616" s="3">
        <v>3607</v>
      </c>
      <c r="B3616" s="3" t="s">
        <v>1573</v>
      </c>
      <c r="C3616" s="3" t="s">
        <v>6092</v>
      </c>
      <c r="D3616" s="3" t="s">
        <v>6001</v>
      </c>
      <c r="E3616" s="3" t="s">
        <v>5991</v>
      </c>
      <c r="F3616" s="3" t="s">
        <v>1084</v>
      </c>
      <c r="G3616" s="3" t="s">
        <v>538</v>
      </c>
      <c r="H3616" s="3" t="s">
        <v>1594</v>
      </c>
      <c r="I3616" s="3" t="s">
        <v>1086</v>
      </c>
      <c r="J3616" s="5" t="s">
        <v>6616</v>
      </c>
      <c r="L3616" s="3" t="s">
        <v>4368</v>
      </c>
      <c r="M3616" s="3">
        <v>6</v>
      </c>
      <c r="N3616" s="4" t="s">
        <v>1575</v>
      </c>
      <c r="O3616" s="4">
        <v>192</v>
      </c>
      <c r="P3616" s="11" t="s">
        <v>9792</v>
      </c>
      <c r="Q3616" s="11" t="s">
        <v>10843</v>
      </c>
      <c r="S3616" s="4" t="b">
        <f>ISNUMBER(MATCH(Q3616,T:T,0))</f>
        <v>1</v>
      </c>
      <c r="T3616" s="4" t="s">
        <v>10841</v>
      </c>
      <c r="U3616" s="4" t="str">
        <f t="shared" si="159"/>
        <v>戟</v>
      </c>
    </row>
    <row r="3617" spans="1:22">
      <c r="A3617" s="3">
        <v>3608</v>
      </c>
      <c r="B3617" s="3" t="s">
        <v>1573</v>
      </c>
      <c r="C3617" s="3" t="s">
        <v>6038</v>
      </c>
      <c r="D3617" s="3" t="s">
        <v>6157</v>
      </c>
      <c r="E3617" s="3" t="s">
        <v>5991</v>
      </c>
      <c r="F3617" s="3" t="s">
        <v>1084</v>
      </c>
      <c r="G3617" s="3" t="s">
        <v>538</v>
      </c>
      <c r="H3617" s="3" t="s">
        <v>1595</v>
      </c>
      <c r="I3617" s="3" t="s">
        <v>1086</v>
      </c>
      <c r="J3617" s="5" t="s">
        <v>6617</v>
      </c>
      <c r="L3617" s="3" t="s">
        <v>2862</v>
      </c>
      <c r="M3617" s="3">
        <v>4</v>
      </c>
      <c r="N3617" s="4" t="s">
        <v>1575</v>
      </c>
      <c r="O3617" s="4">
        <v>192</v>
      </c>
      <c r="P3617" s="11" t="s">
        <v>9728</v>
      </c>
      <c r="Q3617" s="11" t="s">
        <v>10742</v>
      </c>
      <c r="S3617" s="4" t="b">
        <f>ISNUMBER(MATCH(Q3617,T:T,0))</f>
        <v>1</v>
      </c>
      <c r="T3617" s="4" t="s">
        <v>10092</v>
      </c>
      <c r="U3617" s="4" t="str">
        <f t="shared" si="159"/>
        <v>格</v>
      </c>
    </row>
    <row r="3618" spans="1:22">
      <c r="A3618" s="3">
        <v>3609</v>
      </c>
      <c r="B3618" s="3" t="s">
        <v>1573</v>
      </c>
      <c r="C3618" s="3" t="s">
        <v>6072</v>
      </c>
      <c r="D3618" s="3" t="s">
        <v>6157</v>
      </c>
      <c r="E3618" s="3" t="s">
        <v>5991</v>
      </c>
      <c r="F3618" s="3" t="s">
        <v>1084</v>
      </c>
      <c r="G3618" s="3" t="s">
        <v>538</v>
      </c>
      <c r="H3618" s="3" t="s">
        <v>1596</v>
      </c>
      <c r="I3618" s="3" t="s">
        <v>1086</v>
      </c>
      <c r="J3618" s="5" t="s">
        <v>1597</v>
      </c>
      <c r="L3618" s="3" t="s">
        <v>3648</v>
      </c>
      <c r="M3618" s="3">
        <v>2</v>
      </c>
      <c r="N3618" s="4" t="s">
        <v>1575</v>
      </c>
      <c r="O3618" s="4">
        <v>192</v>
      </c>
      <c r="P3618" s="11" t="s">
        <v>9734</v>
      </c>
      <c r="Q3618" s="11" t="s">
        <v>10742</v>
      </c>
      <c r="S3618" s="4" t="b">
        <f>ISNUMBER(MATCH(Q3618,T:T,0))</f>
        <v>1</v>
      </c>
      <c r="T3618" s="4" t="s">
        <v>11852</v>
      </c>
      <c r="U3618" s="4" t="str">
        <f t="shared" si="159"/>
        <v>格</v>
      </c>
    </row>
    <row r="3619" spans="1:22">
      <c r="A3619" s="3">
        <v>3610</v>
      </c>
      <c r="B3619" s="3" t="s">
        <v>1573</v>
      </c>
      <c r="C3619" s="3" t="s">
        <v>6089</v>
      </c>
      <c r="D3619" s="3" t="s">
        <v>6001</v>
      </c>
      <c r="E3619" s="3" t="s">
        <v>5991</v>
      </c>
      <c r="F3619" s="3" t="s">
        <v>1084</v>
      </c>
      <c r="G3619" s="3" t="s">
        <v>538</v>
      </c>
      <c r="H3619" s="3" t="s">
        <v>1598</v>
      </c>
      <c r="I3619" s="3" t="s">
        <v>1086</v>
      </c>
      <c r="J3619" s="5" t="s">
        <v>1599</v>
      </c>
      <c r="L3619" s="3" t="s">
        <v>6394</v>
      </c>
      <c r="M3619" s="3">
        <v>1</v>
      </c>
      <c r="N3619" s="4" t="s">
        <v>1575</v>
      </c>
      <c r="O3619" s="4">
        <v>192</v>
      </c>
      <c r="P3619" s="11" t="s">
        <v>9753</v>
      </c>
      <c r="Q3619" s="11" t="s">
        <v>10844</v>
      </c>
      <c r="R3619" s="4" t="s">
        <v>13190</v>
      </c>
      <c r="S3619" s="4" t="b">
        <f>ISNUMBER(MATCH(Q3619,T:T,0))</f>
        <v>0</v>
      </c>
      <c r="T3619" s="4" t="s">
        <v>1599</v>
      </c>
      <c r="U3619" s="4" t="str">
        <f t="shared" si="159"/>
        <v>隙</v>
      </c>
      <c r="V3619" s="4" t="b">
        <f>ISNUMBER(MATCH(R3619,T:T,0))</f>
        <v>1</v>
      </c>
    </row>
    <row r="3620" spans="1:22">
      <c r="A3620" s="3">
        <v>3611</v>
      </c>
      <c r="B3620" s="3" t="s">
        <v>1573</v>
      </c>
      <c r="C3620" s="3" t="s">
        <v>6011</v>
      </c>
      <c r="D3620" s="3" t="s">
        <v>6157</v>
      </c>
      <c r="E3620" s="3" t="s">
        <v>5991</v>
      </c>
      <c r="F3620" s="3" t="s">
        <v>1084</v>
      </c>
      <c r="G3620" s="3" t="s">
        <v>538</v>
      </c>
      <c r="H3620" s="3" t="s">
        <v>1600</v>
      </c>
      <c r="I3620" s="3" t="s">
        <v>1086</v>
      </c>
      <c r="J3620" s="5" t="s">
        <v>1601</v>
      </c>
      <c r="L3620" s="3" t="s">
        <v>2852</v>
      </c>
      <c r="M3620" s="3">
        <v>6</v>
      </c>
      <c r="N3620" s="4" t="s">
        <v>1575</v>
      </c>
      <c r="O3620" s="4">
        <v>192</v>
      </c>
      <c r="P3620" s="11" t="s">
        <v>9757</v>
      </c>
      <c r="Q3620" s="11" t="s">
        <v>10742</v>
      </c>
      <c r="S3620" s="4" t="b">
        <f>ISNUMBER(MATCH(Q3620,T:T,0))</f>
        <v>1</v>
      </c>
      <c r="T3620" s="4" t="s">
        <v>12828</v>
      </c>
      <c r="U3620" s="4" t="str">
        <f t="shared" si="159"/>
        <v>格</v>
      </c>
    </row>
    <row r="3621" spans="1:22">
      <c r="A3621" s="3">
        <v>3612</v>
      </c>
      <c r="B3621" s="3" t="s">
        <v>1573</v>
      </c>
      <c r="C3621" s="3" t="s">
        <v>6072</v>
      </c>
      <c r="D3621" s="3" t="s">
        <v>6157</v>
      </c>
      <c r="E3621" s="3" t="s">
        <v>6212</v>
      </c>
      <c r="F3621" s="3" t="s">
        <v>1084</v>
      </c>
      <c r="G3621" s="3" t="s">
        <v>538</v>
      </c>
      <c r="H3621" s="3" t="s">
        <v>1602</v>
      </c>
      <c r="I3621" s="3" t="s">
        <v>1086</v>
      </c>
      <c r="J3621" s="5" t="s">
        <v>1603</v>
      </c>
      <c r="L3621" s="3" t="s">
        <v>3690</v>
      </c>
      <c r="M3621" s="3">
        <v>1</v>
      </c>
      <c r="N3621" s="4" t="s">
        <v>1575</v>
      </c>
      <c r="O3621" s="4">
        <v>192</v>
      </c>
      <c r="P3621" s="11" t="s">
        <v>9907</v>
      </c>
      <c r="Q3621" s="11" t="s">
        <v>10180</v>
      </c>
      <c r="S3621" s="4" t="b">
        <f>ISNUMBER(MATCH(Q3621,T:T,0))</f>
        <v>1</v>
      </c>
      <c r="T3621" s="4" t="s">
        <v>1603</v>
      </c>
      <c r="U3621" s="4" t="str">
        <f t="shared" si="159"/>
        <v>白</v>
      </c>
    </row>
    <row r="3622" spans="1:22">
      <c r="A3622" s="3">
        <v>3613</v>
      </c>
      <c r="B3622" s="3" t="s">
        <v>1573</v>
      </c>
      <c r="C3622" s="3" t="s">
        <v>6053</v>
      </c>
      <c r="D3622" s="3" t="s">
        <v>6157</v>
      </c>
      <c r="E3622" s="3" t="s">
        <v>5991</v>
      </c>
      <c r="F3622" s="3" t="s">
        <v>1084</v>
      </c>
      <c r="G3622" s="3" t="s">
        <v>538</v>
      </c>
      <c r="H3622" s="3" t="s">
        <v>1604</v>
      </c>
      <c r="I3622" s="3" t="s">
        <v>1086</v>
      </c>
      <c r="J3622" s="5" t="s">
        <v>6618</v>
      </c>
      <c r="L3622" s="3" t="s">
        <v>2825</v>
      </c>
      <c r="M3622" s="3">
        <v>10</v>
      </c>
      <c r="N3622" s="4" t="s">
        <v>1575</v>
      </c>
      <c r="O3622" s="4">
        <v>192</v>
      </c>
      <c r="P3622" s="11" t="s">
        <v>9884</v>
      </c>
      <c r="Q3622" s="11" t="s">
        <v>10079</v>
      </c>
      <c r="S3622" s="4" t="b">
        <f>ISNUMBER(MATCH(Q3622,T:T,0))</f>
        <v>1</v>
      </c>
      <c r="T3622" s="4" t="s">
        <v>12829</v>
      </c>
      <c r="U3622" s="4" t="str">
        <f t="shared" si="159"/>
        <v>伯</v>
      </c>
    </row>
    <row r="3623" spans="1:22">
      <c r="A3623" s="3">
        <v>3614</v>
      </c>
      <c r="B3623" s="3" t="s">
        <v>1573</v>
      </c>
      <c r="C3623" s="3" t="s">
        <v>6089</v>
      </c>
      <c r="D3623" s="3" t="s">
        <v>6157</v>
      </c>
      <c r="E3623" s="3" t="s">
        <v>5991</v>
      </c>
      <c r="F3623" s="3" t="s">
        <v>1084</v>
      </c>
      <c r="G3623" s="3" t="s">
        <v>538</v>
      </c>
      <c r="H3623" s="3" t="s">
        <v>1605</v>
      </c>
      <c r="I3623" s="3" t="s">
        <v>1086</v>
      </c>
      <c r="J3623" s="5" t="s">
        <v>6619</v>
      </c>
      <c r="L3623" s="3" t="s">
        <v>2869</v>
      </c>
      <c r="M3623" s="3">
        <v>5</v>
      </c>
      <c r="N3623" s="4" t="s">
        <v>1575</v>
      </c>
      <c r="O3623" s="4">
        <v>192</v>
      </c>
      <c r="P3623" s="11" t="s">
        <v>9739</v>
      </c>
      <c r="Q3623" s="11" t="s">
        <v>10742</v>
      </c>
      <c r="S3623" s="4" t="b">
        <f>ISNUMBER(MATCH(Q3623,T:T,0))</f>
        <v>1</v>
      </c>
      <c r="T3623" s="4" t="s">
        <v>12830</v>
      </c>
      <c r="U3623" s="4" t="str">
        <f t="shared" si="159"/>
        <v>格</v>
      </c>
    </row>
    <row r="3624" spans="1:22">
      <c r="A3624" s="3">
        <v>3615</v>
      </c>
      <c r="B3624" s="3" t="s">
        <v>1573</v>
      </c>
      <c r="C3624" s="3" t="s">
        <v>6067</v>
      </c>
      <c r="D3624" s="3" t="s">
        <v>6157</v>
      </c>
      <c r="E3624" s="3" t="s">
        <v>5991</v>
      </c>
      <c r="F3624" s="3" t="s">
        <v>1084</v>
      </c>
      <c r="G3624" s="3" t="s">
        <v>538</v>
      </c>
      <c r="H3624" s="3" t="s">
        <v>1606</v>
      </c>
      <c r="I3624" s="3" t="s">
        <v>1086</v>
      </c>
      <c r="J3624" s="8" t="s">
        <v>6620</v>
      </c>
      <c r="L3624" s="3" t="s">
        <v>4579</v>
      </c>
      <c r="M3624" s="3">
        <v>4</v>
      </c>
      <c r="N3624" s="4" t="s">
        <v>1575</v>
      </c>
      <c r="O3624" s="4">
        <v>192</v>
      </c>
      <c r="P3624" s="11" t="s">
        <v>9870</v>
      </c>
      <c r="Q3624" s="11" t="s">
        <v>10742</v>
      </c>
      <c r="S3624" s="4" t="b">
        <f>ISNUMBER(MATCH(Q3624,T:T,0))</f>
        <v>1</v>
      </c>
      <c r="T3624" s="4" t="s">
        <v>12831</v>
      </c>
      <c r="U3624" s="4" t="str">
        <f t="shared" si="159"/>
        <v>格</v>
      </c>
    </row>
    <row r="3625" spans="1:22">
      <c r="A3625" s="3">
        <v>3616</v>
      </c>
      <c r="B3625" s="3" t="s">
        <v>1573</v>
      </c>
      <c r="C3625" s="3" t="s">
        <v>6025</v>
      </c>
      <c r="D3625" s="3" t="s">
        <v>6157</v>
      </c>
      <c r="E3625" s="3" t="s">
        <v>5991</v>
      </c>
      <c r="F3625" s="3" t="s">
        <v>1084</v>
      </c>
      <c r="G3625" s="3" t="s">
        <v>538</v>
      </c>
      <c r="H3625" s="3" t="s">
        <v>1607</v>
      </c>
      <c r="I3625" s="3" t="s">
        <v>1086</v>
      </c>
      <c r="J3625" s="5" t="s">
        <v>6621</v>
      </c>
      <c r="L3625" s="3" t="s">
        <v>3660</v>
      </c>
      <c r="M3625" s="3">
        <v>14</v>
      </c>
      <c r="N3625" s="4" t="s">
        <v>1575</v>
      </c>
      <c r="O3625" s="4">
        <v>192</v>
      </c>
      <c r="P3625" s="11" t="s">
        <v>9729</v>
      </c>
      <c r="Q3625" s="11" t="s">
        <v>10079</v>
      </c>
      <c r="S3625" s="4" t="b">
        <f>ISNUMBER(MATCH(Q3625,T:T,0))</f>
        <v>1</v>
      </c>
      <c r="T3625" s="4" t="s">
        <v>10742</v>
      </c>
      <c r="U3625" s="4" t="str">
        <f t="shared" si="159"/>
        <v>伯</v>
      </c>
    </row>
    <row r="3626" spans="1:22">
      <c r="A3626" s="3">
        <v>3617</v>
      </c>
      <c r="B3626" s="3" t="s">
        <v>1573</v>
      </c>
      <c r="C3626" s="3" t="s">
        <v>6089</v>
      </c>
      <c r="D3626" s="3" t="s">
        <v>6157</v>
      </c>
      <c r="E3626" s="3" t="s">
        <v>6212</v>
      </c>
      <c r="F3626" s="3" t="s">
        <v>1084</v>
      </c>
      <c r="G3626" s="3" t="s">
        <v>538</v>
      </c>
      <c r="H3626" s="3" t="s">
        <v>1608</v>
      </c>
      <c r="I3626" s="3" t="s">
        <v>1086</v>
      </c>
      <c r="J3626" s="5" t="s">
        <v>1609</v>
      </c>
      <c r="L3626" s="3" t="s">
        <v>3688</v>
      </c>
      <c r="M3626" s="3">
        <v>8</v>
      </c>
      <c r="N3626" s="4" t="s">
        <v>1575</v>
      </c>
      <c r="O3626" s="4">
        <v>192</v>
      </c>
      <c r="P3626" s="11" t="s">
        <v>10055</v>
      </c>
      <c r="Q3626" s="11" t="s">
        <v>10079</v>
      </c>
      <c r="S3626" s="4" t="b">
        <f>ISNUMBER(MATCH(Q3626,T:T,0))</f>
        <v>1</v>
      </c>
      <c r="T3626" s="4" t="s">
        <v>12832</v>
      </c>
      <c r="U3626" s="4" t="str">
        <f t="shared" si="159"/>
        <v>伯</v>
      </c>
    </row>
    <row r="3627" spans="1:22">
      <c r="A3627" s="3">
        <v>3618</v>
      </c>
      <c r="B3627" s="3" t="s">
        <v>1573</v>
      </c>
      <c r="C3627" s="3" t="s">
        <v>6005</v>
      </c>
      <c r="D3627" s="3" t="s">
        <v>6157</v>
      </c>
      <c r="E3627" s="3" t="s">
        <v>5991</v>
      </c>
      <c r="F3627" s="3" t="s">
        <v>1084</v>
      </c>
      <c r="G3627" s="3" t="s">
        <v>538</v>
      </c>
      <c r="H3627" s="3" t="s">
        <v>1610</v>
      </c>
      <c r="I3627" s="3" t="s">
        <v>1086</v>
      </c>
      <c r="J3627" s="5" t="s">
        <v>1611</v>
      </c>
      <c r="L3627" s="3" t="s">
        <v>3510</v>
      </c>
      <c r="M3627" s="3">
        <v>13</v>
      </c>
      <c r="N3627" s="4" t="s">
        <v>1575</v>
      </c>
      <c r="O3627" s="4">
        <v>192</v>
      </c>
      <c r="P3627" s="11" t="s">
        <v>7429</v>
      </c>
      <c r="Q3627" s="11" t="s">
        <v>10079</v>
      </c>
      <c r="S3627" s="4" t="b">
        <f>ISNUMBER(MATCH(Q3627,T:T,0))</f>
        <v>1</v>
      </c>
      <c r="T3627" s="4" t="s">
        <v>9776</v>
      </c>
      <c r="U3627" s="4" t="str">
        <f t="shared" si="159"/>
        <v>伯</v>
      </c>
    </row>
    <row r="3628" spans="1:22">
      <c r="A3628" s="3">
        <v>3619</v>
      </c>
      <c r="B3628" s="3" t="s">
        <v>1573</v>
      </c>
      <c r="C3628" s="3" t="s">
        <v>6025</v>
      </c>
      <c r="D3628" s="3" t="s">
        <v>6157</v>
      </c>
      <c r="E3628" s="3" t="s">
        <v>6212</v>
      </c>
      <c r="F3628" s="3" t="s">
        <v>1084</v>
      </c>
      <c r="G3628" s="3" t="s">
        <v>538</v>
      </c>
      <c r="H3628" s="3" t="s">
        <v>1607</v>
      </c>
      <c r="I3628" s="3" t="s">
        <v>1086</v>
      </c>
      <c r="J3628" s="5" t="s">
        <v>1612</v>
      </c>
      <c r="L3628" s="3" t="s">
        <v>3681</v>
      </c>
      <c r="M3628" s="3">
        <v>5</v>
      </c>
      <c r="N3628" s="4" t="s">
        <v>1575</v>
      </c>
      <c r="O3628" s="4">
        <v>192</v>
      </c>
      <c r="P3628" s="11" t="s">
        <v>9729</v>
      </c>
      <c r="Q3628" s="11" t="s">
        <v>10079</v>
      </c>
      <c r="S3628" s="4" t="b">
        <f>ISNUMBER(MATCH(Q3628,T:T,0))</f>
        <v>1</v>
      </c>
      <c r="T3628" s="4" t="s">
        <v>10845</v>
      </c>
      <c r="U3628" s="4" t="str">
        <f t="shared" si="159"/>
        <v>伯</v>
      </c>
    </row>
    <row r="3629" spans="1:22">
      <c r="A3629" s="3">
        <v>3620</v>
      </c>
      <c r="B3629" s="3" t="s">
        <v>1573</v>
      </c>
      <c r="C3629" s="3" t="s">
        <v>6072</v>
      </c>
      <c r="D3629" s="3" t="s">
        <v>6001</v>
      </c>
      <c r="E3629" s="3" t="s">
        <v>6212</v>
      </c>
      <c r="F3629" s="3" t="s">
        <v>1084</v>
      </c>
      <c r="G3629" s="3" t="s">
        <v>538</v>
      </c>
      <c r="H3629" s="3" t="s">
        <v>1613</v>
      </c>
      <c r="I3629" s="3" t="s">
        <v>1086</v>
      </c>
      <c r="J3629" s="5" t="s">
        <v>6622</v>
      </c>
      <c r="L3629" s="3" t="s">
        <v>5098</v>
      </c>
      <c r="M3629" s="3">
        <v>5</v>
      </c>
      <c r="N3629" s="4" t="s">
        <v>1575</v>
      </c>
      <c r="O3629" s="4">
        <v>192</v>
      </c>
      <c r="P3629" s="11" t="s">
        <v>5990</v>
      </c>
      <c r="Q3629" s="11" t="s">
        <v>10845</v>
      </c>
      <c r="S3629" s="4" t="b">
        <f>ISNUMBER(MATCH(Q3629,T:T,0))</f>
        <v>1</v>
      </c>
      <c r="T3629" s="4" t="s">
        <v>10846</v>
      </c>
      <c r="U3629" s="4" t="str">
        <f t="shared" si="159"/>
        <v>虢</v>
      </c>
    </row>
    <row r="3630" spans="1:22">
      <c r="A3630" s="3">
        <v>3621</v>
      </c>
      <c r="B3630" s="3" t="s">
        <v>1573</v>
      </c>
      <c r="C3630" s="3" t="s">
        <v>6137</v>
      </c>
      <c r="D3630" s="3" t="s">
        <v>6157</v>
      </c>
      <c r="E3630" s="3" t="s">
        <v>6212</v>
      </c>
      <c r="F3630" s="3" t="s">
        <v>1084</v>
      </c>
      <c r="G3630" s="3" t="s">
        <v>538</v>
      </c>
      <c r="H3630" s="3" t="s">
        <v>1614</v>
      </c>
      <c r="I3630" s="3" t="s">
        <v>1086</v>
      </c>
      <c r="J3630" s="8" t="s">
        <v>6623</v>
      </c>
      <c r="L3630" s="3" t="s">
        <v>2396</v>
      </c>
      <c r="M3630" s="3">
        <v>2</v>
      </c>
      <c r="N3630" s="4" t="s">
        <v>1575</v>
      </c>
      <c r="O3630" s="4">
        <v>192</v>
      </c>
      <c r="P3630" s="11" t="s">
        <v>9755</v>
      </c>
      <c r="Q3630" s="11" t="s">
        <v>10180</v>
      </c>
      <c r="S3630" s="4" t="b">
        <f>ISNUMBER(MATCH(Q3630,T:T,0))</f>
        <v>1</v>
      </c>
      <c r="T3630" s="4" t="s">
        <v>12833</v>
      </c>
      <c r="U3630" s="4" t="str">
        <f t="shared" si="159"/>
        <v>白</v>
      </c>
    </row>
    <row r="3631" spans="1:22">
      <c r="A3631" s="3">
        <v>3622</v>
      </c>
      <c r="B3631" s="3" t="s">
        <v>1573</v>
      </c>
      <c r="C3631" s="3" t="s">
        <v>6038</v>
      </c>
      <c r="D3631" s="3" t="s">
        <v>6157</v>
      </c>
      <c r="E3631" s="3" t="s">
        <v>6212</v>
      </c>
      <c r="F3631" s="3" t="s">
        <v>1084</v>
      </c>
      <c r="G3631" s="3" t="s">
        <v>538</v>
      </c>
      <c r="H3631" s="3" t="s">
        <v>1615</v>
      </c>
      <c r="I3631" s="3" t="s">
        <v>1086</v>
      </c>
      <c r="J3631" s="5" t="s">
        <v>1616</v>
      </c>
      <c r="L3631" s="3" t="s">
        <v>3684</v>
      </c>
      <c r="M3631" s="3">
        <v>2</v>
      </c>
      <c r="N3631" s="4" t="s">
        <v>1575</v>
      </c>
      <c r="O3631" s="4">
        <v>192</v>
      </c>
      <c r="P3631" s="11" t="s">
        <v>9825</v>
      </c>
      <c r="Q3631" s="11" t="s">
        <v>10846</v>
      </c>
      <c r="S3631" s="4" t="b">
        <f>ISNUMBER(MATCH(Q3631,T:T,0))</f>
        <v>1</v>
      </c>
      <c r="T3631" s="4" t="s">
        <v>12834</v>
      </c>
      <c r="U3631" s="4" t="str">
        <f t="shared" si="159"/>
        <v>擭</v>
      </c>
    </row>
    <row r="3632" spans="1:22">
      <c r="A3632" s="3">
        <v>3623</v>
      </c>
      <c r="B3632" s="3" t="s">
        <v>1573</v>
      </c>
      <c r="C3632" s="3" t="s">
        <v>6045</v>
      </c>
      <c r="D3632" s="3" t="s">
        <v>6001</v>
      </c>
      <c r="E3632" s="3" t="s">
        <v>5991</v>
      </c>
      <c r="F3632" s="3" t="s">
        <v>1084</v>
      </c>
      <c r="G3632" s="3" t="s">
        <v>538</v>
      </c>
      <c r="H3632" s="3" t="s">
        <v>1617</v>
      </c>
      <c r="I3632" s="3" t="s">
        <v>1086</v>
      </c>
      <c r="J3632" s="5" t="s">
        <v>1618</v>
      </c>
      <c r="L3632" s="3" t="s">
        <v>3499</v>
      </c>
      <c r="M3632" s="3">
        <v>2</v>
      </c>
      <c r="N3632" s="4" t="s">
        <v>1575</v>
      </c>
      <c r="O3632" s="4">
        <v>192</v>
      </c>
      <c r="P3632" s="11" t="s">
        <v>10847</v>
      </c>
      <c r="Q3632" s="11" t="s">
        <v>10843</v>
      </c>
      <c r="S3632" s="4" t="b">
        <f>ISNUMBER(MATCH(Q3632,T:T,0))</f>
        <v>1</v>
      </c>
      <c r="T3632" s="4" t="s">
        <v>12835</v>
      </c>
      <c r="U3632" s="4" t="str">
        <f t="shared" si="159"/>
        <v>戟</v>
      </c>
    </row>
    <row r="3633" spans="1:22">
      <c r="A3633" s="3">
        <v>3624</v>
      </c>
      <c r="B3633" s="3" t="s">
        <v>1619</v>
      </c>
      <c r="C3633" s="3" t="s">
        <v>6035</v>
      </c>
      <c r="D3633" s="3" t="s">
        <v>6157</v>
      </c>
      <c r="E3633" s="3" t="s">
        <v>5991</v>
      </c>
      <c r="F3633" s="3" t="s">
        <v>1145</v>
      </c>
      <c r="G3633" s="3" t="s">
        <v>538</v>
      </c>
      <c r="H3633" s="3" t="s">
        <v>1620</v>
      </c>
      <c r="I3633" s="3" t="s">
        <v>1086</v>
      </c>
      <c r="J3633" s="5" t="s">
        <v>6624</v>
      </c>
      <c r="L3633" s="3" t="s">
        <v>2415</v>
      </c>
      <c r="M3633" s="3">
        <v>8</v>
      </c>
      <c r="N3633" s="4" t="s">
        <v>9689</v>
      </c>
      <c r="O3633" s="4">
        <v>193</v>
      </c>
      <c r="P3633" s="11" t="s">
        <v>9719</v>
      </c>
      <c r="Q3633" s="11" t="s">
        <v>9995</v>
      </c>
      <c r="S3633" s="4" t="b">
        <f>ISNUMBER(MATCH(Q3633,T:T,0))</f>
        <v>1</v>
      </c>
      <c r="T3633" s="4" t="s">
        <v>9689</v>
      </c>
      <c r="U3633" s="4" t="str">
        <f t="shared" si="159"/>
        <v>獲</v>
      </c>
    </row>
    <row r="3634" spans="1:22">
      <c r="A3634" s="3">
        <v>3625</v>
      </c>
      <c r="B3634" s="3" t="s">
        <v>1619</v>
      </c>
      <c r="C3634" s="3" t="s">
        <v>6067</v>
      </c>
      <c r="D3634" s="3" t="s">
        <v>6157</v>
      </c>
      <c r="E3634" s="3" t="s">
        <v>6212</v>
      </c>
      <c r="F3634" s="3" t="s">
        <v>1145</v>
      </c>
      <c r="G3634" s="3" t="s">
        <v>538</v>
      </c>
      <c r="H3634" s="3" t="s">
        <v>1621</v>
      </c>
      <c r="I3634" s="3" t="s">
        <v>1086</v>
      </c>
      <c r="J3634" s="5" t="s">
        <v>6625</v>
      </c>
      <c r="L3634" s="3" t="s">
        <v>4617</v>
      </c>
      <c r="M3634" s="3">
        <v>8</v>
      </c>
      <c r="N3634" s="4" t="s">
        <v>9689</v>
      </c>
      <c r="O3634" s="4">
        <v>193</v>
      </c>
      <c r="P3634" s="11" t="s">
        <v>9870</v>
      </c>
      <c r="Q3634" s="11" t="s">
        <v>9689</v>
      </c>
      <c r="S3634" s="4" t="b">
        <f>ISNUMBER(MATCH(Q3634,T:T,0))</f>
        <v>1</v>
      </c>
      <c r="T3634" s="4" t="s">
        <v>9995</v>
      </c>
      <c r="U3634" s="4" t="str">
        <f t="shared" si="159"/>
        <v>麥</v>
      </c>
    </row>
    <row r="3635" spans="1:22">
      <c r="A3635" s="3">
        <v>3626</v>
      </c>
      <c r="B3635" s="3" t="s">
        <v>1619</v>
      </c>
      <c r="C3635" s="3" t="s">
        <v>6025</v>
      </c>
      <c r="D3635" s="3" t="s">
        <v>6157</v>
      </c>
      <c r="E3635" s="3" t="s">
        <v>6212</v>
      </c>
      <c r="F3635" s="3" t="s">
        <v>1145</v>
      </c>
      <c r="G3635" s="3" t="s">
        <v>538</v>
      </c>
      <c r="H3635" s="3" t="s">
        <v>1622</v>
      </c>
      <c r="I3635" s="3" t="s">
        <v>1086</v>
      </c>
      <c r="J3635" s="5" t="s">
        <v>6626</v>
      </c>
      <c r="L3635" s="3" t="s">
        <v>3681</v>
      </c>
      <c r="M3635" s="3">
        <v>16</v>
      </c>
      <c r="N3635" s="4" t="s">
        <v>9689</v>
      </c>
      <c r="O3635" s="4">
        <v>193</v>
      </c>
      <c r="P3635" s="11" t="s">
        <v>9729</v>
      </c>
      <c r="Q3635" s="11" t="s">
        <v>9995</v>
      </c>
      <c r="S3635" s="4" t="b">
        <f>ISNUMBER(MATCH(Q3635,T:T,0))</f>
        <v>1</v>
      </c>
      <c r="T3635" s="4" t="s">
        <v>12836</v>
      </c>
      <c r="U3635" s="4" t="str">
        <f t="shared" si="159"/>
        <v>獲</v>
      </c>
    </row>
    <row r="3636" spans="1:22">
      <c r="A3636" s="3">
        <v>3627</v>
      </c>
      <c r="B3636" s="3" t="s">
        <v>1619</v>
      </c>
      <c r="C3636" s="3" t="s">
        <v>6049</v>
      </c>
      <c r="D3636" s="3" t="s">
        <v>6157</v>
      </c>
      <c r="E3636" s="3" t="s">
        <v>5991</v>
      </c>
      <c r="F3636" s="3" t="s">
        <v>1145</v>
      </c>
      <c r="G3636" s="3" t="s">
        <v>538</v>
      </c>
      <c r="H3636" s="3" t="s">
        <v>1623</v>
      </c>
      <c r="I3636" s="3" t="s">
        <v>1086</v>
      </c>
      <c r="J3636" s="5" t="s">
        <v>1624</v>
      </c>
      <c r="L3636" s="3" t="s">
        <v>2792</v>
      </c>
      <c r="M3636" s="3">
        <v>5</v>
      </c>
      <c r="N3636" s="4" t="s">
        <v>9689</v>
      </c>
      <c r="O3636" s="4">
        <v>193</v>
      </c>
      <c r="P3636" s="11" t="s">
        <v>9770</v>
      </c>
      <c r="Q3636" s="11" t="s">
        <v>10848</v>
      </c>
      <c r="R3636" s="4" t="s">
        <v>13191</v>
      </c>
      <c r="S3636" s="4" t="b">
        <f>ISNUMBER(MATCH(Q3636,T:T,0))</f>
        <v>0</v>
      </c>
      <c r="T3636" s="4" t="s">
        <v>12837</v>
      </c>
      <c r="U3636" s="4" t="str">
        <f t="shared" si="159"/>
        <v>戹</v>
      </c>
      <c r="V3636" s="4" t="b">
        <f t="shared" ref="V3636:V3639" si="160">ISNUMBER(MATCH(R3636,T:T,0))</f>
        <v>1</v>
      </c>
    </row>
    <row r="3637" spans="1:22">
      <c r="A3637" s="3">
        <v>3628</v>
      </c>
      <c r="B3637" s="3" t="s">
        <v>1619</v>
      </c>
      <c r="C3637" s="3" t="s">
        <v>6045</v>
      </c>
      <c r="D3637" s="3" t="s">
        <v>6157</v>
      </c>
      <c r="E3637" s="3" t="s">
        <v>5991</v>
      </c>
      <c r="F3637" s="3" t="s">
        <v>1145</v>
      </c>
      <c r="G3637" s="3" t="s">
        <v>538</v>
      </c>
      <c r="H3637" s="3" t="s">
        <v>1625</v>
      </c>
      <c r="I3637" s="3" t="s">
        <v>1086</v>
      </c>
      <c r="J3637" s="5" t="s">
        <v>1626</v>
      </c>
      <c r="L3637" s="3" t="s">
        <v>3432</v>
      </c>
      <c r="M3637" s="3">
        <v>4</v>
      </c>
      <c r="N3637" s="4" t="s">
        <v>9689</v>
      </c>
      <c r="O3637" s="4">
        <v>193</v>
      </c>
      <c r="P3637" s="11" t="s">
        <v>9965</v>
      </c>
      <c r="Q3637" s="11" t="s">
        <v>10849</v>
      </c>
      <c r="R3637" s="4" t="s">
        <v>13192</v>
      </c>
      <c r="S3637" s="4" t="b">
        <f>ISNUMBER(MATCH(Q3637,T:T,0))</f>
        <v>0</v>
      </c>
      <c r="T3637" s="4" t="s">
        <v>12838</v>
      </c>
      <c r="U3637" s="4" t="str">
        <f t="shared" si="159"/>
        <v>隔</v>
      </c>
      <c r="V3637" s="4" t="b">
        <f t="shared" si="160"/>
        <v>1</v>
      </c>
    </row>
    <row r="3638" spans="1:22">
      <c r="A3638" s="3">
        <v>3629</v>
      </c>
      <c r="B3638" s="3" t="s">
        <v>1619</v>
      </c>
      <c r="C3638" s="3" t="s">
        <v>6015</v>
      </c>
      <c r="D3638" s="3" t="s">
        <v>6157</v>
      </c>
      <c r="E3638" s="3" t="s">
        <v>5991</v>
      </c>
      <c r="F3638" s="3" t="s">
        <v>1145</v>
      </c>
      <c r="G3638" s="3" t="s">
        <v>538</v>
      </c>
      <c r="H3638" s="3" t="s">
        <v>1627</v>
      </c>
      <c r="I3638" s="3" t="s">
        <v>1086</v>
      </c>
      <c r="J3638" s="5" t="s">
        <v>6627</v>
      </c>
      <c r="L3638" s="3" t="s">
        <v>3510</v>
      </c>
      <c r="M3638" s="3">
        <v>7</v>
      </c>
      <c r="N3638" s="4" t="s">
        <v>9689</v>
      </c>
      <c r="O3638" s="4">
        <v>193</v>
      </c>
      <c r="P3638" s="11" t="s">
        <v>9777</v>
      </c>
      <c r="Q3638" s="11" t="s">
        <v>10849</v>
      </c>
      <c r="R3638" s="4" t="s">
        <v>13192</v>
      </c>
      <c r="S3638" s="4" t="b">
        <f>ISNUMBER(MATCH(Q3638,T:T,0))</f>
        <v>0</v>
      </c>
      <c r="T3638" s="4" t="s">
        <v>12839</v>
      </c>
      <c r="U3638" s="4" t="str">
        <f t="shared" si="159"/>
        <v>隔</v>
      </c>
      <c r="V3638" s="4" t="b">
        <f t="shared" si="160"/>
        <v>1</v>
      </c>
    </row>
    <row r="3639" spans="1:22">
      <c r="A3639" s="3">
        <v>3630</v>
      </c>
      <c r="B3639" s="3" t="s">
        <v>1619</v>
      </c>
      <c r="C3639" s="3" t="s">
        <v>6318</v>
      </c>
      <c r="D3639" s="3" t="s">
        <v>6157</v>
      </c>
      <c r="E3639" s="3" t="s">
        <v>5991</v>
      </c>
      <c r="F3639" s="3" t="s">
        <v>1145</v>
      </c>
      <c r="G3639" s="3" t="s">
        <v>538</v>
      </c>
      <c r="H3639" s="3" t="s">
        <v>1628</v>
      </c>
      <c r="I3639" s="3" t="s">
        <v>1086</v>
      </c>
      <c r="J3639" s="5" t="s">
        <v>6628</v>
      </c>
      <c r="L3639" s="3" t="s">
        <v>3551</v>
      </c>
      <c r="M3639" s="3">
        <v>11</v>
      </c>
      <c r="N3639" s="4" t="s">
        <v>9689</v>
      </c>
      <c r="O3639" s="4">
        <v>193</v>
      </c>
      <c r="P3639" s="11" t="s">
        <v>9804</v>
      </c>
      <c r="Q3639" s="11" t="s">
        <v>10849</v>
      </c>
      <c r="R3639" s="4" t="s">
        <v>13192</v>
      </c>
      <c r="S3639" s="4" t="b">
        <f>ISNUMBER(MATCH(Q3639,T:T,0))</f>
        <v>0</v>
      </c>
      <c r="T3639" s="4" t="s">
        <v>10851</v>
      </c>
      <c r="U3639" s="4" t="str">
        <f t="shared" si="159"/>
        <v>隔</v>
      </c>
      <c r="V3639" s="4" t="b">
        <f t="shared" si="160"/>
        <v>1</v>
      </c>
    </row>
    <row r="3640" spans="1:22">
      <c r="A3640" s="3">
        <v>3631</v>
      </c>
      <c r="B3640" s="3" t="s">
        <v>1619</v>
      </c>
      <c r="C3640" s="3" t="s">
        <v>6015</v>
      </c>
      <c r="D3640" s="3" t="s">
        <v>6157</v>
      </c>
      <c r="E3640" s="3" t="s">
        <v>6212</v>
      </c>
      <c r="F3640" s="3" t="s">
        <v>1145</v>
      </c>
      <c r="G3640" s="3" t="s">
        <v>538</v>
      </c>
      <c r="H3640" s="7" t="s">
        <v>902</v>
      </c>
      <c r="I3640" s="3" t="s">
        <v>1086</v>
      </c>
      <c r="J3640" s="5" t="s">
        <v>1629</v>
      </c>
      <c r="L3640" s="3" t="s">
        <v>3422</v>
      </c>
      <c r="M3640" s="3">
        <v>2</v>
      </c>
      <c r="N3640" s="4" t="s">
        <v>9689</v>
      </c>
      <c r="O3640" s="4">
        <v>193</v>
      </c>
      <c r="P3640" s="11" t="s">
        <v>10807</v>
      </c>
      <c r="Q3640" s="11" t="s">
        <v>9995</v>
      </c>
      <c r="S3640" s="4" t="b">
        <f>ISNUMBER(MATCH(Q3640,T:T,0))</f>
        <v>1</v>
      </c>
      <c r="T3640" s="4" t="s">
        <v>12840</v>
      </c>
      <c r="U3640" s="4" t="str">
        <f t="shared" si="159"/>
        <v>獲</v>
      </c>
    </row>
    <row r="3641" spans="1:22">
      <c r="A3641" s="3">
        <v>3632</v>
      </c>
      <c r="B3641" s="3" t="s">
        <v>1619</v>
      </c>
      <c r="C3641" s="3" t="s">
        <v>6167</v>
      </c>
      <c r="D3641" s="3" t="s">
        <v>6157</v>
      </c>
      <c r="E3641" s="3" t="s">
        <v>5991</v>
      </c>
      <c r="F3641" s="3" t="s">
        <v>1145</v>
      </c>
      <c r="G3641" s="3" t="s">
        <v>538</v>
      </c>
      <c r="H3641" s="3" t="s">
        <v>1630</v>
      </c>
      <c r="I3641" s="3" t="s">
        <v>1086</v>
      </c>
      <c r="J3641" s="5" t="s">
        <v>6629</v>
      </c>
      <c r="L3641" s="3" t="s">
        <v>2852</v>
      </c>
      <c r="M3641" s="3">
        <v>14</v>
      </c>
      <c r="N3641" s="4" t="s">
        <v>9689</v>
      </c>
      <c r="O3641" s="4">
        <v>193</v>
      </c>
      <c r="P3641" s="11" t="s">
        <v>9769</v>
      </c>
      <c r="Q3641" s="11" t="s">
        <v>10849</v>
      </c>
      <c r="R3641" s="4" t="s">
        <v>13192</v>
      </c>
      <c r="S3641" s="4" t="b">
        <f>ISNUMBER(MATCH(Q3641,T:T,0))</f>
        <v>0</v>
      </c>
      <c r="T3641" s="4" t="s">
        <v>12841</v>
      </c>
      <c r="U3641" s="4" t="str">
        <f t="shared" si="159"/>
        <v>隔</v>
      </c>
      <c r="V3641" s="4" t="b">
        <f t="shared" ref="V3641:V3642" si="161">ISNUMBER(MATCH(R3641,T:T,0))</f>
        <v>1</v>
      </c>
    </row>
    <row r="3642" spans="1:22">
      <c r="A3642" s="3">
        <v>3633</v>
      </c>
      <c r="B3642" s="3" t="s">
        <v>1619</v>
      </c>
      <c r="C3642" s="3" t="s">
        <v>6038</v>
      </c>
      <c r="D3642" s="3" t="s">
        <v>6157</v>
      </c>
      <c r="E3642" s="3" t="s">
        <v>5991</v>
      </c>
      <c r="F3642" s="3" t="s">
        <v>1145</v>
      </c>
      <c r="G3642" s="3" t="s">
        <v>538</v>
      </c>
      <c r="H3642" s="3" t="s">
        <v>1631</v>
      </c>
      <c r="I3642" s="3" t="s">
        <v>1086</v>
      </c>
      <c r="J3642" s="8" t="s">
        <v>6630</v>
      </c>
      <c r="L3642" s="3" t="s">
        <v>2862</v>
      </c>
      <c r="M3642" s="3">
        <v>6</v>
      </c>
      <c r="N3642" s="4" t="s">
        <v>9689</v>
      </c>
      <c r="O3642" s="4">
        <v>193</v>
      </c>
      <c r="P3642" s="11" t="s">
        <v>10265</v>
      </c>
      <c r="Q3642" s="11" t="s">
        <v>10849</v>
      </c>
      <c r="R3642" s="4" t="s">
        <v>13192</v>
      </c>
      <c r="S3642" s="4" t="b">
        <f>ISNUMBER(MATCH(Q3642,T:T,0))</f>
        <v>0</v>
      </c>
      <c r="T3642" s="4" t="s">
        <v>12842</v>
      </c>
      <c r="U3642" s="4" t="str">
        <f t="shared" si="159"/>
        <v>隔</v>
      </c>
      <c r="V3642" s="4" t="b">
        <f t="shared" si="161"/>
        <v>1</v>
      </c>
    </row>
    <row r="3643" spans="1:22" ht="39">
      <c r="A3643" s="3">
        <v>3634</v>
      </c>
      <c r="B3643" s="3" t="s">
        <v>1619</v>
      </c>
      <c r="C3643" s="3" t="s">
        <v>6089</v>
      </c>
      <c r="D3643" s="3" t="s">
        <v>6157</v>
      </c>
      <c r="E3643" s="3" t="s">
        <v>6212</v>
      </c>
      <c r="F3643" s="3" t="s">
        <v>1145</v>
      </c>
      <c r="G3643" s="3" t="s">
        <v>538</v>
      </c>
      <c r="H3643" s="3" t="s">
        <v>1632</v>
      </c>
      <c r="I3643" s="3" t="s">
        <v>1086</v>
      </c>
      <c r="J3643" s="8" t="s">
        <v>6631</v>
      </c>
      <c r="L3643" s="3" t="s">
        <v>3688</v>
      </c>
      <c r="M3643" s="3">
        <v>21</v>
      </c>
      <c r="N3643" s="4" t="s">
        <v>9689</v>
      </c>
      <c r="O3643" s="4">
        <v>193</v>
      </c>
      <c r="P3643" s="11" t="s">
        <v>9739</v>
      </c>
      <c r="Q3643" s="11" t="s">
        <v>9689</v>
      </c>
      <c r="S3643" s="4" t="b">
        <f>ISNUMBER(MATCH(Q3643,T:T,0))</f>
        <v>1</v>
      </c>
      <c r="T3643" s="4" t="s">
        <v>12843</v>
      </c>
      <c r="U3643" s="4" t="str">
        <f t="shared" si="159"/>
        <v>麥</v>
      </c>
    </row>
    <row r="3644" spans="1:22">
      <c r="A3644" s="3">
        <v>3635</v>
      </c>
      <c r="B3644" s="3" t="s">
        <v>1619</v>
      </c>
      <c r="C3644" s="3" t="s">
        <v>6067</v>
      </c>
      <c r="D3644" s="3" t="s">
        <v>6157</v>
      </c>
      <c r="E3644" s="3" t="s">
        <v>5991</v>
      </c>
      <c r="F3644" s="3" t="s">
        <v>1145</v>
      </c>
      <c r="G3644" s="3" t="s">
        <v>538</v>
      </c>
      <c r="H3644" s="3" t="s">
        <v>1633</v>
      </c>
      <c r="I3644" s="3" t="s">
        <v>1086</v>
      </c>
      <c r="J3644" s="5" t="s">
        <v>1634</v>
      </c>
      <c r="L3644" s="3" t="s">
        <v>4579</v>
      </c>
      <c r="M3644" s="3">
        <v>9</v>
      </c>
      <c r="N3644" s="4" t="s">
        <v>9689</v>
      </c>
      <c r="O3644" s="4">
        <v>193</v>
      </c>
      <c r="P3644" s="11" t="s">
        <v>9771</v>
      </c>
      <c r="Q3644" s="11" t="s">
        <v>10849</v>
      </c>
      <c r="R3644" s="4" t="s">
        <v>13192</v>
      </c>
      <c r="S3644" s="4" t="b">
        <f>ISNUMBER(MATCH(Q3644,T:T,0))</f>
        <v>0</v>
      </c>
      <c r="T3644" s="4" t="s">
        <v>12844</v>
      </c>
      <c r="U3644" s="4" t="str">
        <f t="shared" si="159"/>
        <v>隔</v>
      </c>
      <c r="V3644" s="4" t="b">
        <f t="shared" ref="V3644:V3647" si="162">ISNUMBER(MATCH(R3644,T:T,0))</f>
        <v>1</v>
      </c>
    </row>
    <row r="3645" spans="1:22">
      <c r="A3645" s="3">
        <v>3636</v>
      </c>
      <c r="B3645" s="3" t="s">
        <v>1619</v>
      </c>
      <c r="C3645" s="3" t="s">
        <v>6025</v>
      </c>
      <c r="D3645" s="3" t="s">
        <v>6157</v>
      </c>
      <c r="E3645" s="3" t="s">
        <v>5991</v>
      </c>
      <c r="F3645" s="3" t="s">
        <v>1145</v>
      </c>
      <c r="G3645" s="3" t="s">
        <v>538</v>
      </c>
      <c r="H3645" s="3" t="s">
        <v>1635</v>
      </c>
      <c r="I3645" s="3" t="s">
        <v>1086</v>
      </c>
      <c r="J3645" s="5" t="s">
        <v>6632</v>
      </c>
      <c r="L3645" s="3" t="s">
        <v>3660</v>
      </c>
      <c r="M3645" s="3">
        <v>16</v>
      </c>
      <c r="N3645" s="4" t="s">
        <v>9689</v>
      </c>
      <c r="O3645" s="4">
        <v>193</v>
      </c>
      <c r="P3645" s="11" t="s">
        <v>9729</v>
      </c>
      <c r="Q3645" s="11" t="s">
        <v>10850</v>
      </c>
      <c r="R3645" s="4" t="s">
        <v>13193</v>
      </c>
      <c r="S3645" s="4" t="b">
        <f>ISNUMBER(MATCH(Q3645,T:T,0))</f>
        <v>0</v>
      </c>
      <c r="T3645" s="4" t="s">
        <v>12845</v>
      </c>
      <c r="U3645" s="4" t="str">
        <f t="shared" si="159"/>
        <v>覈</v>
      </c>
      <c r="V3645" s="4" t="b">
        <f t="shared" si="162"/>
        <v>1</v>
      </c>
    </row>
    <row r="3646" spans="1:22">
      <c r="A3646" s="3">
        <v>3637</v>
      </c>
      <c r="B3646" s="3" t="s">
        <v>1619</v>
      </c>
      <c r="C3646" s="3" t="s">
        <v>6000</v>
      </c>
      <c r="D3646" s="3" t="s">
        <v>6157</v>
      </c>
      <c r="E3646" s="3" t="s">
        <v>5991</v>
      </c>
      <c r="F3646" s="3" t="s">
        <v>1145</v>
      </c>
      <c r="G3646" s="3" t="s">
        <v>538</v>
      </c>
      <c r="H3646" s="3" t="s">
        <v>1636</v>
      </c>
      <c r="I3646" s="3" t="s">
        <v>1086</v>
      </c>
      <c r="J3646" s="5" t="s">
        <v>6633</v>
      </c>
      <c r="L3646" s="3" t="s">
        <v>3551</v>
      </c>
      <c r="M3646" s="3">
        <v>9</v>
      </c>
      <c r="N3646" s="4" t="s">
        <v>9689</v>
      </c>
      <c r="O3646" s="4">
        <v>193</v>
      </c>
      <c r="P3646" s="11" t="s">
        <v>9707</v>
      </c>
      <c r="Q3646" s="11" t="s">
        <v>10849</v>
      </c>
      <c r="R3646" s="4" t="s">
        <v>13192</v>
      </c>
      <c r="S3646" s="4" t="b">
        <f>ISNUMBER(MATCH(Q3646,T:T,0))</f>
        <v>0</v>
      </c>
      <c r="T3646" s="4" t="s">
        <v>10852</v>
      </c>
      <c r="U3646" s="4" t="str">
        <f t="shared" si="159"/>
        <v>隔</v>
      </c>
      <c r="V3646" s="4" t="b">
        <f t="shared" si="162"/>
        <v>1</v>
      </c>
    </row>
    <row r="3647" spans="1:22" ht="39">
      <c r="A3647" s="3">
        <v>3638</v>
      </c>
      <c r="B3647" s="3" t="s">
        <v>1619</v>
      </c>
      <c r="C3647" s="3" t="s">
        <v>6072</v>
      </c>
      <c r="D3647" s="3" t="s">
        <v>6157</v>
      </c>
      <c r="E3647" s="3" t="s">
        <v>5991</v>
      </c>
      <c r="F3647" s="3" t="s">
        <v>1145</v>
      </c>
      <c r="G3647" s="3" t="s">
        <v>538</v>
      </c>
      <c r="H3647" s="3" t="s">
        <v>1637</v>
      </c>
      <c r="I3647" s="3" t="s">
        <v>1086</v>
      </c>
      <c r="J3647" s="8" t="s">
        <v>6634</v>
      </c>
      <c r="L3647" s="3" t="s">
        <v>3648</v>
      </c>
      <c r="M3647" s="3">
        <v>14</v>
      </c>
      <c r="N3647" s="4" t="s">
        <v>9689</v>
      </c>
      <c r="O3647" s="4">
        <v>193</v>
      </c>
      <c r="P3647" s="11" t="s">
        <v>9754</v>
      </c>
      <c r="Q3647" s="11" t="s">
        <v>10849</v>
      </c>
      <c r="R3647" s="4" t="s">
        <v>13192</v>
      </c>
      <c r="S3647" s="4" t="b">
        <f>ISNUMBER(MATCH(Q3647,T:T,0))</f>
        <v>0</v>
      </c>
      <c r="T3647" s="4" t="s">
        <v>10854</v>
      </c>
      <c r="U3647" s="4" t="str">
        <f t="shared" si="159"/>
        <v>隔</v>
      </c>
      <c r="V3647" s="4" t="b">
        <f t="shared" si="162"/>
        <v>1</v>
      </c>
    </row>
    <row r="3648" spans="1:22">
      <c r="A3648" s="3">
        <v>3639</v>
      </c>
      <c r="B3648" s="3" t="s">
        <v>1619</v>
      </c>
      <c r="C3648" s="3" t="s">
        <v>6180</v>
      </c>
      <c r="D3648" s="3" t="s">
        <v>6157</v>
      </c>
      <c r="E3648" s="3" t="s">
        <v>5991</v>
      </c>
      <c r="F3648" s="3" t="s">
        <v>1145</v>
      </c>
      <c r="G3648" s="3" t="s">
        <v>538</v>
      </c>
      <c r="H3648" s="3" t="s">
        <v>1638</v>
      </c>
      <c r="I3648" s="3" t="s">
        <v>1086</v>
      </c>
      <c r="J3648" s="5" t="s">
        <v>6635</v>
      </c>
      <c r="L3648" s="3" t="s">
        <v>3554</v>
      </c>
      <c r="M3648" s="3">
        <v>14</v>
      </c>
      <c r="N3648" s="4" t="s">
        <v>9689</v>
      </c>
      <c r="O3648" s="4">
        <v>193</v>
      </c>
      <c r="P3648" s="11" t="s">
        <v>6836</v>
      </c>
      <c r="Q3648" s="11" t="s">
        <v>10851</v>
      </c>
      <c r="S3648" s="4" t="b">
        <f>ISNUMBER(MATCH(Q3648,T:T,0))</f>
        <v>1</v>
      </c>
      <c r="T3648" s="4" t="s">
        <v>12846</v>
      </c>
      <c r="U3648" s="4" t="str">
        <f t="shared" si="159"/>
        <v>責</v>
      </c>
    </row>
    <row r="3649" spans="1:22">
      <c r="A3649" s="3">
        <v>3640</v>
      </c>
      <c r="B3649" s="3" t="s">
        <v>1619</v>
      </c>
      <c r="C3649" s="3" t="s">
        <v>6053</v>
      </c>
      <c r="D3649" s="3" t="s">
        <v>6157</v>
      </c>
      <c r="E3649" s="3" t="s">
        <v>5991</v>
      </c>
      <c r="F3649" s="3" t="s">
        <v>1145</v>
      </c>
      <c r="G3649" s="3" t="s">
        <v>538</v>
      </c>
      <c r="H3649" s="3" t="s">
        <v>1639</v>
      </c>
      <c r="I3649" s="3" t="s">
        <v>1086</v>
      </c>
      <c r="J3649" s="5" t="s">
        <v>1640</v>
      </c>
      <c r="L3649" s="3" t="s">
        <v>2825</v>
      </c>
      <c r="M3649" s="3">
        <v>2</v>
      </c>
      <c r="N3649" s="4" t="s">
        <v>9689</v>
      </c>
      <c r="O3649" s="4">
        <v>193</v>
      </c>
      <c r="P3649" s="11" t="s">
        <v>9884</v>
      </c>
      <c r="Q3649" s="11" t="s">
        <v>9689</v>
      </c>
      <c r="S3649" s="4" t="b">
        <f>ISNUMBER(MATCH(Q3649,T:T,0))</f>
        <v>1</v>
      </c>
      <c r="T3649" s="4" t="s">
        <v>12847</v>
      </c>
      <c r="U3649" s="4" t="str">
        <f t="shared" si="159"/>
        <v>麥</v>
      </c>
    </row>
    <row r="3650" spans="1:22">
      <c r="A3650" s="3">
        <v>3641</v>
      </c>
      <c r="B3650" s="3" t="s">
        <v>1619</v>
      </c>
      <c r="C3650" s="3" t="s">
        <v>6092</v>
      </c>
      <c r="D3650" s="3" t="s">
        <v>6157</v>
      </c>
      <c r="E3650" s="3" t="s">
        <v>5991</v>
      </c>
      <c r="F3650" s="3" t="s">
        <v>1145</v>
      </c>
      <c r="G3650" s="3" t="s">
        <v>538</v>
      </c>
      <c r="H3650" s="3" t="s">
        <v>1641</v>
      </c>
      <c r="I3650" s="3" t="s">
        <v>1086</v>
      </c>
      <c r="J3650" s="8" t="s">
        <v>6636</v>
      </c>
      <c r="L3650" s="3" t="s">
        <v>2392</v>
      </c>
      <c r="M3650" s="3">
        <v>4</v>
      </c>
      <c r="N3650" s="4" t="s">
        <v>9689</v>
      </c>
      <c r="O3650" s="4">
        <v>193</v>
      </c>
      <c r="P3650" s="11" t="s">
        <v>9740</v>
      </c>
      <c r="Q3650" s="11" t="s">
        <v>10849</v>
      </c>
      <c r="R3650" s="4" t="s">
        <v>13192</v>
      </c>
      <c r="S3650" s="4" t="b">
        <f>ISNUMBER(MATCH(Q3650,T:T,0))</f>
        <v>0</v>
      </c>
      <c r="T3650" s="4" t="s">
        <v>12848</v>
      </c>
      <c r="U3650" s="4" t="str">
        <f t="shared" si="159"/>
        <v>隔</v>
      </c>
      <c r="V3650" s="4" t="b">
        <f>ISNUMBER(MATCH(R3650,T:T,0))</f>
        <v>1</v>
      </c>
    </row>
    <row r="3651" spans="1:22">
      <c r="A3651" s="3">
        <v>3642</v>
      </c>
      <c r="B3651" s="3" t="s">
        <v>1619</v>
      </c>
      <c r="C3651" s="3" t="s">
        <v>6058</v>
      </c>
      <c r="D3651" s="3" t="s">
        <v>6157</v>
      </c>
      <c r="E3651" s="3" t="s">
        <v>5991</v>
      </c>
      <c r="F3651" s="3" t="s">
        <v>1145</v>
      </c>
      <c r="G3651" s="3" t="s">
        <v>538</v>
      </c>
      <c r="H3651" s="3" t="s">
        <v>1642</v>
      </c>
      <c r="I3651" s="3" t="s">
        <v>1086</v>
      </c>
      <c r="J3651" s="5" t="s">
        <v>1643</v>
      </c>
      <c r="L3651" s="3" t="s">
        <v>1644</v>
      </c>
      <c r="M3651" s="3">
        <v>2</v>
      </c>
      <c r="N3651" s="4" t="s">
        <v>9689</v>
      </c>
      <c r="O3651" s="4">
        <v>193</v>
      </c>
      <c r="P3651" s="11" t="s">
        <v>9727</v>
      </c>
      <c r="Q3651" s="11" t="s">
        <v>10852</v>
      </c>
      <c r="S3651" s="4" t="b">
        <f>ISNUMBER(MATCH(Q3651,T:T,0))</f>
        <v>1</v>
      </c>
      <c r="T3651" s="4" t="s">
        <v>12849</v>
      </c>
      <c r="U3651" s="4" t="str">
        <f t="shared" ref="U3651:U3714" si="163">IF(ISBLANK(R3651),Q3651,R3651)</f>
        <v>摘</v>
      </c>
    </row>
    <row r="3652" spans="1:22">
      <c r="A3652" s="3">
        <v>3643</v>
      </c>
      <c r="B3652" s="3" t="s">
        <v>1619</v>
      </c>
      <c r="C3652" s="3" t="s">
        <v>6318</v>
      </c>
      <c r="D3652" s="3" t="s">
        <v>6157</v>
      </c>
      <c r="E3652" s="3" t="s">
        <v>6212</v>
      </c>
      <c r="F3652" s="3" t="s">
        <v>1145</v>
      </c>
      <c r="G3652" s="3" t="s">
        <v>538</v>
      </c>
      <c r="H3652" s="3" t="s">
        <v>1645</v>
      </c>
      <c r="I3652" s="3" t="s">
        <v>1086</v>
      </c>
      <c r="J3652" s="5" t="s">
        <v>1646</v>
      </c>
      <c r="L3652" s="3" t="s">
        <v>3425</v>
      </c>
      <c r="M3652" s="3">
        <v>1</v>
      </c>
      <c r="N3652" s="4" t="s">
        <v>9689</v>
      </c>
      <c r="O3652" s="4">
        <v>193</v>
      </c>
      <c r="P3652" s="11" t="s">
        <v>10165</v>
      </c>
      <c r="Q3652" s="11" t="s">
        <v>10853</v>
      </c>
      <c r="R3652" s="4" t="s">
        <v>13194</v>
      </c>
      <c r="S3652" s="4" t="b">
        <f>ISNUMBER(MATCH(Q3652,T:T,0))</f>
        <v>0</v>
      </c>
      <c r="T3652" s="4" t="s">
        <v>1646</v>
      </c>
      <c r="U3652" s="4" t="str">
        <f t="shared" si="163"/>
        <v>蟈</v>
      </c>
      <c r="V3652" s="4" t="b">
        <f>ISNUMBER(MATCH(R3652,T:T,0))</f>
        <v>1</v>
      </c>
    </row>
    <row r="3653" spans="1:22">
      <c r="A3653" s="3">
        <v>3644</v>
      </c>
      <c r="B3653" s="3" t="s">
        <v>1619</v>
      </c>
      <c r="C3653" s="3" t="s">
        <v>6180</v>
      </c>
      <c r="D3653" s="3" t="s">
        <v>6157</v>
      </c>
      <c r="E3653" s="3" t="s">
        <v>6212</v>
      </c>
      <c r="F3653" s="3" t="s">
        <v>1145</v>
      </c>
      <c r="G3653" s="3" t="s">
        <v>538</v>
      </c>
      <c r="H3653" s="3" t="s">
        <v>1647</v>
      </c>
      <c r="I3653" s="3" t="s">
        <v>1086</v>
      </c>
      <c r="J3653" s="5" t="s">
        <v>1648</v>
      </c>
      <c r="L3653" s="3" t="s">
        <v>3427</v>
      </c>
      <c r="M3653" s="3">
        <v>1</v>
      </c>
      <c r="N3653" s="4" t="s">
        <v>9689</v>
      </c>
      <c r="O3653" s="4">
        <v>193</v>
      </c>
      <c r="P3653" s="11" t="s">
        <v>10361</v>
      </c>
      <c r="Q3653" s="11" t="s">
        <v>9995</v>
      </c>
      <c r="S3653" s="4" t="b">
        <f>ISNUMBER(MATCH(Q3653,T:T,0))</f>
        <v>1</v>
      </c>
      <c r="T3653" s="4" t="s">
        <v>1648</v>
      </c>
      <c r="U3653" s="4" t="str">
        <f t="shared" si="163"/>
        <v>獲</v>
      </c>
    </row>
    <row r="3654" spans="1:22">
      <c r="A3654" s="3">
        <v>3645</v>
      </c>
      <c r="B3654" s="3" t="s">
        <v>1619</v>
      </c>
      <c r="C3654" s="3" t="s">
        <v>6041</v>
      </c>
      <c r="D3654" s="3" t="s">
        <v>6157</v>
      </c>
      <c r="E3654" s="3" t="s">
        <v>6212</v>
      </c>
      <c r="F3654" s="3" t="s">
        <v>1145</v>
      </c>
      <c r="G3654" s="3" t="s">
        <v>538</v>
      </c>
      <c r="H3654" s="3" t="s">
        <v>1649</v>
      </c>
      <c r="I3654" s="3" t="s">
        <v>1086</v>
      </c>
      <c r="J3654" s="5" t="s">
        <v>1650</v>
      </c>
      <c r="M3654" s="3">
        <v>1</v>
      </c>
      <c r="N3654" s="4" t="s">
        <v>9689</v>
      </c>
      <c r="O3654" s="4">
        <v>193</v>
      </c>
      <c r="P3654" s="11" t="s">
        <v>10062</v>
      </c>
      <c r="Q3654" s="11" t="s">
        <v>9995</v>
      </c>
      <c r="S3654" s="4" t="b">
        <f>ISNUMBER(MATCH(Q3654,T:T,0))</f>
        <v>1</v>
      </c>
      <c r="T3654" s="4" t="s">
        <v>1650</v>
      </c>
      <c r="U3654" s="4" t="str">
        <f t="shared" si="163"/>
        <v>獲</v>
      </c>
    </row>
    <row r="3655" spans="1:22">
      <c r="A3655" s="3">
        <v>3646</v>
      </c>
      <c r="B3655" s="3" t="s">
        <v>1619</v>
      </c>
      <c r="C3655" s="3" t="s">
        <v>6137</v>
      </c>
      <c r="D3655" s="3" t="s">
        <v>6157</v>
      </c>
      <c r="E3655" s="3" t="s">
        <v>5991</v>
      </c>
      <c r="F3655" s="3" t="s">
        <v>1145</v>
      </c>
      <c r="G3655" s="3" t="s">
        <v>538</v>
      </c>
      <c r="H3655" s="3" t="s">
        <v>903</v>
      </c>
      <c r="I3655" s="3" t="s">
        <v>1086</v>
      </c>
      <c r="J3655" s="8" t="s">
        <v>6637</v>
      </c>
      <c r="L3655" s="3" t="s">
        <v>1651</v>
      </c>
      <c r="M3655" s="3">
        <v>3</v>
      </c>
      <c r="N3655" s="4" t="s">
        <v>9689</v>
      </c>
      <c r="O3655" s="4">
        <v>193</v>
      </c>
      <c r="P3655" s="11" t="s">
        <v>9812</v>
      </c>
      <c r="Q3655" s="11" t="s">
        <v>10854</v>
      </c>
      <c r="S3655" s="4" t="b">
        <f>ISNUMBER(MATCH(Q3655,T:T,0))</f>
        <v>1</v>
      </c>
      <c r="T3655" s="4" t="s">
        <v>12850</v>
      </c>
      <c r="U3655" s="4" t="str">
        <f t="shared" si="163"/>
        <v>戹</v>
      </c>
    </row>
    <row r="3656" spans="1:22">
      <c r="A3656" s="3">
        <v>3647</v>
      </c>
      <c r="B3656" s="3" t="s">
        <v>1652</v>
      </c>
      <c r="C3656" s="3" t="s">
        <v>6017</v>
      </c>
      <c r="D3656" s="3" t="s">
        <v>6001</v>
      </c>
      <c r="E3656" s="3" t="s">
        <v>5991</v>
      </c>
      <c r="F3656" s="3" t="s">
        <v>6076</v>
      </c>
      <c r="G3656" s="3" t="s">
        <v>538</v>
      </c>
      <c r="H3656" s="3" t="s">
        <v>1653</v>
      </c>
      <c r="I3656" s="3" t="s">
        <v>1086</v>
      </c>
      <c r="J3656" s="5" t="s">
        <v>6638</v>
      </c>
      <c r="L3656" s="3" t="s">
        <v>6394</v>
      </c>
      <c r="M3656" s="3">
        <v>14</v>
      </c>
      <c r="N3656" s="4" t="s">
        <v>9690</v>
      </c>
      <c r="O3656" s="4">
        <v>194</v>
      </c>
      <c r="P3656" s="11" t="s">
        <v>9963</v>
      </c>
      <c r="Q3656" s="11" t="s">
        <v>10855</v>
      </c>
      <c r="S3656" s="4" t="b">
        <f>ISNUMBER(MATCH(Q3656,T:T,0))</f>
        <v>1</v>
      </c>
      <c r="T3656" s="4" t="s">
        <v>9690</v>
      </c>
      <c r="U3656" s="4" t="str">
        <f t="shared" si="163"/>
        <v>積</v>
      </c>
    </row>
    <row r="3657" spans="1:22">
      <c r="A3657" s="3">
        <v>3648</v>
      </c>
      <c r="B3657" s="3" t="s">
        <v>1652</v>
      </c>
      <c r="C3657" s="3" t="s">
        <v>6083</v>
      </c>
      <c r="D3657" s="3" t="s">
        <v>6001</v>
      </c>
      <c r="E3657" s="3" t="s">
        <v>5991</v>
      </c>
      <c r="F3657" s="3" t="s">
        <v>6076</v>
      </c>
      <c r="G3657" s="3" t="s">
        <v>538</v>
      </c>
      <c r="H3657" s="3" t="s">
        <v>1654</v>
      </c>
      <c r="I3657" s="3" t="s">
        <v>1086</v>
      </c>
      <c r="J3657" s="5" t="s">
        <v>6639</v>
      </c>
      <c r="L3657" s="3" t="s">
        <v>6331</v>
      </c>
      <c r="M3657" s="3">
        <v>18</v>
      </c>
      <c r="N3657" s="4" t="s">
        <v>9690</v>
      </c>
      <c r="O3657" s="4">
        <v>194</v>
      </c>
      <c r="P3657" s="11" t="s">
        <v>9811</v>
      </c>
      <c r="Q3657" s="11" t="s">
        <v>9690</v>
      </c>
      <c r="S3657" s="4" t="b">
        <f>ISNUMBER(MATCH(Q3657,T:T,0))</f>
        <v>1</v>
      </c>
      <c r="T3657" s="4" t="s">
        <v>10855</v>
      </c>
      <c r="U3657" s="4" t="str">
        <f t="shared" si="163"/>
        <v>昔</v>
      </c>
    </row>
    <row r="3658" spans="1:22">
      <c r="A3658" s="3">
        <v>3649</v>
      </c>
      <c r="B3658" s="3" t="s">
        <v>1652</v>
      </c>
      <c r="C3658" s="3" t="s">
        <v>6072</v>
      </c>
      <c r="D3658" s="3" t="s">
        <v>6001</v>
      </c>
      <c r="E3658" s="3" t="s">
        <v>5991</v>
      </c>
      <c r="F3658" s="3" t="s">
        <v>6076</v>
      </c>
      <c r="G3658" s="3" t="s">
        <v>538</v>
      </c>
      <c r="H3658" s="3" t="s">
        <v>1655</v>
      </c>
      <c r="I3658" s="3" t="s">
        <v>1086</v>
      </c>
      <c r="J3658" s="5" t="s">
        <v>1656</v>
      </c>
      <c r="L3658" s="3" t="s">
        <v>6377</v>
      </c>
      <c r="M3658" s="3">
        <v>8</v>
      </c>
      <c r="N3658" s="4" t="s">
        <v>9690</v>
      </c>
      <c r="O3658" s="4">
        <v>194</v>
      </c>
      <c r="P3658" s="11" t="s">
        <v>10720</v>
      </c>
      <c r="Q3658" s="11" t="s">
        <v>9690</v>
      </c>
      <c r="S3658" s="4" t="b">
        <f>ISNUMBER(MATCH(Q3658,T:T,0))</f>
        <v>1</v>
      </c>
      <c r="T3658" s="4" t="s">
        <v>10856</v>
      </c>
      <c r="U3658" s="4" t="str">
        <f t="shared" si="163"/>
        <v>昔</v>
      </c>
    </row>
    <row r="3659" spans="1:22" ht="39">
      <c r="A3659" s="3">
        <v>3650</v>
      </c>
      <c r="B3659" s="3" t="s">
        <v>1652</v>
      </c>
      <c r="C3659" s="3" t="s">
        <v>6028</v>
      </c>
      <c r="D3659" s="3" t="s">
        <v>6001</v>
      </c>
      <c r="E3659" s="3" t="s">
        <v>5991</v>
      </c>
      <c r="F3659" s="3" t="s">
        <v>6076</v>
      </c>
      <c r="G3659" s="3" t="s">
        <v>538</v>
      </c>
      <c r="H3659" s="3" t="s">
        <v>1657</v>
      </c>
      <c r="I3659" s="3" t="s">
        <v>1086</v>
      </c>
      <c r="J3659" s="5" t="s">
        <v>6640</v>
      </c>
      <c r="L3659" s="3" t="s">
        <v>4368</v>
      </c>
      <c r="M3659" s="3">
        <v>33</v>
      </c>
      <c r="N3659" s="4" t="s">
        <v>9690</v>
      </c>
      <c r="O3659" s="4">
        <v>194</v>
      </c>
      <c r="P3659" s="11" t="s">
        <v>9863</v>
      </c>
      <c r="Q3659" s="11" t="s">
        <v>10856</v>
      </c>
      <c r="S3659" s="4" t="b">
        <f>ISNUMBER(MATCH(Q3659,T:T,0))</f>
        <v>1</v>
      </c>
      <c r="T3659" s="4" t="s">
        <v>10864</v>
      </c>
      <c r="U3659" s="4" t="str">
        <f t="shared" si="163"/>
        <v>益</v>
      </c>
    </row>
    <row r="3660" spans="1:22">
      <c r="A3660" s="3">
        <v>3651</v>
      </c>
      <c r="B3660" s="3" t="s">
        <v>1652</v>
      </c>
      <c r="C3660" s="3" t="s">
        <v>6120</v>
      </c>
      <c r="D3660" s="3" t="s">
        <v>6001</v>
      </c>
      <c r="E3660" s="3" t="s">
        <v>5991</v>
      </c>
      <c r="F3660" s="3" t="s">
        <v>6076</v>
      </c>
      <c r="G3660" s="3" t="s">
        <v>538</v>
      </c>
      <c r="H3660" s="3" t="s">
        <v>1658</v>
      </c>
      <c r="I3660" s="3" t="s">
        <v>1086</v>
      </c>
      <c r="J3660" s="5" t="s">
        <v>6641</v>
      </c>
      <c r="L3660" s="3" t="s">
        <v>3491</v>
      </c>
      <c r="M3660" s="3">
        <v>16</v>
      </c>
      <c r="N3660" s="4" t="s">
        <v>9690</v>
      </c>
      <c r="O3660" s="4">
        <v>194</v>
      </c>
      <c r="P3660" s="11" t="s">
        <v>10210</v>
      </c>
      <c r="Q3660" s="11" t="s">
        <v>10857</v>
      </c>
      <c r="S3660" s="4" t="b">
        <f>ISNUMBER(MATCH(Q3660,T:T,0))</f>
        <v>1</v>
      </c>
      <c r="T3660" s="4" t="s">
        <v>10494</v>
      </c>
      <c r="U3660" s="4" t="str">
        <f t="shared" si="163"/>
        <v>隻</v>
      </c>
    </row>
    <row r="3661" spans="1:22">
      <c r="A3661" s="3">
        <v>3652</v>
      </c>
      <c r="B3661" s="3" t="s">
        <v>1652</v>
      </c>
      <c r="C3661" s="3" t="s">
        <v>6055</v>
      </c>
      <c r="D3661" s="3" t="s">
        <v>6001</v>
      </c>
      <c r="E3661" s="3" t="s">
        <v>5991</v>
      </c>
      <c r="F3661" s="3" t="s">
        <v>6076</v>
      </c>
      <c r="G3661" s="3" t="s">
        <v>538</v>
      </c>
      <c r="H3661" s="3" t="s">
        <v>1659</v>
      </c>
      <c r="I3661" s="3" t="s">
        <v>1086</v>
      </c>
      <c r="J3661" s="5" t="s">
        <v>6642</v>
      </c>
      <c r="L3661" s="3" t="s">
        <v>3480</v>
      </c>
      <c r="M3661" s="3">
        <v>11</v>
      </c>
      <c r="N3661" s="4" t="s">
        <v>9690</v>
      </c>
      <c r="O3661" s="4">
        <v>194</v>
      </c>
      <c r="P3661" s="11" t="s">
        <v>6055</v>
      </c>
      <c r="Q3661" s="11" t="s">
        <v>10858</v>
      </c>
      <c r="S3661" s="4" t="b">
        <f>ISNUMBER(MATCH(Q3661,T:T,0))</f>
        <v>1</v>
      </c>
      <c r="T3661" s="4" t="s">
        <v>9749</v>
      </c>
      <c r="U3661" s="4" t="str">
        <f t="shared" si="163"/>
        <v>石</v>
      </c>
    </row>
    <row r="3662" spans="1:22">
      <c r="A3662" s="3">
        <v>3653</v>
      </c>
      <c r="B3662" s="3" t="s">
        <v>1652</v>
      </c>
      <c r="C3662" s="3" t="s">
        <v>6148</v>
      </c>
      <c r="D3662" s="3" t="s">
        <v>6001</v>
      </c>
      <c r="E3662" s="3" t="s">
        <v>5991</v>
      </c>
      <c r="F3662" s="3" t="s">
        <v>6076</v>
      </c>
      <c r="G3662" s="3" t="s">
        <v>538</v>
      </c>
      <c r="H3662" s="3" t="s">
        <v>1660</v>
      </c>
      <c r="I3662" s="3" t="s">
        <v>1086</v>
      </c>
      <c r="J3662" s="5" t="s">
        <v>1661</v>
      </c>
      <c r="L3662" s="3" t="s">
        <v>3460</v>
      </c>
      <c r="M3662" s="3">
        <v>7</v>
      </c>
      <c r="N3662" s="4" t="s">
        <v>9690</v>
      </c>
      <c r="O3662" s="4">
        <v>194</v>
      </c>
      <c r="P3662" s="11" t="s">
        <v>6148</v>
      </c>
      <c r="Q3662" s="11" t="s">
        <v>10857</v>
      </c>
      <c r="S3662" s="4" t="b">
        <f>ISNUMBER(MATCH(Q3662,T:T,0))</f>
        <v>1</v>
      </c>
      <c r="T3662" s="4" t="s">
        <v>10858</v>
      </c>
      <c r="U3662" s="4" t="str">
        <f t="shared" si="163"/>
        <v>隻</v>
      </c>
    </row>
    <row r="3663" spans="1:22">
      <c r="A3663" s="3">
        <v>3654</v>
      </c>
      <c r="B3663" s="3" t="s">
        <v>1652</v>
      </c>
      <c r="C3663" s="3" t="s">
        <v>6009</v>
      </c>
      <c r="D3663" s="3" t="s">
        <v>6001</v>
      </c>
      <c r="E3663" s="3" t="s">
        <v>5991</v>
      </c>
      <c r="F3663" s="3" t="s">
        <v>6076</v>
      </c>
      <c r="G3663" s="3" t="s">
        <v>538</v>
      </c>
      <c r="H3663" s="3" t="s">
        <v>1662</v>
      </c>
      <c r="I3663" s="3" t="s">
        <v>1086</v>
      </c>
      <c r="J3663" s="5" t="s">
        <v>6643</v>
      </c>
      <c r="L3663" s="3" t="s">
        <v>3453</v>
      </c>
      <c r="M3663" s="3">
        <v>13</v>
      </c>
      <c r="N3663" s="4" t="s">
        <v>9690</v>
      </c>
      <c r="O3663" s="4">
        <v>194</v>
      </c>
      <c r="P3663" s="11" t="s">
        <v>6396</v>
      </c>
      <c r="Q3663" s="11" t="s">
        <v>10858</v>
      </c>
      <c r="S3663" s="4" t="b">
        <f>ISNUMBER(MATCH(Q3663,T:T,0))</f>
        <v>1</v>
      </c>
      <c r="T3663" s="4" t="s">
        <v>10857</v>
      </c>
      <c r="U3663" s="4" t="str">
        <f t="shared" si="163"/>
        <v>石</v>
      </c>
    </row>
    <row r="3664" spans="1:22">
      <c r="A3664" s="3">
        <v>3655</v>
      </c>
      <c r="B3664" s="3" t="s">
        <v>1652</v>
      </c>
      <c r="C3664" s="3" t="s">
        <v>6005</v>
      </c>
      <c r="D3664" s="3" t="s">
        <v>6001</v>
      </c>
      <c r="E3664" s="3" t="s">
        <v>5991</v>
      </c>
      <c r="F3664" s="3" t="s">
        <v>6076</v>
      </c>
      <c r="G3664" s="3" t="s">
        <v>538</v>
      </c>
      <c r="H3664" s="3" t="s">
        <v>1663</v>
      </c>
      <c r="I3664" s="3" t="s">
        <v>1086</v>
      </c>
      <c r="J3664" s="5" t="s">
        <v>1664</v>
      </c>
      <c r="L3664" s="3" t="s">
        <v>3462</v>
      </c>
      <c r="M3664" s="3">
        <v>7</v>
      </c>
      <c r="N3664" s="4" t="s">
        <v>9690</v>
      </c>
      <c r="O3664" s="4">
        <v>194</v>
      </c>
      <c r="P3664" s="11" t="s">
        <v>9709</v>
      </c>
      <c r="Q3664" s="11" t="s">
        <v>10859</v>
      </c>
      <c r="R3664" s="4" t="s">
        <v>13195</v>
      </c>
      <c r="S3664" s="4" t="b">
        <f>ISNUMBER(MATCH(Q3664,T:T,0))</f>
        <v>0</v>
      </c>
      <c r="T3664" s="4" t="s">
        <v>12851</v>
      </c>
      <c r="U3664" s="4" t="str">
        <f t="shared" si="163"/>
        <v>隻</v>
      </c>
      <c r="V3664" s="4" t="b">
        <f t="shared" ref="V3664:V3665" si="164">ISNUMBER(MATCH(R3664,T:T,0))</f>
        <v>1</v>
      </c>
    </row>
    <row r="3665" spans="1:22">
      <c r="A3665" s="3">
        <v>3656</v>
      </c>
      <c r="B3665" s="3" t="s">
        <v>1652</v>
      </c>
      <c r="C3665" s="3" t="s">
        <v>6076</v>
      </c>
      <c r="D3665" s="3" t="s">
        <v>6001</v>
      </c>
      <c r="E3665" s="3" t="s">
        <v>5991</v>
      </c>
      <c r="F3665" s="3" t="s">
        <v>6076</v>
      </c>
      <c r="G3665" s="3" t="s">
        <v>538</v>
      </c>
      <c r="H3665" s="3" t="s">
        <v>904</v>
      </c>
      <c r="I3665" s="3" t="s">
        <v>1086</v>
      </c>
      <c r="J3665" s="5" t="s">
        <v>6644</v>
      </c>
      <c r="L3665" s="3" t="s">
        <v>6418</v>
      </c>
      <c r="M3665" s="3">
        <v>8</v>
      </c>
      <c r="N3665" s="4" t="s">
        <v>9690</v>
      </c>
      <c r="O3665" s="4">
        <v>194</v>
      </c>
      <c r="P3665" s="11" t="s">
        <v>9766</v>
      </c>
      <c r="Q3665" s="11" t="s">
        <v>10860</v>
      </c>
      <c r="R3665" s="4" t="s">
        <v>13196</v>
      </c>
      <c r="S3665" s="4" t="b">
        <f>ISNUMBER(MATCH(Q3665,T:T,0))</f>
        <v>0</v>
      </c>
      <c r="T3665" s="4" t="s">
        <v>12852</v>
      </c>
      <c r="U3665" s="4" t="str">
        <f t="shared" si="163"/>
        <v>積</v>
      </c>
      <c r="V3665" s="4" t="b">
        <f t="shared" si="164"/>
        <v>1</v>
      </c>
    </row>
    <row r="3666" spans="1:22">
      <c r="A3666" s="3">
        <v>3657</v>
      </c>
      <c r="B3666" s="3" t="s">
        <v>1652</v>
      </c>
      <c r="C3666" s="3" t="s">
        <v>6123</v>
      </c>
      <c r="D3666" s="3" t="s">
        <v>6001</v>
      </c>
      <c r="E3666" s="3" t="s">
        <v>5991</v>
      </c>
      <c r="F3666" s="3" t="s">
        <v>6076</v>
      </c>
      <c r="G3666" s="3" t="s">
        <v>538</v>
      </c>
      <c r="H3666" s="3" t="s">
        <v>1665</v>
      </c>
      <c r="I3666" s="3" t="s">
        <v>1086</v>
      </c>
      <c r="J3666" s="5" t="s">
        <v>1666</v>
      </c>
      <c r="L3666" s="3" t="s">
        <v>2864</v>
      </c>
      <c r="M3666" s="3">
        <v>6</v>
      </c>
      <c r="N3666" s="4" t="s">
        <v>9690</v>
      </c>
      <c r="O3666" s="4">
        <v>194</v>
      </c>
      <c r="P3666" s="11" t="s">
        <v>9748</v>
      </c>
      <c r="Q3666" s="11" t="s">
        <v>10861</v>
      </c>
      <c r="S3666" s="4" t="b">
        <f>ISNUMBER(MATCH(Q3666,T:T,0))</f>
        <v>1</v>
      </c>
      <c r="T3666" s="4" t="s">
        <v>12853</v>
      </c>
      <c r="U3666" s="4" t="str">
        <f t="shared" si="163"/>
        <v>易</v>
      </c>
    </row>
    <row r="3667" spans="1:22">
      <c r="A3667" s="3">
        <v>3658</v>
      </c>
      <c r="B3667" s="3" t="s">
        <v>1652</v>
      </c>
      <c r="C3667" s="3" t="s">
        <v>6069</v>
      </c>
      <c r="D3667" s="3" t="s">
        <v>6001</v>
      </c>
      <c r="E3667" s="3" t="s">
        <v>5991</v>
      </c>
      <c r="F3667" s="3" t="s">
        <v>6076</v>
      </c>
      <c r="G3667" s="3" t="s">
        <v>538</v>
      </c>
      <c r="H3667" s="3" t="s">
        <v>1667</v>
      </c>
      <c r="I3667" s="3" t="s">
        <v>1086</v>
      </c>
      <c r="J3667" s="5" t="s">
        <v>6645</v>
      </c>
      <c r="L3667" s="3" t="s">
        <v>3485</v>
      </c>
      <c r="M3667" s="3">
        <v>13</v>
      </c>
      <c r="N3667" s="4" t="s">
        <v>9690</v>
      </c>
      <c r="O3667" s="4">
        <v>194</v>
      </c>
      <c r="P3667" s="11" t="s">
        <v>10492</v>
      </c>
      <c r="Q3667" s="11" t="s">
        <v>9690</v>
      </c>
      <c r="S3667" s="4" t="b">
        <f>ISNUMBER(MATCH(Q3667,T:T,0))</f>
        <v>1</v>
      </c>
      <c r="T3667" s="4" t="s">
        <v>12854</v>
      </c>
      <c r="U3667" s="4" t="str">
        <f t="shared" si="163"/>
        <v>昔</v>
      </c>
    </row>
    <row r="3668" spans="1:22">
      <c r="A3668" s="3">
        <v>3659</v>
      </c>
      <c r="B3668" s="3" t="s">
        <v>1652</v>
      </c>
      <c r="C3668" s="3" t="s">
        <v>6045</v>
      </c>
      <c r="D3668" s="3" t="s">
        <v>6001</v>
      </c>
      <c r="E3668" s="3" t="s">
        <v>5991</v>
      </c>
      <c r="F3668" s="3" t="s">
        <v>6076</v>
      </c>
      <c r="G3668" s="3" t="s">
        <v>538</v>
      </c>
      <c r="H3668" s="3" t="s">
        <v>1668</v>
      </c>
      <c r="I3668" s="3" t="s">
        <v>1086</v>
      </c>
      <c r="J3668" s="5" t="s">
        <v>6646</v>
      </c>
      <c r="L3668" s="3" t="s">
        <v>3499</v>
      </c>
      <c r="M3668" s="3">
        <v>9</v>
      </c>
      <c r="N3668" s="4" t="s">
        <v>9690</v>
      </c>
      <c r="O3668" s="4">
        <v>194</v>
      </c>
      <c r="P3668" s="11" t="s">
        <v>9722</v>
      </c>
      <c r="Q3668" s="11" t="s">
        <v>10856</v>
      </c>
      <c r="S3668" s="4" t="b">
        <f>ISNUMBER(MATCH(Q3668,T:T,0))</f>
        <v>1</v>
      </c>
      <c r="T3668" s="4" t="s">
        <v>12855</v>
      </c>
      <c r="U3668" s="4" t="str">
        <f t="shared" si="163"/>
        <v>益</v>
      </c>
    </row>
    <row r="3669" spans="1:22">
      <c r="A3669" s="3">
        <v>3660</v>
      </c>
      <c r="B3669" s="3" t="s">
        <v>1652</v>
      </c>
      <c r="C3669" s="3" t="s">
        <v>6028</v>
      </c>
      <c r="D3669" s="3" t="s">
        <v>6001</v>
      </c>
      <c r="E3669" s="3" t="s">
        <v>6212</v>
      </c>
      <c r="F3669" s="3" t="s">
        <v>6076</v>
      </c>
      <c r="G3669" s="3" t="s">
        <v>538</v>
      </c>
      <c r="H3669" s="3" t="s">
        <v>1669</v>
      </c>
      <c r="I3669" s="3" t="s">
        <v>1086</v>
      </c>
      <c r="J3669" s="5" t="s">
        <v>6647</v>
      </c>
      <c r="L3669" s="3" t="s">
        <v>1382</v>
      </c>
      <c r="M3669" s="3">
        <v>12</v>
      </c>
      <c r="N3669" s="4" t="s">
        <v>9690</v>
      </c>
      <c r="O3669" s="4">
        <v>194</v>
      </c>
      <c r="P3669" s="11" t="s">
        <v>10109</v>
      </c>
      <c r="Q3669" s="11" t="s">
        <v>10857</v>
      </c>
      <c r="S3669" s="4" t="b">
        <f>ISNUMBER(MATCH(Q3669,T:T,0))</f>
        <v>1</v>
      </c>
      <c r="T3669" s="4" t="s">
        <v>10862</v>
      </c>
      <c r="U3669" s="4" t="str">
        <f t="shared" si="163"/>
        <v>隻</v>
      </c>
    </row>
    <row r="3670" spans="1:22">
      <c r="A3670" s="3">
        <v>3661</v>
      </c>
      <c r="B3670" s="3" t="s">
        <v>1652</v>
      </c>
      <c r="C3670" s="3" t="s">
        <v>6089</v>
      </c>
      <c r="D3670" s="3" t="s">
        <v>6001</v>
      </c>
      <c r="E3670" s="3" t="s">
        <v>6212</v>
      </c>
      <c r="F3670" s="3" t="s">
        <v>6076</v>
      </c>
      <c r="G3670" s="3" t="s">
        <v>538</v>
      </c>
      <c r="H3670" s="3" t="s">
        <v>1670</v>
      </c>
      <c r="I3670" s="3" t="s">
        <v>1086</v>
      </c>
      <c r="J3670" s="5" t="s">
        <v>1671</v>
      </c>
      <c r="L3670" s="3" t="s">
        <v>5987</v>
      </c>
      <c r="M3670" s="3">
        <v>2</v>
      </c>
      <c r="N3670" s="4" t="s">
        <v>9690</v>
      </c>
      <c r="O3670" s="4">
        <v>194</v>
      </c>
      <c r="P3670" s="11" t="s">
        <v>9753</v>
      </c>
      <c r="Q3670" s="11" t="s">
        <v>10862</v>
      </c>
      <c r="S3670" s="4" t="b">
        <f>ISNUMBER(MATCH(Q3670,T:T,0))</f>
        <v>1</v>
      </c>
      <c r="T3670" s="4" t="s">
        <v>12856</v>
      </c>
      <c r="U3670" s="4" t="str">
        <f t="shared" si="163"/>
        <v>役</v>
      </c>
    </row>
    <row r="3671" spans="1:22">
      <c r="A3671" s="3">
        <v>3662</v>
      </c>
      <c r="B3671" s="3" t="s">
        <v>1652</v>
      </c>
      <c r="C3671" s="3" t="s">
        <v>6049</v>
      </c>
      <c r="D3671" s="3" t="s">
        <v>6001</v>
      </c>
      <c r="E3671" s="3" t="s">
        <v>5991</v>
      </c>
      <c r="F3671" s="3" t="s">
        <v>6076</v>
      </c>
      <c r="G3671" s="3" t="s">
        <v>538</v>
      </c>
      <c r="H3671" s="3" t="s">
        <v>1672</v>
      </c>
      <c r="I3671" s="3" t="s">
        <v>1086</v>
      </c>
      <c r="J3671" s="5" t="s">
        <v>6648</v>
      </c>
      <c r="L3671" s="3" t="s">
        <v>6335</v>
      </c>
      <c r="M3671" s="3">
        <v>7</v>
      </c>
      <c r="N3671" s="4" t="s">
        <v>9690</v>
      </c>
      <c r="O3671" s="4">
        <v>194</v>
      </c>
      <c r="P3671" s="11" t="s">
        <v>9932</v>
      </c>
      <c r="Q3671" s="11" t="s">
        <v>10856</v>
      </c>
      <c r="S3671" s="4" t="b">
        <f>ISNUMBER(MATCH(Q3671,T:T,0))</f>
        <v>1</v>
      </c>
      <c r="T3671" s="4" t="s">
        <v>10863</v>
      </c>
      <c r="U3671" s="4" t="str">
        <f t="shared" si="163"/>
        <v>益</v>
      </c>
    </row>
    <row r="3672" spans="1:22">
      <c r="A3672" s="3">
        <v>3663</v>
      </c>
      <c r="B3672" s="3" t="s">
        <v>1652</v>
      </c>
      <c r="C3672" s="3" t="s">
        <v>6053</v>
      </c>
      <c r="D3672" s="3" t="s">
        <v>6001</v>
      </c>
      <c r="E3672" s="3" t="s">
        <v>5991</v>
      </c>
      <c r="F3672" s="3" t="s">
        <v>6076</v>
      </c>
      <c r="G3672" s="3" t="s">
        <v>538</v>
      </c>
      <c r="H3672" s="3" t="s">
        <v>1673</v>
      </c>
      <c r="I3672" s="3" t="s">
        <v>1086</v>
      </c>
      <c r="J3672" s="5" t="s">
        <v>1674</v>
      </c>
      <c r="L3672" s="3" t="s">
        <v>3469</v>
      </c>
      <c r="M3672" s="3">
        <v>4</v>
      </c>
      <c r="N3672" s="4" t="s">
        <v>9690</v>
      </c>
      <c r="O3672" s="4">
        <v>194</v>
      </c>
      <c r="P3672" s="11" t="s">
        <v>9841</v>
      </c>
      <c r="Q3672" s="11" t="s">
        <v>10863</v>
      </c>
      <c r="S3672" s="4" t="b">
        <f>ISNUMBER(MATCH(Q3672,T:T,0))</f>
        <v>1</v>
      </c>
      <c r="T3672" s="4" t="s">
        <v>12857</v>
      </c>
      <c r="U3672" s="4" t="str">
        <f t="shared" si="163"/>
        <v>辟</v>
      </c>
    </row>
    <row r="3673" spans="1:22">
      <c r="A3673" s="3">
        <v>3664</v>
      </c>
      <c r="B3673" s="3" t="s">
        <v>1652</v>
      </c>
      <c r="C3673" s="3" t="s">
        <v>3093</v>
      </c>
      <c r="D3673" s="3" t="s">
        <v>6001</v>
      </c>
      <c r="E3673" s="3" t="s">
        <v>5991</v>
      </c>
      <c r="F3673" s="3" t="s">
        <v>6076</v>
      </c>
      <c r="G3673" s="3" t="s">
        <v>538</v>
      </c>
      <c r="H3673" s="3" t="s">
        <v>1675</v>
      </c>
      <c r="I3673" s="3" t="s">
        <v>1086</v>
      </c>
      <c r="J3673" s="5" t="s">
        <v>1676</v>
      </c>
      <c r="L3673" s="3" t="s">
        <v>3460</v>
      </c>
      <c r="M3673" s="3">
        <v>2</v>
      </c>
      <c r="N3673" s="4" t="s">
        <v>9690</v>
      </c>
      <c r="O3673" s="4">
        <v>194</v>
      </c>
      <c r="P3673" s="11" t="s">
        <v>9929</v>
      </c>
      <c r="Q3673" s="11" t="s">
        <v>10864</v>
      </c>
      <c r="S3673" s="4" t="b">
        <f>ISNUMBER(MATCH(Q3673,T:T,0))</f>
        <v>1</v>
      </c>
      <c r="T3673" s="4" t="s">
        <v>12858</v>
      </c>
      <c r="U3673" s="4" t="str">
        <f t="shared" si="163"/>
        <v>亦</v>
      </c>
    </row>
    <row r="3674" spans="1:22">
      <c r="A3674" s="3">
        <v>3665</v>
      </c>
      <c r="B3674" s="3" t="s">
        <v>1652</v>
      </c>
      <c r="C3674" s="3" t="s">
        <v>6049</v>
      </c>
      <c r="D3674" s="3" t="s">
        <v>6001</v>
      </c>
      <c r="E3674" s="3" t="s">
        <v>6212</v>
      </c>
      <c r="F3674" s="3" t="s">
        <v>6076</v>
      </c>
      <c r="G3674" s="3" t="s">
        <v>538</v>
      </c>
      <c r="H3674" s="3" t="s">
        <v>1677</v>
      </c>
      <c r="I3674" s="3" t="s">
        <v>1086</v>
      </c>
      <c r="J3674" s="5" t="s">
        <v>1678</v>
      </c>
      <c r="L3674" s="3" t="s">
        <v>6335</v>
      </c>
      <c r="M3674" s="3">
        <v>1</v>
      </c>
      <c r="N3674" s="4" t="s">
        <v>9690</v>
      </c>
      <c r="O3674" s="4">
        <v>194</v>
      </c>
      <c r="P3674" s="11" t="s">
        <v>9786</v>
      </c>
      <c r="Q3674" s="11" t="s">
        <v>10862</v>
      </c>
      <c r="S3674" s="4" t="b">
        <f>ISNUMBER(MATCH(Q3674,T:T,0))</f>
        <v>1</v>
      </c>
      <c r="T3674" s="4" t="s">
        <v>1678</v>
      </c>
      <c r="U3674" s="4" t="str">
        <f t="shared" si="163"/>
        <v>役</v>
      </c>
    </row>
    <row r="3675" spans="1:22">
      <c r="A3675" s="3">
        <v>3666</v>
      </c>
      <c r="B3675" s="3" t="s">
        <v>1652</v>
      </c>
      <c r="C3675" s="3" t="s">
        <v>6000</v>
      </c>
      <c r="D3675" s="3" t="s">
        <v>6001</v>
      </c>
      <c r="E3675" s="3" t="s">
        <v>5991</v>
      </c>
      <c r="F3675" s="3" t="s">
        <v>6076</v>
      </c>
      <c r="G3675" s="3" t="s">
        <v>538</v>
      </c>
      <c r="H3675" s="3" t="s">
        <v>1679</v>
      </c>
      <c r="I3675" s="3" t="s">
        <v>1086</v>
      </c>
      <c r="J3675" s="5" t="s">
        <v>1680</v>
      </c>
      <c r="L3675" s="3" t="s">
        <v>3453</v>
      </c>
      <c r="M3675" s="3">
        <v>1</v>
      </c>
      <c r="N3675" s="4" t="s">
        <v>9690</v>
      </c>
      <c r="O3675" s="4">
        <v>194</v>
      </c>
      <c r="P3675" s="11" t="s">
        <v>9803</v>
      </c>
      <c r="Q3675" s="11" t="s">
        <v>10856</v>
      </c>
      <c r="S3675" s="4" t="b">
        <f>ISNUMBER(MATCH(Q3675,T:T,0))</f>
        <v>1</v>
      </c>
      <c r="T3675" s="4" t="s">
        <v>1680</v>
      </c>
      <c r="U3675" s="4" t="str">
        <f t="shared" si="163"/>
        <v>益</v>
      </c>
    </row>
    <row r="3676" spans="1:22">
      <c r="A3676" s="3">
        <v>3667</v>
      </c>
      <c r="B3676" s="3" t="s">
        <v>1652</v>
      </c>
      <c r="C3676" s="3" t="s">
        <v>6011</v>
      </c>
      <c r="D3676" s="3" t="s">
        <v>6001</v>
      </c>
      <c r="E3676" s="3" t="s">
        <v>5991</v>
      </c>
      <c r="F3676" s="3" t="s">
        <v>6076</v>
      </c>
      <c r="G3676" s="3" t="s">
        <v>538</v>
      </c>
      <c r="H3676" s="3" t="s">
        <v>1681</v>
      </c>
      <c r="I3676" s="3" t="s">
        <v>1086</v>
      </c>
      <c r="J3676" s="5" t="s">
        <v>1682</v>
      </c>
      <c r="L3676" s="3" t="s">
        <v>3480</v>
      </c>
      <c r="M3676" s="3">
        <v>2</v>
      </c>
      <c r="N3676" s="4" t="s">
        <v>9690</v>
      </c>
      <c r="O3676" s="4">
        <v>194</v>
      </c>
      <c r="P3676" s="11" t="s">
        <v>9757</v>
      </c>
      <c r="Q3676" s="11" t="s">
        <v>10864</v>
      </c>
      <c r="S3676" s="4" t="b">
        <f>ISNUMBER(MATCH(Q3676,T:T,0))</f>
        <v>1</v>
      </c>
      <c r="T3676" s="4" t="s">
        <v>12859</v>
      </c>
      <c r="U3676" s="4" t="str">
        <f t="shared" si="163"/>
        <v>亦</v>
      </c>
    </row>
    <row r="3677" spans="1:22">
      <c r="A3677" s="3">
        <v>3668</v>
      </c>
      <c r="B3677" s="3" t="s">
        <v>1652</v>
      </c>
      <c r="C3677" s="3" t="s">
        <v>6009</v>
      </c>
      <c r="D3677" s="3" t="s">
        <v>6001</v>
      </c>
      <c r="E3677" s="3" t="s">
        <v>6212</v>
      </c>
      <c r="F3677" s="3" t="s">
        <v>6076</v>
      </c>
      <c r="G3677" s="3" t="s">
        <v>538</v>
      </c>
      <c r="H3677" s="3" t="s">
        <v>1683</v>
      </c>
      <c r="I3677" s="3" t="s">
        <v>1086</v>
      </c>
      <c r="J3677" s="5" t="s">
        <v>1684</v>
      </c>
      <c r="L3677" s="3" t="s">
        <v>3326</v>
      </c>
      <c r="M3677" s="3">
        <v>1</v>
      </c>
      <c r="N3677" s="4" t="s">
        <v>9690</v>
      </c>
      <c r="O3677" s="4">
        <v>194</v>
      </c>
      <c r="P3677" s="11" t="s">
        <v>6396</v>
      </c>
      <c r="Q3677" s="11" t="s">
        <v>10862</v>
      </c>
      <c r="S3677" s="4" t="b">
        <f>ISNUMBER(MATCH(Q3677,T:T,0))</f>
        <v>1</v>
      </c>
      <c r="T3677" s="4" t="s">
        <v>1684</v>
      </c>
      <c r="U3677" s="4" t="str">
        <f t="shared" si="163"/>
        <v>役</v>
      </c>
    </row>
    <row r="3678" spans="1:22">
      <c r="A3678" s="3">
        <v>3669</v>
      </c>
      <c r="B3678" s="3" t="s">
        <v>1652</v>
      </c>
      <c r="C3678" s="3" t="s">
        <v>6076</v>
      </c>
      <c r="D3678" s="3" t="s">
        <v>6001</v>
      </c>
      <c r="E3678" s="3" t="s">
        <v>6212</v>
      </c>
      <c r="F3678" s="3" t="s">
        <v>6076</v>
      </c>
      <c r="G3678" s="3" t="s">
        <v>538</v>
      </c>
      <c r="H3678" s="3" t="s">
        <v>1685</v>
      </c>
      <c r="I3678" s="3" t="s">
        <v>1086</v>
      </c>
      <c r="J3678" s="5" t="s">
        <v>1686</v>
      </c>
      <c r="L3678" s="3" t="s">
        <v>2829</v>
      </c>
      <c r="M3678" s="3">
        <v>2</v>
      </c>
      <c r="N3678" s="4" t="s">
        <v>9690</v>
      </c>
      <c r="O3678" s="4">
        <v>194</v>
      </c>
      <c r="P3678" s="11" t="s">
        <v>9766</v>
      </c>
      <c r="Q3678" s="11" t="s">
        <v>10862</v>
      </c>
      <c r="S3678" s="4" t="b">
        <f>ISNUMBER(MATCH(Q3678,T:T,0))</f>
        <v>1</v>
      </c>
      <c r="T3678" s="4" t="s">
        <v>12786</v>
      </c>
      <c r="U3678" s="4" t="str">
        <f t="shared" si="163"/>
        <v>役</v>
      </c>
    </row>
    <row r="3679" spans="1:22">
      <c r="A3679" s="3">
        <v>3670</v>
      </c>
      <c r="B3679" s="3" t="s">
        <v>1687</v>
      </c>
      <c r="C3679" s="3" t="s">
        <v>6017</v>
      </c>
      <c r="D3679" s="3" t="s">
        <v>2843</v>
      </c>
      <c r="E3679" s="3" t="s">
        <v>5991</v>
      </c>
      <c r="F3679" s="3" t="s">
        <v>1221</v>
      </c>
      <c r="G3679" s="3" t="s">
        <v>538</v>
      </c>
      <c r="H3679" s="3" t="s">
        <v>1688</v>
      </c>
      <c r="I3679" s="3" t="s">
        <v>1086</v>
      </c>
      <c r="J3679" s="5" t="s">
        <v>1689</v>
      </c>
      <c r="L3679" s="3" t="s">
        <v>6394</v>
      </c>
      <c r="M3679" s="3">
        <v>13</v>
      </c>
      <c r="N3679" s="4" t="s">
        <v>1690</v>
      </c>
      <c r="O3679" s="4">
        <v>195</v>
      </c>
      <c r="P3679" s="11" t="s">
        <v>8121</v>
      </c>
      <c r="Q3679" s="11" t="s">
        <v>10865</v>
      </c>
      <c r="R3679" s="4" t="s">
        <v>13197</v>
      </c>
      <c r="S3679" s="4" t="b">
        <f>ISNUMBER(MATCH(Q3679,T:T,0))</f>
        <v>0</v>
      </c>
      <c r="T3679" s="4" t="s">
        <v>1690</v>
      </c>
      <c r="U3679" s="4" t="str">
        <f t="shared" si="163"/>
        <v>激</v>
      </c>
      <c r="V3679" s="4" t="b">
        <f>ISNUMBER(MATCH(R3679,T:T,0))</f>
        <v>1</v>
      </c>
    </row>
    <row r="3680" spans="1:22">
      <c r="A3680" s="3">
        <v>3671</v>
      </c>
      <c r="B3680" s="3" t="s">
        <v>1687</v>
      </c>
      <c r="C3680" s="3" t="s">
        <v>6025</v>
      </c>
      <c r="D3680" s="3" t="s">
        <v>2843</v>
      </c>
      <c r="E3680" s="3" t="s">
        <v>5991</v>
      </c>
      <c r="F3680" s="3" t="s">
        <v>1221</v>
      </c>
      <c r="G3680" s="3" t="s">
        <v>538</v>
      </c>
      <c r="H3680" s="3" t="s">
        <v>1691</v>
      </c>
      <c r="I3680" s="3" t="s">
        <v>1086</v>
      </c>
      <c r="J3680" s="5" t="s">
        <v>6649</v>
      </c>
      <c r="L3680" s="3" t="s">
        <v>6331</v>
      </c>
      <c r="M3680" s="3">
        <v>9</v>
      </c>
      <c r="N3680" s="4" t="s">
        <v>1690</v>
      </c>
      <c r="O3680" s="4">
        <v>195</v>
      </c>
      <c r="P3680" s="11" t="s">
        <v>9729</v>
      </c>
      <c r="Q3680" s="11" t="s">
        <v>10866</v>
      </c>
      <c r="S3680" s="4" t="b">
        <f>ISNUMBER(MATCH(Q3680,T:T,0))</f>
        <v>1</v>
      </c>
      <c r="T3680" s="4" t="s">
        <v>10868</v>
      </c>
      <c r="U3680" s="4" t="str">
        <f t="shared" si="163"/>
        <v>歷</v>
      </c>
    </row>
    <row r="3681" spans="1:22">
      <c r="A3681" s="3">
        <v>3672</v>
      </c>
      <c r="B3681" s="3" t="s">
        <v>1687</v>
      </c>
      <c r="C3681" s="3" t="s">
        <v>6053</v>
      </c>
      <c r="D3681" s="3" t="s">
        <v>2843</v>
      </c>
      <c r="E3681" s="3" t="s">
        <v>5991</v>
      </c>
      <c r="F3681" s="3" t="s">
        <v>1221</v>
      </c>
      <c r="G3681" s="3" t="s">
        <v>538</v>
      </c>
      <c r="H3681" s="3" t="s">
        <v>1692</v>
      </c>
      <c r="I3681" s="3" t="s">
        <v>1086</v>
      </c>
      <c r="J3681" s="5" t="s">
        <v>1693</v>
      </c>
      <c r="L3681" s="3" t="s">
        <v>3469</v>
      </c>
      <c r="M3681" s="3">
        <v>7</v>
      </c>
      <c r="N3681" s="4" t="s">
        <v>1690</v>
      </c>
      <c r="O3681" s="4">
        <v>195</v>
      </c>
      <c r="P3681" s="11" t="s">
        <v>9884</v>
      </c>
      <c r="Q3681" s="11" t="s">
        <v>10865</v>
      </c>
      <c r="R3681" s="4" t="s">
        <v>13197</v>
      </c>
      <c r="S3681" s="4" t="b">
        <f>ISNUMBER(MATCH(Q3681,T:T,0))</f>
        <v>0</v>
      </c>
      <c r="T3681" s="4" t="s">
        <v>12860</v>
      </c>
      <c r="U3681" s="4" t="str">
        <f t="shared" si="163"/>
        <v>激</v>
      </c>
      <c r="V3681" s="4" t="b">
        <f t="shared" ref="V3681:V3682" si="165">ISNUMBER(MATCH(R3681,T:T,0))</f>
        <v>1</v>
      </c>
    </row>
    <row r="3682" spans="1:22" ht="58.5">
      <c r="A3682" s="3">
        <v>3673</v>
      </c>
      <c r="B3682" s="3" t="s">
        <v>1687</v>
      </c>
      <c r="C3682" s="3" t="s">
        <v>6058</v>
      </c>
      <c r="D3682" s="3" t="s">
        <v>2843</v>
      </c>
      <c r="E3682" s="3" t="s">
        <v>5991</v>
      </c>
      <c r="F3682" s="3" t="s">
        <v>1221</v>
      </c>
      <c r="G3682" s="3" t="s">
        <v>538</v>
      </c>
      <c r="H3682" s="3" t="s">
        <v>1694</v>
      </c>
      <c r="I3682" s="3" t="s">
        <v>1086</v>
      </c>
      <c r="J3682" s="5" t="s">
        <v>6650</v>
      </c>
      <c r="L3682" s="3" t="s">
        <v>4344</v>
      </c>
      <c r="M3682" s="3">
        <v>45</v>
      </c>
      <c r="N3682" s="4" t="s">
        <v>1690</v>
      </c>
      <c r="O3682" s="4">
        <v>195</v>
      </c>
      <c r="P3682" s="11" t="s">
        <v>9886</v>
      </c>
      <c r="Q3682" s="11" t="s">
        <v>10865</v>
      </c>
      <c r="R3682" s="4" t="s">
        <v>13197</v>
      </c>
      <c r="S3682" s="4" t="b">
        <f>ISNUMBER(MATCH(Q3682,T:T,0))</f>
        <v>0</v>
      </c>
      <c r="T3682" s="4" t="s">
        <v>10866</v>
      </c>
      <c r="U3682" s="4" t="str">
        <f t="shared" si="163"/>
        <v>激</v>
      </c>
      <c r="V3682" s="4" t="b">
        <f t="shared" si="165"/>
        <v>1</v>
      </c>
    </row>
    <row r="3683" spans="1:22" ht="39">
      <c r="A3683" s="3">
        <v>3674</v>
      </c>
      <c r="B3683" s="3" t="s">
        <v>1687</v>
      </c>
      <c r="C3683" s="3" t="s">
        <v>5989</v>
      </c>
      <c r="D3683" s="3" t="s">
        <v>2843</v>
      </c>
      <c r="E3683" s="3" t="s">
        <v>5991</v>
      </c>
      <c r="F3683" s="3" t="s">
        <v>1221</v>
      </c>
      <c r="G3683" s="3" t="s">
        <v>538</v>
      </c>
      <c r="H3683" s="3" t="s">
        <v>1695</v>
      </c>
      <c r="I3683" s="3" t="s">
        <v>1086</v>
      </c>
      <c r="J3683" s="5" t="s">
        <v>6651</v>
      </c>
      <c r="L3683" s="3" t="s">
        <v>1696</v>
      </c>
      <c r="M3683" s="3">
        <v>26</v>
      </c>
      <c r="N3683" s="4" t="s">
        <v>1690</v>
      </c>
      <c r="O3683" s="4">
        <v>195</v>
      </c>
      <c r="P3683" s="11" t="s">
        <v>9742</v>
      </c>
      <c r="Q3683" s="11" t="s">
        <v>10866</v>
      </c>
      <c r="S3683" s="4" t="b">
        <f>ISNUMBER(MATCH(Q3683,T:T,0))</f>
        <v>1</v>
      </c>
      <c r="T3683" s="4" t="s">
        <v>12861</v>
      </c>
      <c r="U3683" s="4" t="str">
        <f t="shared" si="163"/>
        <v>歷</v>
      </c>
    </row>
    <row r="3684" spans="1:22">
      <c r="A3684" s="3">
        <v>3675</v>
      </c>
      <c r="B3684" s="3" t="s">
        <v>1687</v>
      </c>
      <c r="C3684" s="3" t="s">
        <v>6067</v>
      </c>
      <c r="D3684" s="3" t="s">
        <v>2843</v>
      </c>
      <c r="E3684" s="3" t="s">
        <v>5991</v>
      </c>
      <c r="F3684" s="3" t="s">
        <v>1221</v>
      </c>
      <c r="G3684" s="3" t="s">
        <v>538</v>
      </c>
      <c r="H3684" s="3" t="s">
        <v>1697</v>
      </c>
      <c r="I3684" s="3" t="s">
        <v>1086</v>
      </c>
      <c r="J3684" s="5" t="s">
        <v>6652</v>
      </c>
      <c r="L3684" s="3" t="s">
        <v>2864</v>
      </c>
      <c r="M3684" s="3">
        <v>8</v>
      </c>
      <c r="N3684" s="4" t="s">
        <v>1690</v>
      </c>
      <c r="O3684" s="4">
        <v>195</v>
      </c>
      <c r="P3684" s="11" t="s">
        <v>9870</v>
      </c>
      <c r="Q3684" s="11" t="s">
        <v>10867</v>
      </c>
      <c r="R3684" s="4" t="s">
        <v>13198</v>
      </c>
      <c r="S3684" s="4" t="b">
        <f>ISNUMBER(MATCH(Q3684,T:T,0))</f>
        <v>0</v>
      </c>
      <c r="T3684" s="4" t="s">
        <v>12862</v>
      </c>
      <c r="U3684" s="4" t="str">
        <f t="shared" si="163"/>
        <v>荻</v>
      </c>
      <c r="V3684" s="4" t="b">
        <f>ISNUMBER(MATCH(R3684,T:T,0))</f>
        <v>1</v>
      </c>
    </row>
    <row r="3685" spans="1:22">
      <c r="A3685" s="3">
        <v>3676</v>
      </c>
      <c r="B3685" s="3" t="s">
        <v>1687</v>
      </c>
      <c r="C3685" s="3" t="s">
        <v>6092</v>
      </c>
      <c r="D3685" s="3" t="s">
        <v>2843</v>
      </c>
      <c r="E3685" s="3" t="s">
        <v>5991</v>
      </c>
      <c r="F3685" s="3" t="s">
        <v>1221</v>
      </c>
      <c r="G3685" s="3" t="s">
        <v>538</v>
      </c>
      <c r="H3685" s="3" t="s">
        <v>1698</v>
      </c>
      <c r="I3685" s="3" t="s">
        <v>1086</v>
      </c>
      <c r="J3685" s="5" t="s">
        <v>6653</v>
      </c>
      <c r="L3685" s="3" t="s">
        <v>4368</v>
      </c>
      <c r="M3685" s="3">
        <v>5</v>
      </c>
      <c r="N3685" s="4" t="s">
        <v>1690</v>
      </c>
      <c r="O3685" s="4">
        <v>195</v>
      </c>
      <c r="P3685" s="11" t="s">
        <v>9740</v>
      </c>
      <c r="Q3685" s="11" t="s">
        <v>10866</v>
      </c>
      <c r="S3685" s="4" t="b">
        <f>ISNUMBER(MATCH(Q3685,T:T,0))</f>
        <v>1</v>
      </c>
      <c r="T3685" s="4" t="s">
        <v>12863</v>
      </c>
      <c r="U3685" s="4" t="str">
        <f t="shared" si="163"/>
        <v>歷</v>
      </c>
    </row>
    <row r="3686" spans="1:22" ht="39">
      <c r="A3686" s="3">
        <v>3677</v>
      </c>
      <c r="B3686" s="3" t="s">
        <v>1687</v>
      </c>
      <c r="C3686" s="3" t="s">
        <v>5997</v>
      </c>
      <c r="D3686" s="3" t="s">
        <v>2843</v>
      </c>
      <c r="E3686" s="3" t="s">
        <v>5991</v>
      </c>
      <c r="F3686" s="3" t="s">
        <v>1221</v>
      </c>
      <c r="G3686" s="3" t="s">
        <v>538</v>
      </c>
      <c r="H3686" s="3" t="s">
        <v>1699</v>
      </c>
      <c r="I3686" s="3" t="s">
        <v>1086</v>
      </c>
      <c r="J3686" s="5" t="s">
        <v>6654</v>
      </c>
      <c r="K3686" s="3" t="s">
        <v>1700</v>
      </c>
      <c r="L3686" s="3" t="s">
        <v>1701</v>
      </c>
      <c r="M3686" s="3">
        <v>29</v>
      </c>
      <c r="N3686" s="4" t="s">
        <v>1690</v>
      </c>
      <c r="O3686" s="4">
        <v>195</v>
      </c>
      <c r="P3686" s="11" t="s">
        <v>9706</v>
      </c>
      <c r="Q3686" s="11" t="s">
        <v>10866</v>
      </c>
      <c r="S3686" s="4" t="b">
        <f>ISNUMBER(MATCH(Q3686,T:T,0))</f>
        <v>1</v>
      </c>
      <c r="T3686" s="4" t="s">
        <v>12864</v>
      </c>
      <c r="U3686" s="4" t="str">
        <f t="shared" si="163"/>
        <v>歷</v>
      </c>
    </row>
    <row r="3687" spans="1:22" ht="39">
      <c r="A3687" s="3">
        <v>3678</v>
      </c>
      <c r="B3687" s="3" t="s">
        <v>1687</v>
      </c>
      <c r="C3687" s="3" t="s">
        <v>6079</v>
      </c>
      <c r="D3687" s="3" t="s">
        <v>2843</v>
      </c>
      <c r="E3687" s="3" t="s">
        <v>5991</v>
      </c>
      <c r="F3687" s="3" t="s">
        <v>1221</v>
      </c>
      <c r="G3687" s="3" t="s">
        <v>538</v>
      </c>
      <c r="H3687" s="3" t="s">
        <v>1702</v>
      </c>
      <c r="I3687" s="3" t="s">
        <v>1086</v>
      </c>
      <c r="J3687" s="5" t="s">
        <v>6655</v>
      </c>
      <c r="K3687" s="3" t="s">
        <v>655</v>
      </c>
      <c r="L3687" s="3" t="s">
        <v>1703</v>
      </c>
      <c r="M3687" s="3">
        <v>21</v>
      </c>
      <c r="N3687" s="4" t="s">
        <v>1690</v>
      </c>
      <c r="O3687" s="4">
        <v>195</v>
      </c>
      <c r="P3687" s="11" t="s">
        <v>9736</v>
      </c>
      <c r="Q3687" s="11" t="s">
        <v>10866</v>
      </c>
      <c r="S3687" s="4" t="b">
        <f>ISNUMBER(MATCH(Q3687,T:T,0))</f>
        <v>1</v>
      </c>
      <c r="T3687" s="4" t="s">
        <v>12865</v>
      </c>
      <c r="U3687" s="4" t="str">
        <f t="shared" si="163"/>
        <v>歷</v>
      </c>
    </row>
    <row r="3688" spans="1:22">
      <c r="A3688" s="3">
        <v>3679</v>
      </c>
      <c r="B3688" s="3" t="s">
        <v>1687</v>
      </c>
      <c r="C3688" s="3" t="s">
        <v>6083</v>
      </c>
      <c r="D3688" s="3" t="s">
        <v>2843</v>
      </c>
      <c r="E3688" s="3" t="s">
        <v>5991</v>
      </c>
      <c r="F3688" s="3" t="s">
        <v>1221</v>
      </c>
      <c r="G3688" s="3" t="s">
        <v>538</v>
      </c>
      <c r="H3688" s="3" t="s">
        <v>1704</v>
      </c>
      <c r="I3688" s="3" t="s">
        <v>1086</v>
      </c>
      <c r="J3688" s="5" t="s">
        <v>1705</v>
      </c>
      <c r="L3688" s="3" t="s">
        <v>6331</v>
      </c>
      <c r="M3688" s="3">
        <v>4</v>
      </c>
      <c r="N3688" s="4" t="s">
        <v>1690</v>
      </c>
      <c r="O3688" s="4">
        <v>195</v>
      </c>
      <c r="P3688" s="11" t="s">
        <v>9875</v>
      </c>
      <c r="Q3688" s="11" t="s">
        <v>10866</v>
      </c>
      <c r="S3688" s="4" t="b">
        <f>ISNUMBER(MATCH(Q3688,T:T,0))</f>
        <v>1</v>
      </c>
      <c r="T3688" s="4" t="s">
        <v>12866</v>
      </c>
      <c r="U3688" s="4" t="str">
        <f t="shared" si="163"/>
        <v>歷</v>
      </c>
    </row>
    <row r="3689" spans="1:22">
      <c r="A3689" s="3">
        <v>3680</v>
      </c>
      <c r="B3689" s="3" t="s">
        <v>1687</v>
      </c>
      <c r="C3689" s="3" t="s">
        <v>6038</v>
      </c>
      <c r="D3689" s="3" t="s">
        <v>2843</v>
      </c>
      <c r="E3689" s="3" t="s">
        <v>5991</v>
      </c>
      <c r="F3689" s="3" t="s">
        <v>1221</v>
      </c>
      <c r="G3689" s="3" t="s">
        <v>538</v>
      </c>
      <c r="H3689" s="3" t="s">
        <v>1706</v>
      </c>
      <c r="I3689" s="3" t="s">
        <v>1086</v>
      </c>
      <c r="J3689" s="8" t="s">
        <v>6656</v>
      </c>
      <c r="L3689" s="3" t="s">
        <v>6418</v>
      </c>
      <c r="M3689" s="3">
        <v>9</v>
      </c>
      <c r="N3689" s="4" t="s">
        <v>1690</v>
      </c>
      <c r="O3689" s="4">
        <v>195</v>
      </c>
      <c r="P3689" s="11" t="s">
        <v>9728</v>
      </c>
      <c r="Q3689" s="11" t="s">
        <v>10865</v>
      </c>
      <c r="R3689" s="4" t="s">
        <v>13197</v>
      </c>
      <c r="S3689" s="4" t="b">
        <f>ISNUMBER(MATCH(Q3689,T:T,0))</f>
        <v>0</v>
      </c>
      <c r="T3689" s="4" t="s">
        <v>12867</v>
      </c>
      <c r="U3689" s="4" t="str">
        <f t="shared" si="163"/>
        <v>激</v>
      </c>
      <c r="V3689" s="4" t="b">
        <f>ISNUMBER(MATCH(R3689,T:T,0))</f>
        <v>1</v>
      </c>
    </row>
    <row r="3690" spans="1:22">
      <c r="A3690" s="3">
        <v>3681</v>
      </c>
      <c r="B3690" s="3" t="s">
        <v>1687</v>
      </c>
      <c r="C3690" s="3" t="s">
        <v>6102</v>
      </c>
      <c r="D3690" s="3" t="s">
        <v>2843</v>
      </c>
      <c r="E3690" s="3" t="s">
        <v>5991</v>
      </c>
      <c r="F3690" s="3" t="s">
        <v>1221</v>
      </c>
      <c r="G3690" s="3" t="s">
        <v>538</v>
      </c>
      <c r="H3690" s="3" t="s">
        <v>1707</v>
      </c>
      <c r="I3690" s="3" t="s">
        <v>1086</v>
      </c>
      <c r="J3690" s="5" t="s">
        <v>6657</v>
      </c>
      <c r="L3690" s="3" t="s">
        <v>4449</v>
      </c>
      <c r="M3690" s="3">
        <v>4</v>
      </c>
      <c r="N3690" s="4" t="s">
        <v>1690</v>
      </c>
      <c r="O3690" s="4">
        <v>195</v>
      </c>
      <c r="P3690" s="11" t="s">
        <v>9744</v>
      </c>
      <c r="Q3690" s="11" t="s">
        <v>10866</v>
      </c>
      <c r="S3690" s="4" t="b">
        <f>ISNUMBER(MATCH(Q3690,T:T,0))</f>
        <v>1</v>
      </c>
      <c r="T3690" s="4" t="s">
        <v>12868</v>
      </c>
      <c r="U3690" s="4" t="str">
        <f t="shared" si="163"/>
        <v>歷</v>
      </c>
    </row>
    <row r="3691" spans="1:22">
      <c r="A3691" s="3">
        <v>3682</v>
      </c>
      <c r="B3691" s="3" t="s">
        <v>1687</v>
      </c>
      <c r="C3691" s="3" t="s">
        <v>6069</v>
      </c>
      <c r="D3691" s="3" t="s">
        <v>2843</v>
      </c>
      <c r="E3691" s="3" t="s">
        <v>5991</v>
      </c>
      <c r="F3691" s="3" t="s">
        <v>1221</v>
      </c>
      <c r="G3691" s="3" t="s">
        <v>538</v>
      </c>
      <c r="H3691" s="3" t="s">
        <v>1708</v>
      </c>
      <c r="I3691" s="3" t="s">
        <v>1086</v>
      </c>
      <c r="J3691" s="5" t="s">
        <v>1709</v>
      </c>
      <c r="L3691" s="3" t="s">
        <v>3485</v>
      </c>
      <c r="M3691" s="3">
        <v>5</v>
      </c>
      <c r="N3691" s="4" t="s">
        <v>1690</v>
      </c>
      <c r="O3691" s="4">
        <v>195</v>
      </c>
      <c r="P3691" s="11" t="s">
        <v>9996</v>
      </c>
      <c r="Q3691" s="11" t="s">
        <v>10866</v>
      </c>
      <c r="S3691" s="4" t="b">
        <f>ISNUMBER(MATCH(Q3691,T:T,0))</f>
        <v>1</v>
      </c>
      <c r="T3691" s="4" t="s">
        <v>12869</v>
      </c>
      <c r="U3691" s="4" t="str">
        <f t="shared" si="163"/>
        <v>歷</v>
      </c>
    </row>
    <row r="3692" spans="1:22" ht="39">
      <c r="A3692" s="3">
        <v>3683</v>
      </c>
      <c r="B3692" s="3" t="s">
        <v>1687</v>
      </c>
      <c r="C3692" s="3" t="s">
        <v>6035</v>
      </c>
      <c r="D3692" s="3" t="s">
        <v>2843</v>
      </c>
      <c r="E3692" s="3" t="s">
        <v>5991</v>
      </c>
      <c r="F3692" s="3" t="s">
        <v>1221</v>
      </c>
      <c r="G3692" s="3" t="s">
        <v>538</v>
      </c>
      <c r="H3692" s="3" t="s">
        <v>1710</v>
      </c>
      <c r="I3692" s="3" t="s">
        <v>1086</v>
      </c>
      <c r="J3692" s="5" t="s">
        <v>6658</v>
      </c>
      <c r="L3692" s="3" t="s">
        <v>4427</v>
      </c>
      <c r="M3692" s="3">
        <v>23</v>
      </c>
      <c r="N3692" s="4" t="s">
        <v>1690</v>
      </c>
      <c r="O3692" s="4">
        <v>195</v>
      </c>
      <c r="P3692" s="11" t="s">
        <v>9719</v>
      </c>
      <c r="Q3692" s="11" t="s">
        <v>10867</v>
      </c>
      <c r="R3692" s="4" t="s">
        <v>13198</v>
      </c>
      <c r="S3692" s="4" t="b">
        <f>ISNUMBER(MATCH(Q3692,T:T,0))</f>
        <v>0</v>
      </c>
      <c r="T3692" s="4" t="s">
        <v>12870</v>
      </c>
      <c r="U3692" s="4" t="str">
        <f t="shared" si="163"/>
        <v>荻</v>
      </c>
      <c r="V3692" s="4" t="b">
        <f>ISNUMBER(MATCH(R3692,T:T,0))</f>
        <v>1</v>
      </c>
    </row>
    <row r="3693" spans="1:22">
      <c r="A3693" s="3">
        <v>3684</v>
      </c>
      <c r="B3693" s="3" t="s">
        <v>1687</v>
      </c>
      <c r="C3693" s="3" t="s">
        <v>6045</v>
      </c>
      <c r="D3693" s="3" t="s">
        <v>2843</v>
      </c>
      <c r="E3693" s="3" t="s">
        <v>5991</v>
      </c>
      <c r="F3693" s="3" t="s">
        <v>1221</v>
      </c>
      <c r="G3693" s="3" t="s">
        <v>538</v>
      </c>
      <c r="H3693" s="3" t="s">
        <v>1711</v>
      </c>
      <c r="I3693" s="3" t="s">
        <v>1086</v>
      </c>
      <c r="J3693" s="5" t="s">
        <v>6659</v>
      </c>
      <c r="L3693" s="3" t="s">
        <v>3499</v>
      </c>
      <c r="M3693" s="3">
        <v>4</v>
      </c>
      <c r="N3693" s="4" t="s">
        <v>1690</v>
      </c>
      <c r="O3693" s="4">
        <v>195</v>
      </c>
      <c r="P3693" s="11" t="s">
        <v>9926</v>
      </c>
      <c r="Q3693" s="11" t="s">
        <v>10866</v>
      </c>
      <c r="S3693" s="4" t="b">
        <f>ISNUMBER(MATCH(Q3693,T:T,0))</f>
        <v>1</v>
      </c>
      <c r="T3693" s="4" t="s">
        <v>12871</v>
      </c>
      <c r="U3693" s="4" t="str">
        <f t="shared" si="163"/>
        <v>歷</v>
      </c>
    </row>
    <row r="3694" spans="1:22">
      <c r="A3694" s="3">
        <v>3685</v>
      </c>
      <c r="B3694" s="3" t="s">
        <v>1687</v>
      </c>
      <c r="C3694" s="3" t="s">
        <v>6049</v>
      </c>
      <c r="D3694" s="3" t="s">
        <v>2843</v>
      </c>
      <c r="E3694" s="3" t="s">
        <v>5991</v>
      </c>
      <c r="F3694" s="3" t="s">
        <v>1221</v>
      </c>
      <c r="G3694" s="3" t="s">
        <v>538</v>
      </c>
      <c r="H3694" s="3" t="s">
        <v>1712</v>
      </c>
      <c r="I3694" s="3" t="s">
        <v>1086</v>
      </c>
      <c r="J3694" s="5" t="s">
        <v>1713</v>
      </c>
      <c r="L3694" s="3" t="s">
        <v>6335</v>
      </c>
      <c r="M3694" s="3">
        <v>6</v>
      </c>
      <c r="N3694" s="4" t="s">
        <v>1690</v>
      </c>
      <c r="O3694" s="4">
        <v>195</v>
      </c>
      <c r="P3694" s="11" t="s">
        <v>9979</v>
      </c>
      <c r="Q3694" s="11" t="s">
        <v>10868</v>
      </c>
      <c r="S3694" s="4" t="b">
        <f>ISNUMBER(MATCH(Q3694,T:T,0))</f>
        <v>1</v>
      </c>
      <c r="T3694" s="4" t="s">
        <v>12872</v>
      </c>
      <c r="U3694" s="4" t="str">
        <f t="shared" si="163"/>
        <v>激</v>
      </c>
    </row>
    <row r="3695" spans="1:22">
      <c r="A3695" s="3">
        <v>3686</v>
      </c>
      <c r="B3695" s="3" t="s">
        <v>1687</v>
      </c>
      <c r="C3695" s="3" t="s">
        <v>6038</v>
      </c>
      <c r="D3695" s="3" t="s">
        <v>2843</v>
      </c>
      <c r="E3695" s="3" t="s">
        <v>6212</v>
      </c>
      <c r="F3695" s="3" t="s">
        <v>1221</v>
      </c>
      <c r="G3695" s="3" t="s">
        <v>538</v>
      </c>
      <c r="H3695" s="3" t="s">
        <v>1714</v>
      </c>
      <c r="I3695" s="3" t="s">
        <v>1086</v>
      </c>
      <c r="J3695" s="5" t="s">
        <v>1715</v>
      </c>
      <c r="L3695" s="3" t="s">
        <v>2829</v>
      </c>
      <c r="M3695" s="3">
        <v>2</v>
      </c>
      <c r="N3695" s="4" t="s">
        <v>1690</v>
      </c>
      <c r="O3695" s="4">
        <v>195</v>
      </c>
      <c r="P3695" s="11" t="s">
        <v>9728</v>
      </c>
      <c r="Q3695" s="11" t="s">
        <v>10869</v>
      </c>
      <c r="R3695" s="4" t="s">
        <v>13199</v>
      </c>
      <c r="S3695" s="4" t="b">
        <f>ISNUMBER(MATCH(Q3695,T:T,0))</f>
        <v>0</v>
      </c>
      <c r="T3695" s="4" t="s">
        <v>10870</v>
      </c>
      <c r="U3695" s="4" t="str">
        <f t="shared" si="163"/>
        <v>郹</v>
      </c>
      <c r="V3695" s="4" t="b">
        <f>ISNUMBER(MATCH(R3695,T:T,0))</f>
        <v>1</v>
      </c>
    </row>
    <row r="3696" spans="1:22">
      <c r="A3696" s="3">
        <v>3687</v>
      </c>
      <c r="B3696" s="3" t="s">
        <v>1687</v>
      </c>
      <c r="C3696" s="3" t="s">
        <v>6025</v>
      </c>
      <c r="D3696" s="3" t="s">
        <v>2843</v>
      </c>
      <c r="E3696" s="3" t="s">
        <v>6212</v>
      </c>
      <c r="F3696" s="3" t="s">
        <v>1221</v>
      </c>
      <c r="G3696" s="3" t="s">
        <v>538</v>
      </c>
      <c r="H3696" s="3" t="s">
        <v>1716</v>
      </c>
      <c r="I3696" s="3" t="s">
        <v>1086</v>
      </c>
      <c r="J3696" s="5" t="s">
        <v>1717</v>
      </c>
      <c r="L3696" s="3" t="s">
        <v>2761</v>
      </c>
      <c r="M3696" s="3">
        <v>7</v>
      </c>
      <c r="N3696" s="4" t="s">
        <v>1690</v>
      </c>
      <c r="O3696" s="4">
        <v>195</v>
      </c>
      <c r="P3696" s="11" t="s">
        <v>9729</v>
      </c>
      <c r="Q3696" s="11" t="s">
        <v>10870</v>
      </c>
      <c r="S3696" s="4" t="b">
        <f>ISNUMBER(MATCH(Q3696,T:T,0))</f>
        <v>1</v>
      </c>
      <c r="T3696" s="4" t="s">
        <v>12873</v>
      </c>
      <c r="U3696" s="4" t="str">
        <f t="shared" si="163"/>
        <v>闃</v>
      </c>
    </row>
    <row r="3697" spans="1:22">
      <c r="A3697" s="3">
        <v>3688</v>
      </c>
      <c r="B3697" s="3" t="s">
        <v>1687</v>
      </c>
      <c r="C3697" s="3" t="s">
        <v>6076</v>
      </c>
      <c r="D3697" s="3" t="s">
        <v>2843</v>
      </c>
      <c r="E3697" s="3" t="s">
        <v>5991</v>
      </c>
      <c r="F3697" s="3" t="s">
        <v>1221</v>
      </c>
      <c r="G3697" s="3" t="s">
        <v>538</v>
      </c>
      <c r="H3697" s="3" t="s">
        <v>1718</v>
      </c>
      <c r="I3697" s="3" t="s">
        <v>1086</v>
      </c>
      <c r="J3697" s="5" t="s">
        <v>6660</v>
      </c>
      <c r="L3697" s="3" t="s">
        <v>6418</v>
      </c>
      <c r="M3697" s="3">
        <v>11</v>
      </c>
      <c r="N3697" s="4" t="s">
        <v>1690</v>
      </c>
      <c r="O3697" s="4">
        <v>195</v>
      </c>
      <c r="P3697" s="11" t="s">
        <v>9735</v>
      </c>
      <c r="Q3697" s="11" t="s">
        <v>10866</v>
      </c>
      <c r="S3697" s="4" t="b">
        <f>ISNUMBER(MATCH(Q3697,T:T,0))</f>
        <v>1</v>
      </c>
      <c r="T3697" s="4" t="s">
        <v>12874</v>
      </c>
      <c r="U3697" s="4" t="str">
        <f t="shared" si="163"/>
        <v>歷</v>
      </c>
    </row>
    <row r="3698" spans="1:22">
      <c r="A3698" s="3">
        <v>3689</v>
      </c>
      <c r="B3698" s="3" t="s">
        <v>1687</v>
      </c>
      <c r="C3698" s="3" t="s">
        <v>6089</v>
      </c>
      <c r="D3698" s="3" t="s">
        <v>2843</v>
      </c>
      <c r="E3698" s="3" t="s">
        <v>5991</v>
      </c>
      <c r="F3698" s="3" t="s">
        <v>1221</v>
      </c>
      <c r="G3698" s="3" t="s">
        <v>538</v>
      </c>
      <c r="H3698" s="3" t="s">
        <v>1719</v>
      </c>
      <c r="I3698" s="3" t="s">
        <v>1086</v>
      </c>
      <c r="J3698" s="8" t="s">
        <v>6661</v>
      </c>
      <c r="L3698" s="3" t="s">
        <v>6394</v>
      </c>
      <c r="M3698" s="3">
        <v>9</v>
      </c>
      <c r="N3698" s="4" t="s">
        <v>1690</v>
      </c>
      <c r="O3698" s="4">
        <v>195</v>
      </c>
      <c r="P3698" s="11" t="s">
        <v>9753</v>
      </c>
      <c r="Q3698" s="11" t="s">
        <v>10868</v>
      </c>
      <c r="S3698" s="4" t="b">
        <f>ISNUMBER(MATCH(Q3698,T:T,0))</f>
        <v>1</v>
      </c>
      <c r="T3698" s="4" t="s">
        <v>12875</v>
      </c>
      <c r="U3698" s="4" t="str">
        <f t="shared" si="163"/>
        <v>激</v>
      </c>
    </row>
    <row r="3699" spans="1:22">
      <c r="A3699" s="3">
        <v>3690</v>
      </c>
      <c r="B3699" s="3" t="s">
        <v>1687</v>
      </c>
      <c r="C3699" s="3" t="s">
        <v>6089</v>
      </c>
      <c r="D3699" s="3" t="s">
        <v>2843</v>
      </c>
      <c r="E3699" s="3" t="s">
        <v>6212</v>
      </c>
      <c r="F3699" s="3" t="s">
        <v>1221</v>
      </c>
      <c r="G3699" s="3" t="s">
        <v>538</v>
      </c>
      <c r="H3699" s="3" t="s">
        <v>1720</v>
      </c>
      <c r="I3699" s="3" t="s">
        <v>1086</v>
      </c>
      <c r="J3699" s="5" t="s">
        <v>1721</v>
      </c>
      <c r="L3699" s="3" t="s">
        <v>5987</v>
      </c>
      <c r="M3699" s="3">
        <v>7</v>
      </c>
      <c r="N3699" s="4" t="s">
        <v>1690</v>
      </c>
      <c r="O3699" s="4">
        <v>195</v>
      </c>
      <c r="P3699" s="11" t="s">
        <v>9739</v>
      </c>
      <c r="Q3699" s="11" t="s">
        <v>10871</v>
      </c>
      <c r="R3699" s="4" t="s">
        <v>13200</v>
      </c>
      <c r="S3699" s="4" t="b">
        <f>ISNUMBER(MATCH(Q3699,T:T,0))</f>
        <v>0</v>
      </c>
      <c r="T3699" s="4" t="s">
        <v>12876</v>
      </c>
      <c r="U3699" s="4" t="str">
        <f t="shared" si="163"/>
        <v>郹𥍟</v>
      </c>
      <c r="V3699" s="4" t="b">
        <f>ISNUMBER(MATCH(R3699,T:T,0))</f>
        <v>0</v>
      </c>
    </row>
    <row r="3700" spans="1:22">
      <c r="A3700" s="3">
        <v>3691</v>
      </c>
      <c r="B3700" s="3" t="s">
        <v>1687</v>
      </c>
      <c r="C3700" s="3" t="s">
        <v>6011</v>
      </c>
      <c r="D3700" s="3" t="s">
        <v>2843</v>
      </c>
      <c r="E3700" s="3" t="s">
        <v>5991</v>
      </c>
      <c r="F3700" s="3" t="s">
        <v>1221</v>
      </c>
      <c r="G3700" s="3" t="s">
        <v>538</v>
      </c>
      <c r="H3700" s="3" t="s">
        <v>1722</v>
      </c>
      <c r="I3700" s="3" t="s">
        <v>1086</v>
      </c>
      <c r="J3700" s="5" t="s">
        <v>1723</v>
      </c>
      <c r="M3700" s="3">
        <v>2</v>
      </c>
      <c r="N3700" s="4" t="s">
        <v>1690</v>
      </c>
      <c r="O3700" s="4">
        <v>195</v>
      </c>
      <c r="P3700" s="11" t="s">
        <v>9757</v>
      </c>
      <c r="Q3700" s="11" t="s">
        <v>10866</v>
      </c>
      <c r="S3700" s="4" t="b">
        <f>ISNUMBER(MATCH(Q3700,T:T,0))</f>
        <v>1</v>
      </c>
      <c r="T3700" s="4" t="s">
        <v>12877</v>
      </c>
      <c r="U3700" s="4" t="str">
        <f t="shared" si="163"/>
        <v>歷</v>
      </c>
    </row>
    <row r="3701" spans="1:22">
      <c r="A3701" s="3">
        <v>3692</v>
      </c>
      <c r="B3701" s="3" t="s">
        <v>1724</v>
      </c>
      <c r="C3701" s="3" t="s">
        <v>6009</v>
      </c>
      <c r="D3701" s="3" t="s">
        <v>6001</v>
      </c>
      <c r="E3701" s="3" t="s">
        <v>5991</v>
      </c>
      <c r="F3701" s="3" t="s">
        <v>1250</v>
      </c>
      <c r="G3701" s="3" t="s">
        <v>538</v>
      </c>
      <c r="H3701" s="3" t="s">
        <v>1725</v>
      </c>
      <c r="I3701" s="3" t="s">
        <v>1251</v>
      </c>
      <c r="J3701" s="5" t="s">
        <v>6662</v>
      </c>
      <c r="L3701" s="3" t="s">
        <v>3453</v>
      </c>
      <c r="M3701" s="3">
        <v>9</v>
      </c>
      <c r="N3701" s="4" t="s">
        <v>1726</v>
      </c>
      <c r="O3701" s="4">
        <v>196</v>
      </c>
      <c r="P3701" s="11" t="s">
        <v>6396</v>
      </c>
      <c r="Q3701" s="11" t="s">
        <v>9935</v>
      </c>
      <c r="R3701" s="4" t="s">
        <v>13201</v>
      </c>
      <c r="S3701" s="4" t="b">
        <f>ISNUMBER(MATCH(Q3701,T:T,0))</f>
        <v>0</v>
      </c>
      <c r="T3701" s="4" t="s">
        <v>1726</v>
      </c>
      <c r="U3701" s="4" t="str">
        <f t="shared" si="163"/>
        <v>弋</v>
      </c>
      <c r="V3701" s="4" t="b">
        <f>ISNUMBER(MATCH(R3701,T:T,0))</f>
        <v>1</v>
      </c>
    </row>
    <row r="3702" spans="1:22">
      <c r="A3702" s="3">
        <v>3693</v>
      </c>
      <c r="B3702" s="3" t="s">
        <v>1724</v>
      </c>
      <c r="C3702" s="3" t="s">
        <v>6005</v>
      </c>
      <c r="D3702" s="3" t="s">
        <v>6001</v>
      </c>
      <c r="E3702" s="3" t="s">
        <v>5991</v>
      </c>
      <c r="F3702" s="3" t="s">
        <v>1250</v>
      </c>
      <c r="G3702" s="3" t="s">
        <v>538</v>
      </c>
      <c r="H3702" s="3" t="s">
        <v>1727</v>
      </c>
      <c r="I3702" s="3" t="s">
        <v>1251</v>
      </c>
      <c r="J3702" s="5" t="s">
        <v>1728</v>
      </c>
      <c r="L3702" s="3" t="s">
        <v>3462</v>
      </c>
      <c r="M3702" s="3">
        <v>4</v>
      </c>
      <c r="N3702" s="4" t="s">
        <v>1726</v>
      </c>
      <c r="O3702" s="4">
        <v>196</v>
      </c>
      <c r="P3702" s="11" t="s">
        <v>10333</v>
      </c>
      <c r="Q3702" s="11" t="s">
        <v>9727</v>
      </c>
      <c r="S3702" s="4" t="b">
        <f>ISNUMBER(MATCH(Q3702,T:T,0))</f>
        <v>1</v>
      </c>
      <c r="T3702" s="4" t="s">
        <v>9709</v>
      </c>
      <c r="U3702" s="4" t="str">
        <f t="shared" si="163"/>
        <v>力</v>
      </c>
    </row>
    <row r="3703" spans="1:22">
      <c r="A3703" s="3">
        <v>3694</v>
      </c>
      <c r="B3703" s="3" t="s">
        <v>1724</v>
      </c>
      <c r="C3703" s="3" t="s">
        <v>6058</v>
      </c>
      <c r="D3703" s="3" t="s">
        <v>6001</v>
      </c>
      <c r="E3703" s="3" t="s">
        <v>5991</v>
      </c>
      <c r="F3703" s="3" t="s">
        <v>1250</v>
      </c>
      <c r="G3703" s="3" t="s">
        <v>538</v>
      </c>
      <c r="H3703" s="3" t="s">
        <v>1729</v>
      </c>
      <c r="I3703" s="3" t="s">
        <v>1251</v>
      </c>
      <c r="J3703" s="5" t="s">
        <v>6663</v>
      </c>
      <c r="L3703" s="3" t="s">
        <v>4344</v>
      </c>
      <c r="M3703" s="3">
        <v>9</v>
      </c>
      <c r="N3703" s="4" t="s">
        <v>1726</v>
      </c>
      <c r="O3703" s="4">
        <v>196</v>
      </c>
      <c r="P3703" s="11" t="s">
        <v>10156</v>
      </c>
      <c r="Q3703" s="11" t="s">
        <v>9709</v>
      </c>
      <c r="S3703" s="4" t="b">
        <f>ISNUMBER(MATCH(Q3703,T:T,0))</f>
        <v>1</v>
      </c>
      <c r="T3703" s="4" t="s">
        <v>9727</v>
      </c>
      <c r="U3703" s="4" t="str">
        <f t="shared" si="163"/>
        <v>直</v>
      </c>
    </row>
    <row r="3704" spans="1:22">
      <c r="A3704" s="3">
        <v>3695</v>
      </c>
      <c r="B3704" s="3" t="s">
        <v>1724</v>
      </c>
      <c r="C3704" s="3" t="s">
        <v>6011</v>
      </c>
      <c r="D3704" s="3" t="s">
        <v>6001</v>
      </c>
      <c r="E3704" s="3" t="s">
        <v>5991</v>
      </c>
      <c r="F3704" s="3" t="s">
        <v>1250</v>
      </c>
      <c r="G3704" s="3" t="s">
        <v>538</v>
      </c>
      <c r="H3704" s="3" t="s">
        <v>1730</v>
      </c>
      <c r="I3704" s="3" t="s">
        <v>1251</v>
      </c>
      <c r="J3704" s="5" t="s">
        <v>6664</v>
      </c>
      <c r="L3704" s="3" t="s">
        <v>3480</v>
      </c>
      <c r="M3704" s="3">
        <v>14</v>
      </c>
      <c r="N3704" s="4" t="s">
        <v>1726</v>
      </c>
      <c r="O3704" s="4">
        <v>196</v>
      </c>
      <c r="P3704" s="11" t="s">
        <v>10872</v>
      </c>
      <c r="Q3704" s="11" t="s">
        <v>9727</v>
      </c>
      <c r="S3704" s="4" t="b">
        <f>ISNUMBER(MATCH(Q3704,T:T,0))</f>
        <v>1</v>
      </c>
      <c r="T3704" s="4" t="s">
        <v>9711</v>
      </c>
      <c r="U3704" s="4" t="str">
        <f t="shared" si="163"/>
        <v>力</v>
      </c>
    </row>
    <row r="3705" spans="1:22">
      <c r="A3705" s="3">
        <v>3696</v>
      </c>
      <c r="B3705" s="3" t="s">
        <v>1724</v>
      </c>
      <c r="C3705" s="3" t="s">
        <v>6000</v>
      </c>
      <c r="D3705" s="3" t="s">
        <v>6001</v>
      </c>
      <c r="E3705" s="3" t="s">
        <v>5991</v>
      </c>
      <c r="F3705" s="3" t="s">
        <v>1250</v>
      </c>
      <c r="G3705" s="3" t="s">
        <v>538</v>
      </c>
      <c r="H3705" s="3" t="s">
        <v>1731</v>
      </c>
      <c r="I3705" s="3" t="s">
        <v>1251</v>
      </c>
      <c r="J3705" s="5" t="s">
        <v>1732</v>
      </c>
      <c r="L3705" s="3" t="s">
        <v>3453</v>
      </c>
      <c r="M3705" s="3">
        <v>2</v>
      </c>
      <c r="N3705" s="4" t="s">
        <v>1726</v>
      </c>
      <c r="O3705" s="4">
        <v>196</v>
      </c>
      <c r="P3705" s="11" t="s">
        <v>9803</v>
      </c>
      <c r="Q3705" s="11" t="s">
        <v>9727</v>
      </c>
      <c r="S3705" s="4" t="b">
        <f>ISNUMBER(MATCH(Q3705,T:T,0))</f>
        <v>1</v>
      </c>
      <c r="T3705" s="4" t="s">
        <v>9707</v>
      </c>
      <c r="U3705" s="4" t="str">
        <f t="shared" si="163"/>
        <v>力</v>
      </c>
    </row>
    <row r="3706" spans="1:22">
      <c r="A3706" s="3">
        <v>3697</v>
      </c>
      <c r="B3706" s="3" t="s">
        <v>1724</v>
      </c>
      <c r="C3706" s="3" t="s">
        <v>3093</v>
      </c>
      <c r="D3706" s="3" t="s">
        <v>6001</v>
      </c>
      <c r="E3706" s="3" t="s">
        <v>5991</v>
      </c>
      <c r="F3706" s="3" t="s">
        <v>1250</v>
      </c>
      <c r="G3706" s="3" t="s">
        <v>538</v>
      </c>
      <c r="H3706" s="7" t="s">
        <v>905</v>
      </c>
      <c r="I3706" s="3" t="s">
        <v>1251</v>
      </c>
      <c r="J3706" s="5" t="s">
        <v>1733</v>
      </c>
      <c r="L3706" s="3" t="s">
        <v>3460</v>
      </c>
      <c r="M3706" s="3">
        <v>2</v>
      </c>
      <c r="N3706" s="4" t="s">
        <v>1726</v>
      </c>
      <c r="O3706" s="4">
        <v>196</v>
      </c>
      <c r="P3706" s="11" t="s">
        <v>10125</v>
      </c>
      <c r="Q3706" s="11" t="s">
        <v>9727</v>
      </c>
      <c r="S3706" s="4" t="b">
        <f>ISNUMBER(MATCH(Q3706,T:T,0))</f>
        <v>1</v>
      </c>
      <c r="T3706" s="4" t="s">
        <v>9929</v>
      </c>
      <c r="U3706" s="4" t="str">
        <f t="shared" si="163"/>
        <v>力</v>
      </c>
    </row>
    <row r="3707" spans="1:22">
      <c r="A3707" s="3">
        <v>3698</v>
      </c>
      <c r="B3707" s="3" t="s">
        <v>1724</v>
      </c>
      <c r="C3707" s="3" t="s">
        <v>6017</v>
      </c>
      <c r="D3707" s="3" t="s">
        <v>6001</v>
      </c>
      <c r="E3707" s="3" t="s">
        <v>5991</v>
      </c>
      <c r="F3707" s="3" t="s">
        <v>1250</v>
      </c>
      <c r="G3707" s="3" t="s">
        <v>538</v>
      </c>
      <c r="H3707" s="3" t="s">
        <v>1734</v>
      </c>
      <c r="I3707" s="3" t="s">
        <v>1251</v>
      </c>
      <c r="J3707" s="5" t="s">
        <v>1735</v>
      </c>
      <c r="L3707" s="3" t="s">
        <v>6394</v>
      </c>
      <c r="M3707" s="3">
        <v>11</v>
      </c>
      <c r="N3707" s="4" t="s">
        <v>1726</v>
      </c>
      <c r="O3707" s="4">
        <v>196</v>
      </c>
      <c r="P3707" s="11" t="s">
        <v>2555</v>
      </c>
      <c r="Q3707" s="11" t="s">
        <v>9760</v>
      </c>
      <c r="S3707" s="4" t="b">
        <f>ISNUMBER(MATCH(Q3707,T:T,0))</f>
        <v>1</v>
      </c>
      <c r="T3707" s="4" t="s">
        <v>9714</v>
      </c>
      <c r="U3707" s="4" t="str">
        <f t="shared" si="163"/>
        <v>即</v>
      </c>
    </row>
    <row r="3708" spans="1:22" ht="28.5">
      <c r="A3708" s="3">
        <v>3699</v>
      </c>
      <c r="B3708" s="3" t="s">
        <v>1724</v>
      </c>
      <c r="C3708" s="3" t="s">
        <v>6148</v>
      </c>
      <c r="D3708" s="3" t="s">
        <v>6001</v>
      </c>
      <c r="E3708" s="3" t="s">
        <v>5991</v>
      </c>
      <c r="F3708" s="3" t="s">
        <v>1250</v>
      </c>
      <c r="G3708" s="3" t="s">
        <v>538</v>
      </c>
      <c r="H3708" s="3" t="s">
        <v>1736</v>
      </c>
      <c r="I3708" s="3" t="s">
        <v>1251</v>
      </c>
      <c r="J3708" s="5" t="s">
        <v>6665</v>
      </c>
      <c r="K3708" s="3" t="s">
        <v>1737</v>
      </c>
      <c r="L3708" s="3" t="s">
        <v>3460</v>
      </c>
      <c r="M3708" s="3">
        <v>8</v>
      </c>
      <c r="N3708" s="4" t="s">
        <v>1726</v>
      </c>
      <c r="O3708" s="4">
        <v>196</v>
      </c>
      <c r="P3708" s="11" t="s">
        <v>6148</v>
      </c>
      <c r="Q3708" s="11" t="s">
        <v>1726</v>
      </c>
      <c r="S3708" s="4" t="b">
        <f>ISNUMBER(MATCH(Q3708,T:T,0))</f>
        <v>1</v>
      </c>
      <c r="T3708" s="4" t="s">
        <v>10644</v>
      </c>
      <c r="U3708" s="4" t="str">
        <f t="shared" si="163"/>
        <v>職</v>
      </c>
    </row>
    <row r="3709" spans="1:22">
      <c r="A3709" s="3">
        <v>3700</v>
      </c>
      <c r="B3709" s="3" t="s">
        <v>1724</v>
      </c>
      <c r="C3709" s="3" t="s">
        <v>6120</v>
      </c>
      <c r="D3709" s="3" t="s">
        <v>6001</v>
      </c>
      <c r="E3709" s="3" t="s">
        <v>5991</v>
      </c>
      <c r="F3709" s="3" t="s">
        <v>1250</v>
      </c>
      <c r="G3709" s="3" t="s">
        <v>538</v>
      </c>
      <c r="H3709" s="3" t="s">
        <v>1738</v>
      </c>
      <c r="I3709" s="3" t="s">
        <v>1251</v>
      </c>
      <c r="J3709" s="5" t="s">
        <v>1739</v>
      </c>
      <c r="L3709" s="3" t="s">
        <v>3491</v>
      </c>
      <c r="M3709" s="3">
        <v>10</v>
      </c>
      <c r="N3709" s="4" t="s">
        <v>1726</v>
      </c>
      <c r="O3709" s="4">
        <v>196</v>
      </c>
      <c r="P3709" s="11" t="s">
        <v>10433</v>
      </c>
      <c r="Q3709" s="11" t="s">
        <v>1726</v>
      </c>
      <c r="S3709" s="4" t="b">
        <f>ISNUMBER(MATCH(Q3709,T:T,0))</f>
        <v>1</v>
      </c>
      <c r="T3709" s="4" t="s">
        <v>10124</v>
      </c>
      <c r="U3709" s="4" t="str">
        <f t="shared" si="163"/>
        <v>職</v>
      </c>
    </row>
    <row r="3710" spans="1:22">
      <c r="A3710" s="3">
        <v>3701</v>
      </c>
      <c r="B3710" s="3" t="s">
        <v>1724</v>
      </c>
      <c r="C3710" s="3" t="s">
        <v>6089</v>
      </c>
      <c r="D3710" s="3" t="s">
        <v>6001</v>
      </c>
      <c r="E3710" s="3" t="s">
        <v>5991</v>
      </c>
      <c r="F3710" s="3" t="s">
        <v>1250</v>
      </c>
      <c r="G3710" s="3" t="s">
        <v>538</v>
      </c>
      <c r="H3710" s="3" t="s">
        <v>1740</v>
      </c>
      <c r="I3710" s="3" t="s">
        <v>1251</v>
      </c>
      <c r="J3710" s="5" t="s">
        <v>1741</v>
      </c>
      <c r="L3710" s="3" t="s">
        <v>6394</v>
      </c>
      <c r="M3710" s="3">
        <v>5</v>
      </c>
      <c r="N3710" s="4" t="s">
        <v>1726</v>
      </c>
      <c r="O3710" s="4">
        <v>196</v>
      </c>
      <c r="P3710" s="11" t="s">
        <v>9753</v>
      </c>
      <c r="Q3710" s="11" t="s">
        <v>1744</v>
      </c>
      <c r="S3710" s="4" t="b">
        <f>ISNUMBER(MATCH(Q3710,T:T,0))</f>
        <v>1</v>
      </c>
      <c r="T3710" s="4" t="s">
        <v>12878</v>
      </c>
      <c r="U3710" s="4" t="str">
        <f t="shared" si="163"/>
        <v>極</v>
      </c>
    </row>
    <row r="3711" spans="1:22">
      <c r="A3711" s="3">
        <v>3702</v>
      </c>
      <c r="B3711" s="3" t="s">
        <v>1724</v>
      </c>
      <c r="C3711" s="3" t="s">
        <v>6015</v>
      </c>
      <c r="D3711" s="3" t="s">
        <v>6001</v>
      </c>
      <c r="E3711" s="3" t="s">
        <v>5991</v>
      </c>
      <c r="F3711" s="3" t="s">
        <v>1250</v>
      </c>
      <c r="G3711" s="3" t="s">
        <v>538</v>
      </c>
      <c r="H3711" s="3" t="s">
        <v>1742</v>
      </c>
      <c r="I3711" s="3" t="s">
        <v>1251</v>
      </c>
      <c r="J3711" s="5" t="s">
        <v>6666</v>
      </c>
      <c r="K3711" s="3" t="s">
        <v>656</v>
      </c>
      <c r="L3711" s="3" t="s">
        <v>3510</v>
      </c>
      <c r="M3711" s="3">
        <v>4</v>
      </c>
      <c r="N3711" s="4" t="s">
        <v>1726</v>
      </c>
      <c r="O3711" s="4">
        <v>196</v>
      </c>
      <c r="P3711" s="11" t="s">
        <v>9777</v>
      </c>
      <c r="Q3711" s="11" t="s">
        <v>9727</v>
      </c>
      <c r="S3711" s="4" t="b">
        <f>ISNUMBER(MATCH(Q3711,T:T,0))</f>
        <v>1</v>
      </c>
      <c r="T3711" s="4" t="s">
        <v>10774</v>
      </c>
      <c r="U3711" s="4" t="str">
        <f t="shared" si="163"/>
        <v>力</v>
      </c>
    </row>
    <row r="3712" spans="1:22">
      <c r="A3712" s="3">
        <v>3703</v>
      </c>
      <c r="B3712" s="3" t="s">
        <v>1724</v>
      </c>
      <c r="C3712" s="3" t="s">
        <v>6041</v>
      </c>
      <c r="D3712" s="3" t="s">
        <v>6001</v>
      </c>
      <c r="E3712" s="3" t="s">
        <v>5991</v>
      </c>
      <c r="F3712" s="3" t="s">
        <v>1250</v>
      </c>
      <c r="G3712" s="3" t="s">
        <v>538</v>
      </c>
      <c r="H3712" s="3" t="s">
        <v>1743</v>
      </c>
      <c r="I3712" s="3" t="s">
        <v>1251</v>
      </c>
      <c r="J3712" s="5" t="s">
        <v>1744</v>
      </c>
      <c r="L3712" s="3" t="s">
        <v>3485</v>
      </c>
      <c r="M3712" s="3">
        <v>1</v>
      </c>
      <c r="N3712" s="4" t="s">
        <v>1726</v>
      </c>
      <c r="O3712" s="4">
        <v>196</v>
      </c>
      <c r="P3712" s="11" t="s">
        <v>9721</v>
      </c>
      <c r="Q3712" s="11" t="s">
        <v>9727</v>
      </c>
      <c r="S3712" s="4" t="b">
        <f>ISNUMBER(MATCH(Q3712,T:T,0))</f>
        <v>1</v>
      </c>
      <c r="T3712" s="4" t="s">
        <v>1744</v>
      </c>
      <c r="U3712" s="4" t="str">
        <f t="shared" si="163"/>
        <v>力</v>
      </c>
    </row>
    <row r="3713" spans="1:22">
      <c r="A3713" s="3">
        <v>3704</v>
      </c>
      <c r="B3713" s="3" t="s">
        <v>1724</v>
      </c>
      <c r="C3713" s="3" t="s">
        <v>6137</v>
      </c>
      <c r="D3713" s="3" t="s">
        <v>6001</v>
      </c>
      <c r="E3713" s="3" t="s">
        <v>5991</v>
      </c>
      <c r="F3713" s="3" t="s">
        <v>1250</v>
      </c>
      <c r="G3713" s="3" t="s">
        <v>538</v>
      </c>
      <c r="H3713" s="3" t="s">
        <v>1745</v>
      </c>
      <c r="I3713" s="3" t="s">
        <v>1251</v>
      </c>
      <c r="J3713" s="5" t="s">
        <v>1746</v>
      </c>
      <c r="L3713" s="3" t="s">
        <v>4449</v>
      </c>
      <c r="M3713" s="3">
        <v>6</v>
      </c>
      <c r="N3713" s="4" t="s">
        <v>1726</v>
      </c>
      <c r="O3713" s="4">
        <v>196</v>
      </c>
      <c r="P3713" s="11" t="s">
        <v>9755</v>
      </c>
      <c r="Q3713" s="11" t="s">
        <v>9727</v>
      </c>
      <c r="S3713" s="4" t="b">
        <f>ISNUMBER(MATCH(Q3713,T:T,0))</f>
        <v>1</v>
      </c>
      <c r="T3713" s="4" t="s">
        <v>10905</v>
      </c>
      <c r="U3713" s="4" t="str">
        <f t="shared" si="163"/>
        <v>力</v>
      </c>
    </row>
    <row r="3714" spans="1:22">
      <c r="A3714" s="3">
        <v>3705</v>
      </c>
      <c r="B3714" s="3" t="s">
        <v>1724</v>
      </c>
      <c r="C3714" s="3" t="s">
        <v>6167</v>
      </c>
      <c r="D3714" s="3" t="s">
        <v>6001</v>
      </c>
      <c r="E3714" s="3" t="s">
        <v>5991</v>
      </c>
      <c r="F3714" s="3" t="s">
        <v>1250</v>
      </c>
      <c r="G3714" s="3" t="s">
        <v>538</v>
      </c>
      <c r="H3714" s="3" t="s">
        <v>1747</v>
      </c>
      <c r="I3714" s="3" t="s">
        <v>1251</v>
      </c>
      <c r="J3714" s="5" t="s">
        <v>1748</v>
      </c>
      <c r="L3714" s="3" t="s">
        <v>2852</v>
      </c>
      <c r="M3714" s="3">
        <v>6</v>
      </c>
      <c r="N3714" s="4" t="s">
        <v>1726</v>
      </c>
      <c r="O3714" s="4">
        <v>196</v>
      </c>
      <c r="P3714" s="11" t="s">
        <v>6167</v>
      </c>
      <c r="Q3714" s="11" t="s">
        <v>9727</v>
      </c>
      <c r="S3714" s="4" t="b">
        <f>ISNUMBER(MATCH(Q3714,T:T,0))</f>
        <v>1</v>
      </c>
      <c r="T3714" s="4" t="s">
        <v>9855</v>
      </c>
      <c r="U3714" s="4" t="str">
        <f t="shared" si="163"/>
        <v>力</v>
      </c>
    </row>
    <row r="3715" spans="1:22">
      <c r="A3715" s="3">
        <v>3706</v>
      </c>
      <c r="B3715" s="3" t="s">
        <v>1724</v>
      </c>
      <c r="C3715" s="3" t="s">
        <v>6072</v>
      </c>
      <c r="D3715" s="3" t="s">
        <v>6001</v>
      </c>
      <c r="E3715" s="3" t="s">
        <v>5991</v>
      </c>
      <c r="F3715" s="3" t="s">
        <v>1250</v>
      </c>
      <c r="G3715" s="3" t="s">
        <v>538</v>
      </c>
      <c r="H3715" s="3" t="s">
        <v>1749</v>
      </c>
      <c r="I3715" s="3" t="s">
        <v>1251</v>
      </c>
      <c r="J3715" s="5" t="s">
        <v>6667</v>
      </c>
      <c r="L3715" s="3" t="s">
        <v>6377</v>
      </c>
      <c r="M3715" s="3">
        <v>1</v>
      </c>
      <c r="N3715" s="4" t="s">
        <v>1726</v>
      </c>
      <c r="O3715" s="4">
        <v>196</v>
      </c>
      <c r="P3715" s="11" t="s">
        <v>9754</v>
      </c>
      <c r="Q3715" s="11" t="s">
        <v>9727</v>
      </c>
      <c r="S3715" s="4" t="b">
        <f>ISNUMBER(MATCH(Q3715,T:T,0))</f>
        <v>1</v>
      </c>
      <c r="T3715" s="4" t="s">
        <v>9867</v>
      </c>
      <c r="U3715" s="4" t="str">
        <f t="shared" ref="U3715:U3778" si="166">IF(ISBLANK(R3715),Q3715,R3715)</f>
        <v>力</v>
      </c>
    </row>
    <row r="3716" spans="1:22">
      <c r="A3716" s="3">
        <v>3707</v>
      </c>
      <c r="B3716" s="3" t="s">
        <v>1724</v>
      </c>
      <c r="C3716" s="3" t="s">
        <v>6180</v>
      </c>
      <c r="D3716" s="3" t="s">
        <v>6001</v>
      </c>
      <c r="E3716" s="3" t="s">
        <v>5991</v>
      </c>
      <c r="F3716" s="3" t="s">
        <v>1250</v>
      </c>
      <c r="G3716" s="3" t="s">
        <v>538</v>
      </c>
      <c r="H3716" s="3" t="s">
        <v>1750</v>
      </c>
      <c r="I3716" s="3" t="s">
        <v>1251</v>
      </c>
      <c r="J3716" s="5" t="s">
        <v>6668</v>
      </c>
      <c r="L3716" s="3" t="s">
        <v>3554</v>
      </c>
      <c r="M3716" s="3">
        <v>15</v>
      </c>
      <c r="N3716" s="4" t="s">
        <v>1726</v>
      </c>
      <c r="O3716" s="4">
        <v>196</v>
      </c>
      <c r="P3716" s="11" t="s">
        <v>9774</v>
      </c>
      <c r="Q3716" s="11" t="s">
        <v>9727</v>
      </c>
      <c r="S3716" s="4" t="b">
        <f>ISNUMBER(MATCH(Q3716,T:T,0))</f>
        <v>1</v>
      </c>
      <c r="T3716" s="4" t="s">
        <v>10085</v>
      </c>
      <c r="U3716" s="4" t="str">
        <f t="shared" si="166"/>
        <v>力</v>
      </c>
    </row>
    <row r="3717" spans="1:22">
      <c r="A3717" s="3">
        <v>3708</v>
      </c>
      <c r="B3717" s="3" t="s">
        <v>1724</v>
      </c>
      <c r="C3717" s="3" t="s">
        <v>6038</v>
      </c>
      <c r="D3717" s="3" t="s">
        <v>6001</v>
      </c>
      <c r="E3717" s="3" t="s">
        <v>5991</v>
      </c>
      <c r="F3717" s="3" t="s">
        <v>1250</v>
      </c>
      <c r="G3717" s="3" t="s">
        <v>538</v>
      </c>
      <c r="H3717" s="3" t="s">
        <v>1751</v>
      </c>
      <c r="I3717" s="3" t="s">
        <v>1251</v>
      </c>
      <c r="J3717" s="5" t="s">
        <v>1752</v>
      </c>
      <c r="L3717" s="3" t="s">
        <v>6418</v>
      </c>
      <c r="M3717" s="3">
        <v>1</v>
      </c>
      <c r="N3717" s="4" t="s">
        <v>1726</v>
      </c>
      <c r="O3717" s="4">
        <v>196</v>
      </c>
      <c r="P3717" s="11" t="s">
        <v>9825</v>
      </c>
      <c r="Q3717" s="11" t="s">
        <v>9727</v>
      </c>
      <c r="S3717" s="4" t="b">
        <f>ISNUMBER(MATCH(Q3717,T:T,0))</f>
        <v>1</v>
      </c>
      <c r="T3717" s="4" t="s">
        <v>1752</v>
      </c>
      <c r="U3717" s="4" t="str">
        <f t="shared" si="166"/>
        <v>力</v>
      </c>
    </row>
    <row r="3718" spans="1:22">
      <c r="A3718" s="3">
        <v>3709</v>
      </c>
      <c r="B3718" s="3" t="s">
        <v>1724</v>
      </c>
      <c r="C3718" s="3" t="s">
        <v>6025</v>
      </c>
      <c r="D3718" s="3" t="s">
        <v>6001</v>
      </c>
      <c r="E3718" s="3" t="s">
        <v>5991</v>
      </c>
      <c r="F3718" s="3" t="s">
        <v>1250</v>
      </c>
      <c r="G3718" s="3" t="s">
        <v>538</v>
      </c>
      <c r="H3718" s="3" t="s">
        <v>1753</v>
      </c>
      <c r="I3718" s="3" t="s">
        <v>1251</v>
      </c>
      <c r="J3718" s="5" t="s">
        <v>1754</v>
      </c>
      <c r="L3718" s="3" t="s">
        <v>6331</v>
      </c>
      <c r="M3718" s="3">
        <v>11</v>
      </c>
      <c r="N3718" s="4" t="s">
        <v>1726</v>
      </c>
      <c r="O3718" s="4">
        <v>196</v>
      </c>
      <c r="P3718" s="11" t="s">
        <v>10234</v>
      </c>
      <c r="Q3718" s="11" t="s">
        <v>9727</v>
      </c>
      <c r="S3718" s="4" t="b">
        <f>ISNUMBER(MATCH(Q3718,T:T,0))</f>
        <v>1</v>
      </c>
      <c r="T3718" s="4" t="s">
        <v>12879</v>
      </c>
      <c r="U3718" s="4" t="str">
        <f t="shared" si="166"/>
        <v>力</v>
      </c>
    </row>
    <row r="3719" spans="1:22" ht="39">
      <c r="A3719" s="3">
        <v>3710</v>
      </c>
      <c r="B3719" s="3" t="s">
        <v>1724</v>
      </c>
      <c r="C3719" s="3" t="s">
        <v>6028</v>
      </c>
      <c r="D3719" s="3" t="s">
        <v>6001</v>
      </c>
      <c r="E3719" s="3" t="s">
        <v>5991</v>
      </c>
      <c r="F3719" s="3" t="s">
        <v>1250</v>
      </c>
      <c r="G3719" s="3" t="s">
        <v>538</v>
      </c>
      <c r="H3719" s="3" t="s">
        <v>1755</v>
      </c>
      <c r="I3719" s="3" t="s">
        <v>1251</v>
      </c>
      <c r="J3719" s="5" t="s">
        <v>6669</v>
      </c>
      <c r="L3719" s="3" t="s">
        <v>4368</v>
      </c>
      <c r="M3719" s="3">
        <v>34</v>
      </c>
      <c r="N3719" s="4" t="s">
        <v>1726</v>
      </c>
      <c r="O3719" s="4">
        <v>196</v>
      </c>
      <c r="P3719" s="11" t="s">
        <v>9828</v>
      </c>
      <c r="Q3719" s="11" t="s">
        <v>1726</v>
      </c>
      <c r="S3719" s="4" t="b">
        <f>ISNUMBER(MATCH(Q3719,T:T,0))</f>
        <v>1</v>
      </c>
      <c r="T3719" s="4" t="s">
        <v>9779</v>
      </c>
      <c r="U3719" s="4" t="str">
        <f t="shared" si="166"/>
        <v>職</v>
      </c>
    </row>
    <row r="3720" spans="1:22">
      <c r="A3720" s="3">
        <v>3711</v>
      </c>
      <c r="B3720" s="3" t="s">
        <v>1724</v>
      </c>
      <c r="C3720" s="3" t="s">
        <v>6083</v>
      </c>
      <c r="D3720" s="3" t="s">
        <v>6001</v>
      </c>
      <c r="E3720" s="3" t="s">
        <v>5991</v>
      </c>
      <c r="F3720" s="3" t="s">
        <v>1250</v>
      </c>
      <c r="G3720" s="3" t="s">
        <v>538</v>
      </c>
      <c r="H3720" s="3" t="s">
        <v>1756</v>
      </c>
      <c r="I3720" s="3" t="s">
        <v>1251</v>
      </c>
      <c r="J3720" s="5" t="s">
        <v>6670</v>
      </c>
      <c r="L3720" s="3" t="s">
        <v>6331</v>
      </c>
      <c r="M3720" s="3">
        <v>16</v>
      </c>
      <c r="N3720" s="4" t="s">
        <v>1726</v>
      </c>
      <c r="O3720" s="4">
        <v>196</v>
      </c>
      <c r="P3720" s="11" t="s">
        <v>9737</v>
      </c>
      <c r="Q3720" s="11" t="s">
        <v>9727</v>
      </c>
      <c r="S3720" s="4" t="b">
        <f>ISNUMBER(MATCH(Q3720,T:T,0))</f>
        <v>1</v>
      </c>
      <c r="T3720" s="4" t="s">
        <v>9760</v>
      </c>
      <c r="U3720" s="4" t="str">
        <f t="shared" si="166"/>
        <v>力</v>
      </c>
    </row>
    <row r="3721" spans="1:22">
      <c r="A3721" s="3">
        <v>3712</v>
      </c>
      <c r="B3721" s="3" t="s">
        <v>1724</v>
      </c>
      <c r="C3721" s="3" t="s">
        <v>6049</v>
      </c>
      <c r="D3721" s="3" t="s">
        <v>6001</v>
      </c>
      <c r="E3721" s="3" t="s">
        <v>5991</v>
      </c>
      <c r="F3721" s="3" t="s">
        <v>1250</v>
      </c>
      <c r="G3721" s="3" t="s">
        <v>538</v>
      </c>
      <c r="H3721" s="3" t="s">
        <v>1757</v>
      </c>
      <c r="I3721" s="3" t="s">
        <v>1251</v>
      </c>
      <c r="J3721" s="5" t="s">
        <v>6671</v>
      </c>
      <c r="L3721" s="3" t="s">
        <v>6335</v>
      </c>
      <c r="M3721" s="3">
        <v>10</v>
      </c>
      <c r="N3721" s="4" t="s">
        <v>1726</v>
      </c>
      <c r="O3721" s="4">
        <v>196</v>
      </c>
      <c r="P3721" s="11" t="s">
        <v>9786</v>
      </c>
      <c r="Q3721" s="11" t="s">
        <v>9804</v>
      </c>
      <c r="R3721" s="4" t="s">
        <v>13202</v>
      </c>
      <c r="S3721" s="4" t="b">
        <f>ISNUMBER(MATCH(Q3721,T:T,0))</f>
        <v>0</v>
      </c>
      <c r="T3721" s="4" t="s">
        <v>10873</v>
      </c>
      <c r="U3721" s="4" t="str">
        <f t="shared" si="166"/>
        <v>稄</v>
      </c>
      <c r="V3721" s="4" t="b">
        <f>ISNUMBER(MATCH(R3721,T:T,0))</f>
        <v>1</v>
      </c>
    </row>
    <row r="3722" spans="1:22">
      <c r="A3722" s="3">
        <v>3713</v>
      </c>
      <c r="B3722" s="3" t="s">
        <v>1724</v>
      </c>
      <c r="C3722" s="3" t="s">
        <v>6032</v>
      </c>
      <c r="D3722" s="3" t="s">
        <v>6001</v>
      </c>
      <c r="E3722" s="3" t="s">
        <v>6212</v>
      </c>
      <c r="F3722" s="3" t="s">
        <v>1250</v>
      </c>
      <c r="G3722" s="3" t="s">
        <v>538</v>
      </c>
      <c r="H3722" s="3" t="s">
        <v>1758</v>
      </c>
      <c r="I3722" s="3" t="s">
        <v>1251</v>
      </c>
      <c r="J3722" s="5" t="s">
        <v>6672</v>
      </c>
      <c r="L3722" s="3" t="s">
        <v>1382</v>
      </c>
      <c r="M3722" s="3">
        <v>14</v>
      </c>
      <c r="N3722" s="4" t="s">
        <v>1726</v>
      </c>
      <c r="O3722" s="4">
        <v>196</v>
      </c>
      <c r="P3722" s="11" t="s">
        <v>9840</v>
      </c>
      <c r="Q3722" s="11" t="s">
        <v>10873</v>
      </c>
      <c r="S3722" s="4" t="b">
        <f>ISNUMBER(MATCH(Q3722,T:T,0))</f>
        <v>1</v>
      </c>
      <c r="T3722" s="4" t="s">
        <v>12880</v>
      </c>
      <c r="U3722" s="4" t="str">
        <f t="shared" si="166"/>
        <v>逼</v>
      </c>
    </row>
    <row r="3723" spans="1:22">
      <c r="A3723" s="3">
        <v>3714</v>
      </c>
      <c r="B3723" s="3" t="s">
        <v>1724</v>
      </c>
      <c r="C3723" s="3" t="s">
        <v>6089</v>
      </c>
      <c r="D3723" s="3" t="s">
        <v>6001</v>
      </c>
      <c r="E3723" s="3" t="s">
        <v>6212</v>
      </c>
      <c r="F3723" s="3" t="s">
        <v>1250</v>
      </c>
      <c r="G3723" s="3" t="s">
        <v>538</v>
      </c>
      <c r="H3723" s="3" t="s">
        <v>1759</v>
      </c>
      <c r="I3723" s="3" t="s">
        <v>1251</v>
      </c>
      <c r="J3723" s="5" t="s">
        <v>1760</v>
      </c>
      <c r="L3723" s="3" t="s">
        <v>5987</v>
      </c>
      <c r="M3723" s="3">
        <v>14</v>
      </c>
      <c r="N3723" s="4" t="s">
        <v>1726</v>
      </c>
      <c r="O3723" s="4">
        <v>196</v>
      </c>
      <c r="P3723" s="11" t="s">
        <v>9858</v>
      </c>
      <c r="Q3723" s="11" t="s">
        <v>10873</v>
      </c>
      <c r="S3723" s="4" t="b">
        <f>ISNUMBER(MATCH(Q3723,T:T,0))</f>
        <v>1</v>
      </c>
      <c r="T3723" s="4" t="s">
        <v>12881</v>
      </c>
      <c r="U3723" s="4" t="str">
        <f t="shared" si="166"/>
        <v>逼</v>
      </c>
    </row>
    <row r="3724" spans="1:22">
      <c r="A3724" s="3">
        <v>3715</v>
      </c>
      <c r="B3724" s="3" t="s">
        <v>1724</v>
      </c>
      <c r="C3724" s="3" t="s">
        <v>6053</v>
      </c>
      <c r="D3724" s="3" t="s">
        <v>6001</v>
      </c>
      <c r="E3724" s="3" t="s">
        <v>5991</v>
      </c>
      <c r="F3724" s="3" t="s">
        <v>1250</v>
      </c>
      <c r="G3724" s="3" t="s">
        <v>538</v>
      </c>
      <c r="H3724" s="3" t="s">
        <v>1761</v>
      </c>
      <c r="I3724" s="3" t="s">
        <v>1251</v>
      </c>
      <c r="J3724" s="5" t="s">
        <v>6673</v>
      </c>
      <c r="L3724" s="3" t="s">
        <v>3469</v>
      </c>
      <c r="M3724" s="3">
        <v>13</v>
      </c>
      <c r="N3724" s="4" t="s">
        <v>1726</v>
      </c>
      <c r="O3724" s="4">
        <v>196</v>
      </c>
      <c r="P3724" s="11" t="s">
        <v>9841</v>
      </c>
      <c r="Q3724" s="11" t="s">
        <v>10873</v>
      </c>
      <c r="S3724" s="4" t="b">
        <f>ISNUMBER(MATCH(Q3724,T:T,0))</f>
        <v>1</v>
      </c>
      <c r="T3724" s="4" t="s">
        <v>12882</v>
      </c>
      <c r="U3724" s="4" t="str">
        <f t="shared" si="166"/>
        <v>逼</v>
      </c>
    </row>
    <row r="3725" spans="1:22">
      <c r="A3725" s="3">
        <v>3716</v>
      </c>
      <c r="B3725" s="3" t="s">
        <v>1724</v>
      </c>
      <c r="C3725" s="3" t="s">
        <v>6318</v>
      </c>
      <c r="D3725" s="3" t="s">
        <v>6001</v>
      </c>
      <c r="E3725" s="3" t="s">
        <v>5991</v>
      </c>
      <c r="F3725" s="3" t="s">
        <v>1250</v>
      </c>
      <c r="G3725" s="3" t="s">
        <v>538</v>
      </c>
      <c r="H3725" s="3" t="s">
        <v>1762</v>
      </c>
      <c r="I3725" s="3" t="s">
        <v>1251</v>
      </c>
      <c r="J3725" s="5" t="s">
        <v>6674</v>
      </c>
      <c r="K3725" s="3" t="s">
        <v>657</v>
      </c>
      <c r="L3725" s="3" t="s">
        <v>3551</v>
      </c>
      <c r="M3725" s="3">
        <v>11</v>
      </c>
      <c r="N3725" s="4" t="s">
        <v>1726</v>
      </c>
      <c r="O3725" s="4">
        <v>196</v>
      </c>
      <c r="P3725" s="11" t="s">
        <v>9988</v>
      </c>
      <c r="Q3725" s="11" t="s">
        <v>9727</v>
      </c>
      <c r="S3725" s="4" t="b">
        <f>ISNUMBER(MATCH(Q3725,T:T,0))</f>
        <v>1</v>
      </c>
      <c r="T3725" s="4" t="s">
        <v>12883</v>
      </c>
      <c r="U3725" s="4" t="str">
        <f t="shared" si="166"/>
        <v>力</v>
      </c>
    </row>
    <row r="3726" spans="1:22">
      <c r="A3726" s="3">
        <v>3717</v>
      </c>
      <c r="B3726" s="3" t="s">
        <v>1724</v>
      </c>
      <c r="C3726" s="3" t="s">
        <v>6045</v>
      </c>
      <c r="D3726" s="3" t="s">
        <v>6001</v>
      </c>
      <c r="E3726" s="3" t="s">
        <v>5991</v>
      </c>
      <c r="F3726" s="3" t="s">
        <v>1250</v>
      </c>
      <c r="G3726" s="3" t="s">
        <v>538</v>
      </c>
      <c r="H3726" s="3" t="s">
        <v>1763</v>
      </c>
      <c r="I3726" s="3" t="s">
        <v>1251</v>
      </c>
      <c r="J3726" s="5" t="s">
        <v>1764</v>
      </c>
      <c r="L3726" s="3" t="s">
        <v>3499</v>
      </c>
      <c r="M3726" s="3">
        <v>8</v>
      </c>
      <c r="N3726" s="4" t="s">
        <v>1726</v>
      </c>
      <c r="O3726" s="4">
        <v>196</v>
      </c>
      <c r="P3726" s="11" t="s">
        <v>9759</v>
      </c>
      <c r="Q3726" s="11" t="s">
        <v>10873</v>
      </c>
      <c r="S3726" s="4" t="b">
        <f>ISNUMBER(MATCH(Q3726,T:T,0))</f>
        <v>1</v>
      </c>
      <c r="T3726" s="4" t="s">
        <v>12884</v>
      </c>
      <c r="U3726" s="4" t="str">
        <f t="shared" si="166"/>
        <v>逼</v>
      </c>
    </row>
    <row r="3727" spans="1:22">
      <c r="A3727" s="3">
        <v>3718</v>
      </c>
      <c r="B3727" s="3" t="s">
        <v>1724</v>
      </c>
      <c r="C3727" s="3" t="s">
        <v>6092</v>
      </c>
      <c r="D3727" s="3" t="s">
        <v>6001</v>
      </c>
      <c r="E3727" s="3" t="s">
        <v>5991</v>
      </c>
      <c r="F3727" s="3" t="s">
        <v>1250</v>
      </c>
      <c r="G3727" s="3" t="s">
        <v>538</v>
      </c>
      <c r="H3727" s="3" t="s">
        <v>1765</v>
      </c>
      <c r="I3727" s="3" t="s">
        <v>1251</v>
      </c>
      <c r="J3727" s="5" t="s">
        <v>6675</v>
      </c>
      <c r="L3727" s="3" t="s">
        <v>4368</v>
      </c>
      <c r="M3727" s="3">
        <v>5</v>
      </c>
      <c r="N3727" s="4" t="s">
        <v>1726</v>
      </c>
      <c r="O3727" s="4">
        <v>196</v>
      </c>
      <c r="P3727" s="11" t="s">
        <v>6462</v>
      </c>
      <c r="Q3727" s="11" t="s">
        <v>9727</v>
      </c>
      <c r="S3727" s="4" t="b">
        <f>ISNUMBER(MATCH(Q3727,T:T,0))</f>
        <v>1</v>
      </c>
      <c r="T3727" s="4" t="s">
        <v>12885</v>
      </c>
      <c r="U3727" s="4" t="str">
        <f t="shared" si="166"/>
        <v>力</v>
      </c>
    </row>
    <row r="3728" spans="1:22">
      <c r="A3728" s="3">
        <v>3719</v>
      </c>
      <c r="B3728" s="3" t="s">
        <v>1724</v>
      </c>
      <c r="C3728" s="3" t="s">
        <v>6069</v>
      </c>
      <c r="D3728" s="3" t="s">
        <v>6001</v>
      </c>
      <c r="E3728" s="3" t="s">
        <v>5991</v>
      </c>
      <c r="F3728" s="3" t="s">
        <v>1250</v>
      </c>
      <c r="G3728" s="3" t="s">
        <v>538</v>
      </c>
      <c r="H3728" s="3" t="s">
        <v>1766</v>
      </c>
      <c r="I3728" s="3" t="s">
        <v>1251</v>
      </c>
      <c r="J3728" s="5" t="s">
        <v>6676</v>
      </c>
      <c r="L3728" s="3" t="s">
        <v>3485</v>
      </c>
      <c r="M3728" s="3">
        <v>3</v>
      </c>
      <c r="N3728" s="4" t="s">
        <v>1726</v>
      </c>
      <c r="O3728" s="4">
        <v>196</v>
      </c>
      <c r="P3728" s="11" t="s">
        <v>10492</v>
      </c>
      <c r="Q3728" s="11" t="s">
        <v>9727</v>
      </c>
      <c r="S3728" s="4" t="b">
        <f>ISNUMBER(MATCH(Q3728,T:T,0))</f>
        <v>1</v>
      </c>
      <c r="T3728" s="4" t="s">
        <v>12659</v>
      </c>
      <c r="U3728" s="4" t="str">
        <f t="shared" si="166"/>
        <v>力</v>
      </c>
    </row>
    <row r="3729" spans="1:22">
      <c r="A3729" s="3">
        <v>3720</v>
      </c>
      <c r="B3729" s="3" t="s">
        <v>1724</v>
      </c>
      <c r="C3729" s="3" t="s">
        <v>6000</v>
      </c>
      <c r="D3729" s="3" t="s">
        <v>6001</v>
      </c>
      <c r="E3729" s="3" t="s">
        <v>5991</v>
      </c>
      <c r="F3729" s="3" t="s">
        <v>1250</v>
      </c>
      <c r="G3729" s="3" t="s">
        <v>538</v>
      </c>
      <c r="H3729" s="3" t="s">
        <v>1767</v>
      </c>
      <c r="I3729" s="3" t="s">
        <v>1251</v>
      </c>
      <c r="J3729" s="5" t="s">
        <v>1768</v>
      </c>
      <c r="L3729" s="3" t="s">
        <v>3453</v>
      </c>
      <c r="M3729" s="3">
        <v>3</v>
      </c>
      <c r="N3729" s="4" t="s">
        <v>1726</v>
      </c>
      <c r="O3729" s="4">
        <v>196</v>
      </c>
      <c r="P3729" s="11" t="s">
        <v>9822</v>
      </c>
      <c r="Q3729" s="11" t="s">
        <v>9727</v>
      </c>
      <c r="S3729" s="4" t="b">
        <f>ISNUMBER(MATCH(Q3729,T:T,0))</f>
        <v>1</v>
      </c>
      <c r="T3729" s="4" t="s">
        <v>12886</v>
      </c>
      <c r="U3729" s="4" t="str">
        <f t="shared" si="166"/>
        <v>力</v>
      </c>
    </row>
    <row r="3730" spans="1:22">
      <c r="A3730" s="3">
        <v>3721</v>
      </c>
      <c r="B3730" s="3" t="s">
        <v>1724</v>
      </c>
      <c r="C3730" s="3" t="s">
        <v>6035</v>
      </c>
      <c r="D3730" s="3" t="s">
        <v>6001</v>
      </c>
      <c r="E3730" s="3" t="s">
        <v>5991</v>
      </c>
      <c r="F3730" s="3" t="s">
        <v>1250</v>
      </c>
      <c r="G3730" s="3" t="s">
        <v>538</v>
      </c>
      <c r="H3730" s="3" t="s">
        <v>1769</v>
      </c>
      <c r="I3730" s="3" t="s">
        <v>1251</v>
      </c>
      <c r="J3730" s="5" t="s">
        <v>1770</v>
      </c>
      <c r="L3730" s="3" t="s">
        <v>4427</v>
      </c>
      <c r="M3730" s="3">
        <v>1</v>
      </c>
      <c r="N3730" s="4" t="s">
        <v>1726</v>
      </c>
      <c r="O3730" s="4">
        <v>196</v>
      </c>
      <c r="P3730" s="11" t="s">
        <v>10151</v>
      </c>
      <c r="Q3730" s="11" t="s">
        <v>10873</v>
      </c>
      <c r="S3730" s="4" t="b">
        <f>ISNUMBER(MATCH(Q3730,T:T,0))</f>
        <v>1</v>
      </c>
      <c r="T3730" s="4" t="s">
        <v>1770</v>
      </c>
      <c r="U3730" s="4" t="str">
        <f t="shared" si="166"/>
        <v>逼</v>
      </c>
    </row>
    <row r="3731" spans="1:22">
      <c r="A3731" s="3">
        <v>3722</v>
      </c>
      <c r="B3731" s="3" t="s">
        <v>1724</v>
      </c>
      <c r="C3731" s="3" t="s">
        <v>6055</v>
      </c>
      <c r="D3731" s="3" t="s">
        <v>6001</v>
      </c>
      <c r="E3731" s="3" t="s">
        <v>5991</v>
      </c>
      <c r="F3731" s="3" t="s">
        <v>1250</v>
      </c>
      <c r="G3731" s="3" t="s">
        <v>538</v>
      </c>
      <c r="H3731" s="3" t="s">
        <v>1771</v>
      </c>
      <c r="I3731" s="3" t="s">
        <v>1251</v>
      </c>
      <c r="J3731" s="5" t="s">
        <v>1772</v>
      </c>
      <c r="L3731" s="3" t="s">
        <v>3480</v>
      </c>
      <c r="M3731" s="3">
        <v>2</v>
      </c>
      <c r="N3731" s="4" t="s">
        <v>1726</v>
      </c>
      <c r="O3731" s="4">
        <v>196</v>
      </c>
      <c r="P3731" s="11" t="s">
        <v>6055</v>
      </c>
      <c r="Q3731" s="11" t="s">
        <v>9727</v>
      </c>
      <c r="S3731" s="4" t="b">
        <f>ISNUMBER(MATCH(Q3731,T:T,0))</f>
        <v>1</v>
      </c>
      <c r="T3731" s="4" t="s">
        <v>12887</v>
      </c>
      <c r="U3731" s="4" t="str">
        <f t="shared" si="166"/>
        <v>力</v>
      </c>
    </row>
    <row r="3732" spans="1:22">
      <c r="A3732" s="3">
        <v>3723</v>
      </c>
      <c r="B3732" s="3" t="s">
        <v>1773</v>
      </c>
      <c r="C3732" s="3" t="s">
        <v>5989</v>
      </c>
      <c r="D3732" s="3" t="s">
        <v>5990</v>
      </c>
      <c r="E3732" s="3" t="s">
        <v>5991</v>
      </c>
      <c r="F3732" s="3" t="s">
        <v>4957</v>
      </c>
      <c r="G3732" s="3" t="s">
        <v>538</v>
      </c>
      <c r="H3732" s="3" t="s">
        <v>1774</v>
      </c>
      <c r="I3732" s="3" t="s">
        <v>1251</v>
      </c>
      <c r="J3732" s="5" t="s">
        <v>6677</v>
      </c>
      <c r="L3732" s="3" t="s">
        <v>2857</v>
      </c>
      <c r="M3732" s="3">
        <v>9</v>
      </c>
      <c r="N3732" s="4" t="s">
        <v>9691</v>
      </c>
      <c r="O3732" s="4">
        <v>197</v>
      </c>
      <c r="P3732" s="11" t="s">
        <v>9975</v>
      </c>
      <c r="Q3732" s="11" t="s">
        <v>9875</v>
      </c>
      <c r="S3732" s="4" t="b">
        <f>ISNUMBER(MATCH(Q3732,T:T,0))</f>
        <v>1</v>
      </c>
      <c r="T3732" s="4" t="s">
        <v>9691</v>
      </c>
      <c r="U3732" s="4" t="str">
        <f t="shared" si="166"/>
        <v>則</v>
      </c>
    </row>
    <row r="3733" spans="1:22">
      <c r="A3733" s="3">
        <v>3724</v>
      </c>
      <c r="B3733" s="3" t="s">
        <v>1773</v>
      </c>
      <c r="C3733" s="3" t="s">
        <v>6083</v>
      </c>
      <c r="D3733" s="3" t="s">
        <v>5990</v>
      </c>
      <c r="E3733" s="3" t="s">
        <v>5991</v>
      </c>
      <c r="F3733" s="3" t="s">
        <v>4957</v>
      </c>
      <c r="G3733" s="3" t="s">
        <v>538</v>
      </c>
      <c r="H3733" s="3" t="s">
        <v>1775</v>
      </c>
      <c r="I3733" s="3" t="s">
        <v>1251</v>
      </c>
      <c r="J3733" s="5" t="s">
        <v>1776</v>
      </c>
      <c r="L3733" s="3" t="s">
        <v>2848</v>
      </c>
      <c r="M3733" s="3">
        <v>3</v>
      </c>
      <c r="N3733" s="4" t="s">
        <v>9691</v>
      </c>
      <c r="O3733" s="4">
        <v>197</v>
      </c>
      <c r="P3733" s="11" t="s">
        <v>9737</v>
      </c>
      <c r="Q3733" s="11" t="s">
        <v>9691</v>
      </c>
      <c r="S3733" s="4" t="b">
        <f>ISNUMBER(MATCH(Q3733,T:T,0))</f>
        <v>1</v>
      </c>
      <c r="T3733" s="4" t="s">
        <v>9875</v>
      </c>
      <c r="U3733" s="4" t="str">
        <f t="shared" si="166"/>
        <v>德</v>
      </c>
    </row>
    <row r="3734" spans="1:22">
      <c r="A3734" s="3">
        <v>3725</v>
      </c>
      <c r="B3734" s="3" t="s">
        <v>1773</v>
      </c>
      <c r="C3734" s="3" t="s">
        <v>6058</v>
      </c>
      <c r="D3734" s="3" t="s">
        <v>5990</v>
      </c>
      <c r="E3734" s="3" t="s">
        <v>5991</v>
      </c>
      <c r="F3734" s="3" t="s">
        <v>4957</v>
      </c>
      <c r="G3734" s="3" t="s">
        <v>538</v>
      </c>
      <c r="H3734" s="3" t="s">
        <v>1777</v>
      </c>
      <c r="I3734" s="3" t="s">
        <v>1251</v>
      </c>
      <c r="J3734" s="5" t="s">
        <v>6678</v>
      </c>
      <c r="L3734" s="3" t="s">
        <v>1644</v>
      </c>
      <c r="M3734" s="3">
        <v>12</v>
      </c>
      <c r="N3734" s="4" t="s">
        <v>9691</v>
      </c>
      <c r="O3734" s="4">
        <v>197</v>
      </c>
      <c r="P3734" s="11" t="s">
        <v>9730</v>
      </c>
      <c r="Q3734" s="11" t="s">
        <v>9875</v>
      </c>
      <c r="S3734" s="4" t="b">
        <f>ISNUMBER(MATCH(Q3734,T:T,0))</f>
        <v>1</v>
      </c>
      <c r="T3734" s="4" t="s">
        <v>10175</v>
      </c>
      <c r="U3734" s="4" t="str">
        <f t="shared" si="166"/>
        <v>則</v>
      </c>
    </row>
    <row r="3735" spans="1:22">
      <c r="A3735" s="3">
        <v>3726</v>
      </c>
      <c r="B3735" s="3" t="s">
        <v>1773</v>
      </c>
      <c r="C3735" s="3" t="s">
        <v>6038</v>
      </c>
      <c r="D3735" s="3" t="s">
        <v>5990</v>
      </c>
      <c r="E3735" s="3" t="s">
        <v>5991</v>
      </c>
      <c r="F3735" s="3" t="s">
        <v>4957</v>
      </c>
      <c r="G3735" s="3" t="s">
        <v>538</v>
      </c>
      <c r="H3735" s="3" t="s">
        <v>1778</v>
      </c>
      <c r="I3735" s="3" t="s">
        <v>1251</v>
      </c>
      <c r="J3735" s="5" t="s">
        <v>6679</v>
      </c>
      <c r="L3735" s="3" t="s">
        <v>2862</v>
      </c>
      <c r="M3735" s="3">
        <v>5</v>
      </c>
      <c r="N3735" s="4" t="s">
        <v>9691</v>
      </c>
      <c r="O3735" s="4">
        <v>197</v>
      </c>
      <c r="P3735" s="11" t="s">
        <v>9728</v>
      </c>
      <c r="Q3735" s="11" t="s">
        <v>10052</v>
      </c>
      <c r="R3735" s="4" t="s">
        <v>13203</v>
      </c>
      <c r="S3735" s="4" t="b">
        <f>ISNUMBER(MATCH(Q3735,T:T,0))</f>
        <v>0</v>
      </c>
      <c r="T3735" s="4" t="s">
        <v>12888</v>
      </c>
      <c r="U3735" s="4" t="str">
        <f t="shared" si="166"/>
        <v>德</v>
      </c>
      <c r="V3735" s="4" t="b">
        <f t="shared" ref="V3735:V3736" si="167">ISNUMBER(MATCH(R3735,T:T,0))</f>
        <v>1</v>
      </c>
    </row>
    <row r="3736" spans="1:22">
      <c r="A3736" s="3">
        <v>3727</v>
      </c>
      <c r="B3736" s="3" t="s">
        <v>1773</v>
      </c>
      <c r="C3736" s="3" t="s">
        <v>5997</v>
      </c>
      <c r="D3736" s="3" t="s">
        <v>5990</v>
      </c>
      <c r="E3736" s="3" t="s">
        <v>5991</v>
      </c>
      <c r="F3736" s="3" t="s">
        <v>4957</v>
      </c>
      <c r="G3736" s="3" t="s">
        <v>538</v>
      </c>
      <c r="H3736" s="3" t="s">
        <v>1779</v>
      </c>
      <c r="I3736" s="3" t="s">
        <v>1251</v>
      </c>
      <c r="J3736" s="5" t="s">
        <v>6680</v>
      </c>
      <c r="L3736" s="3" t="s">
        <v>1780</v>
      </c>
      <c r="M3736" s="3">
        <v>9</v>
      </c>
      <c r="N3736" s="4" t="s">
        <v>9691</v>
      </c>
      <c r="O3736" s="4">
        <v>197</v>
      </c>
      <c r="P3736" s="11" t="s">
        <v>9706</v>
      </c>
      <c r="Q3736" s="11" t="s">
        <v>10052</v>
      </c>
      <c r="R3736" s="4" t="s">
        <v>13203</v>
      </c>
      <c r="S3736" s="4" t="b">
        <f>ISNUMBER(MATCH(Q3736,T:T,0))</f>
        <v>0</v>
      </c>
      <c r="T3736" s="4" t="s">
        <v>10113</v>
      </c>
      <c r="U3736" s="4" t="str">
        <f t="shared" si="166"/>
        <v>德</v>
      </c>
      <c r="V3736" s="4" t="b">
        <f t="shared" si="167"/>
        <v>1</v>
      </c>
    </row>
    <row r="3737" spans="1:22">
      <c r="A3737" s="3">
        <v>3728</v>
      </c>
      <c r="B3737" s="3" t="s">
        <v>1773</v>
      </c>
      <c r="C3737" s="3" t="s">
        <v>6089</v>
      </c>
      <c r="D3737" s="3" t="s">
        <v>5990</v>
      </c>
      <c r="E3737" s="3" t="s">
        <v>5991</v>
      </c>
      <c r="F3737" s="3" t="s">
        <v>4957</v>
      </c>
      <c r="G3737" s="3" t="s">
        <v>538</v>
      </c>
      <c r="H3737" s="3" t="s">
        <v>1781</v>
      </c>
      <c r="I3737" s="3" t="s">
        <v>1251</v>
      </c>
      <c r="J3737" s="5" t="s">
        <v>1782</v>
      </c>
      <c r="L3737" s="3" t="s">
        <v>2869</v>
      </c>
      <c r="M3737" s="3">
        <v>3</v>
      </c>
      <c r="N3737" s="4" t="s">
        <v>9691</v>
      </c>
      <c r="O3737" s="4">
        <v>197</v>
      </c>
      <c r="P3737" s="11" t="s">
        <v>9739</v>
      </c>
      <c r="Q3737" s="11" t="s">
        <v>9979</v>
      </c>
      <c r="S3737" s="4" t="b">
        <f>ISNUMBER(MATCH(Q3737,T:T,0))</f>
        <v>1</v>
      </c>
      <c r="T3737" s="4" t="s">
        <v>10699</v>
      </c>
      <c r="U3737" s="4" t="str">
        <f t="shared" si="166"/>
        <v>北</v>
      </c>
    </row>
    <row r="3738" spans="1:22">
      <c r="A3738" s="3">
        <v>3729</v>
      </c>
      <c r="B3738" s="3" t="s">
        <v>1773</v>
      </c>
      <c r="C3738" s="3" t="s">
        <v>6035</v>
      </c>
      <c r="D3738" s="3" t="s">
        <v>5990</v>
      </c>
      <c r="E3738" s="3" t="s">
        <v>5991</v>
      </c>
      <c r="F3738" s="3" t="s">
        <v>4957</v>
      </c>
      <c r="G3738" s="3" t="s">
        <v>538</v>
      </c>
      <c r="H3738" s="3" t="s">
        <v>1783</v>
      </c>
      <c r="I3738" s="3" t="s">
        <v>1251</v>
      </c>
      <c r="J3738" s="5" t="s">
        <v>1784</v>
      </c>
      <c r="L3738" s="3" t="s">
        <v>2415</v>
      </c>
      <c r="M3738" s="3">
        <v>12</v>
      </c>
      <c r="N3738" s="4" t="s">
        <v>9691</v>
      </c>
      <c r="O3738" s="4">
        <v>197</v>
      </c>
      <c r="P3738" s="11" t="s">
        <v>9719</v>
      </c>
      <c r="Q3738" s="11" t="s">
        <v>9979</v>
      </c>
      <c r="S3738" s="4" t="b">
        <f>ISNUMBER(MATCH(Q3738,T:T,0))</f>
        <v>1</v>
      </c>
      <c r="T3738" s="4" t="s">
        <v>10874</v>
      </c>
      <c r="U3738" s="4" t="str">
        <f t="shared" si="166"/>
        <v>北</v>
      </c>
    </row>
    <row r="3739" spans="1:22">
      <c r="A3739" s="3">
        <v>3730</v>
      </c>
      <c r="B3739" s="3" t="s">
        <v>1773</v>
      </c>
      <c r="C3739" s="3" t="s">
        <v>6069</v>
      </c>
      <c r="D3739" s="3" t="s">
        <v>5990</v>
      </c>
      <c r="E3739" s="3" t="s">
        <v>5991</v>
      </c>
      <c r="F3739" s="3" t="s">
        <v>4957</v>
      </c>
      <c r="G3739" s="3" t="s">
        <v>538</v>
      </c>
      <c r="H3739" s="3" t="s">
        <v>1785</v>
      </c>
      <c r="I3739" s="3" t="s">
        <v>1251</v>
      </c>
      <c r="J3739" s="5" t="s">
        <v>6681</v>
      </c>
      <c r="L3739" s="3" t="s">
        <v>1786</v>
      </c>
      <c r="M3739" s="3">
        <v>7</v>
      </c>
      <c r="N3739" s="4" t="s">
        <v>9691</v>
      </c>
      <c r="O3739" s="4">
        <v>197</v>
      </c>
      <c r="P3739" s="11" t="s">
        <v>9880</v>
      </c>
      <c r="Q3739" s="11" t="s">
        <v>9875</v>
      </c>
      <c r="S3739" s="4" t="b">
        <f>ISNUMBER(MATCH(Q3739,T:T,0))</f>
        <v>1</v>
      </c>
      <c r="T3739" s="4" t="s">
        <v>12889</v>
      </c>
      <c r="U3739" s="4" t="str">
        <f t="shared" si="166"/>
        <v>則</v>
      </c>
    </row>
    <row r="3740" spans="1:22">
      <c r="A3740" s="3">
        <v>3731</v>
      </c>
      <c r="B3740" s="3" t="s">
        <v>1773</v>
      </c>
      <c r="C3740" s="3" t="s">
        <v>6017</v>
      </c>
      <c r="D3740" s="3" t="s">
        <v>5990</v>
      </c>
      <c r="E3740" s="3" t="s">
        <v>5991</v>
      </c>
      <c r="F3740" s="3" t="s">
        <v>4957</v>
      </c>
      <c r="G3740" s="3" t="s">
        <v>538</v>
      </c>
      <c r="H3740" s="3" t="s">
        <v>1787</v>
      </c>
      <c r="I3740" s="3" t="s">
        <v>1251</v>
      </c>
      <c r="J3740" s="5" t="s">
        <v>1788</v>
      </c>
      <c r="L3740" s="3" t="s">
        <v>2871</v>
      </c>
      <c r="M3740" s="3">
        <v>5</v>
      </c>
      <c r="N3740" s="4" t="s">
        <v>9691</v>
      </c>
      <c r="O3740" s="4">
        <v>197</v>
      </c>
      <c r="P3740" s="11" t="s">
        <v>9741</v>
      </c>
      <c r="Q3740" s="11" t="s">
        <v>9875</v>
      </c>
      <c r="S3740" s="4" t="b">
        <f>ISNUMBER(MATCH(Q3740,T:T,0))</f>
        <v>1</v>
      </c>
      <c r="T3740" s="4" t="s">
        <v>12890</v>
      </c>
      <c r="U3740" s="4" t="str">
        <f t="shared" si="166"/>
        <v>則</v>
      </c>
    </row>
    <row r="3741" spans="1:22">
      <c r="A3741" s="3">
        <v>3732</v>
      </c>
      <c r="B3741" s="3" t="s">
        <v>1773</v>
      </c>
      <c r="C3741" s="3" t="s">
        <v>6049</v>
      </c>
      <c r="D3741" s="3" t="s">
        <v>5990</v>
      </c>
      <c r="E3741" s="3" t="s">
        <v>5991</v>
      </c>
      <c r="F3741" s="3" t="s">
        <v>4957</v>
      </c>
      <c r="G3741" s="3" t="s">
        <v>538</v>
      </c>
      <c r="H3741" s="3" t="s">
        <v>1789</v>
      </c>
      <c r="I3741" s="3" t="s">
        <v>1251</v>
      </c>
      <c r="J3741" s="5" t="s">
        <v>1790</v>
      </c>
      <c r="L3741" s="3" t="s">
        <v>2792</v>
      </c>
      <c r="M3741" s="3">
        <v>2</v>
      </c>
      <c r="N3741" s="4" t="s">
        <v>9691</v>
      </c>
      <c r="O3741" s="4">
        <v>197</v>
      </c>
      <c r="P3741" s="11" t="s">
        <v>9770</v>
      </c>
      <c r="Q3741" s="11" t="s">
        <v>10874</v>
      </c>
      <c r="S3741" s="4" t="b">
        <f>ISNUMBER(MATCH(Q3741,T:T,0))</f>
        <v>1</v>
      </c>
      <c r="T3741" s="4" t="s">
        <v>9979</v>
      </c>
      <c r="U3741" s="4" t="str">
        <f t="shared" si="166"/>
        <v>墨</v>
      </c>
    </row>
    <row r="3742" spans="1:22">
      <c r="A3742" s="3">
        <v>3733</v>
      </c>
      <c r="B3742" s="3" t="s">
        <v>1773</v>
      </c>
      <c r="C3742" s="3" t="s">
        <v>6045</v>
      </c>
      <c r="D3742" s="3" t="s">
        <v>5990</v>
      </c>
      <c r="E3742" s="3" t="s">
        <v>5991</v>
      </c>
      <c r="F3742" s="3" t="s">
        <v>4957</v>
      </c>
      <c r="G3742" s="3" t="s">
        <v>538</v>
      </c>
      <c r="H3742" s="3" t="s">
        <v>1791</v>
      </c>
      <c r="I3742" s="3" t="s">
        <v>1251</v>
      </c>
      <c r="J3742" s="5" t="s">
        <v>1792</v>
      </c>
      <c r="L3742" s="3" t="s">
        <v>3432</v>
      </c>
      <c r="M3742" s="3">
        <v>13</v>
      </c>
      <c r="N3742" s="4" t="s">
        <v>9691</v>
      </c>
      <c r="O3742" s="4">
        <v>197</v>
      </c>
      <c r="P3742" s="11" t="s">
        <v>9965</v>
      </c>
      <c r="Q3742" s="11" t="s">
        <v>9979</v>
      </c>
      <c r="S3742" s="4" t="b">
        <f>ISNUMBER(MATCH(Q3742,T:T,0))</f>
        <v>1</v>
      </c>
      <c r="T3742" s="4" t="s">
        <v>12891</v>
      </c>
      <c r="U3742" s="4" t="str">
        <f t="shared" si="166"/>
        <v>北</v>
      </c>
    </row>
    <row r="3743" spans="1:22">
      <c r="A3743" s="3">
        <v>3734</v>
      </c>
      <c r="B3743" s="3" t="s">
        <v>1773</v>
      </c>
      <c r="C3743" s="3" t="s">
        <v>6067</v>
      </c>
      <c r="D3743" s="3" t="s">
        <v>5990</v>
      </c>
      <c r="E3743" s="3" t="s">
        <v>6212</v>
      </c>
      <c r="F3743" s="3" t="s">
        <v>4957</v>
      </c>
      <c r="G3743" s="3" t="s">
        <v>538</v>
      </c>
      <c r="H3743" s="3" t="s">
        <v>1793</v>
      </c>
      <c r="I3743" s="3" t="s">
        <v>1251</v>
      </c>
      <c r="J3743" s="5" t="s">
        <v>1794</v>
      </c>
      <c r="L3743" s="3" t="s">
        <v>4617</v>
      </c>
      <c r="M3743" s="3">
        <v>5</v>
      </c>
      <c r="N3743" s="4" t="s">
        <v>9691</v>
      </c>
      <c r="O3743" s="4">
        <v>197</v>
      </c>
      <c r="P3743" s="11" t="s">
        <v>9870</v>
      </c>
      <c r="Q3743" s="11" t="s">
        <v>10875</v>
      </c>
      <c r="S3743" s="4" t="b">
        <f>ISNUMBER(MATCH(Q3743,T:T,0))</f>
        <v>1</v>
      </c>
      <c r="T3743" s="4" t="s">
        <v>10876</v>
      </c>
      <c r="U3743" s="4" t="str">
        <f t="shared" si="166"/>
        <v>國</v>
      </c>
    </row>
    <row r="3744" spans="1:22">
      <c r="A3744" s="3">
        <v>3735</v>
      </c>
      <c r="B3744" s="3" t="s">
        <v>1773</v>
      </c>
      <c r="C3744" s="3" t="s">
        <v>6025</v>
      </c>
      <c r="D3744" s="3" t="s">
        <v>5990</v>
      </c>
      <c r="E3744" s="3" t="s">
        <v>6212</v>
      </c>
      <c r="F3744" s="3" t="s">
        <v>4957</v>
      </c>
      <c r="G3744" s="3" t="s">
        <v>538</v>
      </c>
      <c r="H3744" s="3" t="s">
        <v>1795</v>
      </c>
      <c r="I3744" s="3" t="s">
        <v>1251</v>
      </c>
      <c r="J3744" s="5" t="s">
        <v>1796</v>
      </c>
      <c r="K3744" s="3" t="s">
        <v>1797</v>
      </c>
      <c r="L3744" s="3" t="s">
        <v>3681</v>
      </c>
      <c r="M3744" s="3">
        <v>1</v>
      </c>
      <c r="N3744" s="4" t="s">
        <v>9691</v>
      </c>
      <c r="O3744" s="4">
        <v>197</v>
      </c>
      <c r="P3744" s="11" t="s">
        <v>9729</v>
      </c>
      <c r="Q3744" s="11" t="s">
        <v>10876</v>
      </c>
      <c r="S3744" s="4" t="b">
        <f>ISNUMBER(MATCH(Q3744,T:T,0))</f>
        <v>1</v>
      </c>
      <c r="T3744" s="4" t="s">
        <v>10875</v>
      </c>
      <c r="U3744" s="4" t="str">
        <f t="shared" si="166"/>
        <v>或</v>
      </c>
    </row>
    <row r="3745" spans="1:22">
      <c r="A3745" s="3">
        <v>3736</v>
      </c>
      <c r="B3745" s="3" t="s">
        <v>1773</v>
      </c>
      <c r="C3745" s="3" t="s">
        <v>6072</v>
      </c>
      <c r="D3745" s="3" t="s">
        <v>5990</v>
      </c>
      <c r="E3745" s="3" t="s">
        <v>5991</v>
      </c>
      <c r="F3745" s="3" t="s">
        <v>4957</v>
      </c>
      <c r="G3745" s="3" t="s">
        <v>538</v>
      </c>
      <c r="H3745" s="3" t="s">
        <v>1798</v>
      </c>
      <c r="I3745" s="3" t="s">
        <v>1251</v>
      </c>
      <c r="J3745" s="5" t="s">
        <v>1799</v>
      </c>
      <c r="L3745" s="3" t="s">
        <v>3648</v>
      </c>
      <c r="M3745" s="3">
        <v>2</v>
      </c>
      <c r="N3745" s="4" t="s">
        <v>9691</v>
      </c>
      <c r="O3745" s="4">
        <v>197</v>
      </c>
      <c r="P3745" s="11" t="s">
        <v>10572</v>
      </c>
      <c r="Q3745" s="11" t="s">
        <v>10699</v>
      </c>
      <c r="S3745" s="4" t="b">
        <f>ISNUMBER(MATCH(Q3745,T:T,0))</f>
        <v>1</v>
      </c>
      <c r="T3745" s="4" t="s">
        <v>12892</v>
      </c>
      <c r="U3745" s="4" t="str">
        <f t="shared" si="166"/>
        <v>黑</v>
      </c>
    </row>
    <row r="3746" spans="1:22">
      <c r="A3746" s="3">
        <v>3737</v>
      </c>
      <c r="B3746" s="3" t="s">
        <v>1773</v>
      </c>
      <c r="C3746" s="3" t="s">
        <v>6067</v>
      </c>
      <c r="D3746" s="3" t="s">
        <v>5990</v>
      </c>
      <c r="E3746" s="3" t="s">
        <v>5991</v>
      </c>
      <c r="F3746" s="3" t="s">
        <v>4957</v>
      </c>
      <c r="G3746" s="3" t="s">
        <v>538</v>
      </c>
      <c r="H3746" s="3" t="s">
        <v>1800</v>
      </c>
      <c r="I3746" s="3" t="s">
        <v>1251</v>
      </c>
      <c r="J3746" s="5" t="s">
        <v>1801</v>
      </c>
      <c r="L3746" s="3" t="s">
        <v>4579</v>
      </c>
      <c r="M3746" s="3">
        <v>1</v>
      </c>
      <c r="N3746" s="4" t="s">
        <v>9691</v>
      </c>
      <c r="O3746" s="4">
        <v>197</v>
      </c>
      <c r="P3746" s="11" t="s">
        <v>9870</v>
      </c>
      <c r="Q3746" s="11" t="s">
        <v>10052</v>
      </c>
      <c r="R3746" s="4" t="s">
        <v>13203</v>
      </c>
      <c r="S3746" s="4" t="b">
        <f>ISNUMBER(MATCH(Q3746,T:T,0))</f>
        <v>0</v>
      </c>
      <c r="T3746" s="4" t="s">
        <v>1801</v>
      </c>
      <c r="U3746" s="4" t="str">
        <f t="shared" si="166"/>
        <v>德</v>
      </c>
      <c r="V3746" s="4" t="b">
        <f>ISNUMBER(MATCH(R3746,T:T,0))</f>
        <v>1</v>
      </c>
    </row>
    <row r="3747" spans="1:22">
      <c r="A3747" s="3">
        <v>3738</v>
      </c>
      <c r="B3747" s="3" t="s">
        <v>1773</v>
      </c>
      <c r="C3747" s="3" t="s">
        <v>6102</v>
      </c>
      <c r="D3747" s="3" t="s">
        <v>5990</v>
      </c>
      <c r="E3747" s="3" t="s">
        <v>5991</v>
      </c>
      <c r="F3747" s="3" t="s">
        <v>4957</v>
      </c>
      <c r="G3747" s="3" t="s">
        <v>538</v>
      </c>
      <c r="H3747" s="3" t="s">
        <v>1802</v>
      </c>
      <c r="I3747" s="3" t="s">
        <v>1251</v>
      </c>
      <c r="J3747" s="5" t="s">
        <v>1803</v>
      </c>
      <c r="L3747" s="3" t="s">
        <v>1651</v>
      </c>
      <c r="M3747" s="3">
        <v>3</v>
      </c>
      <c r="N3747" s="4" t="s">
        <v>9691</v>
      </c>
      <c r="O3747" s="4">
        <v>197</v>
      </c>
      <c r="P3747" s="11" t="s">
        <v>9744</v>
      </c>
      <c r="Q3747" s="11" t="s">
        <v>10175</v>
      </c>
      <c r="S3747" s="4" t="b">
        <f>ISNUMBER(MATCH(Q3747,T:T,0))</f>
        <v>1</v>
      </c>
      <c r="T3747" s="4" t="s">
        <v>12893</v>
      </c>
      <c r="U3747" s="4" t="str">
        <f t="shared" si="166"/>
        <v>勒</v>
      </c>
    </row>
    <row r="3748" spans="1:22">
      <c r="A3748" s="3">
        <v>3739</v>
      </c>
      <c r="B3748" s="3" t="s">
        <v>1773</v>
      </c>
      <c r="C3748" s="3" t="s">
        <v>6025</v>
      </c>
      <c r="D3748" s="3" t="s">
        <v>5990</v>
      </c>
      <c r="E3748" s="3" t="s">
        <v>5991</v>
      </c>
      <c r="F3748" s="3" t="s">
        <v>4957</v>
      </c>
      <c r="G3748" s="3" t="s">
        <v>538</v>
      </c>
      <c r="H3748" s="3" t="s">
        <v>1804</v>
      </c>
      <c r="I3748" s="3" t="s">
        <v>1251</v>
      </c>
      <c r="J3748" s="8" t="s">
        <v>6682</v>
      </c>
      <c r="L3748" s="3" t="s">
        <v>3660</v>
      </c>
      <c r="M3748" s="3">
        <v>3</v>
      </c>
      <c r="N3748" s="4" t="s">
        <v>9691</v>
      </c>
      <c r="O3748" s="4">
        <v>197</v>
      </c>
      <c r="P3748" s="11" t="s">
        <v>9729</v>
      </c>
      <c r="Q3748" s="11" t="s">
        <v>10052</v>
      </c>
      <c r="R3748" s="4" t="s">
        <v>13203</v>
      </c>
      <c r="S3748" s="4" t="b">
        <f>ISNUMBER(MATCH(Q3748,T:T,0))</f>
        <v>0</v>
      </c>
      <c r="T3748" s="4" t="s">
        <v>12894</v>
      </c>
      <c r="U3748" s="4" t="str">
        <f t="shared" si="166"/>
        <v>德</v>
      </c>
      <c r="V3748" s="4" t="b">
        <f>ISNUMBER(MATCH(R3748,T:T,0))</f>
        <v>1</v>
      </c>
    </row>
    <row r="3749" spans="1:22">
      <c r="A3749" s="3">
        <v>3740</v>
      </c>
      <c r="B3749" s="3" t="s">
        <v>1773</v>
      </c>
      <c r="C3749" s="3" t="s">
        <v>6076</v>
      </c>
      <c r="D3749" s="3" t="s">
        <v>5990</v>
      </c>
      <c r="E3749" s="3" t="s">
        <v>5991</v>
      </c>
      <c r="F3749" s="3" t="s">
        <v>4957</v>
      </c>
      <c r="G3749" s="3" t="s">
        <v>538</v>
      </c>
      <c r="H3749" s="3" t="s">
        <v>1805</v>
      </c>
      <c r="I3749" s="3" t="s">
        <v>1251</v>
      </c>
      <c r="J3749" s="8" t="s">
        <v>1806</v>
      </c>
      <c r="L3749" s="3" t="s">
        <v>2880</v>
      </c>
      <c r="M3749" s="3">
        <v>1</v>
      </c>
      <c r="N3749" s="4" t="s">
        <v>9691</v>
      </c>
      <c r="O3749" s="4">
        <v>197</v>
      </c>
      <c r="P3749" s="11" t="s">
        <v>9766</v>
      </c>
      <c r="Q3749" s="11" t="s">
        <v>9875</v>
      </c>
      <c r="S3749" s="4" t="b">
        <f>ISNUMBER(MATCH(Q3749,T:T,0))</f>
        <v>1</v>
      </c>
      <c r="T3749" s="4" t="s">
        <v>1806</v>
      </c>
      <c r="U3749" s="4" t="str">
        <f t="shared" si="166"/>
        <v>則</v>
      </c>
    </row>
    <row r="3750" spans="1:22">
      <c r="A3750" s="3">
        <v>3741</v>
      </c>
      <c r="B3750" s="3" t="s">
        <v>1773</v>
      </c>
      <c r="C3750" s="3" t="s">
        <v>6053</v>
      </c>
      <c r="D3750" s="3" t="s">
        <v>5990</v>
      </c>
      <c r="E3750" s="3" t="s">
        <v>5991</v>
      </c>
      <c r="F3750" s="3" t="s">
        <v>4957</v>
      </c>
      <c r="G3750" s="3" t="s">
        <v>538</v>
      </c>
      <c r="H3750" s="3" t="s">
        <v>1807</v>
      </c>
      <c r="I3750" s="3" t="s">
        <v>1251</v>
      </c>
      <c r="J3750" s="5" t="s">
        <v>1808</v>
      </c>
      <c r="L3750" s="3" t="s">
        <v>2825</v>
      </c>
      <c r="M3750" s="3">
        <v>3</v>
      </c>
      <c r="N3750" s="4" t="s">
        <v>9691</v>
      </c>
      <c r="O3750" s="4">
        <v>197</v>
      </c>
      <c r="P3750" s="11" t="s">
        <v>9772</v>
      </c>
      <c r="Q3750" s="11" t="s">
        <v>9979</v>
      </c>
      <c r="S3750" s="4" t="b">
        <f>ISNUMBER(MATCH(Q3750,T:T,0))</f>
        <v>1</v>
      </c>
      <c r="T3750" s="4" t="s">
        <v>12895</v>
      </c>
      <c r="U3750" s="4" t="str">
        <f t="shared" si="166"/>
        <v>北</v>
      </c>
    </row>
    <row r="3751" spans="1:22">
      <c r="A3751" s="3">
        <v>3742</v>
      </c>
      <c r="B3751" s="3" t="s">
        <v>1773</v>
      </c>
      <c r="C3751" s="3" t="s">
        <v>6089</v>
      </c>
      <c r="D3751" s="3" t="s">
        <v>5990</v>
      </c>
      <c r="E3751" s="3" t="s">
        <v>6212</v>
      </c>
      <c r="F3751" s="3" t="s">
        <v>4957</v>
      </c>
      <c r="G3751" s="3" t="s">
        <v>538</v>
      </c>
      <c r="H3751" s="3" t="s">
        <v>1809</v>
      </c>
      <c r="I3751" s="3" t="s">
        <v>1251</v>
      </c>
      <c r="J3751" s="5" t="s">
        <v>1810</v>
      </c>
      <c r="L3751" s="3" t="s">
        <v>3688</v>
      </c>
      <c r="M3751" s="3">
        <v>2</v>
      </c>
      <c r="N3751" s="4" t="s">
        <v>9691</v>
      </c>
      <c r="O3751" s="4">
        <v>197</v>
      </c>
      <c r="P3751" s="11" t="s">
        <v>9739</v>
      </c>
      <c r="Q3751" s="11" t="s">
        <v>10876</v>
      </c>
      <c r="S3751" s="4" t="b">
        <f>ISNUMBER(MATCH(Q3751,T:T,0))</f>
        <v>1</v>
      </c>
      <c r="T3751" s="4" t="s">
        <v>12896</v>
      </c>
      <c r="U3751" s="4" t="str">
        <f t="shared" si="166"/>
        <v>或</v>
      </c>
    </row>
    <row r="3752" spans="1:22">
      <c r="A3752" s="3">
        <v>4013</v>
      </c>
      <c r="B3752" s="3" t="s">
        <v>1773</v>
      </c>
      <c r="C3752" s="3" t="s">
        <v>6079</v>
      </c>
      <c r="D3752" s="3" t="s">
        <v>5990</v>
      </c>
      <c r="E3752" s="3" t="s">
        <v>5991</v>
      </c>
      <c r="F3752" s="3" t="s">
        <v>4957</v>
      </c>
      <c r="G3752" s="3" t="s">
        <v>538</v>
      </c>
      <c r="H3752" s="3" t="s">
        <v>1312</v>
      </c>
      <c r="I3752" s="3" t="s">
        <v>1251</v>
      </c>
      <c r="J3752" s="5" t="s">
        <v>6741</v>
      </c>
      <c r="M3752" s="3">
        <v>6</v>
      </c>
      <c r="N3752" s="4" t="s">
        <v>9691</v>
      </c>
      <c r="O3752" s="4">
        <v>197</v>
      </c>
      <c r="P3752" s="11" t="s">
        <v>9736</v>
      </c>
      <c r="Q3752" s="11" t="s">
        <v>9691</v>
      </c>
      <c r="S3752" s="4" t="b">
        <f>ISNUMBER(MATCH(Q3752,T:T,0))</f>
        <v>1</v>
      </c>
      <c r="T3752" s="4" t="s">
        <v>12980</v>
      </c>
      <c r="U3752" s="4" t="str">
        <f t="shared" si="166"/>
        <v>德</v>
      </c>
    </row>
    <row r="3753" spans="1:22">
      <c r="A3753" s="3">
        <v>3743</v>
      </c>
      <c r="B3753" s="3" t="s">
        <v>1811</v>
      </c>
      <c r="C3753" s="3" t="s">
        <v>6076</v>
      </c>
      <c r="D3753" s="3" t="s">
        <v>6001</v>
      </c>
      <c r="E3753" s="3" t="s">
        <v>5991</v>
      </c>
      <c r="F3753" s="3" t="s">
        <v>5120</v>
      </c>
      <c r="G3753" s="3" t="s">
        <v>538</v>
      </c>
      <c r="H3753" s="3" t="s">
        <v>1812</v>
      </c>
      <c r="I3753" s="3" t="s">
        <v>5122</v>
      </c>
      <c r="J3753" s="5" t="s">
        <v>1813</v>
      </c>
      <c r="L3753" s="3" t="s">
        <v>6418</v>
      </c>
      <c r="M3753" s="3">
        <v>6</v>
      </c>
      <c r="N3753" s="4" t="s">
        <v>1814</v>
      </c>
      <c r="O3753" s="4">
        <v>198</v>
      </c>
      <c r="P3753" s="11" t="s">
        <v>9766</v>
      </c>
      <c r="Q3753" s="11" t="s">
        <v>538</v>
      </c>
      <c r="S3753" s="4" t="b">
        <f>ISNUMBER(MATCH(Q3753,T:T,0))</f>
        <v>1</v>
      </c>
      <c r="T3753" s="4" t="s">
        <v>1814</v>
      </c>
      <c r="U3753" s="4" t="str">
        <f t="shared" si="166"/>
        <v>入</v>
      </c>
    </row>
    <row r="3754" spans="1:22">
      <c r="A3754" s="3">
        <v>3744</v>
      </c>
      <c r="B3754" s="3" t="s">
        <v>1811</v>
      </c>
      <c r="C3754" s="3" t="s">
        <v>6148</v>
      </c>
      <c r="D3754" s="3" t="s">
        <v>6001</v>
      </c>
      <c r="E3754" s="3" t="s">
        <v>5991</v>
      </c>
      <c r="F3754" s="3" t="s">
        <v>5120</v>
      </c>
      <c r="G3754" s="3" t="s">
        <v>538</v>
      </c>
      <c r="H3754" s="3" t="s">
        <v>1815</v>
      </c>
      <c r="I3754" s="3" t="s">
        <v>5122</v>
      </c>
      <c r="J3754" s="5" t="s">
        <v>1816</v>
      </c>
      <c r="L3754" s="3" t="s">
        <v>3460</v>
      </c>
      <c r="M3754" s="3">
        <v>4</v>
      </c>
      <c r="N3754" s="4" t="s">
        <v>1814</v>
      </c>
      <c r="O3754" s="4">
        <v>198</v>
      </c>
      <c r="P3754" s="11" t="s">
        <v>9784</v>
      </c>
      <c r="Q3754" s="11" t="s">
        <v>10877</v>
      </c>
      <c r="S3754" s="4" t="b">
        <f>ISNUMBER(MATCH(Q3754,T:T,0))</f>
        <v>1</v>
      </c>
      <c r="T3754" s="4" t="s">
        <v>10887</v>
      </c>
      <c r="U3754" s="4" t="str">
        <f t="shared" si="166"/>
        <v>執</v>
      </c>
    </row>
    <row r="3755" spans="1:22">
      <c r="A3755" s="3">
        <v>3745</v>
      </c>
      <c r="B3755" s="3" t="s">
        <v>1811</v>
      </c>
      <c r="C3755" s="3" t="s">
        <v>6009</v>
      </c>
      <c r="D3755" s="3" t="s">
        <v>6001</v>
      </c>
      <c r="E3755" s="3" t="s">
        <v>5991</v>
      </c>
      <c r="F3755" s="3" t="s">
        <v>5120</v>
      </c>
      <c r="G3755" s="3" t="s">
        <v>538</v>
      </c>
      <c r="H3755" s="3" t="s">
        <v>1817</v>
      </c>
      <c r="I3755" s="3" t="s">
        <v>5122</v>
      </c>
      <c r="J3755" s="5" t="s">
        <v>1818</v>
      </c>
      <c r="L3755" s="3" t="s">
        <v>3453</v>
      </c>
      <c r="M3755" s="3">
        <v>6</v>
      </c>
      <c r="N3755" s="4" t="s">
        <v>1814</v>
      </c>
      <c r="O3755" s="4">
        <v>198</v>
      </c>
      <c r="P3755" s="11" t="s">
        <v>6396</v>
      </c>
      <c r="Q3755" s="11" t="s">
        <v>538</v>
      </c>
      <c r="S3755" s="4" t="b">
        <f>ISNUMBER(MATCH(Q3755,T:T,0))</f>
        <v>1</v>
      </c>
      <c r="T3755" s="4" t="s">
        <v>10877</v>
      </c>
      <c r="U3755" s="4" t="str">
        <f t="shared" si="166"/>
        <v>入</v>
      </c>
    </row>
    <row r="3756" spans="1:22">
      <c r="A3756" s="3">
        <v>3746</v>
      </c>
      <c r="B3756" s="3" t="s">
        <v>1811</v>
      </c>
      <c r="C3756" s="3" t="s">
        <v>6123</v>
      </c>
      <c r="D3756" s="3" t="s">
        <v>6001</v>
      </c>
      <c r="E3756" s="3" t="s">
        <v>5991</v>
      </c>
      <c r="F3756" s="3" t="s">
        <v>5120</v>
      </c>
      <c r="G3756" s="3" t="s">
        <v>538</v>
      </c>
      <c r="H3756" s="3" t="s">
        <v>1819</v>
      </c>
      <c r="I3756" s="3" t="s">
        <v>5122</v>
      </c>
      <c r="J3756" s="5" t="s">
        <v>1820</v>
      </c>
      <c r="L3756" s="3" t="s">
        <v>2864</v>
      </c>
      <c r="M3756" s="3">
        <v>13</v>
      </c>
      <c r="N3756" s="4" t="s">
        <v>1814</v>
      </c>
      <c r="O3756" s="4">
        <v>198</v>
      </c>
      <c r="P3756" s="11" t="s">
        <v>9833</v>
      </c>
      <c r="Q3756" s="11" t="s">
        <v>538</v>
      </c>
      <c r="S3756" s="4" t="b">
        <f>ISNUMBER(MATCH(Q3756,T:T,0))</f>
        <v>1</v>
      </c>
      <c r="T3756" s="4" t="s">
        <v>12897</v>
      </c>
      <c r="U3756" s="4" t="str">
        <f t="shared" si="166"/>
        <v>入</v>
      </c>
    </row>
    <row r="3757" spans="1:22">
      <c r="A3757" s="3">
        <v>3747</v>
      </c>
      <c r="B3757" s="3" t="s">
        <v>1811</v>
      </c>
      <c r="C3757" s="3" t="s">
        <v>6069</v>
      </c>
      <c r="D3757" s="3" t="s">
        <v>6001</v>
      </c>
      <c r="E3757" s="3" t="s">
        <v>5991</v>
      </c>
      <c r="F3757" s="3" t="s">
        <v>5120</v>
      </c>
      <c r="G3757" s="3" t="s">
        <v>538</v>
      </c>
      <c r="H3757" s="3" t="s">
        <v>1821</v>
      </c>
      <c r="I3757" s="3" t="s">
        <v>5122</v>
      </c>
      <c r="J3757" s="5" t="s">
        <v>6683</v>
      </c>
      <c r="L3757" s="3" t="s">
        <v>3485</v>
      </c>
      <c r="M3757" s="3">
        <v>9</v>
      </c>
      <c r="N3757" s="4" t="s">
        <v>1814</v>
      </c>
      <c r="O3757" s="4">
        <v>198</v>
      </c>
      <c r="P3757" s="11" t="s">
        <v>10492</v>
      </c>
      <c r="Q3757" s="11" t="s">
        <v>538</v>
      </c>
      <c r="S3757" s="4" t="b">
        <f>ISNUMBER(MATCH(Q3757,T:T,0))</f>
        <v>1</v>
      </c>
      <c r="T3757" s="4" t="s">
        <v>12898</v>
      </c>
      <c r="U3757" s="4" t="str">
        <f t="shared" si="166"/>
        <v>入</v>
      </c>
    </row>
    <row r="3758" spans="1:22">
      <c r="A3758" s="3">
        <v>3748</v>
      </c>
      <c r="B3758" s="3" t="s">
        <v>1811</v>
      </c>
      <c r="C3758" s="3" t="s">
        <v>6021</v>
      </c>
      <c r="D3758" s="3" t="s">
        <v>6001</v>
      </c>
      <c r="E3758" s="3" t="s">
        <v>5991</v>
      </c>
      <c r="F3758" s="3" t="s">
        <v>5120</v>
      </c>
      <c r="G3758" s="3" t="s">
        <v>538</v>
      </c>
      <c r="H3758" s="3" t="s">
        <v>1822</v>
      </c>
      <c r="I3758" s="3" t="s">
        <v>5122</v>
      </c>
      <c r="J3758" s="5" t="s">
        <v>1823</v>
      </c>
      <c r="L3758" s="3" t="s">
        <v>3457</v>
      </c>
      <c r="M3758" s="3">
        <v>2</v>
      </c>
      <c r="N3758" s="4" t="s">
        <v>1814</v>
      </c>
      <c r="O3758" s="4">
        <v>198</v>
      </c>
      <c r="P3758" s="11" t="s">
        <v>9798</v>
      </c>
      <c r="Q3758" s="11" t="s">
        <v>10877</v>
      </c>
      <c r="S3758" s="4" t="b">
        <f>ISNUMBER(MATCH(Q3758,T:T,0))</f>
        <v>1</v>
      </c>
      <c r="T3758" s="4" t="s">
        <v>538</v>
      </c>
      <c r="U3758" s="4" t="str">
        <f t="shared" si="166"/>
        <v>執</v>
      </c>
    </row>
    <row r="3759" spans="1:22">
      <c r="A3759" s="3">
        <v>3749</v>
      </c>
      <c r="B3759" s="3" t="s">
        <v>1811</v>
      </c>
      <c r="C3759" s="3" t="s">
        <v>6072</v>
      </c>
      <c r="D3759" s="3" t="s">
        <v>6001</v>
      </c>
      <c r="E3759" s="3" t="s">
        <v>5991</v>
      </c>
      <c r="F3759" s="3" t="s">
        <v>5120</v>
      </c>
      <c r="G3759" s="3" t="s">
        <v>538</v>
      </c>
      <c r="H3759" s="3" t="s">
        <v>1824</v>
      </c>
      <c r="I3759" s="3" t="s">
        <v>5122</v>
      </c>
      <c r="J3759" s="5" t="s">
        <v>1825</v>
      </c>
      <c r="L3759" s="3" t="s">
        <v>6377</v>
      </c>
      <c r="M3759" s="3">
        <v>2</v>
      </c>
      <c r="N3759" s="4" t="s">
        <v>1814</v>
      </c>
      <c r="O3759" s="4">
        <v>198</v>
      </c>
      <c r="P3759" s="11" t="s">
        <v>10720</v>
      </c>
      <c r="Q3759" s="11" t="s">
        <v>538</v>
      </c>
      <c r="S3759" s="4" t="b">
        <f>ISNUMBER(MATCH(Q3759,T:T,0))</f>
        <v>1</v>
      </c>
      <c r="T3759" s="4" t="s">
        <v>12899</v>
      </c>
      <c r="U3759" s="4" t="str">
        <f t="shared" si="166"/>
        <v>入</v>
      </c>
    </row>
    <row r="3760" spans="1:22">
      <c r="A3760" s="3">
        <v>3750</v>
      </c>
      <c r="B3760" s="3" t="s">
        <v>1811</v>
      </c>
      <c r="C3760" s="3" t="s">
        <v>6120</v>
      </c>
      <c r="D3760" s="3" t="s">
        <v>6001</v>
      </c>
      <c r="E3760" s="3" t="s">
        <v>5991</v>
      </c>
      <c r="F3760" s="3" t="s">
        <v>5120</v>
      </c>
      <c r="G3760" s="3" t="s">
        <v>538</v>
      </c>
      <c r="H3760" s="3" t="s">
        <v>1826</v>
      </c>
      <c r="I3760" s="3" t="s">
        <v>5122</v>
      </c>
      <c r="J3760" s="5" t="s">
        <v>1827</v>
      </c>
      <c r="L3760" s="3" t="s">
        <v>3491</v>
      </c>
      <c r="M3760" s="3">
        <v>3</v>
      </c>
      <c r="N3760" s="4" t="s">
        <v>1814</v>
      </c>
      <c r="O3760" s="4">
        <v>198</v>
      </c>
      <c r="P3760" s="11" t="s">
        <v>9931</v>
      </c>
      <c r="Q3760" s="11" t="s">
        <v>538</v>
      </c>
      <c r="S3760" s="4" t="b">
        <f>ISNUMBER(MATCH(Q3760,T:T,0))</f>
        <v>1</v>
      </c>
      <c r="T3760" s="4" t="s">
        <v>12900</v>
      </c>
      <c r="U3760" s="4" t="str">
        <f t="shared" si="166"/>
        <v>入</v>
      </c>
    </row>
    <row r="3761" spans="1:22">
      <c r="A3761" s="3">
        <v>3751</v>
      </c>
      <c r="B3761" s="3" t="s">
        <v>1811</v>
      </c>
      <c r="C3761" s="3" t="s">
        <v>6083</v>
      </c>
      <c r="D3761" s="3" t="s">
        <v>6001</v>
      </c>
      <c r="E3761" s="3" t="s">
        <v>5991</v>
      </c>
      <c r="F3761" s="3" t="s">
        <v>5120</v>
      </c>
      <c r="G3761" s="3" t="s">
        <v>538</v>
      </c>
      <c r="H3761" s="3" t="s">
        <v>1828</v>
      </c>
      <c r="I3761" s="3" t="s">
        <v>5122</v>
      </c>
      <c r="J3761" s="5" t="s">
        <v>1829</v>
      </c>
      <c r="L3761" s="3" t="s">
        <v>6331</v>
      </c>
      <c r="M3761" s="3">
        <v>11</v>
      </c>
      <c r="N3761" s="4" t="s">
        <v>1814</v>
      </c>
      <c r="O3761" s="4">
        <v>198</v>
      </c>
      <c r="P3761" s="11" t="s">
        <v>9737</v>
      </c>
      <c r="Q3761" s="11" t="s">
        <v>538</v>
      </c>
      <c r="S3761" s="4" t="b">
        <f>ISNUMBER(MATCH(Q3761,T:T,0))</f>
        <v>1</v>
      </c>
      <c r="T3761" s="4" t="s">
        <v>12901</v>
      </c>
      <c r="U3761" s="4" t="str">
        <f t="shared" si="166"/>
        <v>入</v>
      </c>
    </row>
    <row r="3762" spans="1:22">
      <c r="A3762" s="3">
        <v>3752</v>
      </c>
      <c r="B3762" s="3" t="s">
        <v>1811</v>
      </c>
      <c r="C3762" s="3" t="s">
        <v>6041</v>
      </c>
      <c r="D3762" s="3" t="s">
        <v>6001</v>
      </c>
      <c r="E3762" s="3" t="s">
        <v>5991</v>
      </c>
      <c r="F3762" s="3" t="s">
        <v>5128</v>
      </c>
      <c r="G3762" s="3" t="s">
        <v>538</v>
      </c>
      <c r="H3762" s="3" t="s">
        <v>1830</v>
      </c>
      <c r="I3762" s="3" t="s">
        <v>5122</v>
      </c>
      <c r="J3762" s="5" t="s">
        <v>1831</v>
      </c>
      <c r="L3762" s="3" t="s">
        <v>3485</v>
      </c>
      <c r="M3762" s="3">
        <v>7</v>
      </c>
      <c r="N3762" s="4" t="s">
        <v>1814</v>
      </c>
      <c r="O3762" s="4">
        <v>198</v>
      </c>
      <c r="P3762" s="11" t="s">
        <v>9830</v>
      </c>
      <c r="Q3762" s="11" t="s">
        <v>10878</v>
      </c>
      <c r="S3762" s="4" t="b">
        <f>ISNUMBER(MATCH(Q3762,T:T,0))</f>
        <v>1</v>
      </c>
      <c r="T3762" s="4" t="s">
        <v>10879</v>
      </c>
      <c r="U3762" s="4" t="str">
        <f t="shared" si="166"/>
        <v>立</v>
      </c>
    </row>
    <row r="3763" spans="1:22">
      <c r="A3763" s="3">
        <v>3753</v>
      </c>
      <c r="B3763" s="3" t="s">
        <v>1811</v>
      </c>
      <c r="C3763" s="3" t="s">
        <v>6005</v>
      </c>
      <c r="D3763" s="3" t="s">
        <v>6001</v>
      </c>
      <c r="E3763" s="3" t="s">
        <v>5991</v>
      </c>
      <c r="F3763" s="3" t="s">
        <v>5128</v>
      </c>
      <c r="G3763" s="3" t="s">
        <v>538</v>
      </c>
      <c r="H3763" s="3" t="s">
        <v>1832</v>
      </c>
      <c r="I3763" s="3" t="s">
        <v>5122</v>
      </c>
      <c r="J3763" s="5" t="s">
        <v>6684</v>
      </c>
      <c r="L3763" s="3" t="s">
        <v>3462</v>
      </c>
      <c r="M3763" s="3">
        <v>6</v>
      </c>
      <c r="N3763" s="4" t="s">
        <v>1814</v>
      </c>
      <c r="O3763" s="4">
        <v>198</v>
      </c>
      <c r="P3763" s="11" t="s">
        <v>9709</v>
      </c>
      <c r="Q3763" s="11" t="s">
        <v>10878</v>
      </c>
      <c r="S3763" s="4" t="b">
        <f>ISNUMBER(MATCH(Q3763,T:T,0))</f>
        <v>1</v>
      </c>
      <c r="T3763" s="4" t="s">
        <v>12902</v>
      </c>
      <c r="U3763" s="4" t="str">
        <f t="shared" si="166"/>
        <v>立</v>
      </c>
    </row>
    <row r="3764" spans="1:22">
      <c r="A3764" s="3">
        <v>3754</v>
      </c>
      <c r="B3764" s="3" t="s">
        <v>1811</v>
      </c>
      <c r="C3764" s="3" t="s">
        <v>6000</v>
      </c>
      <c r="D3764" s="3" t="s">
        <v>6001</v>
      </c>
      <c r="E3764" s="3" t="s">
        <v>5991</v>
      </c>
      <c r="F3764" s="3" t="s">
        <v>5128</v>
      </c>
      <c r="G3764" s="3" t="s">
        <v>538</v>
      </c>
      <c r="H3764" s="3" t="s">
        <v>1833</v>
      </c>
      <c r="I3764" s="3" t="s">
        <v>5122</v>
      </c>
      <c r="J3764" s="5" t="s">
        <v>1834</v>
      </c>
      <c r="L3764" s="3" t="s">
        <v>3453</v>
      </c>
      <c r="M3764" s="3">
        <v>4</v>
      </c>
      <c r="N3764" s="4" t="s">
        <v>1814</v>
      </c>
      <c r="O3764" s="4">
        <v>198</v>
      </c>
      <c r="P3764" s="11" t="s">
        <v>9707</v>
      </c>
      <c r="Q3764" s="11" t="s">
        <v>10878</v>
      </c>
      <c r="S3764" s="4" t="b">
        <f>ISNUMBER(MATCH(Q3764,T:T,0))</f>
        <v>1</v>
      </c>
      <c r="T3764" s="4" t="s">
        <v>12903</v>
      </c>
      <c r="U3764" s="4" t="str">
        <f t="shared" si="166"/>
        <v>立</v>
      </c>
    </row>
    <row r="3765" spans="1:22">
      <c r="A3765" s="3">
        <v>3755</v>
      </c>
      <c r="B3765" s="3" t="s">
        <v>1811</v>
      </c>
      <c r="C3765" s="3" t="s">
        <v>6058</v>
      </c>
      <c r="D3765" s="3" t="s">
        <v>6001</v>
      </c>
      <c r="E3765" s="3" t="s">
        <v>5991</v>
      </c>
      <c r="F3765" s="3" t="s">
        <v>5120</v>
      </c>
      <c r="G3765" s="3" t="s">
        <v>538</v>
      </c>
      <c r="H3765" s="3" t="s">
        <v>1835</v>
      </c>
      <c r="I3765" s="3" t="s">
        <v>5122</v>
      </c>
      <c r="J3765" s="5" t="s">
        <v>1836</v>
      </c>
      <c r="L3765" s="3" t="s">
        <v>4344</v>
      </c>
      <c r="M3765" s="3">
        <v>9</v>
      </c>
      <c r="N3765" s="4" t="s">
        <v>1814</v>
      </c>
      <c r="O3765" s="4">
        <v>198</v>
      </c>
      <c r="P3765" s="11" t="s">
        <v>9727</v>
      </c>
      <c r="Q3765" s="11" t="s">
        <v>538</v>
      </c>
      <c r="S3765" s="4" t="b">
        <f>ISNUMBER(MATCH(Q3765,T:T,0))</f>
        <v>1</v>
      </c>
      <c r="T3765" s="4" t="s">
        <v>10878</v>
      </c>
      <c r="U3765" s="4" t="str">
        <f t="shared" si="166"/>
        <v>入</v>
      </c>
    </row>
    <row r="3766" spans="1:22">
      <c r="A3766" s="3">
        <v>3756</v>
      </c>
      <c r="B3766" s="3" t="s">
        <v>1811</v>
      </c>
      <c r="C3766" s="3" t="s">
        <v>6025</v>
      </c>
      <c r="D3766" s="3" t="s">
        <v>6001</v>
      </c>
      <c r="E3766" s="3" t="s">
        <v>5991</v>
      </c>
      <c r="F3766" s="3" t="s">
        <v>5128</v>
      </c>
      <c r="G3766" s="3" t="s">
        <v>538</v>
      </c>
      <c r="H3766" s="3" t="s">
        <v>1837</v>
      </c>
      <c r="I3766" s="3" t="s">
        <v>5122</v>
      </c>
      <c r="J3766" s="5" t="s">
        <v>6685</v>
      </c>
      <c r="L3766" s="3" t="s">
        <v>6331</v>
      </c>
      <c r="M3766" s="3">
        <v>11</v>
      </c>
      <c r="N3766" s="4" t="s">
        <v>1814</v>
      </c>
      <c r="O3766" s="4">
        <v>198</v>
      </c>
      <c r="P3766" s="11" t="s">
        <v>9717</v>
      </c>
      <c r="Q3766" s="11" t="s">
        <v>10878</v>
      </c>
      <c r="S3766" s="4" t="b">
        <f>ISNUMBER(MATCH(Q3766,T:T,0))</f>
        <v>1</v>
      </c>
      <c r="T3766" s="4" t="s">
        <v>10880</v>
      </c>
      <c r="U3766" s="4" t="str">
        <f t="shared" si="166"/>
        <v>立</v>
      </c>
    </row>
    <row r="3767" spans="1:22">
      <c r="A3767" s="3">
        <v>3757</v>
      </c>
      <c r="B3767" s="3" t="s">
        <v>1811</v>
      </c>
      <c r="C3767" s="3" t="s">
        <v>6092</v>
      </c>
      <c r="D3767" s="3" t="s">
        <v>6001</v>
      </c>
      <c r="E3767" s="3" t="s">
        <v>5991</v>
      </c>
      <c r="F3767" s="3" t="s">
        <v>5128</v>
      </c>
      <c r="G3767" s="3" t="s">
        <v>538</v>
      </c>
      <c r="H3767" s="3" t="s">
        <v>1838</v>
      </c>
      <c r="I3767" s="3" t="s">
        <v>5122</v>
      </c>
      <c r="J3767" s="5" t="s">
        <v>1839</v>
      </c>
      <c r="L3767" s="3" t="s">
        <v>4368</v>
      </c>
      <c r="M3767" s="3">
        <v>2</v>
      </c>
      <c r="N3767" s="4" t="s">
        <v>1814</v>
      </c>
      <c r="O3767" s="4">
        <v>198</v>
      </c>
      <c r="P3767" s="11" t="s">
        <v>6462</v>
      </c>
      <c r="Q3767" s="11" t="s">
        <v>10879</v>
      </c>
      <c r="S3767" s="4" t="b">
        <f>ISNUMBER(MATCH(Q3767,T:T,0))</f>
        <v>1</v>
      </c>
      <c r="T3767" s="4" t="s">
        <v>12904</v>
      </c>
      <c r="U3767" s="4" t="str">
        <f t="shared" si="166"/>
        <v>及</v>
      </c>
    </row>
    <row r="3768" spans="1:22">
      <c r="A3768" s="3">
        <v>3758</v>
      </c>
      <c r="B3768" s="3" t="s">
        <v>1811</v>
      </c>
      <c r="C3768" s="3" t="s">
        <v>6038</v>
      </c>
      <c r="D3768" s="3" t="s">
        <v>6001</v>
      </c>
      <c r="E3768" s="3" t="s">
        <v>5991</v>
      </c>
      <c r="F3768" s="3" t="s">
        <v>5128</v>
      </c>
      <c r="G3768" s="3" t="s">
        <v>538</v>
      </c>
      <c r="H3768" s="3" t="s">
        <v>1840</v>
      </c>
      <c r="I3768" s="3" t="s">
        <v>5122</v>
      </c>
      <c r="J3768" s="5" t="s">
        <v>1841</v>
      </c>
      <c r="L3768" s="3" t="s">
        <v>6418</v>
      </c>
      <c r="M3768" s="3">
        <v>3</v>
      </c>
      <c r="N3768" s="4" t="s">
        <v>1814</v>
      </c>
      <c r="O3768" s="4">
        <v>198</v>
      </c>
      <c r="P3768" s="11" t="s">
        <v>4210</v>
      </c>
      <c r="Q3768" s="11" t="s">
        <v>10880</v>
      </c>
      <c r="S3768" s="4" t="b">
        <f>ISNUMBER(MATCH(Q3768,T:T,0))</f>
        <v>1</v>
      </c>
      <c r="T3768" s="4" t="s">
        <v>12905</v>
      </c>
      <c r="U3768" s="4" t="str">
        <f t="shared" si="166"/>
        <v>急</v>
      </c>
    </row>
    <row r="3769" spans="1:22">
      <c r="A3769" s="3">
        <v>3759</v>
      </c>
      <c r="B3769" s="3" t="s">
        <v>1811</v>
      </c>
      <c r="C3769" s="3" t="s">
        <v>6017</v>
      </c>
      <c r="D3769" s="3" t="s">
        <v>6001</v>
      </c>
      <c r="E3769" s="3" t="s">
        <v>5991</v>
      </c>
      <c r="F3769" s="3" t="s">
        <v>5120</v>
      </c>
      <c r="G3769" s="3" t="s">
        <v>538</v>
      </c>
      <c r="H3769" s="3" t="s">
        <v>1842</v>
      </c>
      <c r="I3769" s="3" t="s">
        <v>5122</v>
      </c>
      <c r="J3769" s="5" t="s">
        <v>1843</v>
      </c>
      <c r="L3769" s="3" t="s">
        <v>6394</v>
      </c>
      <c r="M3769" s="3">
        <v>5</v>
      </c>
      <c r="N3769" s="4" t="s">
        <v>1814</v>
      </c>
      <c r="O3769" s="4">
        <v>198</v>
      </c>
      <c r="P3769" s="11" t="s">
        <v>8121</v>
      </c>
      <c r="Q3769" s="11" t="s">
        <v>10878</v>
      </c>
      <c r="S3769" s="4" t="b">
        <f>ISNUMBER(MATCH(Q3769,T:T,0))</f>
        <v>1</v>
      </c>
      <c r="T3769" s="4" t="s">
        <v>12906</v>
      </c>
      <c r="U3769" s="4" t="str">
        <f t="shared" si="166"/>
        <v>立</v>
      </c>
    </row>
    <row r="3770" spans="1:22">
      <c r="A3770" s="3">
        <v>3760</v>
      </c>
      <c r="B3770" s="3" t="s">
        <v>1811</v>
      </c>
      <c r="C3770" s="3" t="s">
        <v>6180</v>
      </c>
      <c r="D3770" s="3" t="s">
        <v>6001</v>
      </c>
      <c r="E3770" s="3" t="s">
        <v>5991</v>
      </c>
      <c r="F3770" s="3" t="s">
        <v>5128</v>
      </c>
      <c r="G3770" s="3" t="s">
        <v>538</v>
      </c>
      <c r="H3770" s="3" t="s">
        <v>1844</v>
      </c>
      <c r="I3770" s="3" t="s">
        <v>5122</v>
      </c>
      <c r="J3770" s="8" t="s">
        <v>6686</v>
      </c>
      <c r="L3770" s="3" t="s">
        <v>3554</v>
      </c>
      <c r="M3770" s="3">
        <v>8</v>
      </c>
      <c r="N3770" s="4" t="s">
        <v>1814</v>
      </c>
      <c r="O3770" s="4">
        <v>198</v>
      </c>
      <c r="P3770" s="11" t="s">
        <v>10085</v>
      </c>
      <c r="Q3770" s="11" t="s">
        <v>10878</v>
      </c>
      <c r="S3770" s="4" t="b">
        <f>ISNUMBER(MATCH(Q3770,T:T,0))</f>
        <v>1</v>
      </c>
      <c r="T3770" s="4" t="s">
        <v>12907</v>
      </c>
      <c r="U3770" s="4" t="str">
        <f t="shared" si="166"/>
        <v>立</v>
      </c>
    </row>
    <row r="3771" spans="1:22">
      <c r="A3771" s="3">
        <v>3761</v>
      </c>
      <c r="B3771" s="3" t="s">
        <v>1811</v>
      </c>
      <c r="C3771" s="3" t="s">
        <v>6089</v>
      </c>
      <c r="D3771" s="3" t="s">
        <v>6001</v>
      </c>
      <c r="E3771" s="3" t="s">
        <v>5991</v>
      </c>
      <c r="F3771" s="3" t="s">
        <v>5128</v>
      </c>
      <c r="G3771" s="3" t="s">
        <v>538</v>
      </c>
      <c r="H3771" s="3" t="s">
        <v>1845</v>
      </c>
      <c r="I3771" s="3" t="s">
        <v>5122</v>
      </c>
      <c r="J3771" s="5" t="s">
        <v>6687</v>
      </c>
      <c r="L3771" s="3" t="s">
        <v>6394</v>
      </c>
      <c r="M3771" s="3">
        <v>12</v>
      </c>
      <c r="N3771" s="4" t="s">
        <v>1814</v>
      </c>
      <c r="O3771" s="4">
        <v>198</v>
      </c>
      <c r="P3771" s="11" t="s">
        <v>9753</v>
      </c>
      <c r="Q3771" s="11" t="s">
        <v>10879</v>
      </c>
      <c r="S3771" s="4" t="b">
        <f>ISNUMBER(MATCH(Q3771,T:T,0))</f>
        <v>1</v>
      </c>
      <c r="T3771" s="4" t="s">
        <v>12908</v>
      </c>
      <c r="U3771" s="4" t="str">
        <f t="shared" si="166"/>
        <v>及</v>
      </c>
    </row>
    <row r="3772" spans="1:22">
      <c r="A3772" s="3">
        <v>3762</v>
      </c>
      <c r="B3772" s="3" t="s">
        <v>1811</v>
      </c>
      <c r="C3772" s="3" t="s">
        <v>6318</v>
      </c>
      <c r="D3772" s="3" t="s">
        <v>6001</v>
      </c>
      <c r="E3772" s="3" t="s">
        <v>5991</v>
      </c>
      <c r="F3772" s="3" t="s">
        <v>5128</v>
      </c>
      <c r="G3772" s="3" t="s">
        <v>538</v>
      </c>
      <c r="H3772" s="3" t="s">
        <v>1762</v>
      </c>
      <c r="I3772" s="3" t="s">
        <v>5122</v>
      </c>
      <c r="J3772" s="5" t="s">
        <v>1846</v>
      </c>
      <c r="L3772" s="3" t="s">
        <v>3551</v>
      </c>
      <c r="M3772" s="3">
        <v>9</v>
      </c>
      <c r="N3772" s="4" t="s">
        <v>1814</v>
      </c>
      <c r="O3772" s="4">
        <v>198</v>
      </c>
      <c r="P3772" s="11" t="s">
        <v>9988</v>
      </c>
      <c r="Q3772" s="11" t="s">
        <v>9727</v>
      </c>
      <c r="S3772" s="4" t="b">
        <f>ISNUMBER(MATCH(Q3772,T:T,0))</f>
        <v>1</v>
      </c>
      <c r="T3772" s="4" t="s">
        <v>10882</v>
      </c>
      <c r="U3772" s="4" t="str">
        <f t="shared" si="166"/>
        <v>力</v>
      </c>
    </row>
    <row r="3773" spans="1:22">
      <c r="A3773" s="3">
        <v>3763</v>
      </c>
      <c r="B3773" s="3" t="s">
        <v>1811</v>
      </c>
      <c r="C3773" s="3" t="s">
        <v>6072</v>
      </c>
      <c r="D3773" s="3" t="s">
        <v>6001</v>
      </c>
      <c r="E3773" s="3" t="s">
        <v>5991</v>
      </c>
      <c r="F3773" s="3" t="s">
        <v>5128</v>
      </c>
      <c r="G3773" s="3" t="s">
        <v>538</v>
      </c>
      <c r="H3773" s="3" t="s">
        <v>1847</v>
      </c>
      <c r="I3773" s="3" t="s">
        <v>5122</v>
      </c>
      <c r="J3773" s="5" t="s">
        <v>1848</v>
      </c>
      <c r="L3773" s="3" t="s">
        <v>6377</v>
      </c>
      <c r="M3773" s="3">
        <v>8</v>
      </c>
      <c r="N3773" s="4" t="s">
        <v>1814</v>
      </c>
      <c r="O3773" s="4">
        <v>198</v>
      </c>
      <c r="P3773" s="11" t="s">
        <v>9754</v>
      </c>
      <c r="Q3773" s="11" t="s">
        <v>10881</v>
      </c>
      <c r="R3773" s="4" t="s">
        <v>13204</v>
      </c>
      <c r="S3773" s="4" t="b">
        <f>ISNUMBER(MATCH(Q3773,T:T,0))</f>
        <v>0</v>
      </c>
      <c r="T3773" s="4" t="s">
        <v>12909</v>
      </c>
      <c r="U3773" s="4" t="str">
        <f t="shared" si="166"/>
        <v>急</v>
      </c>
      <c r="V3773" s="4" t="b">
        <f>ISNUMBER(MATCH(R3773,T:T,0))</f>
        <v>1</v>
      </c>
    </row>
    <row r="3774" spans="1:22">
      <c r="A3774" s="3">
        <v>3764</v>
      </c>
      <c r="B3774" s="3" t="s">
        <v>1811</v>
      </c>
      <c r="C3774" s="3" t="s">
        <v>6011</v>
      </c>
      <c r="D3774" s="3" t="s">
        <v>6001</v>
      </c>
      <c r="E3774" s="3" t="s">
        <v>5991</v>
      </c>
      <c r="F3774" s="3" t="s">
        <v>5128</v>
      </c>
      <c r="G3774" s="3" t="s">
        <v>538</v>
      </c>
      <c r="H3774" s="3" t="s">
        <v>1849</v>
      </c>
      <c r="I3774" s="3" t="s">
        <v>5122</v>
      </c>
      <c r="J3774" s="5" t="s">
        <v>6688</v>
      </c>
      <c r="L3774" s="3" t="s">
        <v>3480</v>
      </c>
      <c r="M3774" s="3">
        <v>3</v>
      </c>
      <c r="N3774" s="4" t="s">
        <v>1814</v>
      </c>
      <c r="O3774" s="4">
        <v>198</v>
      </c>
      <c r="P3774" s="11" t="s">
        <v>9757</v>
      </c>
      <c r="Q3774" s="11" t="s">
        <v>538</v>
      </c>
      <c r="S3774" s="4" t="b">
        <f>ISNUMBER(MATCH(Q3774,T:T,0))</f>
        <v>1</v>
      </c>
      <c r="T3774" s="4" t="s">
        <v>12910</v>
      </c>
      <c r="U3774" s="4" t="str">
        <f t="shared" si="166"/>
        <v>入</v>
      </c>
    </row>
    <row r="3775" spans="1:22">
      <c r="A3775" s="3">
        <v>3765</v>
      </c>
      <c r="B3775" s="3" t="s">
        <v>1811</v>
      </c>
      <c r="C3775" s="3" t="s">
        <v>6032</v>
      </c>
      <c r="D3775" s="3" t="s">
        <v>6001</v>
      </c>
      <c r="E3775" s="3" t="s">
        <v>5991</v>
      </c>
      <c r="F3775" s="3" t="s">
        <v>5128</v>
      </c>
      <c r="G3775" s="3" t="s">
        <v>538</v>
      </c>
      <c r="H3775" s="7" t="s">
        <v>906</v>
      </c>
      <c r="I3775" s="3" t="s">
        <v>5122</v>
      </c>
      <c r="J3775" s="5" t="s">
        <v>1850</v>
      </c>
      <c r="L3775" s="3" t="s">
        <v>4368</v>
      </c>
      <c r="M3775" s="3">
        <v>4</v>
      </c>
      <c r="N3775" s="4" t="s">
        <v>1814</v>
      </c>
      <c r="O3775" s="4">
        <v>198</v>
      </c>
      <c r="P3775" s="11" t="s">
        <v>4351</v>
      </c>
      <c r="Q3775" s="11" t="s">
        <v>10878</v>
      </c>
      <c r="S3775" s="4" t="b">
        <f>ISNUMBER(MATCH(Q3775,T:T,0))</f>
        <v>1</v>
      </c>
      <c r="T3775" s="4" t="s">
        <v>12911</v>
      </c>
      <c r="U3775" s="4" t="str">
        <f t="shared" si="166"/>
        <v>立</v>
      </c>
    </row>
    <row r="3776" spans="1:22">
      <c r="A3776" s="3">
        <v>3766</v>
      </c>
      <c r="B3776" s="3" t="s">
        <v>1811</v>
      </c>
      <c r="C3776" s="3" t="s">
        <v>6028</v>
      </c>
      <c r="D3776" s="3" t="s">
        <v>6001</v>
      </c>
      <c r="E3776" s="3" t="s">
        <v>5991</v>
      </c>
      <c r="F3776" s="3" t="s">
        <v>5120</v>
      </c>
      <c r="G3776" s="3" t="s">
        <v>538</v>
      </c>
      <c r="H3776" s="3" t="s">
        <v>1851</v>
      </c>
      <c r="I3776" s="3" t="s">
        <v>5122</v>
      </c>
      <c r="J3776" s="5" t="s">
        <v>6689</v>
      </c>
      <c r="L3776" s="3" t="s">
        <v>4368</v>
      </c>
      <c r="M3776" s="3">
        <v>2</v>
      </c>
      <c r="N3776" s="4" t="s">
        <v>1814</v>
      </c>
      <c r="O3776" s="4">
        <v>198</v>
      </c>
      <c r="P3776" s="11" t="s">
        <v>9863</v>
      </c>
      <c r="Q3776" s="11" t="s">
        <v>538</v>
      </c>
      <c r="S3776" s="4" t="b">
        <f>ISNUMBER(MATCH(Q3776,T:T,0))</f>
        <v>1</v>
      </c>
      <c r="T3776" s="4" t="s">
        <v>12912</v>
      </c>
      <c r="U3776" s="4" t="str">
        <f t="shared" si="166"/>
        <v>入</v>
      </c>
    </row>
    <row r="3777" spans="1:22">
      <c r="A3777" s="3">
        <v>3767</v>
      </c>
      <c r="B3777" s="3" t="s">
        <v>1811</v>
      </c>
      <c r="C3777" s="3" t="s">
        <v>6137</v>
      </c>
      <c r="D3777" s="3" t="s">
        <v>6001</v>
      </c>
      <c r="E3777" s="3" t="s">
        <v>5991</v>
      </c>
      <c r="F3777" s="3" t="s">
        <v>5128</v>
      </c>
      <c r="G3777" s="3" t="s">
        <v>538</v>
      </c>
      <c r="H3777" s="3" t="s">
        <v>1852</v>
      </c>
      <c r="I3777" s="3" t="s">
        <v>5122</v>
      </c>
      <c r="J3777" s="8" t="s">
        <v>6690</v>
      </c>
      <c r="L3777" s="3" t="s">
        <v>4449</v>
      </c>
      <c r="M3777" s="3">
        <v>5</v>
      </c>
      <c r="N3777" s="4" t="s">
        <v>1814</v>
      </c>
      <c r="O3777" s="4">
        <v>198</v>
      </c>
      <c r="P3777" s="11" t="s">
        <v>9812</v>
      </c>
      <c r="Q3777" s="11" t="s">
        <v>10878</v>
      </c>
      <c r="S3777" s="4" t="b">
        <f>ISNUMBER(MATCH(Q3777,T:T,0))</f>
        <v>1</v>
      </c>
      <c r="T3777" s="4" t="s">
        <v>2246</v>
      </c>
      <c r="U3777" s="4" t="str">
        <f t="shared" si="166"/>
        <v>立</v>
      </c>
    </row>
    <row r="3778" spans="1:22">
      <c r="A3778" s="3">
        <v>3768</v>
      </c>
      <c r="B3778" s="3" t="s">
        <v>1811</v>
      </c>
      <c r="C3778" s="3" t="s">
        <v>6015</v>
      </c>
      <c r="D3778" s="3" t="s">
        <v>6001</v>
      </c>
      <c r="E3778" s="3" t="s">
        <v>5991</v>
      </c>
      <c r="F3778" s="3" t="s">
        <v>5128</v>
      </c>
      <c r="G3778" s="3" t="s">
        <v>538</v>
      </c>
      <c r="H3778" s="3" t="s">
        <v>1853</v>
      </c>
      <c r="I3778" s="3" t="s">
        <v>5122</v>
      </c>
      <c r="J3778" s="5" t="s">
        <v>1854</v>
      </c>
      <c r="L3778" s="3" t="s">
        <v>3510</v>
      </c>
      <c r="M3778" s="3">
        <v>2</v>
      </c>
      <c r="N3778" s="4" t="s">
        <v>1814</v>
      </c>
      <c r="O3778" s="4">
        <v>198</v>
      </c>
      <c r="P3778" s="11" t="s">
        <v>9866</v>
      </c>
      <c r="Q3778" s="11" t="s">
        <v>10882</v>
      </c>
      <c r="S3778" s="4" t="b">
        <f>ISNUMBER(MATCH(Q3778,T:T,0))</f>
        <v>1</v>
      </c>
      <c r="T3778" s="4" t="s">
        <v>12913</v>
      </c>
      <c r="U3778" s="4" t="str">
        <f t="shared" si="166"/>
        <v>戢</v>
      </c>
    </row>
    <row r="3779" spans="1:22">
      <c r="A3779" s="3">
        <v>3769</v>
      </c>
      <c r="B3779" s="3" t="s">
        <v>1811</v>
      </c>
      <c r="C3779" s="3" t="s">
        <v>6045</v>
      </c>
      <c r="D3779" s="3" t="s">
        <v>6001</v>
      </c>
      <c r="E3779" s="3" t="s">
        <v>5991</v>
      </c>
      <c r="F3779" s="3" t="s">
        <v>5128</v>
      </c>
      <c r="G3779" s="3" t="s">
        <v>538</v>
      </c>
      <c r="H3779" s="3" t="s">
        <v>1855</v>
      </c>
      <c r="I3779" s="3" t="s">
        <v>5122</v>
      </c>
      <c r="J3779" s="5" t="s">
        <v>1856</v>
      </c>
      <c r="L3779" s="3" t="s">
        <v>3499</v>
      </c>
      <c r="M3779" s="3">
        <v>1</v>
      </c>
      <c r="N3779" s="4" t="s">
        <v>1814</v>
      </c>
      <c r="O3779" s="4">
        <v>198</v>
      </c>
      <c r="P3779" s="11" t="s">
        <v>10154</v>
      </c>
      <c r="Q3779" s="11" t="s">
        <v>10879</v>
      </c>
      <c r="S3779" s="4" t="b">
        <f>ISNUMBER(MATCH(Q3779,T:T,0))</f>
        <v>1</v>
      </c>
      <c r="T3779" s="4" t="s">
        <v>1856</v>
      </c>
      <c r="U3779" s="4" t="str">
        <f t="shared" ref="U3779:U3842" si="168">IF(ISBLANK(R3779),Q3779,R3779)</f>
        <v>及</v>
      </c>
    </row>
    <row r="3780" spans="1:22">
      <c r="A3780" s="3">
        <v>3770</v>
      </c>
      <c r="B3780" s="3" t="s">
        <v>1811</v>
      </c>
      <c r="C3780" s="3" t="s">
        <v>6049</v>
      </c>
      <c r="D3780" s="3" t="s">
        <v>6001</v>
      </c>
      <c r="E3780" s="3" t="s">
        <v>5991</v>
      </c>
      <c r="F3780" s="3" t="s">
        <v>5128</v>
      </c>
      <c r="G3780" s="3" t="s">
        <v>538</v>
      </c>
      <c r="H3780" s="3" t="s">
        <v>1857</v>
      </c>
      <c r="I3780" s="3" t="s">
        <v>5122</v>
      </c>
      <c r="J3780" s="5" t="s">
        <v>6691</v>
      </c>
      <c r="L3780" s="3" t="s">
        <v>6335</v>
      </c>
      <c r="M3780" s="3">
        <v>2</v>
      </c>
      <c r="N3780" s="4" t="s">
        <v>1814</v>
      </c>
      <c r="O3780" s="4">
        <v>198</v>
      </c>
      <c r="P3780" s="11" t="s">
        <v>9786</v>
      </c>
      <c r="Q3780" s="11" t="s">
        <v>10879</v>
      </c>
      <c r="S3780" s="4" t="b">
        <f>ISNUMBER(MATCH(Q3780,T:T,0))</f>
        <v>1</v>
      </c>
      <c r="T3780" s="4" t="s">
        <v>12914</v>
      </c>
      <c r="U3780" s="4" t="str">
        <f t="shared" si="168"/>
        <v>及</v>
      </c>
    </row>
    <row r="3781" spans="1:22">
      <c r="A3781" s="3">
        <v>3771</v>
      </c>
      <c r="B3781" s="3" t="s">
        <v>1811</v>
      </c>
      <c r="C3781" s="3" t="s">
        <v>6167</v>
      </c>
      <c r="D3781" s="3" t="s">
        <v>6001</v>
      </c>
      <c r="E3781" s="3" t="s">
        <v>5991</v>
      </c>
      <c r="F3781" s="3" t="s">
        <v>5128</v>
      </c>
      <c r="G3781" s="3" t="s">
        <v>538</v>
      </c>
      <c r="H3781" s="3" t="s">
        <v>1858</v>
      </c>
      <c r="I3781" s="3" t="s">
        <v>5122</v>
      </c>
      <c r="J3781" s="5" t="s">
        <v>1859</v>
      </c>
      <c r="L3781" s="3" t="s">
        <v>2852</v>
      </c>
      <c r="M3781" s="3">
        <v>4</v>
      </c>
      <c r="N3781" s="4" t="s">
        <v>1814</v>
      </c>
      <c r="O3781" s="4">
        <v>198</v>
      </c>
      <c r="P3781" s="11" t="s">
        <v>6167</v>
      </c>
      <c r="Q3781" s="11" t="s">
        <v>10882</v>
      </c>
      <c r="S3781" s="4" t="b">
        <f>ISNUMBER(MATCH(Q3781,T:T,0))</f>
        <v>1</v>
      </c>
      <c r="T3781" s="4" t="s">
        <v>12915</v>
      </c>
      <c r="U3781" s="4" t="str">
        <f t="shared" si="168"/>
        <v>戢</v>
      </c>
    </row>
    <row r="3782" spans="1:22">
      <c r="A3782" s="3">
        <v>3772</v>
      </c>
      <c r="B3782" s="3" t="s">
        <v>1811</v>
      </c>
      <c r="C3782" s="3" t="s">
        <v>6055</v>
      </c>
      <c r="D3782" s="3" t="s">
        <v>6001</v>
      </c>
      <c r="E3782" s="3" t="s">
        <v>5991</v>
      </c>
      <c r="F3782" s="3" t="s">
        <v>5120</v>
      </c>
      <c r="G3782" s="3" t="s">
        <v>538</v>
      </c>
      <c r="H3782" s="3" t="s">
        <v>1860</v>
      </c>
      <c r="I3782" s="3" t="s">
        <v>5122</v>
      </c>
      <c r="J3782" s="5" t="s">
        <v>1861</v>
      </c>
      <c r="L3782" s="3" t="s">
        <v>3480</v>
      </c>
      <c r="M3782" s="3">
        <v>1</v>
      </c>
      <c r="N3782" s="4" t="s">
        <v>1814</v>
      </c>
      <c r="O3782" s="4">
        <v>198</v>
      </c>
      <c r="P3782" s="11" t="s">
        <v>6055</v>
      </c>
      <c r="Q3782" s="11" t="s">
        <v>10883</v>
      </c>
      <c r="R3782" s="4" t="s">
        <v>13205</v>
      </c>
      <c r="S3782" s="4" t="b">
        <f>ISNUMBER(MATCH(Q3782,T:T,0))</f>
        <v>0</v>
      </c>
      <c r="T3782" s="4" t="s">
        <v>1861</v>
      </c>
      <c r="U3782" s="4" t="str">
        <f t="shared" si="168"/>
        <v>執</v>
      </c>
      <c r="V3782" s="4" t="b">
        <f t="shared" ref="V3782:V3783" si="169">ISNUMBER(MATCH(R3782,T:T,0))</f>
        <v>1</v>
      </c>
    </row>
    <row r="3783" spans="1:22">
      <c r="A3783" s="3">
        <v>3773</v>
      </c>
      <c r="B3783" s="3" t="s">
        <v>1862</v>
      </c>
      <c r="C3783" s="3" t="s">
        <v>6067</v>
      </c>
      <c r="D3783" s="3" t="s">
        <v>5990</v>
      </c>
      <c r="E3783" s="3" t="s">
        <v>5991</v>
      </c>
      <c r="F3783" s="3" t="s">
        <v>8494</v>
      </c>
      <c r="G3783" s="3" t="s">
        <v>538</v>
      </c>
      <c r="H3783" s="3" t="s">
        <v>1863</v>
      </c>
      <c r="I3783" s="3" t="s">
        <v>8496</v>
      </c>
      <c r="J3783" s="5" t="s">
        <v>6692</v>
      </c>
      <c r="K3783" s="7" t="s">
        <v>658</v>
      </c>
      <c r="L3783" s="3" t="s">
        <v>4579</v>
      </c>
      <c r="M3783" s="3">
        <v>11</v>
      </c>
      <c r="N3783" s="4" t="s">
        <v>6212</v>
      </c>
      <c r="O3783" s="4">
        <v>199</v>
      </c>
      <c r="P3783" s="11" t="s">
        <v>5053</v>
      </c>
      <c r="Q3783" s="11" t="s">
        <v>10884</v>
      </c>
      <c r="R3783" s="4" t="s">
        <v>13206</v>
      </c>
      <c r="S3783" s="4" t="b">
        <f>ISNUMBER(MATCH(Q3783,T:T,0))</f>
        <v>0</v>
      </c>
      <c r="T3783" s="4" t="s">
        <v>6212</v>
      </c>
      <c r="U3783" s="4" t="str">
        <f t="shared" si="168"/>
        <v>鴿</v>
      </c>
      <c r="V3783" s="4" t="b">
        <f t="shared" si="169"/>
        <v>1</v>
      </c>
    </row>
    <row r="3784" spans="1:22" ht="39">
      <c r="A3784" s="3">
        <v>3774</v>
      </c>
      <c r="B3784" s="3" t="s">
        <v>1862</v>
      </c>
      <c r="C3784" s="3" t="s">
        <v>6025</v>
      </c>
      <c r="D3784" s="3" t="s">
        <v>5990</v>
      </c>
      <c r="E3784" s="3" t="s">
        <v>5991</v>
      </c>
      <c r="F3784" s="3" t="s">
        <v>8494</v>
      </c>
      <c r="G3784" s="3" t="s">
        <v>538</v>
      </c>
      <c r="H3784" s="3" t="s">
        <v>1864</v>
      </c>
      <c r="I3784" s="3" t="s">
        <v>8496</v>
      </c>
      <c r="J3784" s="5" t="s">
        <v>6693</v>
      </c>
      <c r="L3784" s="3" t="s">
        <v>3660</v>
      </c>
      <c r="M3784" s="3">
        <v>19</v>
      </c>
      <c r="N3784" s="4" t="s">
        <v>6212</v>
      </c>
      <c r="O3784" s="4">
        <v>199</v>
      </c>
      <c r="P3784" s="11" t="s">
        <v>9729</v>
      </c>
      <c r="Q3784" s="11" t="s">
        <v>10885</v>
      </c>
      <c r="S3784" s="4" t="b">
        <f>ISNUMBER(MATCH(Q3784,T:T,0))</f>
        <v>1</v>
      </c>
      <c r="T3784" s="4" t="s">
        <v>12916</v>
      </c>
      <c r="U3784" s="4" t="str">
        <f t="shared" si="168"/>
        <v>沓</v>
      </c>
    </row>
    <row r="3785" spans="1:22">
      <c r="A3785" s="3">
        <v>3775</v>
      </c>
      <c r="B3785" s="3" t="s">
        <v>1862</v>
      </c>
      <c r="C3785" s="3" t="s">
        <v>5989</v>
      </c>
      <c r="D3785" s="3" t="s">
        <v>5990</v>
      </c>
      <c r="E3785" s="3" t="s">
        <v>5991</v>
      </c>
      <c r="F3785" s="3" t="s">
        <v>8494</v>
      </c>
      <c r="G3785" s="3" t="s">
        <v>538</v>
      </c>
      <c r="H3785" s="3" t="s">
        <v>1865</v>
      </c>
      <c r="I3785" s="3" t="s">
        <v>8496</v>
      </c>
      <c r="J3785" s="5" t="s">
        <v>1866</v>
      </c>
      <c r="L3785" s="3" t="s">
        <v>4564</v>
      </c>
      <c r="M3785" s="3">
        <v>12</v>
      </c>
      <c r="N3785" s="4" t="s">
        <v>6212</v>
      </c>
      <c r="O3785" s="4">
        <v>199</v>
      </c>
      <c r="P3785" s="11" t="s">
        <v>9742</v>
      </c>
      <c r="Q3785" s="11" t="s">
        <v>6212</v>
      </c>
      <c r="S3785" s="4" t="b">
        <f>ISNUMBER(MATCH(Q3785,T:T,0))</f>
        <v>1</v>
      </c>
      <c r="T3785" s="4" t="s">
        <v>12917</v>
      </c>
      <c r="U3785" s="4" t="str">
        <f t="shared" si="168"/>
        <v>合</v>
      </c>
    </row>
    <row r="3786" spans="1:22">
      <c r="A3786" s="3">
        <v>3776</v>
      </c>
      <c r="B3786" s="3" t="s">
        <v>1862</v>
      </c>
      <c r="C3786" s="3" t="s">
        <v>6017</v>
      </c>
      <c r="D3786" s="3" t="s">
        <v>5990</v>
      </c>
      <c r="E3786" s="3" t="s">
        <v>5991</v>
      </c>
      <c r="F3786" s="3" t="s">
        <v>8494</v>
      </c>
      <c r="G3786" s="3" t="s">
        <v>538</v>
      </c>
      <c r="H3786" s="3" t="s">
        <v>1867</v>
      </c>
      <c r="I3786" s="3" t="s">
        <v>8496</v>
      </c>
      <c r="J3786" s="5" t="s">
        <v>1868</v>
      </c>
      <c r="L3786" s="3" t="s">
        <v>4561</v>
      </c>
      <c r="M3786" s="3">
        <v>11</v>
      </c>
      <c r="N3786" s="4" t="s">
        <v>6212</v>
      </c>
      <c r="O3786" s="4">
        <v>199</v>
      </c>
      <c r="P3786" s="11" t="s">
        <v>9741</v>
      </c>
      <c r="Q3786" s="11" t="s">
        <v>6212</v>
      </c>
      <c r="S3786" s="4" t="b">
        <f>ISNUMBER(MATCH(Q3786,T:T,0))</f>
        <v>1</v>
      </c>
      <c r="T3786" s="4" t="s">
        <v>12918</v>
      </c>
      <c r="U3786" s="4" t="str">
        <f t="shared" si="168"/>
        <v>合</v>
      </c>
    </row>
    <row r="3787" spans="1:22" ht="39">
      <c r="A3787" s="3">
        <v>3777</v>
      </c>
      <c r="B3787" s="3" t="s">
        <v>1862</v>
      </c>
      <c r="C3787" s="3" t="s">
        <v>5997</v>
      </c>
      <c r="D3787" s="3" t="s">
        <v>5990</v>
      </c>
      <c r="E3787" s="3" t="s">
        <v>5991</v>
      </c>
      <c r="F3787" s="3" t="s">
        <v>8494</v>
      </c>
      <c r="G3787" s="3" t="s">
        <v>538</v>
      </c>
      <c r="H3787" s="3" t="s">
        <v>1869</v>
      </c>
      <c r="I3787" s="3" t="s">
        <v>8496</v>
      </c>
      <c r="J3787" s="5" t="s">
        <v>6694</v>
      </c>
      <c r="L3787" s="3" t="s">
        <v>3655</v>
      </c>
      <c r="M3787" s="3">
        <v>18</v>
      </c>
      <c r="N3787" s="4" t="s">
        <v>6212</v>
      </c>
      <c r="O3787" s="4">
        <v>199</v>
      </c>
      <c r="P3787" s="11" t="s">
        <v>9706</v>
      </c>
      <c r="Q3787" s="11" t="s">
        <v>6212</v>
      </c>
      <c r="S3787" s="4" t="b">
        <f>ISNUMBER(MATCH(Q3787,T:T,0))</f>
        <v>1</v>
      </c>
      <c r="T3787" s="4" t="s">
        <v>10885</v>
      </c>
      <c r="U3787" s="4" t="str">
        <f t="shared" si="168"/>
        <v>合</v>
      </c>
    </row>
    <row r="3788" spans="1:22" ht="39">
      <c r="A3788" s="3">
        <v>3778</v>
      </c>
      <c r="B3788" s="3" t="s">
        <v>1862</v>
      </c>
      <c r="C3788" s="3" t="s">
        <v>6079</v>
      </c>
      <c r="D3788" s="3" t="s">
        <v>5990</v>
      </c>
      <c r="E3788" s="3" t="s">
        <v>5991</v>
      </c>
      <c r="F3788" s="3" t="s">
        <v>8494</v>
      </c>
      <c r="G3788" s="3" t="s">
        <v>538</v>
      </c>
      <c r="H3788" s="3" t="s">
        <v>1870</v>
      </c>
      <c r="I3788" s="3" t="s">
        <v>8496</v>
      </c>
      <c r="J3788" s="5" t="s">
        <v>1871</v>
      </c>
      <c r="L3788" s="3" t="s">
        <v>4558</v>
      </c>
      <c r="M3788" s="3">
        <v>22</v>
      </c>
      <c r="N3788" s="4" t="s">
        <v>6212</v>
      </c>
      <c r="O3788" s="4">
        <v>199</v>
      </c>
      <c r="P3788" s="11" t="s">
        <v>9736</v>
      </c>
      <c r="Q3788" s="11" t="s">
        <v>6212</v>
      </c>
      <c r="S3788" s="4" t="b">
        <f>ISNUMBER(MATCH(Q3788,T:T,0))</f>
        <v>1</v>
      </c>
      <c r="T3788" s="4" t="s">
        <v>12919</v>
      </c>
      <c r="U3788" s="4" t="str">
        <f t="shared" si="168"/>
        <v>合</v>
      </c>
    </row>
    <row r="3789" spans="1:22">
      <c r="A3789" s="3">
        <v>3779</v>
      </c>
      <c r="B3789" s="3" t="s">
        <v>1862</v>
      </c>
      <c r="C3789" s="3" t="s">
        <v>6069</v>
      </c>
      <c r="D3789" s="3" t="s">
        <v>5990</v>
      </c>
      <c r="E3789" s="3" t="s">
        <v>5991</v>
      </c>
      <c r="F3789" s="3" t="s">
        <v>8494</v>
      </c>
      <c r="G3789" s="3" t="s">
        <v>538</v>
      </c>
      <c r="H3789" s="3" t="s">
        <v>1872</v>
      </c>
      <c r="I3789" s="3" t="s">
        <v>8496</v>
      </c>
      <c r="J3789" s="5" t="s">
        <v>6695</v>
      </c>
      <c r="L3789" s="3" t="s">
        <v>3657</v>
      </c>
      <c r="M3789" s="3">
        <v>7</v>
      </c>
      <c r="N3789" s="4" t="s">
        <v>6212</v>
      </c>
      <c r="O3789" s="4">
        <v>199</v>
      </c>
      <c r="P3789" s="11" t="s">
        <v>9733</v>
      </c>
      <c r="Q3789" s="11" t="s">
        <v>6212</v>
      </c>
      <c r="S3789" s="4" t="b">
        <f>ISNUMBER(MATCH(Q3789,T:T,0))</f>
        <v>1</v>
      </c>
      <c r="T3789" s="4" t="s">
        <v>10890</v>
      </c>
      <c r="U3789" s="4" t="str">
        <f t="shared" si="168"/>
        <v>合</v>
      </c>
    </row>
    <row r="3790" spans="1:22">
      <c r="A3790" s="3">
        <v>3780</v>
      </c>
      <c r="B3790" s="3" t="s">
        <v>1862</v>
      </c>
      <c r="C3790" s="3" t="s">
        <v>6083</v>
      </c>
      <c r="D3790" s="3" t="s">
        <v>5990</v>
      </c>
      <c r="E3790" s="3" t="s">
        <v>5991</v>
      </c>
      <c r="F3790" s="3" t="s">
        <v>8494</v>
      </c>
      <c r="G3790" s="3" t="s">
        <v>538</v>
      </c>
      <c r="H3790" s="3" t="s">
        <v>1873</v>
      </c>
      <c r="I3790" s="3" t="s">
        <v>8496</v>
      </c>
      <c r="J3790" s="8" t="s">
        <v>6696</v>
      </c>
      <c r="K3790" s="3" t="s">
        <v>8055</v>
      </c>
      <c r="L3790" s="3" t="s">
        <v>4567</v>
      </c>
      <c r="M3790" s="3">
        <v>11</v>
      </c>
      <c r="N3790" s="4" t="s">
        <v>6212</v>
      </c>
      <c r="O3790" s="4">
        <v>199</v>
      </c>
      <c r="P3790" s="11" t="s">
        <v>9737</v>
      </c>
      <c r="Q3790" s="11" t="s">
        <v>10886</v>
      </c>
      <c r="R3790" s="4" t="s">
        <v>13207</v>
      </c>
      <c r="S3790" s="4" t="b">
        <f>ISNUMBER(MATCH(Q3790,T:T,0))</f>
        <v>0</v>
      </c>
      <c r="T3790" s="4" t="s">
        <v>12920</v>
      </c>
      <c r="U3790" s="4" t="str">
        <f t="shared" si="168"/>
        <v>答</v>
      </c>
      <c r="V3790" s="4" t="b">
        <f t="shared" ref="V3790:V3792" si="170">ISNUMBER(MATCH(R3790,T:T,0))</f>
        <v>1</v>
      </c>
    </row>
    <row r="3791" spans="1:22">
      <c r="A3791" s="3">
        <v>3781</v>
      </c>
      <c r="B3791" s="3" t="s">
        <v>1862</v>
      </c>
      <c r="C3791" s="3" t="s">
        <v>6102</v>
      </c>
      <c r="D3791" s="3" t="s">
        <v>5990</v>
      </c>
      <c r="E3791" s="3" t="s">
        <v>5991</v>
      </c>
      <c r="F3791" s="3" t="s">
        <v>8494</v>
      </c>
      <c r="G3791" s="3" t="s">
        <v>538</v>
      </c>
      <c r="H3791" s="3" t="s">
        <v>1874</v>
      </c>
      <c r="I3791" s="3" t="s">
        <v>8496</v>
      </c>
      <c r="J3791" s="5" t="s">
        <v>6697</v>
      </c>
      <c r="L3791" s="3" t="s">
        <v>2494</v>
      </c>
      <c r="M3791" s="3">
        <v>8</v>
      </c>
      <c r="N3791" s="4" t="s">
        <v>6212</v>
      </c>
      <c r="O3791" s="4">
        <v>199</v>
      </c>
      <c r="P3791" s="11" t="s">
        <v>9744</v>
      </c>
      <c r="Q3791" s="11" t="s">
        <v>10886</v>
      </c>
      <c r="R3791" s="4" t="s">
        <v>13207</v>
      </c>
      <c r="S3791" s="4" t="b">
        <f>ISNUMBER(MATCH(Q3791,T:T,0))</f>
        <v>0</v>
      </c>
      <c r="T3791" s="4" t="s">
        <v>12921</v>
      </c>
      <c r="U3791" s="4" t="str">
        <f t="shared" si="168"/>
        <v>答</v>
      </c>
      <c r="V3791" s="4" t="b">
        <f t="shared" si="170"/>
        <v>1</v>
      </c>
    </row>
    <row r="3792" spans="1:22">
      <c r="A3792" s="3">
        <v>3782</v>
      </c>
      <c r="B3792" s="3" t="s">
        <v>1862</v>
      </c>
      <c r="C3792" s="3" t="s">
        <v>6038</v>
      </c>
      <c r="D3792" s="3" t="s">
        <v>5990</v>
      </c>
      <c r="E3792" s="3" t="s">
        <v>5991</v>
      </c>
      <c r="F3792" s="3" t="s">
        <v>8494</v>
      </c>
      <c r="G3792" s="3" t="s">
        <v>538</v>
      </c>
      <c r="H3792" s="3" t="s">
        <v>1875</v>
      </c>
      <c r="I3792" s="3" t="s">
        <v>8496</v>
      </c>
      <c r="J3792" s="5" t="s">
        <v>6698</v>
      </c>
      <c r="L3792" s="3" t="s">
        <v>2862</v>
      </c>
      <c r="M3792" s="3">
        <v>7</v>
      </c>
      <c r="N3792" s="4" t="s">
        <v>6212</v>
      </c>
      <c r="O3792" s="4">
        <v>199</v>
      </c>
      <c r="P3792" s="11" t="s">
        <v>9915</v>
      </c>
      <c r="Q3792" s="11" t="s">
        <v>10886</v>
      </c>
      <c r="R3792" s="4" t="s">
        <v>13207</v>
      </c>
      <c r="S3792" s="4" t="b">
        <f>ISNUMBER(MATCH(Q3792,T:T,0))</f>
        <v>0</v>
      </c>
      <c r="T3792" s="4" t="s">
        <v>12922</v>
      </c>
      <c r="U3792" s="4" t="str">
        <f t="shared" si="168"/>
        <v>答</v>
      </c>
      <c r="V3792" s="4" t="b">
        <f t="shared" si="170"/>
        <v>1</v>
      </c>
    </row>
    <row r="3793" spans="1:22">
      <c r="A3793" s="3">
        <v>3783</v>
      </c>
      <c r="B3793" s="3" t="s">
        <v>1862</v>
      </c>
      <c r="C3793" s="3" t="s">
        <v>6072</v>
      </c>
      <c r="D3793" s="3" t="s">
        <v>5990</v>
      </c>
      <c r="E3793" s="3" t="s">
        <v>5991</v>
      </c>
      <c r="F3793" s="3" t="s">
        <v>8494</v>
      </c>
      <c r="G3793" s="3" t="s">
        <v>538</v>
      </c>
      <c r="H3793" s="3" t="s">
        <v>1876</v>
      </c>
      <c r="I3793" s="3" t="s">
        <v>8496</v>
      </c>
      <c r="J3793" s="5" t="s">
        <v>6699</v>
      </c>
      <c r="L3793" s="3" t="s">
        <v>3648</v>
      </c>
      <c r="M3793" s="3">
        <v>13</v>
      </c>
      <c r="N3793" s="4" t="s">
        <v>6212</v>
      </c>
      <c r="O3793" s="4">
        <v>199</v>
      </c>
      <c r="P3793" s="11" t="s">
        <v>9734</v>
      </c>
      <c r="Q3793" s="11" t="s">
        <v>6212</v>
      </c>
      <c r="S3793" s="4" t="b">
        <f>ISNUMBER(MATCH(Q3793,T:T,0))</f>
        <v>1</v>
      </c>
      <c r="T3793" s="4" t="s">
        <v>12923</v>
      </c>
      <c r="U3793" s="4" t="str">
        <f t="shared" si="168"/>
        <v>合</v>
      </c>
    </row>
    <row r="3794" spans="1:22">
      <c r="A3794" s="3">
        <v>3784</v>
      </c>
      <c r="B3794" s="3" t="s">
        <v>1862</v>
      </c>
      <c r="C3794" s="3" t="s">
        <v>6089</v>
      </c>
      <c r="D3794" s="3" t="s">
        <v>5990</v>
      </c>
      <c r="E3794" s="3" t="s">
        <v>5991</v>
      </c>
      <c r="F3794" s="3" t="s">
        <v>8494</v>
      </c>
      <c r="G3794" s="3" t="s">
        <v>538</v>
      </c>
      <c r="H3794" s="3" t="s">
        <v>1877</v>
      </c>
      <c r="I3794" s="3" t="s">
        <v>8496</v>
      </c>
      <c r="J3794" s="5" t="s">
        <v>1878</v>
      </c>
      <c r="L3794" s="3" t="s">
        <v>2869</v>
      </c>
      <c r="M3794" s="3">
        <v>4</v>
      </c>
      <c r="N3794" s="4" t="s">
        <v>6212</v>
      </c>
      <c r="O3794" s="4">
        <v>199</v>
      </c>
      <c r="P3794" s="11" t="s">
        <v>9739</v>
      </c>
      <c r="Q3794" s="11" t="s">
        <v>6212</v>
      </c>
      <c r="S3794" s="4" t="b">
        <f>ISNUMBER(MATCH(Q3794,T:T,0))</f>
        <v>1</v>
      </c>
      <c r="T3794" s="4" t="s">
        <v>12924</v>
      </c>
      <c r="U3794" s="4" t="str">
        <f t="shared" si="168"/>
        <v>合</v>
      </c>
    </row>
    <row r="3795" spans="1:22">
      <c r="A3795" s="3">
        <v>3785</v>
      </c>
      <c r="B3795" s="3" t="s">
        <v>1862</v>
      </c>
      <c r="C3795" s="3" t="s">
        <v>6092</v>
      </c>
      <c r="D3795" s="3" t="s">
        <v>5990</v>
      </c>
      <c r="E3795" s="3" t="s">
        <v>5991</v>
      </c>
      <c r="F3795" s="3" t="s">
        <v>8494</v>
      </c>
      <c r="G3795" s="3" t="s">
        <v>538</v>
      </c>
      <c r="H3795" s="3" t="s">
        <v>1879</v>
      </c>
      <c r="I3795" s="3" t="s">
        <v>8496</v>
      </c>
      <c r="J3795" s="5" t="s">
        <v>6700</v>
      </c>
      <c r="L3795" s="3" t="s">
        <v>2392</v>
      </c>
      <c r="M3795" s="3">
        <v>10</v>
      </c>
      <c r="N3795" s="4" t="s">
        <v>6212</v>
      </c>
      <c r="O3795" s="4">
        <v>199</v>
      </c>
      <c r="P3795" s="11" t="s">
        <v>9740</v>
      </c>
      <c r="Q3795" s="11" t="s">
        <v>6212</v>
      </c>
      <c r="S3795" s="4" t="b">
        <f>ISNUMBER(MATCH(Q3795,T:T,0))</f>
        <v>1</v>
      </c>
      <c r="T3795" s="4" t="s">
        <v>12925</v>
      </c>
      <c r="U3795" s="4" t="str">
        <f t="shared" si="168"/>
        <v>合</v>
      </c>
    </row>
    <row r="3796" spans="1:22">
      <c r="A3796" s="3">
        <v>3786</v>
      </c>
      <c r="B3796" s="3" t="s">
        <v>1862</v>
      </c>
      <c r="C3796" s="3" t="s">
        <v>6076</v>
      </c>
      <c r="D3796" s="3" t="s">
        <v>5990</v>
      </c>
      <c r="E3796" s="3" t="s">
        <v>5991</v>
      </c>
      <c r="F3796" s="3" t="s">
        <v>8494</v>
      </c>
      <c r="G3796" s="3" t="s">
        <v>538</v>
      </c>
      <c r="H3796" s="3" t="s">
        <v>1880</v>
      </c>
      <c r="I3796" s="3" t="s">
        <v>8496</v>
      </c>
      <c r="J3796" s="5" t="s">
        <v>1881</v>
      </c>
      <c r="L3796" s="3" t="s">
        <v>4554</v>
      </c>
      <c r="M3796" s="3">
        <v>2</v>
      </c>
      <c r="N3796" s="4" t="s">
        <v>6212</v>
      </c>
      <c r="O3796" s="4">
        <v>199</v>
      </c>
      <c r="P3796" s="11" t="s">
        <v>9766</v>
      </c>
      <c r="Q3796" s="11" t="s">
        <v>6212</v>
      </c>
      <c r="S3796" s="4" t="b">
        <f>ISNUMBER(MATCH(Q3796,T:T,0))</f>
        <v>1</v>
      </c>
      <c r="T3796" s="4" t="s">
        <v>12926</v>
      </c>
      <c r="U3796" s="4" t="str">
        <f t="shared" si="168"/>
        <v>合</v>
      </c>
    </row>
    <row r="3797" spans="1:22">
      <c r="A3797" s="3">
        <v>3787</v>
      </c>
      <c r="B3797" s="3" t="s">
        <v>1862</v>
      </c>
      <c r="C3797" s="3" t="s">
        <v>6148</v>
      </c>
      <c r="D3797" s="3" t="s">
        <v>5990</v>
      </c>
      <c r="E3797" s="3" t="s">
        <v>5991</v>
      </c>
      <c r="F3797" s="3" t="s">
        <v>8494</v>
      </c>
      <c r="G3797" s="3" t="s">
        <v>538</v>
      </c>
      <c r="H3797" s="3" t="s">
        <v>1882</v>
      </c>
      <c r="I3797" s="3" t="s">
        <v>8496</v>
      </c>
      <c r="J3797" s="8" t="s">
        <v>1883</v>
      </c>
      <c r="M3797" s="3">
        <v>1</v>
      </c>
      <c r="N3797" s="4" t="s">
        <v>6212</v>
      </c>
      <c r="O3797" s="4">
        <v>199</v>
      </c>
      <c r="P3797" s="11" t="s">
        <v>10887</v>
      </c>
      <c r="Q3797" s="11" t="s">
        <v>6212</v>
      </c>
      <c r="S3797" s="4" t="b">
        <f>ISNUMBER(MATCH(Q3797,T:T,0))</f>
        <v>1</v>
      </c>
      <c r="T3797" s="4" t="s">
        <v>1883</v>
      </c>
      <c r="U3797" s="4" t="str">
        <f t="shared" si="168"/>
        <v>合</v>
      </c>
    </row>
    <row r="3798" spans="1:22">
      <c r="A3798" s="3">
        <v>3788</v>
      </c>
      <c r="B3798" s="3" t="s">
        <v>1862</v>
      </c>
      <c r="C3798" s="3" t="s">
        <v>6072</v>
      </c>
      <c r="D3798" s="3" t="s">
        <v>5990</v>
      </c>
      <c r="E3798" s="3" t="s">
        <v>5991</v>
      </c>
      <c r="F3798" s="3" t="s">
        <v>8494</v>
      </c>
      <c r="G3798" s="3" t="s">
        <v>538</v>
      </c>
      <c r="H3798" s="3" t="s">
        <v>1884</v>
      </c>
      <c r="I3798" s="3" t="s">
        <v>8496</v>
      </c>
      <c r="J3798" s="5" t="s">
        <v>1885</v>
      </c>
      <c r="L3798" s="3" t="s">
        <v>3648</v>
      </c>
      <c r="M3798" s="3">
        <v>1</v>
      </c>
      <c r="N3798" s="4" t="s">
        <v>6212</v>
      </c>
      <c r="O3798" s="4">
        <v>199</v>
      </c>
      <c r="P3798" s="11" t="s">
        <v>9734</v>
      </c>
      <c r="Q3798" s="11" t="s">
        <v>10886</v>
      </c>
      <c r="R3798" s="4" t="s">
        <v>13207</v>
      </c>
      <c r="S3798" s="4" t="b">
        <f>ISNUMBER(MATCH(Q3798,T:T,0))</f>
        <v>0</v>
      </c>
      <c r="T3798" s="4" t="s">
        <v>1885</v>
      </c>
      <c r="U3798" s="4" t="str">
        <f t="shared" si="168"/>
        <v>答</v>
      </c>
      <c r="V3798" s="4" t="b">
        <f>ISNUMBER(MATCH(R3798,T:T,0))</f>
        <v>1</v>
      </c>
    </row>
    <row r="3799" spans="1:22">
      <c r="A3799" s="3">
        <v>4005</v>
      </c>
      <c r="B3799" s="3" t="s">
        <v>1862</v>
      </c>
      <c r="C3799" s="3" t="s">
        <v>6058</v>
      </c>
      <c r="D3799" s="3" t="s">
        <v>5990</v>
      </c>
      <c r="E3799" s="3" t="s">
        <v>5991</v>
      </c>
      <c r="F3799" s="3" t="s">
        <v>8494</v>
      </c>
      <c r="G3799" s="3" t="s">
        <v>538</v>
      </c>
      <c r="H3799" s="3" t="s">
        <v>1316</v>
      </c>
      <c r="I3799" s="3" t="s">
        <v>8496</v>
      </c>
      <c r="J3799" s="5" t="s">
        <v>6743</v>
      </c>
      <c r="K3799" s="3" t="s">
        <v>1317</v>
      </c>
      <c r="M3799" s="3">
        <v>11</v>
      </c>
      <c r="N3799" s="4" t="s">
        <v>6212</v>
      </c>
      <c r="O3799" s="4">
        <v>199</v>
      </c>
      <c r="P3799" s="11" t="s">
        <v>9730</v>
      </c>
      <c r="Q3799" s="11" t="s">
        <v>6212</v>
      </c>
      <c r="S3799" s="4" t="b">
        <f>ISNUMBER(MATCH(Q3799,T:T,0))</f>
        <v>1</v>
      </c>
      <c r="T3799" s="4" t="s">
        <v>12983</v>
      </c>
      <c r="U3799" s="4" t="str">
        <f t="shared" si="168"/>
        <v>合</v>
      </c>
    </row>
    <row r="3800" spans="1:22">
      <c r="A3800" s="3">
        <v>3789</v>
      </c>
      <c r="B3800" s="3" t="s">
        <v>1886</v>
      </c>
      <c r="C3800" s="3" t="s">
        <v>6067</v>
      </c>
      <c r="D3800" s="3" t="s">
        <v>5990</v>
      </c>
      <c r="E3800" s="3" t="s">
        <v>5991</v>
      </c>
      <c r="F3800" s="3" t="s">
        <v>8522</v>
      </c>
      <c r="G3800" s="3" t="s">
        <v>538</v>
      </c>
      <c r="H3800" s="3" t="s">
        <v>1887</v>
      </c>
      <c r="I3800" s="3" t="s">
        <v>8496</v>
      </c>
      <c r="J3800" s="5" t="s">
        <v>1888</v>
      </c>
      <c r="L3800" s="3" t="s">
        <v>4579</v>
      </c>
      <c r="M3800" s="3">
        <v>10</v>
      </c>
      <c r="N3800" s="4" t="s">
        <v>9692</v>
      </c>
      <c r="O3800" s="4">
        <v>200</v>
      </c>
      <c r="P3800" s="11" t="s">
        <v>9870</v>
      </c>
      <c r="Q3800" s="11" t="s">
        <v>10888</v>
      </c>
      <c r="S3800" s="4" t="b">
        <f>ISNUMBER(MATCH(Q3800,T:T,0))</f>
        <v>1</v>
      </c>
      <c r="T3800" s="4" t="s">
        <v>9692</v>
      </c>
      <c r="U3800" s="4" t="str">
        <f t="shared" si="168"/>
        <v>臘</v>
      </c>
    </row>
    <row r="3801" spans="1:22">
      <c r="A3801" s="3">
        <v>3790</v>
      </c>
      <c r="B3801" s="3" t="s">
        <v>1886</v>
      </c>
      <c r="C3801" s="3" t="s">
        <v>6058</v>
      </c>
      <c r="D3801" s="3" t="s">
        <v>5990</v>
      </c>
      <c r="E3801" s="3" t="s">
        <v>5991</v>
      </c>
      <c r="F3801" s="3" t="s">
        <v>8522</v>
      </c>
      <c r="G3801" s="3" t="s">
        <v>538</v>
      </c>
      <c r="H3801" s="3" t="s">
        <v>1889</v>
      </c>
      <c r="I3801" s="3" t="s">
        <v>8496</v>
      </c>
      <c r="J3801" s="5" t="s">
        <v>6701</v>
      </c>
      <c r="L3801" s="3" t="s">
        <v>3650</v>
      </c>
      <c r="M3801" s="3">
        <v>14</v>
      </c>
      <c r="N3801" s="4" t="s">
        <v>9692</v>
      </c>
      <c r="O3801" s="4">
        <v>200</v>
      </c>
      <c r="P3801" s="11" t="s">
        <v>9730</v>
      </c>
      <c r="Q3801" s="11" t="s">
        <v>9692</v>
      </c>
      <c r="S3801" s="4" t="b">
        <f>ISNUMBER(MATCH(Q3801,T:T,0))</f>
        <v>1</v>
      </c>
      <c r="T3801" s="4" t="s">
        <v>10888</v>
      </c>
      <c r="U3801" s="4" t="str">
        <f t="shared" si="168"/>
        <v>盍</v>
      </c>
    </row>
    <row r="3802" spans="1:22">
      <c r="A3802" s="3">
        <v>3791</v>
      </c>
      <c r="B3802" s="3" t="s">
        <v>1886</v>
      </c>
      <c r="C3802" s="3" t="s">
        <v>5989</v>
      </c>
      <c r="D3802" s="3" t="s">
        <v>5990</v>
      </c>
      <c r="E3802" s="3" t="s">
        <v>5991</v>
      </c>
      <c r="F3802" s="3" t="s">
        <v>8522</v>
      </c>
      <c r="G3802" s="3" t="s">
        <v>538</v>
      </c>
      <c r="H3802" s="3" t="s">
        <v>1890</v>
      </c>
      <c r="I3802" s="3" t="s">
        <v>8496</v>
      </c>
      <c r="J3802" s="5" t="s">
        <v>1891</v>
      </c>
      <c r="L3802" s="3" t="s">
        <v>4564</v>
      </c>
      <c r="M3802" s="3">
        <v>11</v>
      </c>
      <c r="N3802" s="4" t="s">
        <v>9692</v>
      </c>
      <c r="O3802" s="4">
        <v>200</v>
      </c>
      <c r="P3802" s="11" t="s">
        <v>9742</v>
      </c>
      <c r="Q3802" s="11" t="s">
        <v>10889</v>
      </c>
      <c r="S3802" s="4" t="b">
        <f>ISNUMBER(MATCH(Q3802,T:T,0))</f>
        <v>1</v>
      </c>
      <c r="T3802" s="4" t="s">
        <v>12927</v>
      </c>
      <c r="U3802" s="4" t="str">
        <f t="shared" si="168"/>
        <v>榼</v>
      </c>
    </row>
    <row r="3803" spans="1:22" ht="39">
      <c r="A3803" s="3">
        <v>3792</v>
      </c>
      <c r="B3803" s="3" t="s">
        <v>1886</v>
      </c>
      <c r="C3803" s="3" t="s">
        <v>6079</v>
      </c>
      <c r="D3803" s="3" t="s">
        <v>5990</v>
      </c>
      <c r="E3803" s="3" t="s">
        <v>5991</v>
      </c>
      <c r="F3803" s="3" t="s">
        <v>8522</v>
      </c>
      <c r="G3803" s="3" t="s">
        <v>538</v>
      </c>
      <c r="H3803" s="3" t="s">
        <v>1892</v>
      </c>
      <c r="I3803" s="3" t="s">
        <v>8496</v>
      </c>
      <c r="J3803" s="5" t="s">
        <v>6702</v>
      </c>
      <c r="L3803" s="3" t="s">
        <v>4558</v>
      </c>
      <c r="M3803" s="3">
        <v>19</v>
      </c>
      <c r="N3803" s="4" t="s">
        <v>9692</v>
      </c>
      <c r="O3803" s="4">
        <v>200</v>
      </c>
      <c r="P3803" s="11" t="s">
        <v>9967</v>
      </c>
      <c r="Q3803" s="11" t="s">
        <v>9692</v>
      </c>
      <c r="S3803" s="4" t="b">
        <f>ISNUMBER(MATCH(Q3803,T:T,0))</f>
        <v>1</v>
      </c>
      <c r="T3803" s="4" t="s">
        <v>12928</v>
      </c>
      <c r="U3803" s="4" t="str">
        <f t="shared" si="168"/>
        <v>盍</v>
      </c>
    </row>
    <row r="3804" spans="1:22">
      <c r="A3804" s="3">
        <v>3793</v>
      </c>
      <c r="B3804" s="3" t="s">
        <v>1886</v>
      </c>
      <c r="C3804" s="3" t="s">
        <v>6089</v>
      </c>
      <c r="D3804" s="3" t="s">
        <v>5990</v>
      </c>
      <c r="E3804" s="3" t="s">
        <v>5991</v>
      </c>
      <c r="F3804" s="3" t="s">
        <v>8522</v>
      </c>
      <c r="G3804" s="3" t="s">
        <v>538</v>
      </c>
      <c r="H3804" s="3" t="s">
        <v>1893</v>
      </c>
      <c r="I3804" s="3" t="s">
        <v>8496</v>
      </c>
      <c r="J3804" s="5" t="s">
        <v>1894</v>
      </c>
      <c r="L3804" s="3" t="s">
        <v>2869</v>
      </c>
      <c r="M3804" s="3">
        <v>3</v>
      </c>
      <c r="N3804" s="4" t="s">
        <v>9692</v>
      </c>
      <c r="O3804" s="4">
        <v>200</v>
      </c>
      <c r="P3804" s="11" t="s">
        <v>9739</v>
      </c>
      <c r="Q3804" s="11" t="s">
        <v>9692</v>
      </c>
      <c r="S3804" s="4" t="b">
        <f>ISNUMBER(MATCH(Q3804,T:T,0))</f>
        <v>1</v>
      </c>
      <c r="T3804" s="4" t="s">
        <v>12929</v>
      </c>
      <c r="U3804" s="4" t="str">
        <f t="shared" si="168"/>
        <v>盍</v>
      </c>
    </row>
    <row r="3805" spans="1:22">
      <c r="A3805" s="3">
        <v>3794</v>
      </c>
      <c r="B3805" s="3" t="s">
        <v>1886</v>
      </c>
      <c r="C3805" s="3" t="s">
        <v>6102</v>
      </c>
      <c r="D3805" s="3" t="s">
        <v>5990</v>
      </c>
      <c r="E3805" s="3" t="s">
        <v>5991</v>
      </c>
      <c r="F3805" s="3" t="s">
        <v>8522</v>
      </c>
      <c r="G3805" s="3" t="s">
        <v>538</v>
      </c>
      <c r="H3805" s="3" t="s">
        <v>1895</v>
      </c>
      <c r="I3805" s="3" t="s">
        <v>8496</v>
      </c>
      <c r="J3805" s="5" t="s">
        <v>1896</v>
      </c>
      <c r="L3805" s="3" t="s">
        <v>2494</v>
      </c>
      <c r="M3805" s="3">
        <v>3</v>
      </c>
      <c r="N3805" s="4" t="s">
        <v>9692</v>
      </c>
      <c r="O3805" s="4">
        <v>200</v>
      </c>
      <c r="P3805" s="11" t="s">
        <v>9744</v>
      </c>
      <c r="Q3805" s="11" t="s">
        <v>9692</v>
      </c>
      <c r="S3805" s="4" t="b">
        <f>ISNUMBER(MATCH(Q3805,T:T,0))</f>
        <v>1</v>
      </c>
      <c r="T3805" s="4" t="s">
        <v>12930</v>
      </c>
      <c r="U3805" s="4" t="str">
        <f t="shared" si="168"/>
        <v>盍</v>
      </c>
    </row>
    <row r="3806" spans="1:22">
      <c r="A3806" s="3">
        <v>3795</v>
      </c>
      <c r="B3806" s="3" t="s">
        <v>1886</v>
      </c>
      <c r="C3806" s="3" t="s">
        <v>5997</v>
      </c>
      <c r="D3806" s="3" t="s">
        <v>5990</v>
      </c>
      <c r="E3806" s="3" t="s">
        <v>5991</v>
      </c>
      <c r="F3806" s="3" t="s">
        <v>8522</v>
      </c>
      <c r="G3806" s="3" t="s">
        <v>538</v>
      </c>
      <c r="H3806" s="3" t="s">
        <v>1897</v>
      </c>
      <c r="I3806" s="3" t="s">
        <v>8496</v>
      </c>
      <c r="J3806" s="5" t="s">
        <v>6703</v>
      </c>
      <c r="K3806" s="3" t="s">
        <v>1898</v>
      </c>
      <c r="L3806" s="3" t="s">
        <v>3655</v>
      </c>
      <c r="M3806" s="3">
        <v>10</v>
      </c>
      <c r="N3806" s="4" t="s">
        <v>9692</v>
      </c>
      <c r="O3806" s="4">
        <v>200</v>
      </c>
      <c r="P3806" s="11" t="s">
        <v>9706</v>
      </c>
      <c r="Q3806" s="11" t="s">
        <v>9692</v>
      </c>
      <c r="S3806" s="4" t="b">
        <f>ISNUMBER(MATCH(Q3806,T:T,0))</f>
        <v>1</v>
      </c>
      <c r="T3806" s="4" t="s">
        <v>12931</v>
      </c>
      <c r="U3806" s="4" t="str">
        <f t="shared" si="168"/>
        <v>盍</v>
      </c>
    </row>
    <row r="3807" spans="1:22">
      <c r="A3807" s="3">
        <v>3796</v>
      </c>
      <c r="B3807" s="3" t="s">
        <v>1886</v>
      </c>
      <c r="C3807" s="3" t="s">
        <v>6017</v>
      </c>
      <c r="D3807" s="3" t="s">
        <v>5990</v>
      </c>
      <c r="E3807" s="3" t="s">
        <v>5991</v>
      </c>
      <c r="F3807" s="3" t="s">
        <v>8522</v>
      </c>
      <c r="G3807" s="3" t="s">
        <v>538</v>
      </c>
      <c r="H3807" s="3" t="s">
        <v>1899</v>
      </c>
      <c r="I3807" s="3" t="s">
        <v>8496</v>
      </c>
      <c r="J3807" s="5" t="s">
        <v>1900</v>
      </c>
      <c r="L3807" s="3" t="s">
        <v>4561</v>
      </c>
      <c r="M3807" s="3">
        <v>7</v>
      </c>
      <c r="N3807" s="4" t="s">
        <v>9692</v>
      </c>
      <c r="O3807" s="4">
        <v>200</v>
      </c>
      <c r="P3807" s="11" t="s">
        <v>9746</v>
      </c>
      <c r="Q3807" s="11" t="s">
        <v>9692</v>
      </c>
      <c r="S3807" s="4" t="b">
        <f>ISNUMBER(MATCH(Q3807,T:T,0))</f>
        <v>1</v>
      </c>
      <c r="T3807" s="4" t="s">
        <v>12932</v>
      </c>
      <c r="U3807" s="4" t="str">
        <f t="shared" si="168"/>
        <v>盍</v>
      </c>
    </row>
    <row r="3808" spans="1:22">
      <c r="A3808" s="3">
        <v>3797</v>
      </c>
      <c r="B3808" s="3" t="s">
        <v>1886</v>
      </c>
      <c r="C3808" s="3" t="s">
        <v>6092</v>
      </c>
      <c r="D3808" s="3" t="s">
        <v>5990</v>
      </c>
      <c r="E3808" s="3" t="s">
        <v>5991</v>
      </c>
      <c r="F3808" s="3" t="s">
        <v>8522</v>
      </c>
      <c r="G3808" s="3" t="s">
        <v>538</v>
      </c>
      <c r="H3808" s="3" t="s">
        <v>1901</v>
      </c>
      <c r="I3808" s="3" t="s">
        <v>8496</v>
      </c>
      <c r="J3808" s="5" t="s">
        <v>1902</v>
      </c>
      <c r="L3808" s="3" t="s">
        <v>2392</v>
      </c>
      <c r="M3808" s="3">
        <v>2</v>
      </c>
      <c r="N3808" s="4" t="s">
        <v>9692</v>
      </c>
      <c r="O3808" s="4">
        <v>200</v>
      </c>
      <c r="P3808" s="11" t="s">
        <v>9740</v>
      </c>
      <c r="Q3808" s="11" t="s">
        <v>9692</v>
      </c>
      <c r="S3808" s="4" t="b">
        <f>ISNUMBER(MATCH(Q3808,T:T,0))</f>
        <v>1</v>
      </c>
      <c r="T3808" s="4" t="s">
        <v>409</v>
      </c>
      <c r="U3808" s="4" t="str">
        <f t="shared" si="168"/>
        <v>盍</v>
      </c>
    </row>
    <row r="3809" spans="1:21">
      <c r="A3809" s="3">
        <v>3798</v>
      </c>
      <c r="B3809" s="3" t="s">
        <v>1886</v>
      </c>
      <c r="C3809" s="3" t="s">
        <v>6069</v>
      </c>
      <c r="D3809" s="3" t="s">
        <v>5990</v>
      </c>
      <c r="E3809" s="3" t="s">
        <v>5991</v>
      </c>
      <c r="F3809" s="3" t="s">
        <v>8522</v>
      </c>
      <c r="G3809" s="3" t="s">
        <v>538</v>
      </c>
      <c r="H3809" s="3" t="s">
        <v>1903</v>
      </c>
      <c r="I3809" s="3" t="s">
        <v>8496</v>
      </c>
      <c r="J3809" s="5" t="s">
        <v>1904</v>
      </c>
      <c r="L3809" s="3" t="s">
        <v>3657</v>
      </c>
      <c r="M3809" s="3">
        <v>2</v>
      </c>
      <c r="N3809" s="4" t="s">
        <v>9692</v>
      </c>
      <c r="O3809" s="4">
        <v>200</v>
      </c>
      <c r="P3809" s="11" t="s">
        <v>9925</v>
      </c>
      <c r="Q3809" s="11" t="s">
        <v>9692</v>
      </c>
      <c r="S3809" s="4" t="b">
        <f>ISNUMBER(MATCH(Q3809,T:T,0))</f>
        <v>1</v>
      </c>
      <c r="T3809" s="4" t="s">
        <v>12933</v>
      </c>
      <c r="U3809" s="4" t="str">
        <f t="shared" si="168"/>
        <v>盍</v>
      </c>
    </row>
    <row r="3810" spans="1:21">
      <c r="A3810" s="3">
        <v>3799</v>
      </c>
      <c r="B3810" s="3" t="s">
        <v>1886</v>
      </c>
      <c r="C3810" s="3" t="s">
        <v>6025</v>
      </c>
      <c r="D3810" s="3" t="s">
        <v>5990</v>
      </c>
      <c r="E3810" s="3" t="s">
        <v>5991</v>
      </c>
      <c r="F3810" s="3" t="s">
        <v>8522</v>
      </c>
      <c r="G3810" s="3" t="s">
        <v>538</v>
      </c>
      <c r="H3810" s="3" t="s">
        <v>1905</v>
      </c>
      <c r="I3810" s="3" t="s">
        <v>8496</v>
      </c>
      <c r="J3810" s="5" t="s">
        <v>1906</v>
      </c>
      <c r="L3810" s="3" t="s">
        <v>3660</v>
      </c>
      <c r="M3810" s="3">
        <v>8</v>
      </c>
      <c r="N3810" s="4" t="s">
        <v>9692</v>
      </c>
      <c r="O3810" s="4">
        <v>200</v>
      </c>
      <c r="P3810" s="11" t="s">
        <v>9729</v>
      </c>
      <c r="Q3810" s="11" t="s">
        <v>9692</v>
      </c>
      <c r="S3810" s="4" t="b">
        <f>ISNUMBER(MATCH(Q3810,T:T,0))</f>
        <v>1</v>
      </c>
      <c r="T3810" s="4" t="s">
        <v>12934</v>
      </c>
      <c r="U3810" s="4" t="str">
        <f t="shared" si="168"/>
        <v>盍</v>
      </c>
    </row>
    <row r="3811" spans="1:21">
      <c r="A3811" s="3">
        <v>3800</v>
      </c>
      <c r="B3811" s="3" t="s">
        <v>1886</v>
      </c>
      <c r="C3811" s="3" t="s">
        <v>6038</v>
      </c>
      <c r="D3811" s="3" t="s">
        <v>5990</v>
      </c>
      <c r="E3811" s="3" t="s">
        <v>5991</v>
      </c>
      <c r="F3811" s="3" t="s">
        <v>8522</v>
      </c>
      <c r="G3811" s="3" t="s">
        <v>538</v>
      </c>
      <c r="H3811" s="3" t="s">
        <v>1907</v>
      </c>
      <c r="I3811" s="3" t="s">
        <v>8496</v>
      </c>
      <c r="J3811" s="5" t="s">
        <v>1908</v>
      </c>
      <c r="L3811" s="3" t="s">
        <v>2862</v>
      </c>
      <c r="M3811" s="3">
        <v>6</v>
      </c>
      <c r="N3811" s="4" t="s">
        <v>9692</v>
      </c>
      <c r="O3811" s="4">
        <v>200</v>
      </c>
      <c r="P3811" s="11" t="s">
        <v>9728</v>
      </c>
      <c r="Q3811" s="11" t="s">
        <v>9692</v>
      </c>
      <c r="S3811" s="4" t="b">
        <f>ISNUMBER(MATCH(Q3811,T:T,0))</f>
        <v>1</v>
      </c>
      <c r="T3811" s="4" t="s">
        <v>10889</v>
      </c>
      <c r="U3811" s="4" t="str">
        <f t="shared" si="168"/>
        <v>盍</v>
      </c>
    </row>
    <row r="3812" spans="1:21">
      <c r="A3812" s="3">
        <v>3801</v>
      </c>
      <c r="B3812" s="3" t="s">
        <v>1886</v>
      </c>
      <c r="C3812" s="3" t="s">
        <v>6072</v>
      </c>
      <c r="D3812" s="3" t="s">
        <v>5990</v>
      </c>
      <c r="E3812" s="3" t="s">
        <v>5991</v>
      </c>
      <c r="F3812" s="3" t="s">
        <v>8522</v>
      </c>
      <c r="G3812" s="3" t="s">
        <v>538</v>
      </c>
      <c r="H3812" s="3" t="s">
        <v>1909</v>
      </c>
      <c r="I3812" s="3" t="s">
        <v>8496</v>
      </c>
      <c r="J3812" s="8" t="s">
        <v>6704</v>
      </c>
      <c r="L3812" s="3" t="s">
        <v>3648</v>
      </c>
      <c r="M3812" s="3">
        <v>4</v>
      </c>
      <c r="N3812" s="4" t="s">
        <v>9692</v>
      </c>
      <c r="O3812" s="4">
        <v>200</v>
      </c>
      <c r="P3812" s="11" t="s">
        <v>9969</v>
      </c>
      <c r="Q3812" s="11" t="s">
        <v>9692</v>
      </c>
      <c r="S3812" s="4" t="b">
        <f>ISNUMBER(MATCH(Q3812,T:T,0))</f>
        <v>1</v>
      </c>
      <c r="T3812" s="4" t="s">
        <v>12935</v>
      </c>
      <c r="U3812" s="4" t="str">
        <f t="shared" si="168"/>
        <v>盍</v>
      </c>
    </row>
    <row r="3813" spans="1:21">
      <c r="A3813" s="3">
        <v>3802</v>
      </c>
      <c r="B3813" s="3" t="s">
        <v>1886</v>
      </c>
      <c r="C3813" s="3" t="s">
        <v>6076</v>
      </c>
      <c r="D3813" s="3" t="s">
        <v>5990</v>
      </c>
      <c r="E3813" s="3" t="s">
        <v>5991</v>
      </c>
      <c r="F3813" s="3" t="s">
        <v>8522</v>
      </c>
      <c r="G3813" s="3" t="s">
        <v>538</v>
      </c>
      <c r="H3813" s="3" t="s">
        <v>1910</v>
      </c>
      <c r="I3813" s="3" t="s">
        <v>8496</v>
      </c>
      <c r="J3813" s="5" t="s">
        <v>1911</v>
      </c>
      <c r="L3813" s="3" t="s">
        <v>4554</v>
      </c>
      <c r="M3813" s="3">
        <v>3</v>
      </c>
      <c r="N3813" s="4" t="s">
        <v>9692</v>
      </c>
      <c r="O3813" s="4">
        <v>200</v>
      </c>
      <c r="P3813" s="11" t="s">
        <v>9735</v>
      </c>
      <c r="Q3813" s="11" t="s">
        <v>10890</v>
      </c>
      <c r="S3813" s="4" t="b">
        <f>ISNUMBER(MATCH(Q3813,T:T,0))</f>
        <v>1</v>
      </c>
      <c r="T3813" s="4" t="s">
        <v>12936</v>
      </c>
      <c r="U3813" s="4" t="str">
        <f t="shared" si="168"/>
        <v>雜</v>
      </c>
    </row>
    <row r="3814" spans="1:21">
      <c r="A3814" s="3">
        <v>3803</v>
      </c>
      <c r="B3814" s="3" t="s">
        <v>1886</v>
      </c>
      <c r="C3814" s="3" t="s">
        <v>6025</v>
      </c>
      <c r="D3814" s="3" t="s">
        <v>5990</v>
      </c>
      <c r="E3814" s="3" t="s">
        <v>5991</v>
      </c>
      <c r="F3814" s="3" t="s">
        <v>8522</v>
      </c>
      <c r="G3814" s="3" t="s">
        <v>538</v>
      </c>
      <c r="H3814" s="3" t="s">
        <v>1912</v>
      </c>
      <c r="I3814" s="3" t="s">
        <v>8496</v>
      </c>
      <c r="J3814" s="5" t="s">
        <v>1913</v>
      </c>
      <c r="L3814" s="3" t="s">
        <v>3660</v>
      </c>
      <c r="M3814" s="3">
        <v>2</v>
      </c>
      <c r="N3814" s="4" t="s">
        <v>9692</v>
      </c>
      <c r="O3814" s="4">
        <v>200</v>
      </c>
      <c r="P3814" s="11" t="s">
        <v>9717</v>
      </c>
      <c r="Q3814" s="11" t="s">
        <v>9692</v>
      </c>
      <c r="S3814" s="4" t="b">
        <f>ISNUMBER(MATCH(Q3814,T:T,0))</f>
        <v>1</v>
      </c>
      <c r="T3814" s="4" t="s">
        <v>12937</v>
      </c>
      <c r="U3814" s="4" t="str">
        <f t="shared" si="168"/>
        <v>盍</v>
      </c>
    </row>
    <row r="3815" spans="1:21">
      <c r="A3815" s="3">
        <v>3804</v>
      </c>
      <c r="B3815" s="3" t="s">
        <v>1886</v>
      </c>
      <c r="C3815" s="3" t="s">
        <v>6009</v>
      </c>
      <c r="D3815" s="3" t="s">
        <v>5990</v>
      </c>
      <c r="E3815" s="3" t="s">
        <v>5991</v>
      </c>
      <c r="F3815" s="3" t="s">
        <v>8522</v>
      </c>
      <c r="G3815" s="3" t="s">
        <v>538</v>
      </c>
      <c r="H3815" s="3" t="s">
        <v>1914</v>
      </c>
      <c r="I3815" s="3" t="s">
        <v>8496</v>
      </c>
      <c r="J3815" s="5" t="s">
        <v>1915</v>
      </c>
      <c r="M3815" s="3">
        <v>1</v>
      </c>
      <c r="N3815" s="4" t="s">
        <v>9692</v>
      </c>
      <c r="O3815" s="4">
        <v>200</v>
      </c>
      <c r="P3815" s="11" t="s">
        <v>6009</v>
      </c>
      <c r="Q3815" s="11" t="s">
        <v>9692</v>
      </c>
      <c r="S3815" s="4" t="b">
        <f>ISNUMBER(MATCH(Q3815,T:T,0))</f>
        <v>1</v>
      </c>
      <c r="T3815" s="4" t="s">
        <v>1915</v>
      </c>
      <c r="U3815" s="4" t="str">
        <f t="shared" si="168"/>
        <v>盍</v>
      </c>
    </row>
    <row r="3816" spans="1:21">
      <c r="A3816" s="3">
        <v>3805</v>
      </c>
      <c r="B3816" s="3" t="s">
        <v>1916</v>
      </c>
      <c r="C3816" s="3" t="s">
        <v>6028</v>
      </c>
      <c r="D3816" s="3" t="s">
        <v>6001</v>
      </c>
      <c r="E3816" s="3" t="s">
        <v>5991</v>
      </c>
      <c r="F3816" s="3" t="s">
        <v>8541</v>
      </c>
      <c r="G3816" s="3" t="s">
        <v>538</v>
      </c>
      <c r="H3816" s="3" t="s">
        <v>1917</v>
      </c>
      <c r="I3816" s="3" t="s">
        <v>8496</v>
      </c>
      <c r="J3816" s="5" t="s">
        <v>6705</v>
      </c>
      <c r="L3816" s="3" t="s">
        <v>5432</v>
      </c>
      <c r="M3816" s="3">
        <v>10</v>
      </c>
      <c r="N3816" s="4" t="s">
        <v>1918</v>
      </c>
      <c r="O3816" s="4">
        <v>201</v>
      </c>
      <c r="P3816" s="11" t="s">
        <v>9828</v>
      </c>
      <c r="Q3816" s="11" t="s">
        <v>10891</v>
      </c>
      <c r="S3816" s="4" t="b">
        <f>ISNUMBER(MATCH(Q3816,T:T,0))</f>
        <v>1</v>
      </c>
      <c r="T3816" s="4" t="s">
        <v>1918</v>
      </c>
      <c r="U3816" s="4" t="str">
        <f t="shared" si="168"/>
        <v>涉</v>
      </c>
    </row>
    <row r="3817" spans="1:21">
      <c r="A3817" s="3">
        <v>3806</v>
      </c>
      <c r="B3817" s="3" t="s">
        <v>1916</v>
      </c>
      <c r="C3817" s="3" t="s">
        <v>6083</v>
      </c>
      <c r="D3817" s="3" t="s">
        <v>6001</v>
      </c>
      <c r="E3817" s="3" t="s">
        <v>5991</v>
      </c>
      <c r="F3817" s="3" t="s">
        <v>8541</v>
      </c>
      <c r="G3817" s="3" t="s">
        <v>538</v>
      </c>
      <c r="H3817" s="3" t="s">
        <v>1919</v>
      </c>
      <c r="I3817" s="3" t="s">
        <v>8496</v>
      </c>
      <c r="J3817" s="5" t="s">
        <v>6706</v>
      </c>
      <c r="L3817" s="3" t="s">
        <v>3608</v>
      </c>
      <c r="M3817" s="3">
        <v>11</v>
      </c>
      <c r="N3817" s="4" t="s">
        <v>1918</v>
      </c>
      <c r="O3817" s="4">
        <v>201</v>
      </c>
      <c r="P3817" s="11" t="s">
        <v>9760</v>
      </c>
      <c r="Q3817" s="11" t="s">
        <v>1918</v>
      </c>
      <c r="S3817" s="4" t="b">
        <f>ISNUMBER(MATCH(Q3817,T:T,0))</f>
        <v>1</v>
      </c>
      <c r="T3817" s="4" t="s">
        <v>10894</v>
      </c>
      <c r="U3817" s="4" t="str">
        <f t="shared" si="168"/>
        <v>葉</v>
      </c>
    </row>
    <row r="3818" spans="1:21">
      <c r="A3818" s="3">
        <v>3807</v>
      </c>
      <c r="B3818" s="3" t="s">
        <v>1916</v>
      </c>
      <c r="C3818" s="3" t="s">
        <v>6120</v>
      </c>
      <c r="D3818" s="3" t="s">
        <v>6001</v>
      </c>
      <c r="E3818" s="3" t="s">
        <v>5991</v>
      </c>
      <c r="F3818" s="3" t="s">
        <v>8541</v>
      </c>
      <c r="G3818" s="3" t="s">
        <v>538</v>
      </c>
      <c r="H3818" s="3" t="s">
        <v>1920</v>
      </c>
      <c r="I3818" s="3" t="s">
        <v>8496</v>
      </c>
      <c r="J3818" s="5" t="s">
        <v>6707</v>
      </c>
      <c r="L3818" s="3" t="s">
        <v>3554</v>
      </c>
      <c r="M3818" s="3">
        <v>8</v>
      </c>
      <c r="N3818" s="4" t="s">
        <v>1918</v>
      </c>
      <c r="O3818" s="4">
        <v>201</v>
      </c>
      <c r="P3818" s="11" t="s">
        <v>6120</v>
      </c>
      <c r="Q3818" s="11" t="s">
        <v>10891</v>
      </c>
      <c r="S3818" s="4" t="b">
        <f>ISNUMBER(MATCH(Q3818,T:T,0))</f>
        <v>1</v>
      </c>
      <c r="T3818" s="4" t="s">
        <v>10892</v>
      </c>
      <c r="U3818" s="4" t="str">
        <f t="shared" si="168"/>
        <v>涉</v>
      </c>
    </row>
    <row r="3819" spans="1:21">
      <c r="A3819" s="3">
        <v>3808</v>
      </c>
      <c r="B3819" s="3" t="s">
        <v>1916</v>
      </c>
      <c r="C3819" s="3" t="s">
        <v>6148</v>
      </c>
      <c r="D3819" s="3" t="s">
        <v>6001</v>
      </c>
      <c r="E3819" s="3" t="s">
        <v>5991</v>
      </c>
      <c r="F3819" s="3" t="s">
        <v>8541</v>
      </c>
      <c r="G3819" s="3" t="s">
        <v>538</v>
      </c>
      <c r="H3819" s="3" t="s">
        <v>1921</v>
      </c>
      <c r="I3819" s="3" t="s">
        <v>8496</v>
      </c>
      <c r="J3819" s="5" t="s">
        <v>6708</v>
      </c>
      <c r="L3819" s="3" t="s">
        <v>3823</v>
      </c>
      <c r="M3819" s="3">
        <v>4</v>
      </c>
      <c r="N3819" s="4" t="s">
        <v>1918</v>
      </c>
      <c r="O3819" s="4">
        <v>201</v>
      </c>
      <c r="P3819" s="11" t="s">
        <v>10190</v>
      </c>
      <c r="Q3819" s="11" t="s">
        <v>10892</v>
      </c>
      <c r="S3819" s="4" t="b">
        <f>ISNUMBER(MATCH(Q3819,T:T,0))</f>
        <v>1</v>
      </c>
      <c r="T3819" s="4" t="s">
        <v>10891</v>
      </c>
      <c r="U3819" s="4" t="str">
        <f t="shared" si="168"/>
        <v>攝</v>
      </c>
    </row>
    <row r="3820" spans="1:21" ht="39">
      <c r="A3820" s="3">
        <v>3809</v>
      </c>
      <c r="B3820" s="3" t="s">
        <v>1916</v>
      </c>
      <c r="C3820" s="3" t="s">
        <v>6058</v>
      </c>
      <c r="D3820" s="3" t="s">
        <v>6001</v>
      </c>
      <c r="E3820" s="3" t="s">
        <v>5991</v>
      </c>
      <c r="F3820" s="3" t="s">
        <v>8541</v>
      </c>
      <c r="G3820" s="3" t="s">
        <v>538</v>
      </c>
      <c r="H3820" s="3" t="s">
        <v>1922</v>
      </c>
      <c r="I3820" s="3" t="s">
        <v>8496</v>
      </c>
      <c r="J3820" s="5" t="s">
        <v>6709</v>
      </c>
      <c r="L3820" s="3" t="s">
        <v>3813</v>
      </c>
      <c r="M3820" s="3">
        <v>22</v>
      </c>
      <c r="N3820" s="4" t="s">
        <v>1918</v>
      </c>
      <c r="O3820" s="4">
        <v>201</v>
      </c>
      <c r="P3820" s="11" t="s">
        <v>10084</v>
      </c>
      <c r="Q3820" s="11" t="s">
        <v>10891</v>
      </c>
      <c r="S3820" s="4" t="b">
        <f>ISNUMBER(MATCH(Q3820,T:T,0))</f>
        <v>1</v>
      </c>
      <c r="T3820" s="4" t="s">
        <v>12938</v>
      </c>
      <c r="U3820" s="4" t="str">
        <f t="shared" si="168"/>
        <v>涉</v>
      </c>
    </row>
    <row r="3821" spans="1:21">
      <c r="A3821" s="3">
        <v>3810</v>
      </c>
      <c r="B3821" s="3" t="s">
        <v>1916</v>
      </c>
      <c r="C3821" s="3" t="s">
        <v>6069</v>
      </c>
      <c r="D3821" s="3" t="s">
        <v>6001</v>
      </c>
      <c r="E3821" s="3" t="s">
        <v>5991</v>
      </c>
      <c r="F3821" s="3" t="s">
        <v>8541</v>
      </c>
      <c r="G3821" s="3" t="s">
        <v>538</v>
      </c>
      <c r="H3821" s="3" t="s">
        <v>1923</v>
      </c>
      <c r="I3821" s="3" t="s">
        <v>8496</v>
      </c>
      <c r="J3821" s="5" t="s">
        <v>6710</v>
      </c>
      <c r="L3821" s="3" t="s">
        <v>3611</v>
      </c>
      <c r="M3821" s="3">
        <v>8</v>
      </c>
      <c r="N3821" s="4" t="s">
        <v>1918</v>
      </c>
      <c r="O3821" s="4">
        <v>201</v>
      </c>
      <c r="P3821" s="11" t="s">
        <v>9756</v>
      </c>
      <c r="Q3821" s="11" t="s">
        <v>1918</v>
      </c>
      <c r="S3821" s="4" t="b">
        <f>ISNUMBER(MATCH(Q3821,T:T,0))</f>
        <v>1</v>
      </c>
      <c r="T3821" s="4" t="s">
        <v>12939</v>
      </c>
      <c r="U3821" s="4" t="str">
        <f t="shared" si="168"/>
        <v>葉</v>
      </c>
    </row>
    <row r="3822" spans="1:21">
      <c r="A3822" s="3">
        <v>3811</v>
      </c>
      <c r="B3822" s="3" t="s">
        <v>1916</v>
      </c>
      <c r="C3822" s="3" t="s">
        <v>6005</v>
      </c>
      <c r="D3822" s="3" t="s">
        <v>6001</v>
      </c>
      <c r="E3822" s="3" t="s">
        <v>5991</v>
      </c>
      <c r="F3822" s="3" t="s">
        <v>8545</v>
      </c>
      <c r="G3822" s="3" t="s">
        <v>538</v>
      </c>
      <c r="H3822" s="3" t="s">
        <v>1924</v>
      </c>
      <c r="I3822" s="3" t="s">
        <v>8496</v>
      </c>
      <c r="J3822" s="5" t="s">
        <v>6711</v>
      </c>
      <c r="L3822" s="3" t="s">
        <v>3510</v>
      </c>
      <c r="M3822" s="3">
        <v>3</v>
      </c>
      <c r="N3822" s="4" t="s">
        <v>1918</v>
      </c>
      <c r="O3822" s="4">
        <v>201</v>
      </c>
      <c r="P3822" s="11" t="s">
        <v>9709</v>
      </c>
      <c r="Q3822" s="11" t="s">
        <v>1918</v>
      </c>
      <c r="S3822" s="4" t="b">
        <f>ISNUMBER(MATCH(Q3822,T:T,0))</f>
        <v>1</v>
      </c>
      <c r="T3822" s="4" t="s">
        <v>12940</v>
      </c>
      <c r="U3822" s="4" t="str">
        <f t="shared" si="168"/>
        <v>葉</v>
      </c>
    </row>
    <row r="3823" spans="1:21">
      <c r="A3823" s="3">
        <v>3812</v>
      </c>
      <c r="B3823" s="3" t="s">
        <v>1916</v>
      </c>
      <c r="C3823" s="3" t="s">
        <v>6072</v>
      </c>
      <c r="D3823" s="3" t="s">
        <v>6001</v>
      </c>
      <c r="E3823" s="3" t="s">
        <v>5991</v>
      </c>
      <c r="F3823" s="3" t="s">
        <v>8545</v>
      </c>
      <c r="G3823" s="3" t="s">
        <v>538</v>
      </c>
      <c r="H3823" s="3" t="s">
        <v>1925</v>
      </c>
      <c r="I3823" s="3" t="s">
        <v>8496</v>
      </c>
      <c r="J3823" s="5" t="s">
        <v>1926</v>
      </c>
      <c r="L3823" s="3" t="s">
        <v>6215</v>
      </c>
      <c r="M3823" s="3">
        <v>4</v>
      </c>
      <c r="N3823" s="4" t="s">
        <v>1918</v>
      </c>
      <c r="O3823" s="4">
        <v>201</v>
      </c>
      <c r="P3823" s="11" t="s">
        <v>9754</v>
      </c>
      <c r="Q3823" s="11" t="s">
        <v>10893</v>
      </c>
      <c r="S3823" s="4" t="b">
        <f>ISNUMBER(MATCH(Q3823,T:T,0))</f>
        <v>1</v>
      </c>
      <c r="T3823" s="4" t="s">
        <v>12941</v>
      </c>
      <c r="U3823" s="4" t="str">
        <f t="shared" si="168"/>
        <v>輒</v>
      </c>
    </row>
    <row r="3824" spans="1:21">
      <c r="A3824" s="3">
        <v>3813</v>
      </c>
      <c r="B3824" s="3" t="s">
        <v>1916</v>
      </c>
      <c r="C3824" s="3" t="s">
        <v>6137</v>
      </c>
      <c r="D3824" s="3" t="s">
        <v>6001</v>
      </c>
      <c r="E3824" s="3" t="s">
        <v>5991</v>
      </c>
      <c r="F3824" s="3" t="s">
        <v>8545</v>
      </c>
      <c r="G3824" s="3" t="s">
        <v>538</v>
      </c>
      <c r="H3824" s="3" t="s">
        <v>1927</v>
      </c>
      <c r="I3824" s="3" t="s">
        <v>8496</v>
      </c>
      <c r="J3824" s="5" t="s">
        <v>6712</v>
      </c>
      <c r="K3824" s="3" t="s">
        <v>659</v>
      </c>
      <c r="L3824" s="3" t="s">
        <v>3791</v>
      </c>
      <c r="M3824" s="3">
        <v>16</v>
      </c>
      <c r="N3824" s="4" t="s">
        <v>1918</v>
      </c>
      <c r="O3824" s="4">
        <v>201</v>
      </c>
      <c r="P3824" s="11" t="s">
        <v>9812</v>
      </c>
      <c r="Q3824" s="11" t="s">
        <v>10893</v>
      </c>
      <c r="S3824" s="4" t="b">
        <f>ISNUMBER(MATCH(Q3824,T:T,0))</f>
        <v>1</v>
      </c>
      <c r="T3824" s="4" t="s">
        <v>12942</v>
      </c>
      <c r="U3824" s="4" t="str">
        <f t="shared" si="168"/>
        <v>輒</v>
      </c>
    </row>
    <row r="3825" spans="1:21">
      <c r="A3825" s="3">
        <v>3814</v>
      </c>
      <c r="B3825" s="3" t="s">
        <v>1916</v>
      </c>
      <c r="C3825" s="3" t="s">
        <v>6055</v>
      </c>
      <c r="D3825" s="3" t="s">
        <v>6001</v>
      </c>
      <c r="E3825" s="3" t="s">
        <v>5991</v>
      </c>
      <c r="F3825" s="3" t="s">
        <v>8541</v>
      </c>
      <c r="G3825" s="3" t="s">
        <v>538</v>
      </c>
      <c r="H3825" s="3" t="s">
        <v>1928</v>
      </c>
      <c r="I3825" s="3" t="s">
        <v>8496</v>
      </c>
      <c r="J3825" s="5" t="s">
        <v>1929</v>
      </c>
      <c r="L3825" s="3" t="s">
        <v>2852</v>
      </c>
      <c r="M3825" s="3">
        <v>9</v>
      </c>
      <c r="N3825" s="4" t="s">
        <v>1918</v>
      </c>
      <c r="O3825" s="4">
        <v>201</v>
      </c>
      <c r="P3825" s="11" t="s">
        <v>3507</v>
      </c>
      <c r="Q3825" s="11" t="s">
        <v>10891</v>
      </c>
      <c r="S3825" s="4" t="b">
        <f>ISNUMBER(MATCH(Q3825,T:T,0))</f>
        <v>1</v>
      </c>
      <c r="T3825" s="4" t="s">
        <v>12943</v>
      </c>
      <c r="U3825" s="4" t="str">
        <f t="shared" si="168"/>
        <v>涉</v>
      </c>
    </row>
    <row r="3826" spans="1:21">
      <c r="A3826" s="3">
        <v>3815</v>
      </c>
      <c r="B3826" s="3" t="s">
        <v>1916</v>
      </c>
      <c r="C3826" s="3" t="s">
        <v>6021</v>
      </c>
      <c r="D3826" s="3" t="s">
        <v>6001</v>
      </c>
      <c r="E3826" s="3" t="s">
        <v>5991</v>
      </c>
      <c r="F3826" s="3" t="s">
        <v>8541</v>
      </c>
      <c r="G3826" s="3" t="s">
        <v>538</v>
      </c>
      <c r="H3826" s="3" t="s">
        <v>1930</v>
      </c>
      <c r="I3826" s="3" t="s">
        <v>8496</v>
      </c>
      <c r="J3826" s="5" t="s">
        <v>1931</v>
      </c>
      <c r="L3826" s="3" t="s">
        <v>3820</v>
      </c>
      <c r="M3826" s="3">
        <v>5</v>
      </c>
      <c r="N3826" s="4" t="s">
        <v>1918</v>
      </c>
      <c r="O3826" s="4">
        <v>201</v>
      </c>
      <c r="P3826" s="11" t="s">
        <v>9761</v>
      </c>
      <c r="Q3826" s="11" t="s">
        <v>10891</v>
      </c>
      <c r="S3826" s="4" t="b">
        <f>ISNUMBER(MATCH(Q3826,T:T,0))</f>
        <v>1</v>
      </c>
      <c r="T3826" s="4" t="s">
        <v>12944</v>
      </c>
      <c r="U3826" s="4" t="str">
        <f t="shared" si="168"/>
        <v>涉</v>
      </c>
    </row>
    <row r="3827" spans="1:21">
      <c r="A3827" s="3">
        <v>3816</v>
      </c>
      <c r="B3827" s="3" t="s">
        <v>1916</v>
      </c>
      <c r="C3827" s="3" t="s">
        <v>6009</v>
      </c>
      <c r="D3827" s="3" t="s">
        <v>6001</v>
      </c>
      <c r="E3827" s="3" t="s">
        <v>5991</v>
      </c>
      <c r="F3827" s="3" t="s">
        <v>8541</v>
      </c>
      <c r="G3827" s="3" t="s">
        <v>538</v>
      </c>
      <c r="H3827" s="3" t="s">
        <v>1932</v>
      </c>
      <c r="I3827" s="3" t="s">
        <v>8496</v>
      </c>
      <c r="J3827" s="5" t="s">
        <v>6713</v>
      </c>
      <c r="L3827" s="3" t="s">
        <v>3551</v>
      </c>
      <c r="M3827" s="3">
        <v>12</v>
      </c>
      <c r="N3827" s="4" t="s">
        <v>1918</v>
      </c>
      <c r="O3827" s="4">
        <v>201</v>
      </c>
      <c r="P3827" s="11" t="s">
        <v>6396</v>
      </c>
      <c r="Q3827" s="11" t="s">
        <v>10891</v>
      </c>
      <c r="S3827" s="4" t="b">
        <f>ISNUMBER(MATCH(Q3827,T:T,0))</f>
        <v>1</v>
      </c>
      <c r="T3827" s="4" t="s">
        <v>12945</v>
      </c>
      <c r="U3827" s="4" t="str">
        <f t="shared" si="168"/>
        <v>涉</v>
      </c>
    </row>
    <row r="3828" spans="1:21">
      <c r="A3828" s="3">
        <v>3817</v>
      </c>
      <c r="B3828" s="3" t="s">
        <v>1916</v>
      </c>
      <c r="C3828" s="3" t="s">
        <v>6076</v>
      </c>
      <c r="D3828" s="3" t="s">
        <v>6001</v>
      </c>
      <c r="E3828" s="3" t="s">
        <v>5991</v>
      </c>
      <c r="F3828" s="3" t="s">
        <v>8541</v>
      </c>
      <c r="G3828" s="3" t="s">
        <v>538</v>
      </c>
      <c r="H3828" s="3" t="s">
        <v>1933</v>
      </c>
      <c r="I3828" s="3" t="s">
        <v>8496</v>
      </c>
      <c r="J3828" s="5" t="s">
        <v>6714</v>
      </c>
      <c r="L3828" s="3" t="s">
        <v>6287</v>
      </c>
      <c r="M3828" s="3">
        <v>10</v>
      </c>
      <c r="N3828" s="4" t="s">
        <v>1918</v>
      </c>
      <c r="O3828" s="4">
        <v>201</v>
      </c>
      <c r="P3828" s="11" t="s">
        <v>9766</v>
      </c>
      <c r="Q3828" s="11" t="s">
        <v>10894</v>
      </c>
      <c r="S3828" s="4" t="b">
        <f>ISNUMBER(MATCH(Q3828,T:T,0))</f>
        <v>1</v>
      </c>
      <c r="T3828" s="4" t="s">
        <v>12946</v>
      </c>
      <c r="U3828" s="4" t="str">
        <f t="shared" si="168"/>
        <v>接</v>
      </c>
    </row>
    <row r="3829" spans="1:21">
      <c r="A3829" s="3">
        <v>3818</v>
      </c>
      <c r="B3829" s="3" t="s">
        <v>1916</v>
      </c>
      <c r="C3829" s="3" t="s">
        <v>6011</v>
      </c>
      <c r="D3829" s="3" t="s">
        <v>6001</v>
      </c>
      <c r="E3829" s="3" t="s">
        <v>5991</v>
      </c>
      <c r="F3829" s="3" t="s">
        <v>8545</v>
      </c>
      <c r="G3829" s="3" t="s">
        <v>538</v>
      </c>
      <c r="H3829" s="3" t="s">
        <v>1934</v>
      </c>
      <c r="I3829" s="3" t="s">
        <v>8496</v>
      </c>
      <c r="J3829" s="8" t="s">
        <v>6715</v>
      </c>
      <c r="L3829" s="3" t="s">
        <v>2852</v>
      </c>
      <c r="M3829" s="3">
        <v>6</v>
      </c>
      <c r="N3829" s="4" t="s">
        <v>1918</v>
      </c>
      <c r="O3829" s="4">
        <v>201</v>
      </c>
      <c r="P3829" s="11" t="s">
        <v>9757</v>
      </c>
      <c r="Q3829" s="11" t="s">
        <v>10893</v>
      </c>
      <c r="S3829" s="4" t="b">
        <f>ISNUMBER(MATCH(Q3829,T:T,0))</f>
        <v>1</v>
      </c>
      <c r="T3829" s="4" t="s">
        <v>12947</v>
      </c>
      <c r="U3829" s="4" t="str">
        <f t="shared" si="168"/>
        <v>輒</v>
      </c>
    </row>
    <row r="3830" spans="1:21">
      <c r="A3830" s="3">
        <v>3819</v>
      </c>
      <c r="B3830" s="3" t="s">
        <v>1916</v>
      </c>
      <c r="C3830" s="3" t="s">
        <v>6041</v>
      </c>
      <c r="D3830" s="3" t="s">
        <v>6001</v>
      </c>
      <c r="E3830" s="3" t="s">
        <v>5991</v>
      </c>
      <c r="F3830" s="3" t="s">
        <v>8545</v>
      </c>
      <c r="G3830" s="3" t="s">
        <v>538</v>
      </c>
      <c r="H3830" s="3" t="s">
        <v>1935</v>
      </c>
      <c r="I3830" s="3" t="s">
        <v>8496</v>
      </c>
      <c r="J3830" s="5" t="s">
        <v>1936</v>
      </c>
      <c r="L3830" s="3" t="s">
        <v>3611</v>
      </c>
      <c r="M3830" s="3">
        <v>5</v>
      </c>
      <c r="N3830" s="4" t="s">
        <v>1918</v>
      </c>
      <c r="O3830" s="4">
        <v>201</v>
      </c>
      <c r="P3830" s="11" t="s">
        <v>9830</v>
      </c>
      <c r="Q3830" s="11" t="s">
        <v>10893</v>
      </c>
      <c r="S3830" s="4" t="b">
        <f>ISNUMBER(MATCH(Q3830,T:T,0))</f>
        <v>1</v>
      </c>
      <c r="T3830" s="4" t="s">
        <v>12948</v>
      </c>
      <c r="U3830" s="4" t="str">
        <f t="shared" si="168"/>
        <v>輒</v>
      </c>
    </row>
    <row r="3831" spans="1:21">
      <c r="A3831" s="3">
        <v>3820</v>
      </c>
      <c r="B3831" s="3" t="s">
        <v>1916</v>
      </c>
      <c r="C3831" s="3" t="s">
        <v>6000</v>
      </c>
      <c r="D3831" s="3" t="s">
        <v>6001</v>
      </c>
      <c r="E3831" s="3" t="s">
        <v>5991</v>
      </c>
      <c r="F3831" s="3" t="s">
        <v>8545</v>
      </c>
      <c r="G3831" s="3" t="s">
        <v>538</v>
      </c>
      <c r="H3831" s="3" t="s">
        <v>1937</v>
      </c>
      <c r="I3831" s="3" t="s">
        <v>8496</v>
      </c>
      <c r="J3831" s="5" t="s">
        <v>6716</v>
      </c>
      <c r="L3831" s="3" t="s">
        <v>3551</v>
      </c>
      <c r="M3831" s="3">
        <v>8</v>
      </c>
      <c r="N3831" s="4" t="s">
        <v>1918</v>
      </c>
      <c r="O3831" s="4">
        <v>201</v>
      </c>
      <c r="P3831" s="11" t="s">
        <v>9707</v>
      </c>
      <c r="Q3831" s="11" t="s">
        <v>1918</v>
      </c>
      <c r="S3831" s="4" t="b">
        <f>ISNUMBER(MATCH(Q3831,T:T,0))</f>
        <v>1</v>
      </c>
      <c r="T3831" s="4" t="s">
        <v>10893</v>
      </c>
      <c r="U3831" s="4" t="str">
        <f t="shared" si="168"/>
        <v>葉</v>
      </c>
    </row>
    <row r="3832" spans="1:21">
      <c r="A3832" s="3">
        <v>3821</v>
      </c>
      <c r="B3832" s="3" t="s">
        <v>1916</v>
      </c>
      <c r="C3832" s="3" t="s">
        <v>6032</v>
      </c>
      <c r="D3832" s="3" t="s">
        <v>6001</v>
      </c>
      <c r="E3832" s="3" t="s">
        <v>5991</v>
      </c>
      <c r="F3832" s="3" t="s">
        <v>8545</v>
      </c>
      <c r="G3832" s="3" t="s">
        <v>538</v>
      </c>
      <c r="H3832" s="3" t="s">
        <v>1938</v>
      </c>
      <c r="I3832" s="3" t="s">
        <v>8496</v>
      </c>
      <c r="J3832" s="5" t="s">
        <v>6717</v>
      </c>
      <c r="L3832" s="3" t="s">
        <v>5432</v>
      </c>
      <c r="M3832" s="3">
        <v>7</v>
      </c>
      <c r="N3832" s="4" t="s">
        <v>1918</v>
      </c>
      <c r="O3832" s="4">
        <v>201</v>
      </c>
      <c r="P3832" s="11" t="s">
        <v>9938</v>
      </c>
      <c r="Q3832" s="11" t="s">
        <v>10893</v>
      </c>
      <c r="S3832" s="4" t="b">
        <f>ISNUMBER(MATCH(Q3832,T:T,0))</f>
        <v>1</v>
      </c>
      <c r="T3832" s="4" t="s">
        <v>12949</v>
      </c>
      <c r="U3832" s="4" t="str">
        <f t="shared" si="168"/>
        <v>輒</v>
      </c>
    </row>
    <row r="3833" spans="1:21">
      <c r="A3833" s="3">
        <v>3822</v>
      </c>
      <c r="B3833" s="3" t="s">
        <v>1916</v>
      </c>
      <c r="C3833" s="3" t="s">
        <v>6038</v>
      </c>
      <c r="D3833" s="3" t="s">
        <v>6001</v>
      </c>
      <c r="E3833" s="3" t="s">
        <v>5991</v>
      </c>
      <c r="F3833" s="3" t="s">
        <v>8541</v>
      </c>
      <c r="G3833" s="3" t="s">
        <v>538</v>
      </c>
      <c r="H3833" s="3" t="s">
        <v>1939</v>
      </c>
      <c r="I3833" s="3" t="s">
        <v>8496</v>
      </c>
      <c r="J3833" s="5" t="s">
        <v>1940</v>
      </c>
      <c r="L3833" s="3" t="s">
        <v>6287</v>
      </c>
      <c r="M3833" s="3">
        <v>1</v>
      </c>
      <c r="N3833" s="4" t="s">
        <v>1918</v>
      </c>
      <c r="O3833" s="4">
        <v>201</v>
      </c>
      <c r="P3833" s="11" t="s">
        <v>4210</v>
      </c>
      <c r="Q3833" s="11" t="s">
        <v>10891</v>
      </c>
      <c r="S3833" s="4" t="b">
        <f>ISNUMBER(MATCH(Q3833,T:T,0))</f>
        <v>1</v>
      </c>
      <c r="T3833" s="4" t="s">
        <v>1940</v>
      </c>
      <c r="U3833" s="4" t="str">
        <f t="shared" si="168"/>
        <v>涉</v>
      </c>
    </row>
    <row r="3834" spans="1:21">
      <c r="A3834" s="3">
        <v>3823</v>
      </c>
      <c r="B3834" s="3" t="s">
        <v>1916</v>
      </c>
      <c r="C3834" s="3" t="s">
        <v>6180</v>
      </c>
      <c r="D3834" s="3" t="s">
        <v>6001</v>
      </c>
      <c r="E3834" s="3" t="s">
        <v>5991</v>
      </c>
      <c r="F3834" s="3" t="s">
        <v>8545</v>
      </c>
      <c r="G3834" s="3" t="s">
        <v>538</v>
      </c>
      <c r="H3834" s="3" t="s">
        <v>1941</v>
      </c>
      <c r="I3834" s="3" t="s">
        <v>8496</v>
      </c>
      <c r="J3834" s="5" t="s">
        <v>1942</v>
      </c>
      <c r="L3834" s="3" t="s">
        <v>3554</v>
      </c>
      <c r="M3834" s="3">
        <v>6</v>
      </c>
      <c r="N3834" s="4" t="s">
        <v>1918</v>
      </c>
      <c r="O3834" s="4">
        <v>201</v>
      </c>
      <c r="P3834" s="11" t="s">
        <v>6836</v>
      </c>
      <c r="Q3834" s="11" t="s">
        <v>10893</v>
      </c>
      <c r="S3834" s="4" t="b">
        <f>ISNUMBER(MATCH(Q3834,T:T,0))</f>
        <v>1</v>
      </c>
      <c r="T3834" s="4" t="s">
        <v>12950</v>
      </c>
      <c r="U3834" s="4" t="str">
        <f t="shared" si="168"/>
        <v>輒</v>
      </c>
    </row>
    <row r="3835" spans="1:21">
      <c r="A3835" s="3">
        <v>3824</v>
      </c>
      <c r="B3835" s="3" t="s">
        <v>1916</v>
      </c>
      <c r="C3835" s="3" t="s">
        <v>6025</v>
      </c>
      <c r="D3835" s="3" t="s">
        <v>6001</v>
      </c>
      <c r="E3835" s="3" t="s">
        <v>5991</v>
      </c>
      <c r="F3835" s="3" t="s">
        <v>8545</v>
      </c>
      <c r="G3835" s="3" t="s">
        <v>538</v>
      </c>
      <c r="H3835" s="3" t="s">
        <v>1943</v>
      </c>
      <c r="I3835" s="3" t="s">
        <v>8496</v>
      </c>
      <c r="J3835" s="5" t="s">
        <v>1944</v>
      </c>
      <c r="L3835" s="3" t="s">
        <v>3608</v>
      </c>
      <c r="M3835" s="3">
        <v>2</v>
      </c>
      <c r="N3835" s="4" t="s">
        <v>1918</v>
      </c>
      <c r="O3835" s="4">
        <v>201</v>
      </c>
      <c r="P3835" s="11" t="s">
        <v>9717</v>
      </c>
      <c r="Q3835" s="11" t="s">
        <v>10893</v>
      </c>
      <c r="S3835" s="4" t="b">
        <f>ISNUMBER(MATCH(Q3835,T:T,0))</f>
        <v>1</v>
      </c>
      <c r="T3835" s="4" t="s">
        <v>12951</v>
      </c>
      <c r="U3835" s="4" t="str">
        <f t="shared" si="168"/>
        <v>輒</v>
      </c>
    </row>
    <row r="3836" spans="1:21">
      <c r="A3836" s="3">
        <v>3825</v>
      </c>
      <c r="B3836" s="3" t="s">
        <v>1916</v>
      </c>
      <c r="C3836" s="3" t="s">
        <v>6072</v>
      </c>
      <c r="D3836" s="3" t="s">
        <v>6001</v>
      </c>
      <c r="E3836" s="3" t="s">
        <v>5991</v>
      </c>
      <c r="F3836" s="3" t="s">
        <v>8541</v>
      </c>
      <c r="G3836" s="3" t="s">
        <v>538</v>
      </c>
      <c r="H3836" s="3" t="s">
        <v>1945</v>
      </c>
      <c r="I3836" s="3" t="s">
        <v>8496</v>
      </c>
      <c r="J3836" s="5" t="s">
        <v>6718</v>
      </c>
      <c r="L3836" s="3" t="s">
        <v>6215</v>
      </c>
      <c r="M3836" s="3">
        <v>7</v>
      </c>
      <c r="N3836" s="4" t="s">
        <v>1918</v>
      </c>
      <c r="O3836" s="4">
        <v>201</v>
      </c>
      <c r="P3836" s="11" t="s">
        <v>9754</v>
      </c>
      <c r="Q3836" s="11" t="s">
        <v>1918</v>
      </c>
      <c r="S3836" s="4" t="b">
        <f>ISNUMBER(MATCH(Q3836,T:T,0))</f>
        <v>1</v>
      </c>
      <c r="T3836" s="4" t="s">
        <v>12952</v>
      </c>
      <c r="U3836" s="4" t="str">
        <f t="shared" si="168"/>
        <v>葉</v>
      </c>
    </row>
    <row r="3837" spans="1:21">
      <c r="A3837" s="3">
        <v>3826</v>
      </c>
      <c r="B3837" s="3" t="s">
        <v>1946</v>
      </c>
      <c r="C3837" s="3" t="s">
        <v>6079</v>
      </c>
      <c r="D3837" s="3" t="s">
        <v>2843</v>
      </c>
      <c r="E3837" s="3" t="s">
        <v>5991</v>
      </c>
      <c r="F3837" s="3" t="s">
        <v>8588</v>
      </c>
      <c r="G3837" s="3" t="s">
        <v>538</v>
      </c>
      <c r="H3837" s="3" t="s">
        <v>1947</v>
      </c>
      <c r="I3837" s="3" t="s">
        <v>8496</v>
      </c>
      <c r="J3837" s="5" t="s">
        <v>1948</v>
      </c>
      <c r="L3837" s="3" t="s">
        <v>3788</v>
      </c>
      <c r="M3837" s="3">
        <v>11</v>
      </c>
      <c r="N3837" s="4" t="s">
        <v>9693</v>
      </c>
      <c r="O3837" s="4">
        <v>202</v>
      </c>
      <c r="P3837" s="11" t="s">
        <v>9736</v>
      </c>
      <c r="Q3837" s="11" t="s">
        <v>10895</v>
      </c>
      <c r="S3837" s="4" t="b">
        <f>ISNUMBER(MATCH(Q3837,T:T,0))</f>
        <v>1</v>
      </c>
      <c r="T3837" s="4" t="s">
        <v>12953</v>
      </c>
      <c r="U3837" s="4" t="str">
        <f t="shared" si="168"/>
        <v>協</v>
      </c>
    </row>
    <row r="3838" spans="1:21">
      <c r="A3838" s="3">
        <v>3827</v>
      </c>
      <c r="B3838" s="3" t="s">
        <v>1946</v>
      </c>
      <c r="C3838" s="3" t="s">
        <v>6067</v>
      </c>
      <c r="D3838" s="3" t="s">
        <v>2843</v>
      </c>
      <c r="E3838" s="3" t="s">
        <v>5991</v>
      </c>
      <c r="F3838" s="3" t="s">
        <v>8588</v>
      </c>
      <c r="G3838" s="3" t="s">
        <v>538</v>
      </c>
      <c r="H3838" s="3" t="s">
        <v>1949</v>
      </c>
      <c r="I3838" s="3" t="s">
        <v>8496</v>
      </c>
      <c r="J3838" s="5" t="s">
        <v>6719</v>
      </c>
      <c r="L3838" s="3" t="s">
        <v>2947</v>
      </c>
      <c r="M3838" s="3">
        <v>10</v>
      </c>
      <c r="N3838" s="4" t="s">
        <v>9693</v>
      </c>
      <c r="O3838" s="4">
        <v>202</v>
      </c>
      <c r="P3838" s="11" t="s">
        <v>9870</v>
      </c>
      <c r="Q3838" s="11" t="s">
        <v>10896</v>
      </c>
      <c r="S3838" s="4" t="b">
        <f>ISNUMBER(MATCH(Q3838,T:T,0))</f>
        <v>1</v>
      </c>
      <c r="T3838" s="4" t="s">
        <v>10895</v>
      </c>
      <c r="U3838" s="4" t="str">
        <f t="shared" si="168"/>
        <v>頰</v>
      </c>
    </row>
    <row r="3839" spans="1:21">
      <c r="A3839" s="3">
        <v>3828</v>
      </c>
      <c r="B3839" s="3" t="s">
        <v>1946</v>
      </c>
      <c r="C3839" s="3" t="s">
        <v>6025</v>
      </c>
      <c r="D3839" s="3" t="s">
        <v>2843</v>
      </c>
      <c r="E3839" s="3" t="s">
        <v>5991</v>
      </c>
      <c r="F3839" s="3" t="s">
        <v>8588</v>
      </c>
      <c r="G3839" s="3" t="s">
        <v>538</v>
      </c>
      <c r="H3839" s="3" t="s">
        <v>1950</v>
      </c>
      <c r="I3839" s="3" t="s">
        <v>8496</v>
      </c>
      <c r="J3839" s="5" t="s">
        <v>1951</v>
      </c>
      <c r="L3839" s="3" t="s">
        <v>3608</v>
      </c>
      <c r="M3839" s="3">
        <v>9</v>
      </c>
      <c r="N3839" s="4" t="s">
        <v>9693</v>
      </c>
      <c r="O3839" s="4">
        <v>202</v>
      </c>
      <c r="P3839" s="11" t="s">
        <v>9729</v>
      </c>
      <c r="Q3839" s="11" t="s">
        <v>10895</v>
      </c>
      <c r="S3839" s="4" t="b">
        <f>ISNUMBER(MATCH(Q3839,T:T,0))</f>
        <v>1</v>
      </c>
      <c r="T3839" s="4" t="s">
        <v>10896</v>
      </c>
      <c r="U3839" s="4" t="str">
        <f t="shared" si="168"/>
        <v>協</v>
      </c>
    </row>
    <row r="3840" spans="1:21">
      <c r="A3840" s="3">
        <v>3829</v>
      </c>
      <c r="B3840" s="3" t="s">
        <v>1946</v>
      </c>
      <c r="C3840" s="3" t="s">
        <v>6038</v>
      </c>
      <c r="D3840" s="3" t="s">
        <v>2843</v>
      </c>
      <c r="E3840" s="3" t="s">
        <v>5991</v>
      </c>
      <c r="F3840" s="3" t="s">
        <v>8588</v>
      </c>
      <c r="G3840" s="3" t="s">
        <v>538</v>
      </c>
      <c r="H3840" s="3" t="s">
        <v>1952</v>
      </c>
      <c r="I3840" s="3" t="s">
        <v>8496</v>
      </c>
      <c r="J3840" s="5" t="s">
        <v>6720</v>
      </c>
      <c r="L3840" s="3" t="s">
        <v>6287</v>
      </c>
      <c r="M3840" s="3">
        <v>8</v>
      </c>
      <c r="N3840" s="4" t="s">
        <v>9693</v>
      </c>
      <c r="O3840" s="4">
        <v>202</v>
      </c>
      <c r="P3840" s="11" t="s">
        <v>9728</v>
      </c>
      <c r="Q3840" s="11" t="s">
        <v>10895</v>
      </c>
      <c r="S3840" s="4" t="b">
        <f>ISNUMBER(MATCH(Q3840,T:T,0))</f>
        <v>1</v>
      </c>
      <c r="T3840" s="4" t="s">
        <v>10897</v>
      </c>
      <c r="U3840" s="4" t="str">
        <f t="shared" si="168"/>
        <v>協</v>
      </c>
    </row>
    <row r="3841" spans="1:21" ht="39">
      <c r="A3841" s="3">
        <v>3830</v>
      </c>
      <c r="B3841" s="3" t="s">
        <v>1946</v>
      </c>
      <c r="C3841" s="3" t="s">
        <v>5997</v>
      </c>
      <c r="D3841" s="3" t="s">
        <v>2843</v>
      </c>
      <c r="E3841" s="3" t="s">
        <v>5991</v>
      </c>
      <c r="F3841" s="3" t="s">
        <v>8588</v>
      </c>
      <c r="G3841" s="3" t="s">
        <v>538</v>
      </c>
      <c r="H3841" s="3" t="s">
        <v>1953</v>
      </c>
      <c r="I3841" s="3" t="s">
        <v>8496</v>
      </c>
      <c r="J3841" s="5" t="s">
        <v>6721</v>
      </c>
      <c r="K3841" s="3" t="s">
        <v>1954</v>
      </c>
      <c r="L3841" s="3" t="s">
        <v>3786</v>
      </c>
      <c r="M3841" s="3">
        <v>30</v>
      </c>
      <c r="N3841" s="4" t="s">
        <v>9693</v>
      </c>
      <c r="O3841" s="4">
        <v>202</v>
      </c>
      <c r="P3841" s="11" t="s">
        <v>9706</v>
      </c>
      <c r="Q3841" s="11" t="s">
        <v>10895</v>
      </c>
      <c r="S3841" s="4" t="b">
        <f>ISNUMBER(MATCH(Q3841,T:T,0))</f>
        <v>1</v>
      </c>
      <c r="T3841" s="4" t="s">
        <v>10898</v>
      </c>
      <c r="U3841" s="4" t="str">
        <f t="shared" si="168"/>
        <v>協</v>
      </c>
    </row>
    <row r="3842" spans="1:21">
      <c r="A3842" s="3">
        <v>3831</v>
      </c>
      <c r="B3842" s="3" t="s">
        <v>1946</v>
      </c>
      <c r="C3842" s="3" t="s">
        <v>6102</v>
      </c>
      <c r="D3842" s="3" t="s">
        <v>2843</v>
      </c>
      <c r="E3842" s="3" t="s">
        <v>5991</v>
      </c>
      <c r="F3842" s="3" t="s">
        <v>8588</v>
      </c>
      <c r="G3842" s="3" t="s">
        <v>538</v>
      </c>
      <c r="H3842" s="3" t="s">
        <v>1955</v>
      </c>
      <c r="I3842" s="3" t="s">
        <v>8496</v>
      </c>
      <c r="J3842" s="5" t="s">
        <v>6722</v>
      </c>
      <c r="L3842" s="3" t="s">
        <v>3791</v>
      </c>
      <c r="M3842" s="3">
        <v>15</v>
      </c>
      <c r="N3842" s="4" t="s">
        <v>9693</v>
      </c>
      <c r="O3842" s="4">
        <v>202</v>
      </c>
      <c r="P3842" s="11" t="s">
        <v>9744</v>
      </c>
      <c r="Q3842" s="11" t="s">
        <v>10895</v>
      </c>
      <c r="S3842" s="4" t="b">
        <f>ISNUMBER(MATCH(Q3842,T:T,0))</f>
        <v>1</v>
      </c>
      <c r="T3842" s="4" t="s">
        <v>12954</v>
      </c>
      <c r="U3842" s="4" t="str">
        <f t="shared" si="168"/>
        <v>協</v>
      </c>
    </row>
    <row r="3843" spans="1:21">
      <c r="A3843" s="3">
        <v>3832</v>
      </c>
      <c r="B3843" s="3" t="s">
        <v>1946</v>
      </c>
      <c r="C3843" s="3" t="s">
        <v>6017</v>
      </c>
      <c r="D3843" s="3" t="s">
        <v>2843</v>
      </c>
      <c r="E3843" s="3" t="s">
        <v>5991</v>
      </c>
      <c r="F3843" s="3" t="s">
        <v>8588</v>
      </c>
      <c r="G3843" s="3" t="s">
        <v>538</v>
      </c>
      <c r="H3843" s="3" t="s">
        <v>1956</v>
      </c>
      <c r="I3843" s="3" t="s">
        <v>8496</v>
      </c>
      <c r="J3843" s="5" t="s">
        <v>6723</v>
      </c>
      <c r="L3843" s="3" t="s">
        <v>6296</v>
      </c>
      <c r="M3843" s="3">
        <v>16</v>
      </c>
      <c r="N3843" s="4" t="s">
        <v>9693</v>
      </c>
      <c r="O3843" s="4">
        <v>202</v>
      </c>
      <c r="P3843" s="11" t="s">
        <v>9741</v>
      </c>
      <c r="Q3843" s="11" t="s">
        <v>10895</v>
      </c>
      <c r="S3843" s="4" t="b">
        <f>ISNUMBER(MATCH(Q3843,T:T,0))</f>
        <v>1</v>
      </c>
      <c r="T3843" s="4" t="s">
        <v>12955</v>
      </c>
      <c r="U3843" s="4" t="str">
        <f t="shared" ref="U3843:U3881" si="171">IF(ISBLANK(R3843),Q3843,R3843)</f>
        <v>協</v>
      </c>
    </row>
    <row r="3844" spans="1:21">
      <c r="A3844" s="3">
        <v>3833</v>
      </c>
      <c r="B3844" s="3" t="s">
        <v>1946</v>
      </c>
      <c r="C3844" s="3" t="s">
        <v>6058</v>
      </c>
      <c r="D3844" s="3" t="s">
        <v>2843</v>
      </c>
      <c r="E3844" s="3" t="s">
        <v>5991</v>
      </c>
      <c r="F3844" s="3" t="s">
        <v>8588</v>
      </c>
      <c r="G3844" s="3" t="s">
        <v>538</v>
      </c>
      <c r="H3844" s="3" t="s">
        <v>1957</v>
      </c>
      <c r="I3844" s="3" t="s">
        <v>8496</v>
      </c>
      <c r="J3844" s="5" t="s">
        <v>1958</v>
      </c>
      <c r="L3844" s="3" t="s">
        <v>3813</v>
      </c>
      <c r="M3844" s="3">
        <v>4</v>
      </c>
      <c r="N3844" s="4" t="s">
        <v>9693</v>
      </c>
      <c r="O3844" s="4">
        <v>202</v>
      </c>
      <c r="P3844" s="11" t="s">
        <v>9730</v>
      </c>
      <c r="Q3844" s="11" t="s">
        <v>10895</v>
      </c>
      <c r="S3844" s="4" t="b">
        <f>ISNUMBER(MATCH(Q3844,T:T,0))</f>
        <v>1</v>
      </c>
      <c r="T3844" s="4" t="s">
        <v>12956</v>
      </c>
      <c r="U3844" s="4" t="str">
        <f t="shared" si="171"/>
        <v>協</v>
      </c>
    </row>
    <row r="3845" spans="1:21">
      <c r="A3845" s="3">
        <v>3834</v>
      </c>
      <c r="B3845" s="3" t="s">
        <v>1946</v>
      </c>
      <c r="C3845" s="3" t="s">
        <v>5989</v>
      </c>
      <c r="D3845" s="3" t="s">
        <v>2843</v>
      </c>
      <c r="E3845" s="3" t="s">
        <v>5991</v>
      </c>
      <c r="F3845" s="3" t="s">
        <v>8588</v>
      </c>
      <c r="G3845" s="3" t="s">
        <v>538</v>
      </c>
      <c r="H3845" s="3" t="s">
        <v>1959</v>
      </c>
      <c r="I3845" s="3" t="s">
        <v>8496</v>
      </c>
      <c r="J3845" s="5" t="s">
        <v>1960</v>
      </c>
      <c r="L3845" s="3" t="s">
        <v>3811</v>
      </c>
      <c r="M3845" s="3">
        <v>12</v>
      </c>
      <c r="N3845" s="4" t="s">
        <v>9693</v>
      </c>
      <c r="O3845" s="4">
        <v>202</v>
      </c>
      <c r="P3845" s="11" t="s">
        <v>9822</v>
      </c>
      <c r="Q3845" s="11" t="s">
        <v>10897</v>
      </c>
      <c r="S3845" s="4" t="b">
        <f>ISNUMBER(MATCH(Q3845,T:T,0))</f>
        <v>1</v>
      </c>
      <c r="T3845" s="4" t="s">
        <v>12957</v>
      </c>
      <c r="U3845" s="4" t="str">
        <f t="shared" si="171"/>
        <v>愜</v>
      </c>
    </row>
    <row r="3846" spans="1:21">
      <c r="A3846" s="3">
        <v>3835</v>
      </c>
      <c r="B3846" s="3" t="s">
        <v>1946</v>
      </c>
      <c r="C3846" s="3" t="s">
        <v>6069</v>
      </c>
      <c r="D3846" s="3" t="s">
        <v>2843</v>
      </c>
      <c r="E3846" s="3" t="s">
        <v>5991</v>
      </c>
      <c r="F3846" s="3" t="s">
        <v>8588</v>
      </c>
      <c r="G3846" s="3" t="s">
        <v>538</v>
      </c>
      <c r="H3846" s="3" t="s">
        <v>1961</v>
      </c>
      <c r="I3846" s="3" t="s">
        <v>8496</v>
      </c>
      <c r="J3846" s="5" t="s">
        <v>1962</v>
      </c>
      <c r="L3846" s="3" t="s">
        <v>3611</v>
      </c>
      <c r="M3846" s="3">
        <v>1</v>
      </c>
      <c r="N3846" s="4" t="s">
        <v>9693</v>
      </c>
      <c r="O3846" s="4">
        <v>202</v>
      </c>
      <c r="P3846" s="11" t="s">
        <v>5919</v>
      </c>
      <c r="Q3846" s="11" t="s">
        <v>10895</v>
      </c>
      <c r="S3846" s="4" t="b">
        <f>ISNUMBER(MATCH(Q3846,T:T,0))</f>
        <v>1</v>
      </c>
      <c r="T3846" s="4" t="s">
        <v>1962</v>
      </c>
      <c r="U3846" s="4" t="str">
        <f t="shared" si="171"/>
        <v>協</v>
      </c>
    </row>
    <row r="3847" spans="1:21">
      <c r="A3847" s="3">
        <v>3836</v>
      </c>
      <c r="B3847" s="3" t="s">
        <v>1946</v>
      </c>
      <c r="C3847" s="3" t="s">
        <v>6083</v>
      </c>
      <c r="D3847" s="3" t="s">
        <v>2843</v>
      </c>
      <c r="E3847" s="3" t="s">
        <v>5991</v>
      </c>
      <c r="F3847" s="3" t="s">
        <v>8588</v>
      </c>
      <c r="G3847" s="3" t="s">
        <v>538</v>
      </c>
      <c r="H3847" s="3" t="s">
        <v>1963</v>
      </c>
      <c r="I3847" s="3" t="s">
        <v>8496</v>
      </c>
      <c r="J3847" s="5" t="s">
        <v>1964</v>
      </c>
      <c r="L3847" s="3" t="s">
        <v>3608</v>
      </c>
      <c r="M3847" s="3">
        <v>3</v>
      </c>
      <c r="N3847" s="4" t="s">
        <v>9693</v>
      </c>
      <c r="O3847" s="4">
        <v>202</v>
      </c>
      <c r="P3847" s="11" t="s">
        <v>9737</v>
      </c>
      <c r="Q3847" s="11" t="s">
        <v>10895</v>
      </c>
      <c r="S3847" s="4" t="b">
        <f>ISNUMBER(MATCH(Q3847,T:T,0))</f>
        <v>1</v>
      </c>
      <c r="T3847" s="4" t="s">
        <v>12958</v>
      </c>
      <c r="U3847" s="4" t="str">
        <f t="shared" si="171"/>
        <v>協</v>
      </c>
    </row>
    <row r="3848" spans="1:21">
      <c r="A3848" s="3">
        <v>3837</v>
      </c>
      <c r="B3848" s="3" t="s">
        <v>1946</v>
      </c>
      <c r="C3848" s="3" t="s">
        <v>6089</v>
      </c>
      <c r="D3848" s="3" t="s">
        <v>2843</v>
      </c>
      <c r="E3848" s="3" t="s">
        <v>5991</v>
      </c>
      <c r="F3848" s="3" t="s">
        <v>8588</v>
      </c>
      <c r="G3848" s="3" t="s">
        <v>538</v>
      </c>
      <c r="H3848" s="3" t="s">
        <v>1965</v>
      </c>
      <c r="I3848" s="3" t="s">
        <v>8496</v>
      </c>
      <c r="J3848" s="8" t="s">
        <v>6724</v>
      </c>
      <c r="L3848" s="3" t="s">
        <v>6296</v>
      </c>
      <c r="M3848" s="3">
        <v>4</v>
      </c>
      <c r="N3848" s="4" t="s">
        <v>9693</v>
      </c>
      <c r="O3848" s="4">
        <v>202</v>
      </c>
      <c r="P3848" s="11" t="s">
        <v>9739</v>
      </c>
      <c r="Q3848" s="11" t="s">
        <v>10898</v>
      </c>
      <c r="S3848" s="4" t="b">
        <f>ISNUMBER(MATCH(Q3848,T:T,0))</f>
        <v>1</v>
      </c>
      <c r="T3848" s="4" t="s">
        <v>12959</v>
      </c>
      <c r="U3848" s="4" t="str">
        <f t="shared" si="171"/>
        <v>牒</v>
      </c>
    </row>
    <row r="3849" spans="1:21">
      <c r="A3849" s="3">
        <v>3838</v>
      </c>
      <c r="B3849" s="3" t="s">
        <v>1946</v>
      </c>
      <c r="C3849" s="3" t="s">
        <v>6017</v>
      </c>
      <c r="D3849" s="3" t="s">
        <v>2843</v>
      </c>
      <c r="E3849" s="3" t="s">
        <v>5991</v>
      </c>
      <c r="F3849" s="3" t="s">
        <v>8588</v>
      </c>
      <c r="G3849" s="3" t="s">
        <v>538</v>
      </c>
      <c r="H3849" s="3" t="s">
        <v>1966</v>
      </c>
      <c r="I3849" s="3" t="s">
        <v>8496</v>
      </c>
      <c r="J3849" s="5" t="s">
        <v>1967</v>
      </c>
      <c r="L3849" s="3" t="s">
        <v>6296</v>
      </c>
      <c r="M3849" s="3">
        <v>1</v>
      </c>
      <c r="N3849" s="4" t="s">
        <v>9693</v>
      </c>
      <c r="O3849" s="4">
        <v>202</v>
      </c>
      <c r="P3849" s="11" t="s">
        <v>8121</v>
      </c>
      <c r="Q3849" s="11" t="s">
        <v>10896</v>
      </c>
      <c r="S3849" s="4" t="b">
        <f>ISNUMBER(MATCH(Q3849,T:T,0))</f>
        <v>1</v>
      </c>
      <c r="T3849" s="4" t="s">
        <v>1967</v>
      </c>
      <c r="U3849" s="4" t="str">
        <f t="shared" si="171"/>
        <v>頰</v>
      </c>
    </row>
    <row r="3850" spans="1:21">
      <c r="A3850" s="3">
        <v>3839</v>
      </c>
      <c r="B3850" s="3" t="s">
        <v>1968</v>
      </c>
      <c r="C3850" s="3" t="s">
        <v>6067</v>
      </c>
      <c r="D3850" s="3" t="s">
        <v>6157</v>
      </c>
      <c r="E3850" s="3" t="s">
        <v>5991</v>
      </c>
      <c r="F3850" s="3" t="s">
        <v>8496</v>
      </c>
      <c r="G3850" s="3" t="s">
        <v>538</v>
      </c>
      <c r="H3850" s="3" t="s">
        <v>1969</v>
      </c>
      <c r="I3850" s="3" t="s">
        <v>8496</v>
      </c>
      <c r="J3850" s="5" t="s">
        <v>6725</v>
      </c>
      <c r="L3850" s="3" t="s">
        <v>2902</v>
      </c>
      <c r="M3850" s="3">
        <v>14</v>
      </c>
      <c r="N3850" s="4" t="s">
        <v>1970</v>
      </c>
      <c r="O3850" s="4">
        <v>203</v>
      </c>
      <c r="P3850" s="11" t="s">
        <v>5053</v>
      </c>
      <c r="Q3850" s="11" t="s">
        <v>10899</v>
      </c>
      <c r="S3850" s="4" t="b">
        <f>ISNUMBER(MATCH(Q3850,T:T,0))</f>
        <v>1</v>
      </c>
      <c r="T3850" s="4" t="s">
        <v>1970</v>
      </c>
      <c r="U3850" s="4" t="str">
        <f t="shared" si="171"/>
        <v>夾</v>
      </c>
    </row>
    <row r="3851" spans="1:21">
      <c r="A3851" s="3">
        <v>3840</v>
      </c>
      <c r="B3851" s="3" t="s">
        <v>1968</v>
      </c>
      <c r="C3851" s="3" t="s">
        <v>6038</v>
      </c>
      <c r="D3851" s="3" t="s">
        <v>6157</v>
      </c>
      <c r="E3851" s="3" t="s">
        <v>5991</v>
      </c>
      <c r="F3851" s="3" t="s">
        <v>8496</v>
      </c>
      <c r="G3851" s="3" t="s">
        <v>538</v>
      </c>
      <c r="H3851" s="3" t="s">
        <v>1971</v>
      </c>
      <c r="I3851" s="3" t="s">
        <v>8496</v>
      </c>
      <c r="J3851" s="5" t="s">
        <v>1972</v>
      </c>
      <c r="L3851" s="3" t="s">
        <v>4635</v>
      </c>
      <c r="M3851" s="3">
        <v>10</v>
      </c>
      <c r="N3851" s="4" t="s">
        <v>1970</v>
      </c>
      <c r="O3851" s="4">
        <v>203</v>
      </c>
      <c r="P3851" s="11" t="s">
        <v>9728</v>
      </c>
      <c r="Q3851" s="11" t="s">
        <v>1970</v>
      </c>
      <c r="S3851" s="4" t="b">
        <f>ISNUMBER(MATCH(Q3851,T:T,0))</f>
        <v>1</v>
      </c>
      <c r="T3851" s="4" t="s">
        <v>12960</v>
      </c>
      <c r="U3851" s="4" t="str">
        <f t="shared" si="171"/>
        <v>洽</v>
      </c>
    </row>
    <row r="3852" spans="1:21">
      <c r="A3852" s="3">
        <v>3841</v>
      </c>
      <c r="B3852" s="3" t="s">
        <v>1968</v>
      </c>
      <c r="C3852" s="3" t="s">
        <v>6015</v>
      </c>
      <c r="D3852" s="3" t="s">
        <v>6157</v>
      </c>
      <c r="E3852" s="3" t="s">
        <v>5991</v>
      </c>
      <c r="F3852" s="3" t="s">
        <v>8496</v>
      </c>
      <c r="G3852" s="3" t="s">
        <v>538</v>
      </c>
      <c r="H3852" s="3" t="s">
        <v>1973</v>
      </c>
      <c r="I3852" s="3" t="s">
        <v>8496</v>
      </c>
      <c r="J3852" s="5" t="s">
        <v>6726</v>
      </c>
      <c r="L3852" s="3" t="s">
        <v>3766</v>
      </c>
      <c r="M3852" s="3">
        <v>6</v>
      </c>
      <c r="N3852" s="4" t="s">
        <v>1970</v>
      </c>
      <c r="O3852" s="4">
        <v>203</v>
      </c>
      <c r="P3852" s="11" t="s">
        <v>9777</v>
      </c>
      <c r="Q3852" s="11" t="s">
        <v>1970</v>
      </c>
      <c r="S3852" s="4" t="b">
        <f>ISNUMBER(MATCH(Q3852,T:T,0))</f>
        <v>1</v>
      </c>
      <c r="T3852" s="4" t="s">
        <v>12961</v>
      </c>
      <c r="U3852" s="4" t="str">
        <f t="shared" si="171"/>
        <v>洽</v>
      </c>
    </row>
    <row r="3853" spans="1:21">
      <c r="A3853" s="3">
        <v>3842</v>
      </c>
      <c r="B3853" s="3" t="s">
        <v>1968</v>
      </c>
      <c r="C3853" s="3" t="s">
        <v>6025</v>
      </c>
      <c r="D3853" s="3" t="s">
        <v>6157</v>
      </c>
      <c r="E3853" s="3" t="s">
        <v>5991</v>
      </c>
      <c r="F3853" s="3" t="s">
        <v>8496</v>
      </c>
      <c r="G3853" s="3" t="s">
        <v>538</v>
      </c>
      <c r="H3853" s="3" t="s">
        <v>1974</v>
      </c>
      <c r="I3853" s="3" t="s">
        <v>8496</v>
      </c>
      <c r="J3853" s="5" t="s">
        <v>6727</v>
      </c>
      <c r="L3853" s="3" t="s">
        <v>3728</v>
      </c>
      <c r="M3853" s="3">
        <v>15</v>
      </c>
      <c r="N3853" s="4" t="s">
        <v>1970</v>
      </c>
      <c r="O3853" s="4">
        <v>203</v>
      </c>
      <c r="P3853" s="11" t="s">
        <v>9729</v>
      </c>
      <c r="Q3853" s="11" t="s">
        <v>1970</v>
      </c>
      <c r="S3853" s="4" t="b">
        <f>ISNUMBER(MATCH(Q3853,T:T,0))</f>
        <v>1</v>
      </c>
      <c r="T3853" s="4" t="s">
        <v>10899</v>
      </c>
      <c r="U3853" s="4" t="str">
        <f t="shared" si="171"/>
        <v>洽</v>
      </c>
    </row>
    <row r="3854" spans="1:21">
      <c r="A3854" s="3">
        <v>3843</v>
      </c>
      <c r="B3854" s="3" t="s">
        <v>1968</v>
      </c>
      <c r="C3854" s="3" t="s">
        <v>6318</v>
      </c>
      <c r="D3854" s="3" t="s">
        <v>6157</v>
      </c>
      <c r="E3854" s="3" t="s">
        <v>5991</v>
      </c>
      <c r="F3854" s="3" t="s">
        <v>8496</v>
      </c>
      <c r="G3854" s="3" t="s">
        <v>538</v>
      </c>
      <c r="H3854" s="3" t="s">
        <v>1975</v>
      </c>
      <c r="I3854" s="3" t="s">
        <v>8496</v>
      </c>
      <c r="J3854" s="5" t="s">
        <v>1976</v>
      </c>
      <c r="L3854" s="3" t="s">
        <v>3710</v>
      </c>
      <c r="M3854" s="3">
        <v>6</v>
      </c>
      <c r="N3854" s="4" t="s">
        <v>1970</v>
      </c>
      <c r="O3854" s="4">
        <v>203</v>
      </c>
      <c r="P3854" s="11" t="s">
        <v>9804</v>
      </c>
      <c r="Q3854" s="11" t="s">
        <v>1970</v>
      </c>
      <c r="S3854" s="4" t="b">
        <f>ISNUMBER(MATCH(Q3854,T:T,0))</f>
        <v>1</v>
      </c>
      <c r="T3854" s="4" t="s">
        <v>12962</v>
      </c>
      <c r="U3854" s="4" t="str">
        <f t="shared" si="171"/>
        <v>洽</v>
      </c>
    </row>
    <row r="3855" spans="1:21">
      <c r="A3855" s="3">
        <v>3844</v>
      </c>
      <c r="B3855" s="3" t="s">
        <v>1968</v>
      </c>
      <c r="C3855" s="3" t="s">
        <v>6167</v>
      </c>
      <c r="D3855" s="3" t="s">
        <v>6157</v>
      </c>
      <c r="E3855" s="3" t="s">
        <v>5991</v>
      </c>
      <c r="F3855" s="3" t="s">
        <v>8496</v>
      </c>
      <c r="G3855" s="3" t="s">
        <v>538</v>
      </c>
      <c r="H3855" s="3" t="s">
        <v>1977</v>
      </c>
      <c r="I3855" s="3" t="s">
        <v>8496</v>
      </c>
      <c r="J3855" s="5" t="s">
        <v>1978</v>
      </c>
      <c r="L3855" s="3" t="s">
        <v>4553</v>
      </c>
      <c r="M3855" s="3">
        <v>10</v>
      </c>
      <c r="N3855" s="4" t="s">
        <v>1970</v>
      </c>
      <c r="O3855" s="4">
        <v>203</v>
      </c>
      <c r="P3855" s="11" t="s">
        <v>9769</v>
      </c>
      <c r="Q3855" s="11" t="s">
        <v>1970</v>
      </c>
      <c r="S3855" s="4" t="b">
        <f>ISNUMBER(MATCH(Q3855,T:T,0))</f>
        <v>1</v>
      </c>
      <c r="T3855" s="4" t="s">
        <v>12963</v>
      </c>
      <c r="U3855" s="4" t="str">
        <f t="shared" si="171"/>
        <v>洽</v>
      </c>
    </row>
    <row r="3856" spans="1:21">
      <c r="A3856" s="3">
        <v>3845</v>
      </c>
      <c r="B3856" s="3" t="s">
        <v>1968</v>
      </c>
      <c r="C3856" s="3" t="s">
        <v>6137</v>
      </c>
      <c r="D3856" s="3" t="s">
        <v>6157</v>
      </c>
      <c r="E3856" s="3" t="s">
        <v>5991</v>
      </c>
      <c r="F3856" s="3" t="s">
        <v>8496</v>
      </c>
      <c r="G3856" s="3" t="s">
        <v>538</v>
      </c>
      <c r="H3856" s="3" t="s">
        <v>1979</v>
      </c>
      <c r="I3856" s="3" t="s">
        <v>8496</v>
      </c>
      <c r="J3856" s="5" t="s">
        <v>6728</v>
      </c>
      <c r="L3856" s="3" t="s">
        <v>2494</v>
      </c>
      <c r="M3856" s="3">
        <v>4</v>
      </c>
      <c r="N3856" s="4" t="s">
        <v>1970</v>
      </c>
      <c r="O3856" s="4">
        <v>203</v>
      </c>
      <c r="P3856" s="11" t="s">
        <v>9755</v>
      </c>
      <c r="Q3856" s="11" t="s">
        <v>1970</v>
      </c>
      <c r="S3856" s="4" t="b">
        <f>ISNUMBER(MATCH(Q3856,T:T,0))</f>
        <v>1</v>
      </c>
      <c r="T3856" s="4" t="s">
        <v>10900</v>
      </c>
      <c r="U3856" s="4" t="str">
        <f t="shared" si="171"/>
        <v>洽</v>
      </c>
    </row>
    <row r="3857" spans="1:21">
      <c r="A3857" s="3">
        <v>3846</v>
      </c>
      <c r="B3857" s="3" t="s">
        <v>1968</v>
      </c>
      <c r="C3857" s="3" t="s">
        <v>6089</v>
      </c>
      <c r="D3857" s="3" t="s">
        <v>6157</v>
      </c>
      <c r="E3857" s="3" t="s">
        <v>5991</v>
      </c>
      <c r="F3857" s="3" t="s">
        <v>8496</v>
      </c>
      <c r="G3857" s="3" t="s">
        <v>538</v>
      </c>
      <c r="H3857" s="3" t="s">
        <v>1980</v>
      </c>
      <c r="I3857" s="3" t="s">
        <v>8496</v>
      </c>
      <c r="J3857" s="5" t="s">
        <v>6729</v>
      </c>
      <c r="L3857" s="3" t="s">
        <v>3736</v>
      </c>
      <c r="M3857" s="3">
        <v>4</v>
      </c>
      <c r="N3857" s="4" t="s">
        <v>1970</v>
      </c>
      <c r="O3857" s="4">
        <v>203</v>
      </c>
      <c r="P3857" s="11" t="s">
        <v>9739</v>
      </c>
      <c r="Q3857" s="11" t="s">
        <v>1970</v>
      </c>
      <c r="S3857" s="4" t="b">
        <f>ISNUMBER(MATCH(Q3857,T:T,0))</f>
        <v>1</v>
      </c>
      <c r="T3857" s="4" t="s">
        <v>12964</v>
      </c>
      <c r="U3857" s="4" t="str">
        <f t="shared" si="171"/>
        <v>洽</v>
      </c>
    </row>
    <row r="3858" spans="1:21">
      <c r="A3858" s="3">
        <v>3847</v>
      </c>
      <c r="B3858" s="3" t="s">
        <v>1968</v>
      </c>
      <c r="C3858" s="3" t="s">
        <v>6180</v>
      </c>
      <c r="D3858" s="3" t="s">
        <v>6157</v>
      </c>
      <c r="E3858" s="3" t="s">
        <v>5991</v>
      </c>
      <c r="F3858" s="3" t="s">
        <v>8496</v>
      </c>
      <c r="G3858" s="3" t="s">
        <v>538</v>
      </c>
      <c r="H3858" s="3" t="s">
        <v>1981</v>
      </c>
      <c r="I3858" s="3" t="s">
        <v>8496</v>
      </c>
      <c r="J3858" s="5" t="s">
        <v>1982</v>
      </c>
      <c r="L3858" s="3" t="s">
        <v>928</v>
      </c>
      <c r="M3858" s="3">
        <v>7</v>
      </c>
      <c r="N3858" s="4" t="s">
        <v>1970</v>
      </c>
      <c r="O3858" s="4">
        <v>203</v>
      </c>
      <c r="P3858" s="11" t="s">
        <v>6836</v>
      </c>
      <c r="Q3858" s="11" t="s">
        <v>1970</v>
      </c>
      <c r="S3858" s="4" t="b">
        <f>ISNUMBER(MATCH(Q3858,T:T,0))</f>
        <v>1</v>
      </c>
      <c r="T3858" s="4" t="s">
        <v>12965</v>
      </c>
      <c r="U3858" s="4" t="str">
        <f t="shared" si="171"/>
        <v>洽</v>
      </c>
    </row>
    <row r="3859" spans="1:21">
      <c r="A3859" s="3">
        <v>3848</v>
      </c>
      <c r="B3859" s="3" t="s">
        <v>1968</v>
      </c>
      <c r="C3859" s="3" t="s">
        <v>6000</v>
      </c>
      <c r="D3859" s="3" t="s">
        <v>6157</v>
      </c>
      <c r="E3859" s="3" t="s">
        <v>5991</v>
      </c>
      <c r="F3859" s="3" t="s">
        <v>8496</v>
      </c>
      <c r="G3859" s="3" t="s">
        <v>538</v>
      </c>
      <c r="H3859" s="3" t="s">
        <v>1983</v>
      </c>
      <c r="I3859" s="3" t="s">
        <v>8496</v>
      </c>
      <c r="J3859" s="5" t="s">
        <v>1271</v>
      </c>
      <c r="L3859" s="3" t="s">
        <v>3710</v>
      </c>
      <c r="M3859" s="3">
        <v>3</v>
      </c>
      <c r="N3859" s="4" t="s">
        <v>1970</v>
      </c>
      <c r="O3859" s="4">
        <v>203</v>
      </c>
      <c r="P3859" s="11" t="s">
        <v>9803</v>
      </c>
      <c r="Q3859" s="11" t="s">
        <v>1970</v>
      </c>
      <c r="S3859" s="4" t="b">
        <f>ISNUMBER(MATCH(Q3859,T:T,0))</f>
        <v>1</v>
      </c>
      <c r="T3859" s="4" t="s">
        <v>12966</v>
      </c>
      <c r="U3859" s="4" t="str">
        <f t="shared" si="171"/>
        <v>洽</v>
      </c>
    </row>
    <row r="3860" spans="1:21">
      <c r="A3860" s="3">
        <v>3849</v>
      </c>
      <c r="B3860" s="3" t="s">
        <v>1968</v>
      </c>
      <c r="C3860" s="3" t="s">
        <v>6072</v>
      </c>
      <c r="D3860" s="3" t="s">
        <v>6157</v>
      </c>
      <c r="E3860" s="3" t="s">
        <v>5991</v>
      </c>
      <c r="F3860" s="3" t="s">
        <v>8496</v>
      </c>
      <c r="G3860" s="3" t="s">
        <v>538</v>
      </c>
      <c r="H3860" s="3" t="s">
        <v>1272</v>
      </c>
      <c r="I3860" s="3" t="s">
        <v>8496</v>
      </c>
      <c r="J3860" s="5" t="s">
        <v>1273</v>
      </c>
      <c r="L3860" s="3" t="s">
        <v>3731</v>
      </c>
      <c r="M3860" s="3">
        <v>4</v>
      </c>
      <c r="N3860" s="4" t="s">
        <v>1970</v>
      </c>
      <c r="O3860" s="4">
        <v>203</v>
      </c>
      <c r="P3860" s="11" t="s">
        <v>9734</v>
      </c>
      <c r="Q3860" s="11" t="s">
        <v>1970</v>
      </c>
      <c r="S3860" s="4" t="b">
        <f>ISNUMBER(MATCH(Q3860,T:T,0))</f>
        <v>1</v>
      </c>
      <c r="T3860" s="4" t="s">
        <v>12967</v>
      </c>
      <c r="U3860" s="4" t="str">
        <f t="shared" si="171"/>
        <v>洽</v>
      </c>
    </row>
    <row r="3861" spans="1:21">
      <c r="A3861" s="3">
        <v>3850</v>
      </c>
      <c r="B3861" s="3" t="s">
        <v>1968</v>
      </c>
      <c r="C3861" s="3" t="s">
        <v>6092</v>
      </c>
      <c r="D3861" s="3" t="s">
        <v>6157</v>
      </c>
      <c r="E3861" s="3" t="s">
        <v>5991</v>
      </c>
      <c r="F3861" s="3" t="s">
        <v>8496</v>
      </c>
      <c r="G3861" s="3" t="s">
        <v>538</v>
      </c>
      <c r="H3861" s="3" t="s">
        <v>1274</v>
      </c>
      <c r="I3861" s="3" t="s">
        <v>8496</v>
      </c>
      <c r="J3861" s="5" t="s">
        <v>1275</v>
      </c>
      <c r="L3861" s="3" t="s">
        <v>5402</v>
      </c>
      <c r="M3861" s="3">
        <v>1</v>
      </c>
      <c r="N3861" s="4" t="s">
        <v>1970</v>
      </c>
      <c r="O3861" s="4">
        <v>203</v>
      </c>
      <c r="P3861" s="11" t="s">
        <v>9740</v>
      </c>
      <c r="Q3861" s="11" t="s">
        <v>10899</v>
      </c>
      <c r="S3861" s="4" t="b">
        <f>ISNUMBER(MATCH(Q3861,T:T,0))</f>
        <v>1</v>
      </c>
      <c r="T3861" s="4" t="s">
        <v>1275</v>
      </c>
      <c r="U3861" s="4" t="str">
        <f t="shared" si="171"/>
        <v>夾</v>
      </c>
    </row>
    <row r="3862" spans="1:21">
      <c r="A3862" s="3">
        <v>3851</v>
      </c>
      <c r="B3862" s="3" t="s">
        <v>1968</v>
      </c>
      <c r="C3862" s="3" t="s">
        <v>6011</v>
      </c>
      <c r="D3862" s="3" t="s">
        <v>6157</v>
      </c>
      <c r="E3862" s="3" t="s">
        <v>5991</v>
      </c>
      <c r="F3862" s="3" t="s">
        <v>8496</v>
      </c>
      <c r="G3862" s="3" t="s">
        <v>538</v>
      </c>
      <c r="H3862" s="3" t="s">
        <v>1276</v>
      </c>
      <c r="I3862" s="3" t="s">
        <v>8496</v>
      </c>
      <c r="J3862" s="5" t="s">
        <v>1277</v>
      </c>
      <c r="L3862" s="3" t="s">
        <v>4553</v>
      </c>
      <c r="M3862" s="3">
        <v>1</v>
      </c>
      <c r="N3862" s="4" t="s">
        <v>1970</v>
      </c>
      <c r="O3862" s="4">
        <v>203</v>
      </c>
      <c r="P3862" s="11" t="s">
        <v>9757</v>
      </c>
      <c r="Q3862" s="11" t="s">
        <v>10900</v>
      </c>
      <c r="S3862" s="4" t="b">
        <f>ISNUMBER(MATCH(Q3862,T:T,0))</f>
        <v>1</v>
      </c>
      <c r="T3862" s="4" t="s">
        <v>12968</v>
      </c>
      <c r="U3862" s="4" t="str">
        <f t="shared" si="171"/>
        <v>㘝</v>
      </c>
    </row>
    <row r="3863" spans="1:21" ht="28.5">
      <c r="A3863" s="3">
        <v>3852</v>
      </c>
      <c r="B3863" s="3" t="s">
        <v>1278</v>
      </c>
      <c r="C3863" s="3" t="s">
        <v>6067</v>
      </c>
      <c r="D3863" s="3" t="s">
        <v>6157</v>
      </c>
      <c r="E3863" s="3" t="s">
        <v>5991</v>
      </c>
      <c r="F3863" s="3" t="s">
        <v>8617</v>
      </c>
      <c r="G3863" s="3" t="s">
        <v>538</v>
      </c>
      <c r="H3863" s="3" t="s">
        <v>1279</v>
      </c>
      <c r="I3863" s="3" t="s">
        <v>8496</v>
      </c>
      <c r="J3863" s="5" t="s">
        <v>6730</v>
      </c>
      <c r="K3863" s="3" t="s">
        <v>1280</v>
      </c>
      <c r="L3863" s="3" t="s">
        <v>2902</v>
      </c>
      <c r="M3863" s="3">
        <v>11</v>
      </c>
      <c r="N3863" s="4" t="s">
        <v>9694</v>
      </c>
      <c r="O3863" s="4">
        <v>204</v>
      </c>
      <c r="P3863" s="11" t="s">
        <v>9870</v>
      </c>
      <c r="Q3863" s="11" t="s">
        <v>10901</v>
      </c>
      <c r="S3863" s="4" t="b">
        <f>ISNUMBER(MATCH(Q3863,T:T,0))</f>
        <v>1</v>
      </c>
      <c r="T3863" s="4" t="s">
        <v>9694</v>
      </c>
      <c r="U3863" s="4" t="str">
        <f t="shared" si="171"/>
        <v>甲</v>
      </c>
    </row>
    <row r="3864" spans="1:21" ht="28.5">
      <c r="A3864" s="3">
        <v>3853</v>
      </c>
      <c r="B3864" s="3" t="s">
        <v>1278</v>
      </c>
      <c r="C3864" s="3" t="s">
        <v>6005</v>
      </c>
      <c r="D3864" s="3" t="s">
        <v>6157</v>
      </c>
      <c r="E3864" s="3" t="s">
        <v>5991</v>
      </c>
      <c r="F3864" s="3" t="s">
        <v>8617</v>
      </c>
      <c r="G3864" s="3" t="s">
        <v>538</v>
      </c>
      <c r="H3864" s="3" t="s">
        <v>1281</v>
      </c>
      <c r="I3864" s="3" t="s">
        <v>8496</v>
      </c>
      <c r="J3864" s="5" t="s">
        <v>1282</v>
      </c>
      <c r="K3864" s="3" t="s">
        <v>660</v>
      </c>
      <c r="L3864" s="3" t="s">
        <v>3710</v>
      </c>
      <c r="M3864" s="3">
        <v>6</v>
      </c>
      <c r="N3864" s="4" t="s">
        <v>9694</v>
      </c>
      <c r="O3864" s="4">
        <v>204</v>
      </c>
      <c r="P3864" s="11" t="s">
        <v>10263</v>
      </c>
      <c r="Q3864" s="11" t="s">
        <v>10901</v>
      </c>
      <c r="S3864" s="4" t="b">
        <f>ISNUMBER(MATCH(Q3864,T:T,0))</f>
        <v>1</v>
      </c>
      <c r="T3864" s="4" t="s">
        <v>12969</v>
      </c>
      <c r="U3864" s="4" t="str">
        <f t="shared" si="171"/>
        <v>甲</v>
      </c>
    </row>
    <row r="3865" spans="1:21">
      <c r="A3865" s="3">
        <v>3854</v>
      </c>
      <c r="B3865" s="3" t="s">
        <v>1278</v>
      </c>
      <c r="C3865" s="3" t="s">
        <v>6072</v>
      </c>
      <c r="D3865" s="3" t="s">
        <v>6157</v>
      </c>
      <c r="E3865" s="3" t="s">
        <v>5991</v>
      </c>
      <c r="F3865" s="3" t="s">
        <v>8617</v>
      </c>
      <c r="G3865" s="3" t="s">
        <v>538</v>
      </c>
      <c r="H3865" s="3" t="s">
        <v>1283</v>
      </c>
      <c r="I3865" s="3" t="s">
        <v>8496</v>
      </c>
      <c r="J3865" s="5" t="s">
        <v>6731</v>
      </c>
      <c r="L3865" s="3" t="s">
        <v>3731</v>
      </c>
      <c r="M3865" s="3">
        <v>6</v>
      </c>
      <c r="N3865" s="4" t="s">
        <v>9694</v>
      </c>
      <c r="O3865" s="4">
        <v>204</v>
      </c>
      <c r="P3865" s="11" t="s">
        <v>9734</v>
      </c>
      <c r="Q3865" s="11" t="s">
        <v>10901</v>
      </c>
      <c r="S3865" s="4" t="b">
        <f>ISNUMBER(MATCH(Q3865,T:T,0))</f>
        <v>1</v>
      </c>
      <c r="T3865" s="4" t="s">
        <v>12970</v>
      </c>
      <c r="U3865" s="4" t="str">
        <f t="shared" si="171"/>
        <v>甲</v>
      </c>
    </row>
    <row r="3866" spans="1:21">
      <c r="A3866" s="3">
        <v>3855</v>
      </c>
      <c r="B3866" s="3" t="s">
        <v>1278</v>
      </c>
      <c r="C3866" s="3" t="s">
        <v>6025</v>
      </c>
      <c r="D3866" s="3" t="s">
        <v>6157</v>
      </c>
      <c r="E3866" s="3" t="s">
        <v>5991</v>
      </c>
      <c r="F3866" s="3" t="s">
        <v>8617</v>
      </c>
      <c r="G3866" s="3" t="s">
        <v>538</v>
      </c>
      <c r="H3866" s="3" t="s">
        <v>1284</v>
      </c>
      <c r="I3866" s="3" t="s">
        <v>8496</v>
      </c>
      <c r="J3866" s="5" t="s">
        <v>1285</v>
      </c>
      <c r="L3866" s="3" t="s">
        <v>3728</v>
      </c>
      <c r="M3866" s="3">
        <v>10</v>
      </c>
      <c r="N3866" s="4" t="s">
        <v>9694</v>
      </c>
      <c r="O3866" s="4">
        <v>204</v>
      </c>
      <c r="P3866" s="11" t="s">
        <v>9729</v>
      </c>
      <c r="Q3866" s="11" t="s">
        <v>9694</v>
      </c>
      <c r="S3866" s="4" t="b">
        <f>ISNUMBER(MATCH(Q3866,T:T,0))</f>
        <v>1</v>
      </c>
      <c r="T3866" s="4" t="s">
        <v>10901</v>
      </c>
      <c r="U3866" s="4" t="str">
        <f t="shared" si="171"/>
        <v>狎</v>
      </c>
    </row>
    <row r="3867" spans="1:21">
      <c r="A3867" s="3">
        <v>3856</v>
      </c>
      <c r="B3867" s="3" t="s">
        <v>1278</v>
      </c>
      <c r="C3867" s="3" t="s">
        <v>6180</v>
      </c>
      <c r="D3867" s="3" t="s">
        <v>6157</v>
      </c>
      <c r="E3867" s="3" t="s">
        <v>5991</v>
      </c>
      <c r="F3867" s="3" t="s">
        <v>8617</v>
      </c>
      <c r="G3867" s="3" t="s">
        <v>538</v>
      </c>
      <c r="H3867" s="3" t="s">
        <v>1286</v>
      </c>
      <c r="I3867" s="3" t="s">
        <v>8496</v>
      </c>
      <c r="J3867" s="5" t="s">
        <v>6732</v>
      </c>
      <c r="L3867" s="3" t="s">
        <v>928</v>
      </c>
      <c r="M3867" s="3">
        <v>8</v>
      </c>
      <c r="N3867" s="4" t="s">
        <v>9694</v>
      </c>
      <c r="O3867" s="4">
        <v>204</v>
      </c>
      <c r="P3867" s="11" t="s">
        <v>9774</v>
      </c>
      <c r="Q3867" s="11" t="s">
        <v>10901</v>
      </c>
      <c r="S3867" s="4" t="b">
        <f>ISNUMBER(MATCH(Q3867,T:T,0))</f>
        <v>1</v>
      </c>
      <c r="T3867" s="4" t="s">
        <v>12971</v>
      </c>
      <c r="U3867" s="4" t="str">
        <f t="shared" si="171"/>
        <v>甲</v>
      </c>
    </row>
    <row r="3868" spans="1:21">
      <c r="A3868" s="3">
        <v>3857</v>
      </c>
      <c r="B3868" s="3" t="s">
        <v>1278</v>
      </c>
      <c r="C3868" s="3" t="s">
        <v>6089</v>
      </c>
      <c r="D3868" s="3" t="s">
        <v>6157</v>
      </c>
      <c r="E3868" s="3" t="s">
        <v>5991</v>
      </c>
      <c r="F3868" s="3" t="s">
        <v>8617</v>
      </c>
      <c r="G3868" s="3" t="s">
        <v>538</v>
      </c>
      <c r="H3868" s="3" t="s">
        <v>1287</v>
      </c>
      <c r="I3868" s="3" t="s">
        <v>8496</v>
      </c>
      <c r="J3868" s="5" t="s">
        <v>1288</v>
      </c>
      <c r="L3868" s="3" t="s">
        <v>3736</v>
      </c>
      <c r="M3868" s="3">
        <v>4</v>
      </c>
      <c r="N3868" s="4" t="s">
        <v>9694</v>
      </c>
      <c r="O3868" s="4">
        <v>204</v>
      </c>
      <c r="P3868" s="11" t="s">
        <v>9739</v>
      </c>
      <c r="Q3868" s="11" t="s">
        <v>10901</v>
      </c>
      <c r="S3868" s="4" t="b">
        <f>ISNUMBER(MATCH(Q3868,T:T,0))</f>
        <v>1</v>
      </c>
      <c r="T3868" s="4" t="s">
        <v>12972</v>
      </c>
      <c r="U3868" s="4" t="str">
        <f t="shared" si="171"/>
        <v>甲</v>
      </c>
    </row>
    <row r="3869" spans="1:21">
      <c r="A3869" s="3">
        <v>3858</v>
      </c>
      <c r="B3869" s="3" t="s">
        <v>1289</v>
      </c>
      <c r="C3869" s="3" t="s">
        <v>6092</v>
      </c>
      <c r="D3869" s="3" t="s">
        <v>6001</v>
      </c>
      <c r="E3869" s="3" t="s">
        <v>5991</v>
      </c>
      <c r="F3869" s="3" t="s">
        <v>8631</v>
      </c>
      <c r="G3869" s="3" t="s">
        <v>538</v>
      </c>
      <c r="H3869" s="3" t="s">
        <v>1290</v>
      </c>
      <c r="I3869" s="3" t="s">
        <v>8496</v>
      </c>
      <c r="J3869" s="5" t="s">
        <v>6733</v>
      </c>
      <c r="L3869" s="3" t="s">
        <v>5432</v>
      </c>
      <c r="M3869" s="3">
        <v>15</v>
      </c>
      <c r="N3869" s="4" t="s">
        <v>9695</v>
      </c>
      <c r="O3869" s="4">
        <v>205</v>
      </c>
      <c r="P3869" s="11" t="s">
        <v>6462</v>
      </c>
      <c r="Q3869" s="11" t="s">
        <v>10902</v>
      </c>
      <c r="S3869" s="4" t="b">
        <f>ISNUMBER(MATCH(Q3869,T:T,0))</f>
        <v>1</v>
      </c>
      <c r="T3869" s="4" t="s">
        <v>9695</v>
      </c>
      <c r="U3869" s="4" t="str">
        <f t="shared" si="171"/>
        <v>怯</v>
      </c>
    </row>
    <row r="3870" spans="1:21">
      <c r="A3870" s="3">
        <v>3859</v>
      </c>
      <c r="B3870" s="3" t="s">
        <v>1289</v>
      </c>
      <c r="C3870" s="3" t="s">
        <v>6089</v>
      </c>
      <c r="D3870" s="3" t="s">
        <v>6001</v>
      </c>
      <c r="E3870" s="3" t="s">
        <v>5991</v>
      </c>
      <c r="F3870" s="3" t="s">
        <v>8631</v>
      </c>
      <c r="G3870" s="3" t="s">
        <v>538</v>
      </c>
      <c r="H3870" s="7" t="s">
        <v>907</v>
      </c>
      <c r="I3870" s="3" t="s">
        <v>8496</v>
      </c>
      <c r="J3870" s="5" t="s">
        <v>1291</v>
      </c>
      <c r="L3870" s="3" t="s">
        <v>6296</v>
      </c>
      <c r="M3870" s="3">
        <v>9</v>
      </c>
      <c r="N3870" s="4" t="s">
        <v>9695</v>
      </c>
      <c r="O3870" s="4">
        <v>205</v>
      </c>
      <c r="P3870" s="11" t="s">
        <v>9958</v>
      </c>
      <c r="Q3870" s="11" t="s">
        <v>9695</v>
      </c>
      <c r="S3870" s="4" t="b">
        <f>ISNUMBER(MATCH(Q3870,T:T,0))</f>
        <v>1</v>
      </c>
      <c r="T3870" s="4" t="s">
        <v>12567</v>
      </c>
      <c r="U3870" s="4" t="str">
        <f t="shared" si="171"/>
        <v>業</v>
      </c>
    </row>
    <row r="3871" spans="1:21">
      <c r="A3871" s="3">
        <v>3860</v>
      </c>
      <c r="B3871" s="3" t="s">
        <v>1289</v>
      </c>
      <c r="C3871" s="3" t="s">
        <v>6038</v>
      </c>
      <c r="D3871" s="3" t="s">
        <v>6001</v>
      </c>
      <c r="E3871" s="3" t="s">
        <v>5991</v>
      </c>
      <c r="F3871" s="3" t="s">
        <v>8631</v>
      </c>
      <c r="G3871" s="3" t="s">
        <v>538</v>
      </c>
      <c r="H3871" s="3" t="s">
        <v>1292</v>
      </c>
      <c r="I3871" s="3" t="s">
        <v>8496</v>
      </c>
      <c r="J3871" s="5" t="s">
        <v>6734</v>
      </c>
      <c r="L3871" s="3" t="s">
        <v>6287</v>
      </c>
      <c r="M3871" s="3">
        <v>9</v>
      </c>
      <c r="N3871" s="4" t="s">
        <v>9695</v>
      </c>
      <c r="O3871" s="4">
        <v>205</v>
      </c>
      <c r="P3871" s="11" t="s">
        <v>4210</v>
      </c>
      <c r="Q3871" s="11" t="s">
        <v>10903</v>
      </c>
      <c r="S3871" s="4" t="b">
        <f>ISNUMBER(MATCH(Q3871,T:T,0))</f>
        <v>1</v>
      </c>
      <c r="T3871" s="4" t="s">
        <v>10902</v>
      </c>
      <c r="U3871" s="4" t="str">
        <f t="shared" si="171"/>
        <v>劫</v>
      </c>
    </row>
    <row r="3872" spans="1:21">
      <c r="A3872" s="3">
        <v>3861</v>
      </c>
      <c r="B3872" s="3" t="s">
        <v>1289</v>
      </c>
      <c r="C3872" s="3" t="s">
        <v>6025</v>
      </c>
      <c r="D3872" s="3" t="s">
        <v>6001</v>
      </c>
      <c r="E3872" s="3" t="s">
        <v>5991</v>
      </c>
      <c r="F3872" s="3" t="s">
        <v>8631</v>
      </c>
      <c r="G3872" s="3" t="s">
        <v>538</v>
      </c>
      <c r="H3872" s="3" t="s">
        <v>1293</v>
      </c>
      <c r="I3872" s="3" t="s">
        <v>8496</v>
      </c>
      <c r="J3872" s="5" t="s">
        <v>6735</v>
      </c>
      <c r="L3872" s="3" t="s">
        <v>3608</v>
      </c>
      <c r="M3872" s="3">
        <v>9</v>
      </c>
      <c r="N3872" s="4" t="s">
        <v>9695</v>
      </c>
      <c r="O3872" s="4">
        <v>205</v>
      </c>
      <c r="P3872" s="11" t="s">
        <v>9717</v>
      </c>
      <c r="Q3872" s="11" t="s">
        <v>10902</v>
      </c>
      <c r="S3872" s="4" t="b">
        <f>ISNUMBER(MATCH(Q3872,T:T,0))</f>
        <v>1</v>
      </c>
      <c r="T3872" s="4" t="s">
        <v>10903</v>
      </c>
      <c r="U3872" s="4" t="str">
        <f t="shared" si="171"/>
        <v>怯</v>
      </c>
    </row>
    <row r="3873" spans="1:21">
      <c r="A3873" s="3">
        <v>3862</v>
      </c>
      <c r="B3873" s="3" t="s">
        <v>1289</v>
      </c>
      <c r="C3873" s="3" t="s">
        <v>6072</v>
      </c>
      <c r="D3873" s="3" t="s">
        <v>6001</v>
      </c>
      <c r="E3873" s="3" t="s">
        <v>5991</v>
      </c>
      <c r="F3873" s="3" t="s">
        <v>8631</v>
      </c>
      <c r="G3873" s="3" t="s">
        <v>538</v>
      </c>
      <c r="H3873" s="3" t="s">
        <v>1294</v>
      </c>
      <c r="I3873" s="3" t="s">
        <v>8496</v>
      </c>
      <c r="J3873" s="5" t="s">
        <v>6736</v>
      </c>
      <c r="K3873" s="3" t="s">
        <v>661</v>
      </c>
      <c r="L3873" s="3" t="s">
        <v>6215</v>
      </c>
      <c r="M3873" s="3">
        <v>14</v>
      </c>
      <c r="N3873" s="4" t="s">
        <v>9695</v>
      </c>
      <c r="O3873" s="4">
        <v>205</v>
      </c>
      <c r="P3873" s="11" t="s">
        <v>9754</v>
      </c>
      <c r="Q3873" s="11" t="s">
        <v>9695</v>
      </c>
      <c r="S3873" s="4" t="b">
        <f>ISNUMBER(MATCH(Q3873,T:T,0))</f>
        <v>1</v>
      </c>
      <c r="T3873" s="4" t="s">
        <v>12973</v>
      </c>
      <c r="U3873" s="4" t="str">
        <f t="shared" si="171"/>
        <v>業</v>
      </c>
    </row>
    <row r="3874" spans="1:21">
      <c r="A3874" s="3">
        <v>3863</v>
      </c>
      <c r="B3874" s="3" t="s">
        <v>1289</v>
      </c>
      <c r="C3874" s="3" t="s">
        <v>6028</v>
      </c>
      <c r="D3874" s="3" t="s">
        <v>6001</v>
      </c>
      <c r="E3874" s="3" t="s">
        <v>5991</v>
      </c>
      <c r="F3874" s="3" t="s">
        <v>8631</v>
      </c>
      <c r="G3874" s="3" t="s">
        <v>538</v>
      </c>
      <c r="H3874" s="3" t="s">
        <v>1295</v>
      </c>
      <c r="I3874" s="3" t="s">
        <v>8496</v>
      </c>
      <c r="J3874" s="8" t="s">
        <v>6737</v>
      </c>
      <c r="M3874" s="3">
        <v>2</v>
      </c>
      <c r="N3874" s="4" t="s">
        <v>9695</v>
      </c>
      <c r="O3874" s="4">
        <v>205</v>
      </c>
      <c r="P3874" s="11" t="s">
        <v>9850</v>
      </c>
      <c r="Q3874" s="11" t="s">
        <v>9695</v>
      </c>
      <c r="S3874" s="4" t="b">
        <f>ISNUMBER(MATCH(Q3874,T:T,0))</f>
        <v>1</v>
      </c>
      <c r="T3874" s="4" t="s">
        <v>12974</v>
      </c>
      <c r="U3874" s="4" t="str">
        <f t="shared" si="171"/>
        <v>業</v>
      </c>
    </row>
    <row r="3875" spans="1:21">
      <c r="A3875" s="3">
        <v>3864</v>
      </c>
      <c r="B3875" s="3" t="s">
        <v>1289</v>
      </c>
      <c r="C3875" s="3" t="s">
        <v>6041</v>
      </c>
      <c r="D3875" s="3" t="s">
        <v>6001</v>
      </c>
      <c r="E3875" s="3" t="s">
        <v>5991</v>
      </c>
      <c r="F3875" s="3" t="s">
        <v>8631</v>
      </c>
      <c r="G3875" s="3" t="s">
        <v>538</v>
      </c>
      <c r="H3875" s="3" t="s">
        <v>1296</v>
      </c>
      <c r="I3875" s="3" t="s">
        <v>8496</v>
      </c>
      <c r="J3875" s="5" t="s">
        <v>1297</v>
      </c>
      <c r="L3875" s="3" t="s">
        <v>3611</v>
      </c>
      <c r="M3875" s="3">
        <v>5</v>
      </c>
      <c r="N3875" s="4" t="s">
        <v>9695</v>
      </c>
      <c r="O3875" s="4">
        <v>205</v>
      </c>
      <c r="P3875" s="11" t="s">
        <v>9789</v>
      </c>
      <c r="Q3875" s="11" t="s">
        <v>9695</v>
      </c>
      <c r="S3875" s="4" t="b">
        <f>ISNUMBER(MATCH(Q3875,T:T,0))</f>
        <v>1</v>
      </c>
      <c r="T3875" s="4" t="s">
        <v>12975</v>
      </c>
      <c r="U3875" s="4" t="str">
        <f t="shared" si="171"/>
        <v>業</v>
      </c>
    </row>
    <row r="3876" spans="1:21">
      <c r="A3876" s="3">
        <v>3865</v>
      </c>
      <c r="B3876" s="3" t="s">
        <v>1298</v>
      </c>
      <c r="C3876" s="3" t="s">
        <v>6045</v>
      </c>
      <c r="D3876" s="3" t="s">
        <v>6001</v>
      </c>
      <c r="E3876" s="3" t="s">
        <v>6212</v>
      </c>
      <c r="F3876" s="3" t="s">
        <v>8639</v>
      </c>
      <c r="G3876" s="3" t="s">
        <v>538</v>
      </c>
      <c r="H3876" s="3" t="s">
        <v>1299</v>
      </c>
      <c r="I3876" s="3" t="s">
        <v>8496</v>
      </c>
      <c r="J3876" s="5" t="s">
        <v>6738</v>
      </c>
      <c r="L3876" s="3" t="s">
        <v>3587</v>
      </c>
      <c r="M3876" s="3">
        <v>3</v>
      </c>
      <c r="N3876" s="4" t="s">
        <v>9696</v>
      </c>
      <c r="O3876" s="4">
        <v>206</v>
      </c>
      <c r="P3876" s="11" t="s">
        <v>9722</v>
      </c>
      <c r="Q3876" s="11" t="s">
        <v>10904</v>
      </c>
      <c r="S3876" s="4" t="b">
        <f>ISNUMBER(MATCH(Q3876,T:T,0))</f>
        <v>1</v>
      </c>
      <c r="T3876" s="4" t="s">
        <v>9696</v>
      </c>
      <c r="U3876" s="4" t="str">
        <f t="shared" si="171"/>
        <v>法</v>
      </c>
    </row>
    <row r="3877" spans="1:21">
      <c r="A3877" s="3">
        <v>3866</v>
      </c>
      <c r="B3877" s="3" t="s">
        <v>1298</v>
      </c>
      <c r="C3877" s="3" t="s">
        <v>6049</v>
      </c>
      <c r="D3877" s="3" t="s">
        <v>6001</v>
      </c>
      <c r="E3877" s="3" t="s">
        <v>6212</v>
      </c>
      <c r="F3877" s="3" t="s">
        <v>8639</v>
      </c>
      <c r="G3877" s="3" t="s">
        <v>538</v>
      </c>
      <c r="H3877" s="3" t="s">
        <v>1300</v>
      </c>
      <c r="I3877" s="3" t="s">
        <v>8496</v>
      </c>
      <c r="J3877" s="5" t="s">
        <v>6739</v>
      </c>
      <c r="L3877" s="3" t="s">
        <v>3598</v>
      </c>
      <c r="M3877" s="3">
        <v>2</v>
      </c>
      <c r="N3877" s="4" t="s">
        <v>9696</v>
      </c>
      <c r="O3877" s="4">
        <v>206</v>
      </c>
      <c r="P3877" s="11" t="s">
        <v>9723</v>
      </c>
      <c r="Q3877" s="11" t="s">
        <v>9696</v>
      </c>
      <c r="S3877" s="4" t="b">
        <f>ISNUMBER(MATCH(Q3877,T:T,0))</f>
        <v>1</v>
      </c>
      <c r="T3877" s="4" t="s">
        <v>10904</v>
      </c>
      <c r="U3877" s="4" t="str">
        <f t="shared" si="171"/>
        <v>乏</v>
      </c>
    </row>
    <row r="3878" spans="1:21">
      <c r="A3878" s="3">
        <v>3867</v>
      </c>
      <c r="B3878" s="3" t="s">
        <v>1298</v>
      </c>
      <c r="C3878" s="3" t="s">
        <v>6053</v>
      </c>
      <c r="D3878" s="3" t="s">
        <v>6001</v>
      </c>
      <c r="E3878" s="3" t="s">
        <v>6212</v>
      </c>
      <c r="F3878" s="3" t="s">
        <v>8639</v>
      </c>
      <c r="G3878" s="3" t="s">
        <v>538</v>
      </c>
      <c r="H3878" s="3" t="s">
        <v>1301</v>
      </c>
      <c r="I3878" s="3" t="s">
        <v>8496</v>
      </c>
      <c r="J3878" s="5" t="s">
        <v>1302</v>
      </c>
      <c r="L3878" s="3" t="s">
        <v>3598</v>
      </c>
      <c r="M3878" s="3">
        <v>1</v>
      </c>
      <c r="N3878" s="4" t="s">
        <v>9696</v>
      </c>
      <c r="O3878" s="4">
        <v>206</v>
      </c>
      <c r="P3878" s="11" t="s">
        <v>9955</v>
      </c>
      <c r="Q3878" s="11" t="s">
        <v>10904</v>
      </c>
      <c r="S3878" s="4" t="b">
        <f>ISNUMBER(MATCH(Q3878,T:T,0))</f>
        <v>1</v>
      </c>
      <c r="T3878" s="4" t="s">
        <v>1302</v>
      </c>
      <c r="U3878" s="4" t="str">
        <f t="shared" si="171"/>
        <v>法</v>
      </c>
    </row>
    <row r="3879" spans="1:21">
      <c r="A3879" s="3">
        <v>3868</v>
      </c>
      <c r="B3879" s="3" t="s">
        <v>1298</v>
      </c>
      <c r="C3879" s="3" t="s">
        <v>6038</v>
      </c>
      <c r="D3879" s="3" t="s">
        <v>6001</v>
      </c>
      <c r="E3879" s="3" t="s">
        <v>6212</v>
      </c>
      <c r="F3879" s="3" t="s">
        <v>8639</v>
      </c>
      <c r="G3879" s="3" t="s">
        <v>538</v>
      </c>
      <c r="H3879" s="3" t="s">
        <v>1303</v>
      </c>
      <c r="I3879" s="3" t="s">
        <v>8496</v>
      </c>
      <c r="J3879" s="5" t="s">
        <v>6740</v>
      </c>
      <c r="M3879" s="3">
        <v>2</v>
      </c>
      <c r="N3879" s="4" t="s">
        <v>9696</v>
      </c>
      <c r="O3879" s="4">
        <v>206</v>
      </c>
      <c r="P3879" s="11" t="s">
        <v>10038</v>
      </c>
      <c r="Q3879" s="11" t="s">
        <v>10904</v>
      </c>
      <c r="S3879" s="4" t="b">
        <f>ISNUMBER(MATCH(Q3879,T:T,0))</f>
        <v>1</v>
      </c>
      <c r="T3879" s="4" t="s">
        <v>12976</v>
      </c>
      <c r="U3879" s="4" t="str">
        <f t="shared" si="171"/>
        <v>法</v>
      </c>
    </row>
    <row r="3880" spans="1:21">
      <c r="A3880" s="3">
        <v>3869</v>
      </c>
      <c r="B3880" s="3" t="s">
        <v>1298</v>
      </c>
      <c r="C3880" s="3" t="s">
        <v>6137</v>
      </c>
      <c r="D3880" s="3" t="s">
        <v>6001</v>
      </c>
      <c r="E3880" s="3" t="s">
        <v>6212</v>
      </c>
      <c r="F3880" s="3" t="s">
        <v>8639</v>
      </c>
      <c r="G3880" s="3" t="s">
        <v>538</v>
      </c>
      <c r="H3880" s="3" t="s">
        <v>1304</v>
      </c>
      <c r="I3880" s="3" t="s">
        <v>8496</v>
      </c>
      <c r="J3880" s="5" t="s">
        <v>1305</v>
      </c>
      <c r="M3880" s="3">
        <v>3</v>
      </c>
      <c r="N3880" s="4" t="s">
        <v>9696</v>
      </c>
      <c r="O3880" s="4">
        <v>206</v>
      </c>
      <c r="P3880" s="11" t="s">
        <v>9755</v>
      </c>
      <c r="Q3880" s="11" t="s">
        <v>10904</v>
      </c>
      <c r="S3880" s="4" t="b">
        <f>ISNUMBER(MATCH(Q3880,T:T,0))</f>
        <v>1</v>
      </c>
      <c r="T3880" s="4" t="s">
        <v>12977</v>
      </c>
      <c r="U3880" s="4" t="str">
        <f t="shared" si="171"/>
        <v>法</v>
      </c>
    </row>
    <row r="3881" spans="1:21">
      <c r="A3881" s="3">
        <v>3870</v>
      </c>
      <c r="B3881" s="3" t="s">
        <v>1298</v>
      </c>
      <c r="C3881" s="3" t="s">
        <v>6011</v>
      </c>
      <c r="D3881" s="3" t="s">
        <v>6001</v>
      </c>
      <c r="E3881" s="3" t="s">
        <v>6212</v>
      </c>
      <c r="F3881" s="3" t="s">
        <v>8639</v>
      </c>
      <c r="G3881" s="3" t="s">
        <v>538</v>
      </c>
      <c r="H3881" s="3" t="s">
        <v>1306</v>
      </c>
      <c r="I3881" s="3" t="s">
        <v>8496</v>
      </c>
      <c r="J3881" s="5" t="s">
        <v>1307</v>
      </c>
      <c r="M3881" s="3">
        <v>1</v>
      </c>
      <c r="N3881" s="4" t="s">
        <v>9696</v>
      </c>
      <c r="O3881" s="4">
        <v>206</v>
      </c>
      <c r="P3881" s="11" t="s">
        <v>9757</v>
      </c>
      <c r="Q3881" s="11" t="s">
        <v>10904</v>
      </c>
      <c r="S3881" s="4" t="b">
        <f>ISNUMBER(MATCH(Q3881,T:T,0))</f>
        <v>1</v>
      </c>
      <c r="T3881" s="4" t="s">
        <v>1307</v>
      </c>
      <c r="U3881" s="4" t="str">
        <f t="shared" si="171"/>
        <v>法</v>
      </c>
    </row>
  </sheetData>
  <sheetCalcPr fullCalcOnLoad="1"/>
  <autoFilter ref="A1:V3881"/>
  <phoneticPr fontId="2" type="noConversion"/>
  <pageMargins left="0.75" right="0.75" top="1" bottom="1" header="0.5" footer="0.5"/>
  <pageSetup paperSize="9" orientation="portrait" horizontalDpi="300" verticalDpi="300"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sheetPr codeName="Sheet2"/>
  <dimension ref="A1:C211"/>
  <sheetViews>
    <sheetView topLeftCell="A181" workbookViewId="0">
      <selection activeCell="C211" sqref="C211"/>
    </sheetView>
  </sheetViews>
  <sheetFormatPr defaultRowHeight="12"/>
  <sheetData>
    <row r="1" spans="1:2">
      <c r="A1" t="s">
        <v>9698</v>
      </c>
    </row>
    <row r="2" spans="1:2">
      <c r="A2" t="s">
        <v>5988</v>
      </c>
      <c r="B2">
        <v>1</v>
      </c>
    </row>
    <row r="3" spans="1:2">
      <c r="A3" t="s">
        <v>6097</v>
      </c>
      <c r="B3">
        <v>2</v>
      </c>
    </row>
    <row r="4" spans="1:2">
      <c r="A4" t="s">
        <v>6116</v>
      </c>
      <c r="B4">
        <v>3</v>
      </c>
    </row>
    <row r="5" spans="1:2">
      <c r="A5" t="s">
        <v>6156</v>
      </c>
      <c r="B5">
        <v>4</v>
      </c>
    </row>
    <row r="6" spans="1:2">
      <c r="A6" t="s">
        <v>6204</v>
      </c>
      <c r="B6">
        <v>5</v>
      </c>
    </row>
    <row r="7" spans="1:2">
      <c r="A7" t="s">
        <v>6327</v>
      </c>
      <c r="B7">
        <v>6</v>
      </c>
    </row>
    <row r="8" spans="1:2">
      <c r="A8" t="s">
        <v>6395</v>
      </c>
      <c r="B8">
        <v>7</v>
      </c>
    </row>
    <row r="9" spans="1:2">
      <c r="A9" t="s">
        <v>6435</v>
      </c>
      <c r="B9">
        <v>8</v>
      </c>
    </row>
    <row r="10" spans="1:2">
      <c r="A10" t="s">
        <v>6461</v>
      </c>
      <c r="B10">
        <v>9</v>
      </c>
    </row>
    <row r="11" spans="1:2">
      <c r="A11" t="s">
        <v>2740</v>
      </c>
      <c r="B11">
        <v>10</v>
      </c>
    </row>
    <row r="12" spans="1:2">
      <c r="A12" t="s">
        <v>2787</v>
      </c>
      <c r="B12">
        <v>11</v>
      </c>
    </row>
    <row r="13" spans="1:2">
      <c r="A13" t="s">
        <v>2842</v>
      </c>
      <c r="B13">
        <v>12</v>
      </c>
    </row>
    <row r="14" spans="1:2">
      <c r="A14" t="s">
        <v>2898</v>
      </c>
      <c r="B14">
        <v>13</v>
      </c>
    </row>
    <row r="15" spans="1:2">
      <c r="A15" t="s">
        <v>2939</v>
      </c>
      <c r="B15">
        <v>14</v>
      </c>
    </row>
    <row r="16" spans="1:2">
      <c r="A16" t="s">
        <v>2999</v>
      </c>
      <c r="B16">
        <v>15</v>
      </c>
    </row>
    <row r="17" spans="1:3">
      <c r="A17" t="s">
        <v>3039</v>
      </c>
      <c r="B17">
        <v>16</v>
      </c>
    </row>
    <row r="18" spans="1:3">
      <c r="A18" t="s">
        <v>9699</v>
      </c>
      <c r="B18">
        <v>17</v>
      </c>
    </row>
    <row r="19" spans="1:3">
      <c r="A19" t="s">
        <v>6768</v>
      </c>
      <c r="B19">
        <v>18</v>
      </c>
    </row>
    <row r="20" spans="1:3">
      <c r="A20" t="s">
        <v>6803</v>
      </c>
      <c r="B20">
        <v>19</v>
      </c>
    </row>
    <row r="21" spans="1:3">
      <c r="A21" t="s">
        <v>6808</v>
      </c>
      <c r="B21">
        <v>20</v>
      </c>
    </row>
    <row r="22" spans="1:3">
      <c r="A22" t="s">
        <v>6824</v>
      </c>
      <c r="B22">
        <v>21</v>
      </c>
    </row>
    <row r="23" spans="1:3">
      <c r="A23" t="s">
        <v>6833</v>
      </c>
      <c r="B23">
        <v>22</v>
      </c>
    </row>
    <row r="24" spans="1:3">
      <c r="A24" t="s">
        <v>6868</v>
      </c>
      <c r="B24">
        <v>23</v>
      </c>
    </row>
    <row r="25" spans="1:3">
      <c r="A25" t="s">
        <v>6913</v>
      </c>
      <c r="B25">
        <v>24</v>
      </c>
    </row>
    <row r="26" spans="1:3">
      <c r="A26" t="s">
        <v>6925</v>
      </c>
      <c r="B26">
        <v>25</v>
      </c>
    </row>
    <row r="27" spans="1:3">
      <c r="A27" t="s">
        <v>8008</v>
      </c>
      <c r="B27">
        <v>26</v>
      </c>
    </row>
    <row r="28" spans="1:3">
      <c r="A28" t="s">
        <v>8054</v>
      </c>
      <c r="B28">
        <v>27</v>
      </c>
    </row>
    <row r="29" spans="1:3">
      <c r="A29" t="s">
        <v>8081</v>
      </c>
      <c r="B29">
        <v>28</v>
      </c>
    </row>
    <row r="30" spans="1:3">
      <c r="A30" t="s">
        <v>8120</v>
      </c>
      <c r="B30">
        <v>29</v>
      </c>
      <c r="C30">
        <f>B30-28</f>
        <v>1</v>
      </c>
    </row>
    <row r="31" spans="1:3">
      <c r="A31" t="s">
        <v>8162</v>
      </c>
      <c r="B31">
        <v>30</v>
      </c>
      <c r="C31">
        <f t="shared" ref="C31:C94" si="0">B31-28</f>
        <v>2</v>
      </c>
    </row>
    <row r="32" spans="1:3">
      <c r="A32" t="s">
        <v>8249</v>
      </c>
      <c r="B32">
        <v>31</v>
      </c>
      <c r="C32">
        <f t="shared" si="0"/>
        <v>3</v>
      </c>
    </row>
    <row r="33" spans="1:3">
      <c r="A33" t="s">
        <v>8273</v>
      </c>
      <c r="B33">
        <v>32</v>
      </c>
      <c r="C33">
        <f t="shared" si="0"/>
        <v>4</v>
      </c>
    </row>
    <row r="34" spans="1:3">
      <c r="A34" t="s">
        <v>8328</v>
      </c>
      <c r="B34">
        <v>33</v>
      </c>
      <c r="C34">
        <f t="shared" si="0"/>
        <v>5</v>
      </c>
    </row>
    <row r="35" spans="1:3">
      <c r="A35" t="s">
        <v>8366</v>
      </c>
      <c r="B35">
        <v>34</v>
      </c>
      <c r="C35">
        <f t="shared" si="0"/>
        <v>6</v>
      </c>
    </row>
    <row r="36" spans="1:3">
      <c r="A36" t="s">
        <v>4546</v>
      </c>
      <c r="B36">
        <v>35</v>
      </c>
      <c r="C36">
        <f t="shared" si="0"/>
        <v>7</v>
      </c>
    </row>
    <row r="37" spans="1:3">
      <c r="A37" t="s">
        <v>4587</v>
      </c>
      <c r="B37">
        <v>36</v>
      </c>
      <c r="C37">
        <f t="shared" si="0"/>
        <v>8</v>
      </c>
    </row>
    <row r="38" spans="1:3">
      <c r="A38" t="s">
        <v>4649</v>
      </c>
      <c r="B38">
        <v>37</v>
      </c>
      <c r="C38">
        <f t="shared" si="0"/>
        <v>9</v>
      </c>
    </row>
    <row r="39" spans="1:3">
      <c r="A39" t="s">
        <v>971</v>
      </c>
      <c r="B39">
        <v>38</v>
      </c>
      <c r="C39">
        <f t="shared" si="0"/>
        <v>10</v>
      </c>
    </row>
    <row r="40" spans="1:3">
      <c r="A40" t="s">
        <v>1031</v>
      </c>
      <c r="B40">
        <v>39</v>
      </c>
      <c r="C40">
        <f t="shared" si="0"/>
        <v>11</v>
      </c>
    </row>
    <row r="41" spans="1:3">
      <c r="A41" t="s">
        <v>1083</v>
      </c>
      <c r="B41">
        <v>40</v>
      </c>
      <c r="C41">
        <f t="shared" si="0"/>
        <v>12</v>
      </c>
    </row>
    <row r="42" spans="1:3">
      <c r="A42" t="s">
        <v>1144</v>
      </c>
      <c r="B42">
        <v>41</v>
      </c>
      <c r="C42">
        <f t="shared" si="0"/>
        <v>13</v>
      </c>
    </row>
    <row r="43" spans="1:3">
      <c r="A43" t="s">
        <v>1177</v>
      </c>
      <c r="B43">
        <v>42</v>
      </c>
      <c r="C43">
        <f t="shared" si="0"/>
        <v>14</v>
      </c>
    </row>
    <row r="44" spans="1:3">
      <c r="A44" t="s">
        <v>1220</v>
      </c>
      <c r="B44">
        <v>43</v>
      </c>
      <c r="C44">
        <f t="shared" si="0"/>
        <v>15</v>
      </c>
    </row>
    <row r="45" spans="1:3">
      <c r="A45" t="s">
        <v>1249</v>
      </c>
      <c r="B45">
        <v>44</v>
      </c>
      <c r="C45">
        <f t="shared" si="0"/>
        <v>16</v>
      </c>
    </row>
    <row r="46" spans="1:3">
      <c r="A46" t="s">
        <v>4956</v>
      </c>
      <c r="B46">
        <v>45</v>
      </c>
      <c r="C46">
        <f t="shared" si="0"/>
        <v>17</v>
      </c>
    </row>
    <row r="47" spans="1:3">
      <c r="A47" t="s">
        <v>4995</v>
      </c>
      <c r="B47">
        <v>46</v>
      </c>
      <c r="C47">
        <f t="shared" si="0"/>
        <v>18</v>
      </c>
    </row>
    <row r="48" spans="1:3">
      <c r="A48" t="s">
        <v>5052</v>
      </c>
      <c r="B48">
        <v>47</v>
      </c>
      <c r="C48">
        <f t="shared" si="0"/>
        <v>19</v>
      </c>
    </row>
    <row r="49" spans="1:3">
      <c r="A49" t="s">
        <v>5094</v>
      </c>
      <c r="B49">
        <v>48</v>
      </c>
      <c r="C49">
        <f t="shared" si="0"/>
        <v>20</v>
      </c>
    </row>
    <row r="50" spans="1:3">
      <c r="A50" t="s">
        <v>5119</v>
      </c>
      <c r="B50">
        <v>49</v>
      </c>
      <c r="C50">
        <f t="shared" si="0"/>
        <v>21</v>
      </c>
    </row>
    <row r="51" spans="1:3">
      <c r="A51" t="s">
        <v>8493</v>
      </c>
      <c r="B51">
        <v>50</v>
      </c>
      <c r="C51">
        <f t="shared" si="0"/>
        <v>22</v>
      </c>
    </row>
    <row r="52" spans="1:3">
      <c r="A52" t="s">
        <v>8521</v>
      </c>
      <c r="B52">
        <v>51</v>
      </c>
      <c r="C52">
        <f t="shared" si="0"/>
        <v>23</v>
      </c>
    </row>
    <row r="53" spans="1:3">
      <c r="A53" t="s">
        <v>8540</v>
      </c>
      <c r="B53">
        <v>52</v>
      </c>
      <c r="C53">
        <f t="shared" si="0"/>
        <v>24</v>
      </c>
    </row>
    <row r="54" spans="1:3">
      <c r="A54" t="s">
        <v>8587</v>
      </c>
      <c r="B54">
        <v>53</v>
      </c>
      <c r="C54">
        <f t="shared" si="0"/>
        <v>25</v>
      </c>
    </row>
    <row r="55" spans="1:3">
      <c r="A55" t="s">
        <v>8601</v>
      </c>
      <c r="B55">
        <v>54</v>
      </c>
      <c r="C55">
        <f t="shared" si="0"/>
        <v>26</v>
      </c>
    </row>
    <row r="56" spans="1:3">
      <c r="A56" t="s">
        <v>8616</v>
      </c>
      <c r="B56">
        <v>55</v>
      </c>
      <c r="C56">
        <f t="shared" si="0"/>
        <v>27</v>
      </c>
    </row>
    <row r="57" spans="1:3">
      <c r="A57" t="s">
        <v>8630</v>
      </c>
      <c r="B57">
        <v>56</v>
      </c>
      <c r="C57">
        <f t="shared" si="0"/>
        <v>28</v>
      </c>
    </row>
    <row r="58" spans="1:3">
      <c r="A58" t="s">
        <v>8638</v>
      </c>
      <c r="B58">
        <v>57</v>
      </c>
      <c r="C58">
        <f t="shared" si="0"/>
        <v>29</v>
      </c>
    </row>
    <row r="59" spans="1:3">
      <c r="A59" t="s">
        <v>8644</v>
      </c>
      <c r="B59">
        <v>58</v>
      </c>
      <c r="C59">
        <f>B59-57</f>
        <v>1</v>
      </c>
    </row>
    <row r="60" spans="1:3">
      <c r="A60" t="s">
        <v>8683</v>
      </c>
      <c r="B60">
        <v>59</v>
      </c>
      <c r="C60">
        <f t="shared" ref="C60:C123" si="1">B60-57</f>
        <v>2</v>
      </c>
    </row>
    <row r="61" spans="1:3">
      <c r="A61" t="s">
        <v>8718</v>
      </c>
      <c r="B61">
        <v>59</v>
      </c>
      <c r="C61">
        <f t="shared" si="1"/>
        <v>2</v>
      </c>
    </row>
    <row r="62" spans="1:3">
      <c r="A62" t="s">
        <v>8731</v>
      </c>
      <c r="B62">
        <v>60</v>
      </c>
      <c r="C62">
        <f t="shared" si="1"/>
        <v>3</v>
      </c>
    </row>
    <row r="63" spans="1:3">
      <c r="A63" t="s">
        <v>8753</v>
      </c>
      <c r="B63">
        <v>61</v>
      </c>
      <c r="C63">
        <f t="shared" si="1"/>
        <v>4</v>
      </c>
    </row>
    <row r="64" spans="1:3">
      <c r="A64" t="s">
        <v>8871</v>
      </c>
      <c r="B64">
        <v>62</v>
      </c>
      <c r="C64">
        <f t="shared" si="1"/>
        <v>5</v>
      </c>
    </row>
    <row r="65" spans="1:3">
      <c r="A65" t="s">
        <v>8937</v>
      </c>
      <c r="B65">
        <v>63</v>
      </c>
      <c r="C65">
        <f t="shared" si="1"/>
        <v>6</v>
      </c>
    </row>
    <row r="66" spans="1:3">
      <c r="A66" t="s">
        <v>8973</v>
      </c>
      <c r="B66">
        <v>64</v>
      </c>
      <c r="C66">
        <f t="shared" si="1"/>
        <v>7</v>
      </c>
    </row>
    <row r="67" spans="1:3">
      <c r="A67" t="s">
        <v>8998</v>
      </c>
      <c r="B67">
        <v>65</v>
      </c>
      <c r="C67">
        <f t="shared" si="1"/>
        <v>8</v>
      </c>
    </row>
    <row r="68" spans="1:3">
      <c r="A68" t="s">
        <v>5685</v>
      </c>
      <c r="B68">
        <v>66</v>
      </c>
      <c r="C68">
        <f t="shared" si="1"/>
        <v>9</v>
      </c>
    </row>
    <row r="69" spans="1:3">
      <c r="A69" t="s">
        <v>5727</v>
      </c>
      <c r="B69">
        <v>67</v>
      </c>
      <c r="C69">
        <f t="shared" si="1"/>
        <v>10</v>
      </c>
    </row>
    <row r="70" spans="1:3">
      <c r="A70" t="s">
        <v>5771</v>
      </c>
      <c r="B70">
        <v>68</v>
      </c>
      <c r="C70">
        <f t="shared" si="1"/>
        <v>11</v>
      </c>
    </row>
    <row r="71" spans="1:3">
      <c r="A71" t="s">
        <v>5802</v>
      </c>
      <c r="B71">
        <v>69</v>
      </c>
      <c r="C71">
        <f t="shared" si="1"/>
        <v>12</v>
      </c>
    </row>
    <row r="72" spans="1:3">
      <c r="A72" t="s">
        <v>5842</v>
      </c>
      <c r="B72">
        <v>70</v>
      </c>
      <c r="C72">
        <f t="shared" si="1"/>
        <v>13</v>
      </c>
    </row>
    <row r="73" spans="1:3">
      <c r="A73" t="s">
        <v>5854</v>
      </c>
      <c r="B73">
        <v>71</v>
      </c>
      <c r="C73">
        <f t="shared" si="1"/>
        <v>14</v>
      </c>
    </row>
    <row r="74" spans="1:3">
      <c r="A74" t="s">
        <v>5886</v>
      </c>
      <c r="B74">
        <v>72</v>
      </c>
      <c r="C74">
        <f t="shared" si="1"/>
        <v>15</v>
      </c>
    </row>
    <row r="75" spans="1:3">
      <c r="A75" t="s">
        <v>5940</v>
      </c>
      <c r="B75">
        <v>73</v>
      </c>
      <c r="C75">
        <f t="shared" si="1"/>
        <v>16</v>
      </c>
    </row>
    <row r="76" spans="1:3">
      <c r="A76" t="s">
        <v>5986</v>
      </c>
      <c r="B76">
        <v>74</v>
      </c>
      <c r="C76">
        <f t="shared" si="1"/>
        <v>17</v>
      </c>
    </row>
    <row r="77" spans="1:3">
      <c r="A77" t="s">
        <v>136</v>
      </c>
      <c r="B77">
        <v>75</v>
      </c>
      <c r="C77">
        <f t="shared" si="1"/>
        <v>18</v>
      </c>
    </row>
    <row r="78" spans="1:3">
      <c r="A78" t="s">
        <v>153</v>
      </c>
      <c r="B78">
        <v>76</v>
      </c>
      <c r="C78">
        <f t="shared" si="1"/>
        <v>19</v>
      </c>
    </row>
    <row r="79" spans="1:3">
      <c r="A79" t="s">
        <v>156</v>
      </c>
      <c r="B79">
        <v>76</v>
      </c>
      <c r="C79">
        <f t="shared" si="1"/>
        <v>19</v>
      </c>
    </row>
    <row r="80" spans="1:3">
      <c r="A80" t="s">
        <v>169</v>
      </c>
      <c r="B80">
        <v>77</v>
      </c>
      <c r="C80">
        <f t="shared" si="1"/>
        <v>20</v>
      </c>
    </row>
    <row r="81" spans="1:3">
      <c r="A81" t="s">
        <v>208</v>
      </c>
      <c r="B81">
        <v>78</v>
      </c>
      <c r="C81">
        <f t="shared" si="1"/>
        <v>21</v>
      </c>
    </row>
    <row r="82" spans="1:3">
      <c r="A82" t="s">
        <v>249</v>
      </c>
      <c r="B82">
        <v>79</v>
      </c>
      <c r="C82">
        <f t="shared" si="1"/>
        <v>22</v>
      </c>
    </row>
    <row r="83" spans="1:3">
      <c r="A83" t="s">
        <v>258</v>
      </c>
      <c r="B83">
        <v>80</v>
      </c>
      <c r="C83">
        <f t="shared" si="1"/>
        <v>23</v>
      </c>
    </row>
    <row r="84" spans="1:3">
      <c r="A84" t="s">
        <v>288</v>
      </c>
      <c r="B84">
        <v>81</v>
      </c>
      <c r="C84">
        <f t="shared" si="1"/>
        <v>24</v>
      </c>
    </row>
    <row r="85" spans="1:3">
      <c r="A85" t="s">
        <v>3144</v>
      </c>
      <c r="B85">
        <v>82</v>
      </c>
      <c r="C85">
        <f t="shared" si="1"/>
        <v>25</v>
      </c>
    </row>
    <row r="86" spans="1:3">
      <c r="A86" t="s">
        <v>3175</v>
      </c>
      <c r="B86">
        <v>83</v>
      </c>
      <c r="C86">
        <f t="shared" si="1"/>
        <v>26</v>
      </c>
    </row>
    <row r="87" spans="1:3">
      <c r="A87" t="s">
        <v>3191</v>
      </c>
      <c r="B87">
        <v>84</v>
      </c>
      <c r="C87">
        <f t="shared" si="1"/>
        <v>27</v>
      </c>
    </row>
    <row r="88" spans="1:3">
      <c r="A88" t="s">
        <v>3229</v>
      </c>
      <c r="B88">
        <v>85</v>
      </c>
      <c r="C88">
        <f t="shared" si="1"/>
        <v>28</v>
      </c>
    </row>
    <row r="89" spans="1:3">
      <c r="A89" t="s">
        <v>6962</v>
      </c>
      <c r="B89">
        <v>86</v>
      </c>
      <c r="C89">
        <f t="shared" si="1"/>
        <v>29</v>
      </c>
    </row>
    <row r="90" spans="1:3">
      <c r="A90" t="s">
        <v>6993</v>
      </c>
      <c r="B90">
        <v>87</v>
      </c>
      <c r="C90">
        <f t="shared" si="1"/>
        <v>30</v>
      </c>
    </row>
    <row r="91" spans="1:3">
      <c r="A91" t="s">
        <v>7044</v>
      </c>
      <c r="B91">
        <v>88</v>
      </c>
      <c r="C91">
        <f t="shared" si="1"/>
        <v>31</v>
      </c>
    </row>
    <row r="92" spans="1:3">
      <c r="A92" t="s">
        <v>9700</v>
      </c>
      <c r="B92">
        <v>89</v>
      </c>
      <c r="C92">
        <f t="shared" si="1"/>
        <v>32</v>
      </c>
    </row>
    <row r="93" spans="1:3">
      <c r="A93" t="s">
        <v>7107</v>
      </c>
      <c r="B93">
        <v>90</v>
      </c>
      <c r="C93">
        <f t="shared" si="1"/>
        <v>33</v>
      </c>
    </row>
    <row r="94" spans="1:3">
      <c r="A94" t="s">
        <v>7145</v>
      </c>
      <c r="B94">
        <v>91</v>
      </c>
      <c r="C94">
        <f t="shared" si="1"/>
        <v>34</v>
      </c>
    </row>
    <row r="95" spans="1:3">
      <c r="A95" t="s">
        <v>7185</v>
      </c>
      <c r="B95">
        <v>92</v>
      </c>
      <c r="C95">
        <f t="shared" si="1"/>
        <v>35</v>
      </c>
    </row>
    <row r="96" spans="1:3">
      <c r="A96" t="s">
        <v>7270</v>
      </c>
      <c r="B96">
        <v>93</v>
      </c>
      <c r="C96">
        <f t="shared" si="1"/>
        <v>36</v>
      </c>
    </row>
    <row r="97" spans="1:3">
      <c r="A97" t="s">
        <v>7341</v>
      </c>
      <c r="B97">
        <v>94</v>
      </c>
      <c r="C97">
        <f t="shared" si="1"/>
        <v>37</v>
      </c>
    </row>
    <row r="98" spans="1:3">
      <c r="A98" t="s">
        <v>7395</v>
      </c>
      <c r="B98">
        <v>95</v>
      </c>
      <c r="C98">
        <f t="shared" si="1"/>
        <v>38</v>
      </c>
    </row>
    <row r="99" spans="1:3">
      <c r="A99" t="s">
        <v>7445</v>
      </c>
      <c r="B99">
        <v>96</v>
      </c>
      <c r="C99">
        <f t="shared" si="1"/>
        <v>39</v>
      </c>
    </row>
    <row r="100" spans="1:3">
      <c r="A100" t="s">
        <v>7456</v>
      </c>
      <c r="B100">
        <v>97</v>
      </c>
      <c r="C100">
        <f t="shared" si="1"/>
        <v>40</v>
      </c>
    </row>
    <row r="101" spans="1:3">
      <c r="A101" t="s">
        <v>7490</v>
      </c>
      <c r="B101">
        <v>98</v>
      </c>
      <c r="C101">
        <f t="shared" si="1"/>
        <v>41</v>
      </c>
    </row>
    <row r="102" spans="1:3">
      <c r="A102" t="s">
        <v>3869</v>
      </c>
      <c r="B102">
        <v>99</v>
      </c>
      <c r="C102">
        <f t="shared" si="1"/>
        <v>42</v>
      </c>
    </row>
    <row r="103" spans="1:3">
      <c r="A103" t="s">
        <v>3875</v>
      </c>
      <c r="B103">
        <v>100</v>
      </c>
      <c r="C103">
        <f t="shared" si="1"/>
        <v>43</v>
      </c>
    </row>
    <row r="104" spans="1:3">
      <c r="A104" t="s">
        <v>3884</v>
      </c>
      <c r="B104">
        <v>101</v>
      </c>
      <c r="C104">
        <f t="shared" si="1"/>
        <v>44</v>
      </c>
    </row>
    <row r="105" spans="1:3">
      <c r="A105" t="s">
        <v>3947</v>
      </c>
      <c r="B105">
        <v>102</v>
      </c>
      <c r="C105">
        <f t="shared" si="1"/>
        <v>45</v>
      </c>
    </row>
    <row r="106" spans="1:3">
      <c r="A106" t="s">
        <v>3993</v>
      </c>
      <c r="B106">
        <v>103</v>
      </c>
      <c r="C106">
        <f t="shared" si="1"/>
        <v>46</v>
      </c>
    </row>
    <row r="107" spans="1:3">
      <c r="A107" t="s">
        <v>4000</v>
      </c>
      <c r="B107">
        <v>104</v>
      </c>
      <c r="C107">
        <f t="shared" si="1"/>
        <v>47</v>
      </c>
    </row>
    <row r="108" spans="1:3">
      <c r="A108" t="s">
        <v>4052</v>
      </c>
      <c r="B108">
        <v>105</v>
      </c>
      <c r="C108">
        <f t="shared" si="1"/>
        <v>48</v>
      </c>
    </row>
    <row r="109" spans="1:3">
      <c r="A109" t="s">
        <v>4079</v>
      </c>
      <c r="B109">
        <v>106</v>
      </c>
      <c r="C109">
        <f t="shared" si="1"/>
        <v>49</v>
      </c>
    </row>
    <row r="110" spans="1:3">
      <c r="A110" t="s">
        <v>4104</v>
      </c>
      <c r="B110">
        <v>107</v>
      </c>
      <c r="C110">
        <f t="shared" si="1"/>
        <v>50</v>
      </c>
    </row>
    <row r="111" spans="1:3">
      <c r="A111" t="s">
        <v>4138</v>
      </c>
      <c r="B111">
        <v>108</v>
      </c>
      <c r="C111">
        <f t="shared" si="1"/>
        <v>51</v>
      </c>
    </row>
    <row r="112" spans="1:3">
      <c r="A112" t="s">
        <v>4157</v>
      </c>
      <c r="B112">
        <v>109</v>
      </c>
      <c r="C112">
        <f t="shared" si="1"/>
        <v>52</v>
      </c>
    </row>
    <row r="113" spans="1:3">
      <c r="A113" t="s">
        <v>4160</v>
      </c>
      <c r="B113">
        <v>110</v>
      </c>
      <c r="C113">
        <f t="shared" si="1"/>
        <v>53</v>
      </c>
    </row>
    <row r="114" spans="1:3">
      <c r="A114" t="s">
        <v>4184</v>
      </c>
      <c r="B114">
        <v>111</v>
      </c>
      <c r="C114">
        <f t="shared" si="1"/>
        <v>54</v>
      </c>
    </row>
    <row r="115" spans="1:3">
      <c r="A115" t="s">
        <v>4199</v>
      </c>
      <c r="B115">
        <v>112</v>
      </c>
      <c r="C115">
        <f t="shared" si="1"/>
        <v>55</v>
      </c>
    </row>
    <row r="116" spans="1:3">
      <c r="A116" t="s">
        <v>4209</v>
      </c>
      <c r="B116">
        <v>113</v>
      </c>
      <c r="C116">
        <f>B116-112</f>
        <v>1</v>
      </c>
    </row>
    <row r="117" spans="1:3">
      <c r="A117" t="s">
        <v>4271</v>
      </c>
      <c r="B117">
        <v>114</v>
      </c>
      <c r="C117">
        <f t="shared" ref="C117:C180" si="2">B117-112</f>
        <v>2</v>
      </c>
    </row>
    <row r="118" spans="1:3">
      <c r="A118" t="s">
        <v>4282</v>
      </c>
      <c r="B118">
        <v>115</v>
      </c>
      <c r="C118">
        <f t="shared" si="2"/>
        <v>3</v>
      </c>
    </row>
    <row r="119" spans="1:3">
      <c r="A119" t="s">
        <v>4312</v>
      </c>
      <c r="B119">
        <v>116</v>
      </c>
      <c r="C119">
        <f t="shared" si="2"/>
        <v>4</v>
      </c>
    </row>
    <row r="120" spans="1:3">
      <c r="A120" t="s">
        <v>4334</v>
      </c>
      <c r="B120">
        <v>117</v>
      </c>
      <c r="C120">
        <f t="shared" si="2"/>
        <v>5</v>
      </c>
    </row>
    <row r="121" spans="1:3">
      <c r="A121" t="s">
        <v>4422</v>
      </c>
      <c r="B121">
        <v>118</v>
      </c>
      <c r="C121">
        <f t="shared" si="2"/>
        <v>6</v>
      </c>
    </row>
    <row r="122" spans="1:3">
      <c r="A122" t="s">
        <v>4508</v>
      </c>
      <c r="B122">
        <v>119</v>
      </c>
      <c r="C122">
        <f t="shared" si="2"/>
        <v>7</v>
      </c>
    </row>
    <row r="123" spans="1:3">
      <c r="A123" t="s">
        <v>1359</v>
      </c>
      <c r="B123">
        <v>120</v>
      </c>
      <c r="C123">
        <f t="shared" si="2"/>
        <v>8</v>
      </c>
    </row>
    <row r="124" spans="1:3">
      <c r="A124" t="s">
        <v>1379</v>
      </c>
      <c r="B124">
        <v>121</v>
      </c>
      <c r="C124">
        <f t="shared" si="2"/>
        <v>9</v>
      </c>
    </row>
    <row r="125" spans="1:3">
      <c r="A125" t="s">
        <v>1428</v>
      </c>
      <c r="B125">
        <v>122</v>
      </c>
      <c r="C125">
        <f t="shared" si="2"/>
        <v>10</v>
      </c>
    </row>
    <row r="126" spans="1:3">
      <c r="A126" t="s">
        <v>5185</v>
      </c>
      <c r="B126">
        <v>123</v>
      </c>
      <c r="C126">
        <f t="shared" si="2"/>
        <v>11</v>
      </c>
    </row>
    <row r="127" spans="1:3">
      <c r="A127" t="s">
        <v>5222</v>
      </c>
      <c r="B127">
        <v>124</v>
      </c>
      <c r="C127">
        <f t="shared" si="2"/>
        <v>12</v>
      </c>
    </row>
    <row r="128" spans="1:3">
      <c r="A128" t="s">
        <v>5255</v>
      </c>
      <c r="B128">
        <v>125</v>
      </c>
      <c r="C128">
        <f t="shared" si="2"/>
        <v>13</v>
      </c>
    </row>
    <row r="129" spans="1:3">
      <c r="A129" t="s">
        <v>5314</v>
      </c>
      <c r="B129">
        <v>126</v>
      </c>
      <c r="C129">
        <f t="shared" si="2"/>
        <v>14</v>
      </c>
    </row>
    <row r="130" spans="1:3">
      <c r="A130" t="s">
        <v>5321</v>
      </c>
      <c r="B130">
        <v>127</v>
      </c>
      <c r="C130">
        <f t="shared" si="2"/>
        <v>15</v>
      </c>
    </row>
    <row r="131" spans="1:3">
      <c r="A131" t="s">
        <v>5383</v>
      </c>
      <c r="B131">
        <v>128</v>
      </c>
      <c r="C131">
        <f t="shared" si="2"/>
        <v>16</v>
      </c>
    </row>
    <row r="132" spans="1:3">
      <c r="A132" t="s">
        <v>5427</v>
      </c>
      <c r="B132">
        <v>129</v>
      </c>
      <c r="C132">
        <f t="shared" si="2"/>
        <v>17</v>
      </c>
    </row>
    <row r="133" spans="1:3">
      <c r="A133" t="s">
        <v>5466</v>
      </c>
      <c r="B133">
        <v>130</v>
      </c>
      <c r="C133">
        <f t="shared" si="2"/>
        <v>18</v>
      </c>
    </row>
    <row r="134" spans="1:3">
      <c r="A134" t="s">
        <v>5500</v>
      </c>
      <c r="B134">
        <v>131</v>
      </c>
      <c r="C134">
        <f t="shared" si="2"/>
        <v>19</v>
      </c>
    </row>
    <row r="135" spans="1:3">
      <c r="A135" t="s">
        <v>5527</v>
      </c>
      <c r="B135">
        <v>132</v>
      </c>
      <c r="C135">
        <f t="shared" si="2"/>
        <v>20</v>
      </c>
    </row>
    <row r="136" spans="1:3">
      <c r="A136" t="s">
        <v>5562</v>
      </c>
      <c r="B136">
        <v>133</v>
      </c>
      <c r="C136">
        <f t="shared" si="2"/>
        <v>21</v>
      </c>
    </row>
    <row r="137" spans="1:3">
      <c r="A137" t="s">
        <v>5591</v>
      </c>
      <c r="B137">
        <v>133</v>
      </c>
      <c r="C137">
        <f t="shared" si="2"/>
        <v>21</v>
      </c>
    </row>
    <row r="138" spans="1:3">
      <c r="A138" t="s">
        <v>5605</v>
      </c>
      <c r="B138">
        <v>134</v>
      </c>
      <c r="C138">
        <f t="shared" si="2"/>
        <v>22</v>
      </c>
    </row>
    <row r="139" spans="1:3">
      <c r="A139" t="s">
        <v>5622</v>
      </c>
      <c r="B139">
        <v>135</v>
      </c>
      <c r="C139">
        <f t="shared" si="2"/>
        <v>23</v>
      </c>
    </row>
    <row r="140" spans="1:3">
      <c r="A140" t="s">
        <v>5638</v>
      </c>
      <c r="B140">
        <v>136</v>
      </c>
      <c r="C140">
        <f t="shared" si="2"/>
        <v>24</v>
      </c>
    </row>
    <row r="141" spans="1:3">
      <c r="A141" t="s">
        <v>5646</v>
      </c>
      <c r="B141">
        <v>137</v>
      </c>
      <c r="C141">
        <f t="shared" si="2"/>
        <v>25</v>
      </c>
    </row>
    <row r="142" spans="1:3">
      <c r="A142" t="s">
        <v>1993</v>
      </c>
      <c r="B142">
        <v>138</v>
      </c>
      <c r="C142">
        <f t="shared" si="2"/>
        <v>26</v>
      </c>
    </row>
    <row r="143" spans="1:3">
      <c r="A143" t="s">
        <v>2033</v>
      </c>
      <c r="B143">
        <v>139</v>
      </c>
      <c r="C143">
        <f t="shared" si="2"/>
        <v>27</v>
      </c>
    </row>
    <row r="144" spans="1:3">
      <c r="A144" t="s">
        <v>2043</v>
      </c>
      <c r="B144">
        <v>140</v>
      </c>
      <c r="C144">
        <f t="shared" si="2"/>
        <v>28</v>
      </c>
    </row>
    <row r="145" spans="1:3">
      <c r="A145" t="s">
        <v>2075</v>
      </c>
      <c r="B145">
        <v>141</v>
      </c>
      <c r="C145">
        <f t="shared" si="2"/>
        <v>29</v>
      </c>
    </row>
    <row r="146" spans="1:3">
      <c r="A146" t="s">
        <v>2113</v>
      </c>
      <c r="B146">
        <v>142</v>
      </c>
      <c r="C146">
        <f t="shared" si="2"/>
        <v>30</v>
      </c>
    </row>
    <row r="147" spans="1:3">
      <c r="A147" t="s">
        <v>9701</v>
      </c>
      <c r="B147">
        <v>143</v>
      </c>
      <c r="C147">
        <f t="shared" si="2"/>
        <v>31</v>
      </c>
    </row>
    <row r="148" spans="1:3">
      <c r="A148" t="s">
        <v>2160</v>
      </c>
      <c r="B148">
        <v>144</v>
      </c>
      <c r="C148">
        <f t="shared" si="2"/>
        <v>32</v>
      </c>
    </row>
    <row r="149" spans="1:3">
      <c r="A149" t="s">
        <v>2201</v>
      </c>
      <c r="B149">
        <v>145</v>
      </c>
      <c r="C149">
        <f t="shared" si="2"/>
        <v>33</v>
      </c>
    </row>
    <row r="150" spans="1:3">
      <c r="A150" t="s">
        <v>2270</v>
      </c>
      <c r="B150">
        <v>146</v>
      </c>
      <c r="C150">
        <f t="shared" si="2"/>
        <v>34</v>
      </c>
    </row>
    <row r="151" spans="1:3">
      <c r="A151" t="s">
        <v>2292</v>
      </c>
      <c r="B151">
        <v>147</v>
      </c>
      <c r="C151">
        <f t="shared" si="2"/>
        <v>35</v>
      </c>
    </row>
    <row r="152" spans="1:3">
      <c r="A152" t="s">
        <v>2333</v>
      </c>
      <c r="B152">
        <v>148</v>
      </c>
      <c r="C152">
        <f t="shared" si="2"/>
        <v>36</v>
      </c>
    </row>
    <row r="153" spans="1:3">
      <c r="A153" t="s">
        <v>9702</v>
      </c>
      <c r="B153">
        <v>149</v>
      </c>
      <c r="C153">
        <f t="shared" si="2"/>
        <v>37</v>
      </c>
    </row>
    <row r="154" spans="1:3">
      <c r="A154" t="s">
        <v>2377</v>
      </c>
      <c r="B154">
        <v>150</v>
      </c>
      <c r="C154">
        <f t="shared" si="2"/>
        <v>38</v>
      </c>
    </row>
    <row r="155" spans="1:3">
      <c r="A155" t="s">
        <v>2404</v>
      </c>
      <c r="B155">
        <v>151</v>
      </c>
      <c r="C155">
        <f t="shared" si="2"/>
        <v>39</v>
      </c>
    </row>
    <row r="156" spans="1:3">
      <c r="A156" t="s">
        <v>2440</v>
      </c>
      <c r="B156">
        <v>152</v>
      </c>
      <c r="C156">
        <f t="shared" si="2"/>
        <v>40</v>
      </c>
    </row>
    <row r="157" spans="1:3">
      <c r="A157" t="s">
        <v>2506</v>
      </c>
      <c r="B157">
        <v>153</v>
      </c>
      <c r="C157">
        <f t="shared" si="2"/>
        <v>41</v>
      </c>
    </row>
    <row r="158" spans="1:3">
      <c r="A158" t="s">
        <v>2567</v>
      </c>
      <c r="B158">
        <v>154</v>
      </c>
      <c r="C158">
        <f t="shared" si="2"/>
        <v>42</v>
      </c>
    </row>
    <row r="159" spans="1:3">
      <c r="A159" t="s">
        <v>2611</v>
      </c>
      <c r="B159">
        <v>155</v>
      </c>
      <c r="C159">
        <f t="shared" si="2"/>
        <v>43</v>
      </c>
    </row>
    <row r="160" spans="1:3">
      <c r="A160" t="s">
        <v>2657</v>
      </c>
      <c r="B160">
        <v>156</v>
      </c>
      <c r="C160">
        <f t="shared" si="2"/>
        <v>44</v>
      </c>
    </row>
    <row r="161" spans="1:3">
      <c r="A161" t="s">
        <v>2670</v>
      </c>
      <c r="B161">
        <v>157</v>
      </c>
      <c r="C161">
        <f t="shared" si="2"/>
        <v>45</v>
      </c>
    </row>
    <row r="162" spans="1:3">
      <c r="A162" t="s">
        <v>2704</v>
      </c>
      <c r="B162">
        <v>158</v>
      </c>
      <c r="C162">
        <f t="shared" si="2"/>
        <v>46</v>
      </c>
    </row>
    <row r="163" spans="1:3">
      <c r="A163" t="s">
        <v>2727</v>
      </c>
      <c r="B163">
        <v>159</v>
      </c>
      <c r="C163">
        <f t="shared" si="2"/>
        <v>47</v>
      </c>
    </row>
    <row r="164" spans="1:3">
      <c r="A164" t="s">
        <v>17</v>
      </c>
      <c r="B164">
        <v>160</v>
      </c>
      <c r="C164">
        <f t="shared" si="2"/>
        <v>48</v>
      </c>
    </row>
    <row r="165" spans="1:3">
      <c r="A165" t="s">
        <v>39</v>
      </c>
      <c r="B165">
        <v>161</v>
      </c>
      <c r="C165">
        <f t="shared" si="2"/>
        <v>49</v>
      </c>
    </row>
    <row r="166" spans="1:3">
      <c r="A166" t="s">
        <v>93</v>
      </c>
      <c r="B166">
        <v>162</v>
      </c>
      <c r="C166">
        <f t="shared" si="2"/>
        <v>50</v>
      </c>
    </row>
    <row r="167" spans="1:3">
      <c r="A167" t="s">
        <v>348</v>
      </c>
      <c r="B167">
        <v>163</v>
      </c>
      <c r="C167">
        <f t="shared" si="2"/>
        <v>51</v>
      </c>
    </row>
    <row r="168" spans="1:3">
      <c r="A168" t="s">
        <v>357</v>
      </c>
      <c r="B168">
        <v>164</v>
      </c>
      <c r="C168">
        <f t="shared" si="2"/>
        <v>52</v>
      </c>
    </row>
    <row r="169" spans="1:3">
      <c r="A169" t="s">
        <v>394</v>
      </c>
      <c r="B169">
        <v>165</v>
      </c>
      <c r="C169">
        <f t="shared" si="2"/>
        <v>53</v>
      </c>
    </row>
    <row r="170" spans="1:3">
      <c r="A170" t="s">
        <v>418</v>
      </c>
      <c r="B170">
        <v>166</v>
      </c>
      <c r="C170">
        <f t="shared" si="2"/>
        <v>54</v>
      </c>
    </row>
    <row r="171" spans="1:3">
      <c r="A171" t="s">
        <v>435</v>
      </c>
      <c r="B171">
        <v>167</v>
      </c>
      <c r="C171">
        <f t="shared" si="2"/>
        <v>55</v>
      </c>
    </row>
    <row r="172" spans="1:3">
      <c r="A172" t="s">
        <v>465</v>
      </c>
      <c r="B172">
        <v>168</v>
      </c>
      <c r="C172">
        <f t="shared" si="2"/>
        <v>56</v>
      </c>
    </row>
    <row r="173" spans="1:3">
      <c r="A173" t="s">
        <v>488</v>
      </c>
      <c r="B173">
        <v>169</v>
      </c>
      <c r="C173">
        <f t="shared" si="2"/>
        <v>57</v>
      </c>
    </row>
    <row r="174" spans="1:3">
      <c r="A174" s="10" t="s">
        <v>9704</v>
      </c>
      <c r="B174">
        <v>170</v>
      </c>
      <c r="C174">
        <f t="shared" si="2"/>
        <v>58</v>
      </c>
    </row>
    <row r="175" spans="1:3">
      <c r="A175" t="s">
        <v>516</v>
      </c>
      <c r="B175">
        <v>171</v>
      </c>
      <c r="C175">
        <f t="shared" si="2"/>
        <v>59</v>
      </c>
    </row>
    <row r="176" spans="1:3">
      <c r="A176" t="s">
        <v>495</v>
      </c>
      <c r="B176">
        <v>172</v>
      </c>
      <c r="C176">
        <f t="shared" si="2"/>
        <v>60</v>
      </c>
    </row>
    <row r="177" spans="1:3">
      <c r="A177" t="s">
        <v>537</v>
      </c>
      <c r="B177">
        <v>173</v>
      </c>
      <c r="C177">
        <f>B177-172</f>
        <v>1</v>
      </c>
    </row>
    <row r="178" spans="1:3">
      <c r="A178" t="s">
        <v>3348</v>
      </c>
      <c r="B178">
        <v>174</v>
      </c>
      <c r="C178">
        <f t="shared" ref="C178:C211" si="3">B178-172</f>
        <v>2</v>
      </c>
    </row>
    <row r="179" spans="1:3">
      <c r="A179" t="s">
        <v>3374</v>
      </c>
      <c r="B179">
        <v>175</v>
      </c>
      <c r="C179">
        <f t="shared" si="3"/>
        <v>3</v>
      </c>
    </row>
    <row r="180" spans="1:3">
      <c r="A180" t="s">
        <v>3415</v>
      </c>
      <c r="B180">
        <v>176</v>
      </c>
      <c r="C180">
        <f t="shared" si="3"/>
        <v>4</v>
      </c>
    </row>
    <row r="181" spans="1:3">
      <c r="A181" t="s">
        <v>3451</v>
      </c>
      <c r="B181">
        <v>177</v>
      </c>
      <c r="C181">
        <f t="shared" si="3"/>
        <v>5</v>
      </c>
    </row>
    <row r="182" spans="1:3">
      <c r="A182" t="s">
        <v>3486</v>
      </c>
      <c r="B182">
        <v>178</v>
      </c>
      <c r="C182">
        <f t="shared" si="3"/>
        <v>6</v>
      </c>
    </row>
    <row r="183" spans="1:3">
      <c r="A183" t="s">
        <v>3502</v>
      </c>
      <c r="B183">
        <v>179</v>
      </c>
      <c r="C183">
        <f t="shared" si="3"/>
        <v>7</v>
      </c>
    </row>
    <row r="184" spans="1:3">
      <c r="A184" t="s">
        <v>3556</v>
      </c>
      <c r="B184">
        <v>180</v>
      </c>
      <c r="C184">
        <f t="shared" si="3"/>
        <v>8</v>
      </c>
    </row>
    <row r="185" spans="1:3">
      <c r="A185" t="s">
        <v>3574</v>
      </c>
      <c r="B185">
        <v>181</v>
      </c>
      <c r="C185">
        <f t="shared" si="3"/>
        <v>9</v>
      </c>
    </row>
    <row r="186" spans="1:3">
      <c r="A186" t="s">
        <v>3583</v>
      </c>
      <c r="B186">
        <v>182</v>
      </c>
      <c r="C186">
        <f t="shared" si="3"/>
        <v>10</v>
      </c>
    </row>
    <row r="187" spans="1:3">
      <c r="A187" t="s">
        <v>3616</v>
      </c>
      <c r="B187">
        <v>183</v>
      </c>
      <c r="C187">
        <f t="shared" si="3"/>
        <v>11</v>
      </c>
    </row>
    <row r="188" spans="1:3">
      <c r="A188" t="s">
        <v>3635</v>
      </c>
      <c r="B188">
        <v>183</v>
      </c>
      <c r="C188">
        <f t="shared" si="3"/>
        <v>11</v>
      </c>
    </row>
    <row r="189" spans="1:3">
      <c r="A189" t="s">
        <v>3638</v>
      </c>
      <c r="B189">
        <v>184</v>
      </c>
      <c r="C189">
        <f t="shared" si="3"/>
        <v>12</v>
      </c>
    </row>
    <row r="190" spans="1:3">
      <c r="A190" t="s">
        <v>3667</v>
      </c>
      <c r="B190">
        <v>185</v>
      </c>
      <c r="C190">
        <f t="shared" si="3"/>
        <v>13</v>
      </c>
    </row>
    <row r="191" spans="1:3">
      <c r="A191" t="s">
        <v>3704</v>
      </c>
      <c r="B191">
        <v>186</v>
      </c>
      <c r="C191">
        <f t="shared" si="3"/>
        <v>14</v>
      </c>
    </row>
    <row r="192" spans="1:3">
      <c r="A192" t="s">
        <v>9703</v>
      </c>
      <c r="B192">
        <v>187</v>
      </c>
      <c r="C192">
        <f t="shared" si="3"/>
        <v>15</v>
      </c>
    </row>
    <row r="193" spans="1:3">
      <c r="A193" t="s">
        <v>3771</v>
      </c>
      <c r="B193">
        <v>188</v>
      </c>
      <c r="C193">
        <f t="shared" si="3"/>
        <v>16</v>
      </c>
    </row>
    <row r="194" spans="1:3">
      <c r="A194" t="s">
        <v>3814</v>
      </c>
      <c r="B194">
        <v>189</v>
      </c>
      <c r="C194">
        <f t="shared" si="3"/>
        <v>17</v>
      </c>
    </row>
    <row r="195" spans="1:3">
      <c r="A195" t="s">
        <v>1488</v>
      </c>
      <c r="B195">
        <v>190</v>
      </c>
      <c r="C195">
        <f t="shared" si="3"/>
        <v>18</v>
      </c>
    </row>
    <row r="196" spans="1:3">
      <c r="A196" t="s">
        <v>1536</v>
      </c>
      <c r="B196">
        <v>191</v>
      </c>
      <c r="C196">
        <f t="shared" si="3"/>
        <v>19</v>
      </c>
    </row>
    <row r="197" spans="1:3">
      <c r="A197" t="s">
        <v>1573</v>
      </c>
      <c r="B197">
        <v>192</v>
      </c>
      <c r="C197">
        <f t="shared" si="3"/>
        <v>20</v>
      </c>
    </row>
    <row r="198" spans="1:3">
      <c r="A198" t="s">
        <v>1619</v>
      </c>
      <c r="B198">
        <v>193</v>
      </c>
      <c r="C198">
        <f t="shared" si="3"/>
        <v>21</v>
      </c>
    </row>
    <row r="199" spans="1:3">
      <c r="A199" t="s">
        <v>1652</v>
      </c>
      <c r="B199">
        <v>194</v>
      </c>
      <c r="C199">
        <f t="shared" si="3"/>
        <v>22</v>
      </c>
    </row>
    <row r="200" spans="1:3">
      <c r="A200" t="s">
        <v>1687</v>
      </c>
      <c r="B200">
        <v>195</v>
      </c>
      <c r="C200">
        <f t="shared" si="3"/>
        <v>23</v>
      </c>
    </row>
    <row r="201" spans="1:3">
      <c r="A201" t="s">
        <v>1724</v>
      </c>
      <c r="B201">
        <v>196</v>
      </c>
      <c r="C201">
        <f t="shared" si="3"/>
        <v>24</v>
      </c>
    </row>
    <row r="202" spans="1:3">
      <c r="A202" t="s">
        <v>1773</v>
      </c>
      <c r="B202">
        <v>197</v>
      </c>
      <c r="C202">
        <f t="shared" si="3"/>
        <v>25</v>
      </c>
    </row>
    <row r="203" spans="1:3">
      <c r="A203" t="s">
        <v>1811</v>
      </c>
      <c r="B203">
        <v>198</v>
      </c>
      <c r="C203">
        <f t="shared" si="3"/>
        <v>26</v>
      </c>
    </row>
    <row r="204" spans="1:3">
      <c r="A204" t="s">
        <v>1862</v>
      </c>
      <c r="B204">
        <v>199</v>
      </c>
      <c r="C204">
        <f t="shared" si="3"/>
        <v>27</v>
      </c>
    </row>
    <row r="205" spans="1:3">
      <c r="A205" t="s">
        <v>1886</v>
      </c>
      <c r="B205">
        <v>200</v>
      </c>
      <c r="C205">
        <f t="shared" si="3"/>
        <v>28</v>
      </c>
    </row>
    <row r="206" spans="1:3">
      <c r="A206" t="s">
        <v>1916</v>
      </c>
      <c r="B206">
        <v>201</v>
      </c>
      <c r="C206">
        <f t="shared" si="3"/>
        <v>29</v>
      </c>
    </row>
    <row r="207" spans="1:3">
      <c r="A207" t="s">
        <v>1946</v>
      </c>
      <c r="B207">
        <v>202</v>
      </c>
      <c r="C207">
        <f t="shared" si="3"/>
        <v>30</v>
      </c>
    </row>
    <row r="208" spans="1:3">
      <c r="A208" t="s">
        <v>1968</v>
      </c>
      <c r="B208">
        <v>203</v>
      </c>
      <c r="C208">
        <f t="shared" si="3"/>
        <v>31</v>
      </c>
    </row>
    <row r="209" spans="1:3">
      <c r="A209" t="s">
        <v>1278</v>
      </c>
      <c r="B209">
        <v>204</v>
      </c>
      <c r="C209">
        <f t="shared" si="3"/>
        <v>32</v>
      </c>
    </row>
    <row r="210" spans="1:3">
      <c r="A210" t="s">
        <v>1289</v>
      </c>
      <c r="B210">
        <v>205</v>
      </c>
      <c r="C210">
        <f t="shared" si="3"/>
        <v>33</v>
      </c>
    </row>
    <row r="211" spans="1:3">
      <c r="A211" t="s">
        <v>1298</v>
      </c>
      <c r="B211">
        <v>206</v>
      </c>
      <c r="C211">
        <f t="shared" si="3"/>
        <v>34</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KuankhiunnFinal</vt:lpstr>
      <vt:lpstr>Sheet1</vt:lpstr>
      <vt:lpstr>KuankhiunnFinal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深度完美技术论坛</cp:lastModifiedBy>
  <dcterms:created xsi:type="dcterms:W3CDTF">2019-08-15T11:35:25Z</dcterms:created>
  <dcterms:modified xsi:type="dcterms:W3CDTF">2019-08-15T13:16:30Z</dcterms:modified>
</cp:coreProperties>
</file>